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163270\Documents\GitHub\DEA\Osemosys_UPME\"/>
    </mc:Choice>
  </mc:AlternateContent>
  <xr:revisionPtr revIDLastSave="0" documentId="13_ncr:1_{3F1ED4DC-DB89-4E37-9EF6-0BB1B9B2AF5D}" xr6:coauthVersionLast="47" xr6:coauthVersionMax="47" xr10:uidLastSave="{00000000-0000-0000-0000-000000000000}"/>
  <bookViews>
    <workbookView xWindow="1920" yWindow="1920" windowWidth="30960" windowHeight="12120" firstSheet="1" activeTab="7" xr2:uid="{00000000-000D-0000-FFFF-FFFF00000000}"/>
  </bookViews>
  <sheets>
    <sheet name="RawResultsLong" sheetId="1" r:id="rId1"/>
    <sheet name="FactorInputs" sheetId="5" r:id="rId2"/>
    <sheet name="Pivot_EmploymentFTE" sheetId="8" r:id="rId3"/>
    <sheet name="Pivot_CapacityMW" sheetId="7" r:id="rId4"/>
    <sheet name="EmploymentAggregated" sheetId="3" r:id="rId5"/>
    <sheet name="EmploymentResults" sheetId="2" r:id="rId6"/>
    <sheet name="TechnologyMapping" sheetId="4" r:id="rId7"/>
    <sheet name="Methodology_Notes" sheetId="9" r:id="rId8"/>
    <sheet name="Diagnostics" sheetId="6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31" i="5" l="1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888" i="2"/>
  <c r="B888" i="2"/>
  <c r="A888" i="2"/>
  <c r="C887" i="2"/>
  <c r="B887" i="2"/>
  <c r="A887" i="2"/>
  <c r="C886" i="2"/>
  <c r="B886" i="2"/>
  <c r="A886" i="2"/>
  <c r="C885" i="2"/>
  <c r="B885" i="2"/>
  <c r="A885" i="2"/>
  <c r="C884" i="2"/>
  <c r="B884" i="2"/>
  <c r="A884" i="2"/>
  <c r="C883" i="2"/>
  <c r="B883" i="2"/>
  <c r="A883" i="2"/>
  <c r="C882" i="2"/>
  <c r="B882" i="2"/>
  <c r="A882" i="2"/>
  <c r="C881" i="2"/>
  <c r="B881" i="2"/>
  <c r="A881" i="2"/>
  <c r="C880" i="2"/>
  <c r="B880" i="2"/>
  <c r="A880" i="2"/>
  <c r="C879" i="2"/>
  <c r="B879" i="2"/>
  <c r="A879" i="2"/>
  <c r="C878" i="2"/>
  <c r="B878" i="2"/>
  <c r="A878" i="2"/>
  <c r="C877" i="2"/>
  <c r="B877" i="2"/>
  <c r="A877" i="2"/>
  <c r="C876" i="2"/>
  <c r="B876" i="2"/>
  <c r="A876" i="2"/>
  <c r="C875" i="2"/>
  <c r="B875" i="2"/>
  <c r="A875" i="2"/>
  <c r="C874" i="2"/>
  <c r="B874" i="2"/>
  <c r="A874" i="2"/>
  <c r="C873" i="2"/>
  <c r="B873" i="2"/>
  <c r="A873" i="2"/>
  <c r="C872" i="2"/>
  <c r="B872" i="2"/>
  <c r="A872" i="2"/>
  <c r="C871" i="2"/>
  <c r="B871" i="2"/>
  <c r="A871" i="2"/>
  <c r="C870" i="2"/>
  <c r="B870" i="2"/>
  <c r="A870" i="2"/>
  <c r="C869" i="2"/>
  <c r="B869" i="2"/>
  <c r="A869" i="2"/>
  <c r="C868" i="2"/>
  <c r="B868" i="2"/>
  <c r="A868" i="2"/>
  <c r="C867" i="2"/>
  <c r="B867" i="2"/>
  <c r="A867" i="2"/>
  <c r="C866" i="2"/>
  <c r="B866" i="2"/>
  <c r="A866" i="2"/>
  <c r="C865" i="2"/>
  <c r="B865" i="2"/>
  <c r="A865" i="2"/>
  <c r="C864" i="2"/>
  <c r="B864" i="2"/>
  <c r="A864" i="2"/>
  <c r="C863" i="2"/>
  <c r="B863" i="2"/>
  <c r="A863" i="2"/>
  <c r="C862" i="2"/>
  <c r="B862" i="2"/>
  <c r="A862" i="2"/>
  <c r="C861" i="2"/>
  <c r="B861" i="2"/>
  <c r="A861" i="2"/>
  <c r="C860" i="2"/>
  <c r="B860" i="2"/>
  <c r="A860" i="2"/>
  <c r="C859" i="2"/>
  <c r="B859" i="2"/>
  <c r="A859" i="2"/>
  <c r="C858" i="2"/>
  <c r="B858" i="2"/>
  <c r="A858" i="2"/>
  <c r="C857" i="2"/>
  <c r="B857" i="2"/>
  <c r="A857" i="2"/>
  <c r="C856" i="2"/>
  <c r="B856" i="2"/>
  <c r="A856" i="2"/>
  <c r="C855" i="2"/>
  <c r="B855" i="2"/>
  <c r="A855" i="2"/>
  <c r="C854" i="2"/>
  <c r="B854" i="2"/>
  <c r="A854" i="2"/>
  <c r="C853" i="2"/>
  <c r="B853" i="2"/>
  <c r="A853" i="2"/>
  <c r="C852" i="2"/>
  <c r="B852" i="2"/>
  <c r="A852" i="2"/>
  <c r="C851" i="2"/>
  <c r="B851" i="2"/>
  <c r="A851" i="2"/>
  <c r="C850" i="2"/>
  <c r="B850" i="2"/>
  <c r="A850" i="2"/>
  <c r="C849" i="2"/>
  <c r="B849" i="2"/>
  <c r="A849" i="2"/>
  <c r="C848" i="2"/>
  <c r="B848" i="2"/>
  <c r="A848" i="2"/>
  <c r="C847" i="2"/>
  <c r="B847" i="2"/>
  <c r="A847" i="2"/>
  <c r="C846" i="2"/>
  <c r="B846" i="2"/>
  <c r="A846" i="2"/>
  <c r="C845" i="2"/>
  <c r="B845" i="2"/>
  <c r="A845" i="2"/>
  <c r="C844" i="2"/>
  <c r="B844" i="2"/>
  <c r="A844" i="2"/>
  <c r="C843" i="2"/>
  <c r="B843" i="2"/>
  <c r="A843" i="2"/>
  <c r="C842" i="2"/>
  <c r="B842" i="2"/>
  <c r="A842" i="2"/>
  <c r="C841" i="2"/>
  <c r="B841" i="2"/>
  <c r="A841" i="2"/>
  <c r="C840" i="2"/>
  <c r="B840" i="2"/>
  <c r="A840" i="2"/>
  <c r="C839" i="2"/>
  <c r="B839" i="2"/>
  <c r="A839" i="2"/>
  <c r="C838" i="2"/>
  <c r="B838" i="2"/>
  <c r="A838" i="2"/>
  <c r="C837" i="2"/>
  <c r="B837" i="2"/>
  <c r="A837" i="2"/>
  <c r="C836" i="2"/>
  <c r="B836" i="2"/>
  <c r="A836" i="2"/>
  <c r="C835" i="2"/>
  <c r="B835" i="2"/>
  <c r="A835" i="2"/>
  <c r="C834" i="2"/>
  <c r="B834" i="2"/>
  <c r="A834" i="2"/>
  <c r="C833" i="2"/>
  <c r="B833" i="2"/>
  <c r="A833" i="2"/>
  <c r="C832" i="2"/>
  <c r="B832" i="2"/>
  <c r="A832" i="2"/>
  <c r="C831" i="2"/>
  <c r="B831" i="2"/>
  <c r="A831" i="2"/>
  <c r="C830" i="2"/>
  <c r="B830" i="2"/>
  <c r="A830" i="2"/>
  <c r="C829" i="2"/>
  <c r="B829" i="2"/>
  <c r="A829" i="2"/>
  <c r="C828" i="2"/>
  <c r="B828" i="2"/>
  <c r="A828" i="2"/>
  <c r="C827" i="2"/>
  <c r="B827" i="2"/>
  <c r="A827" i="2"/>
  <c r="C826" i="2"/>
  <c r="B826" i="2"/>
  <c r="A826" i="2"/>
  <c r="C825" i="2"/>
  <c r="B825" i="2"/>
  <c r="A825" i="2"/>
  <c r="C824" i="2"/>
  <c r="B824" i="2"/>
  <c r="A824" i="2"/>
  <c r="C823" i="2"/>
  <c r="B823" i="2"/>
  <c r="A823" i="2"/>
  <c r="C822" i="2"/>
  <c r="B822" i="2"/>
  <c r="A822" i="2"/>
  <c r="C821" i="2"/>
  <c r="B821" i="2"/>
  <c r="A821" i="2"/>
  <c r="C820" i="2"/>
  <c r="B820" i="2"/>
  <c r="A820" i="2"/>
  <c r="C819" i="2"/>
  <c r="B819" i="2"/>
  <c r="A819" i="2"/>
  <c r="C818" i="2"/>
  <c r="B818" i="2"/>
  <c r="A818" i="2"/>
  <c r="C817" i="2"/>
  <c r="B817" i="2"/>
  <c r="A817" i="2"/>
  <c r="C816" i="2"/>
  <c r="B816" i="2"/>
  <c r="A816" i="2"/>
  <c r="C815" i="2"/>
  <c r="B815" i="2"/>
  <c r="A815" i="2"/>
  <c r="C814" i="2"/>
  <c r="B814" i="2"/>
  <c r="A814" i="2"/>
  <c r="C813" i="2"/>
  <c r="B813" i="2"/>
  <c r="A813" i="2"/>
  <c r="C812" i="2"/>
  <c r="B812" i="2"/>
  <c r="A812" i="2"/>
  <c r="C811" i="2"/>
  <c r="B811" i="2"/>
  <c r="A811" i="2"/>
  <c r="C810" i="2"/>
  <c r="B810" i="2"/>
  <c r="A810" i="2"/>
  <c r="C809" i="2"/>
  <c r="B809" i="2"/>
  <c r="A809" i="2"/>
  <c r="C808" i="2"/>
  <c r="B808" i="2"/>
  <c r="A808" i="2"/>
  <c r="C807" i="2"/>
  <c r="B807" i="2"/>
  <c r="A807" i="2"/>
  <c r="C806" i="2"/>
  <c r="B806" i="2"/>
  <c r="A806" i="2"/>
  <c r="C805" i="2"/>
  <c r="B805" i="2"/>
  <c r="A805" i="2"/>
  <c r="C804" i="2"/>
  <c r="B804" i="2"/>
  <c r="A804" i="2"/>
  <c r="C803" i="2"/>
  <c r="B803" i="2"/>
  <c r="A803" i="2"/>
  <c r="C802" i="2"/>
  <c r="B802" i="2"/>
  <c r="A802" i="2"/>
  <c r="C801" i="2"/>
  <c r="B801" i="2"/>
  <c r="A801" i="2"/>
  <c r="C800" i="2"/>
  <c r="B800" i="2"/>
  <c r="A800" i="2"/>
  <c r="C799" i="2"/>
  <c r="B799" i="2"/>
  <c r="A799" i="2"/>
  <c r="C798" i="2"/>
  <c r="B798" i="2"/>
  <c r="A798" i="2"/>
  <c r="C797" i="2"/>
  <c r="B797" i="2"/>
  <c r="A797" i="2"/>
  <c r="C796" i="2"/>
  <c r="B796" i="2"/>
  <c r="A796" i="2"/>
  <c r="C795" i="2"/>
  <c r="B795" i="2"/>
  <c r="A795" i="2"/>
  <c r="C794" i="2"/>
  <c r="B794" i="2"/>
  <c r="A794" i="2"/>
  <c r="C793" i="2"/>
  <c r="B793" i="2"/>
  <c r="A793" i="2"/>
  <c r="C792" i="2"/>
  <c r="B792" i="2"/>
  <c r="A792" i="2"/>
  <c r="C791" i="2"/>
  <c r="B791" i="2"/>
  <c r="A791" i="2"/>
  <c r="C790" i="2"/>
  <c r="B790" i="2"/>
  <c r="A790" i="2"/>
  <c r="C789" i="2"/>
  <c r="B789" i="2"/>
  <c r="A789" i="2"/>
  <c r="C788" i="2"/>
  <c r="B788" i="2"/>
  <c r="A788" i="2"/>
  <c r="C787" i="2"/>
  <c r="B787" i="2"/>
  <c r="A787" i="2"/>
  <c r="C786" i="2"/>
  <c r="B786" i="2"/>
  <c r="A786" i="2"/>
  <c r="C785" i="2"/>
  <c r="B785" i="2"/>
  <c r="A785" i="2"/>
  <c r="C784" i="2"/>
  <c r="B784" i="2"/>
  <c r="A784" i="2"/>
  <c r="C783" i="2"/>
  <c r="B783" i="2"/>
  <c r="A783" i="2"/>
  <c r="C782" i="2"/>
  <c r="B782" i="2"/>
  <c r="A782" i="2"/>
  <c r="C781" i="2"/>
  <c r="B781" i="2"/>
  <c r="A781" i="2"/>
  <c r="C780" i="2"/>
  <c r="B780" i="2"/>
  <c r="A780" i="2"/>
  <c r="C779" i="2"/>
  <c r="B779" i="2"/>
  <c r="A779" i="2"/>
  <c r="C778" i="2"/>
  <c r="B778" i="2"/>
  <c r="A778" i="2"/>
  <c r="C777" i="2"/>
  <c r="B777" i="2"/>
  <c r="A777" i="2"/>
  <c r="C776" i="2"/>
  <c r="B776" i="2"/>
  <c r="A776" i="2"/>
  <c r="C775" i="2"/>
  <c r="B775" i="2"/>
  <c r="A775" i="2"/>
  <c r="C774" i="2"/>
  <c r="B774" i="2"/>
  <c r="A774" i="2"/>
  <c r="C773" i="2"/>
  <c r="B773" i="2"/>
  <c r="A773" i="2"/>
  <c r="C772" i="2"/>
  <c r="B772" i="2"/>
  <c r="A772" i="2"/>
  <c r="C771" i="2"/>
  <c r="B771" i="2"/>
  <c r="A771" i="2"/>
  <c r="C770" i="2"/>
  <c r="B770" i="2"/>
  <c r="A770" i="2"/>
  <c r="C769" i="2"/>
  <c r="B769" i="2"/>
  <c r="A769" i="2"/>
  <c r="C768" i="2"/>
  <c r="B768" i="2"/>
  <c r="A768" i="2"/>
  <c r="C767" i="2"/>
  <c r="B767" i="2"/>
  <c r="A767" i="2"/>
  <c r="C766" i="2"/>
  <c r="B766" i="2"/>
  <c r="A766" i="2"/>
  <c r="C765" i="2"/>
  <c r="B765" i="2"/>
  <c r="A765" i="2"/>
  <c r="C764" i="2"/>
  <c r="B764" i="2"/>
  <c r="A764" i="2"/>
  <c r="C763" i="2"/>
  <c r="B763" i="2"/>
  <c r="A763" i="2"/>
  <c r="C762" i="2"/>
  <c r="B762" i="2"/>
  <c r="A762" i="2"/>
  <c r="C761" i="2"/>
  <c r="B761" i="2"/>
  <c r="A761" i="2"/>
  <c r="C760" i="2"/>
  <c r="B760" i="2"/>
  <c r="A760" i="2"/>
  <c r="C759" i="2"/>
  <c r="B759" i="2"/>
  <c r="A759" i="2"/>
  <c r="C758" i="2"/>
  <c r="B758" i="2"/>
  <c r="A758" i="2"/>
  <c r="C757" i="2"/>
  <c r="B757" i="2"/>
  <c r="A757" i="2"/>
  <c r="C756" i="2"/>
  <c r="B756" i="2"/>
  <c r="A756" i="2"/>
  <c r="C755" i="2"/>
  <c r="B755" i="2"/>
  <c r="A755" i="2"/>
  <c r="C754" i="2"/>
  <c r="B754" i="2"/>
  <c r="A754" i="2"/>
  <c r="C753" i="2"/>
  <c r="B753" i="2"/>
  <c r="A753" i="2"/>
  <c r="C752" i="2"/>
  <c r="B752" i="2"/>
  <c r="A752" i="2"/>
  <c r="C751" i="2"/>
  <c r="B751" i="2"/>
  <c r="A751" i="2"/>
  <c r="C750" i="2"/>
  <c r="B750" i="2"/>
  <c r="A750" i="2"/>
  <c r="C749" i="2"/>
  <c r="B749" i="2"/>
  <c r="A749" i="2"/>
  <c r="C748" i="2"/>
  <c r="B748" i="2"/>
  <c r="A748" i="2"/>
  <c r="C747" i="2"/>
  <c r="B747" i="2"/>
  <c r="A747" i="2"/>
  <c r="C746" i="2"/>
  <c r="B746" i="2"/>
  <c r="A746" i="2"/>
  <c r="C745" i="2"/>
  <c r="B745" i="2"/>
  <c r="A745" i="2"/>
  <c r="C744" i="2"/>
  <c r="B744" i="2"/>
  <c r="A744" i="2"/>
  <c r="C743" i="2"/>
  <c r="B743" i="2"/>
  <c r="A743" i="2"/>
  <c r="C742" i="2"/>
  <c r="B742" i="2"/>
  <c r="A742" i="2"/>
  <c r="C741" i="2"/>
  <c r="B741" i="2"/>
  <c r="A741" i="2"/>
  <c r="C740" i="2"/>
  <c r="B740" i="2"/>
  <c r="A740" i="2"/>
  <c r="C739" i="2"/>
  <c r="B739" i="2"/>
  <c r="A739" i="2"/>
  <c r="C738" i="2"/>
  <c r="B738" i="2"/>
  <c r="A738" i="2"/>
  <c r="C737" i="2"/>
  <c r="B737" i="2"/>
  <c r="A737" i="2"/>
  <c r="C736" i="2"/>
  <c r="B736" i="2"/>
  <c r="A736" i="2"/>
  <c r="C735" i="2"/>
  <c r="B735" i="2"/>
  <c r="A735" i="2"/>
  <c r="C734" i="2"/>
  <c r="B734" i="2"/>
  <c r="A734" i="2"/>
  <c r="C733" i="2"/>
  <c r="B733" i="2"/>
  <c r="A733" i="2"/>
  <c r="C732" i="2"/>
  <c r="B732" i="2"/>
  <c r="A732" i="2"/>
  <c r="C731" i="2"/>
  <c r="B731" i="2"/>
  <c r="A731" i="2"/>
  <c r="C730" i="2"/>
  <c r="B730" i="2"/>
  <c r="A730" i="2"/>
  <c r="C729" i="2"/>
  <c r="B729" i="2"/>
  <c r="A729" i="2"/>
  <c r="C728" i="2"/>
  <c r="B728" i="2"/>
  <c r="A728" i="2"/>
  <c r="C727" i="2"/>
  <c r="B727" i="2"/>
  <c r="A727" i="2"/>
  <c r="C726" i="2"/>
  <c r="B726" i="2"/>
  <c r="A726" i="2"/>
  <c r="C725" i="2"/>
  <c r="B725" i="2"/>
  <c r="A725" i="2"/>
  <c r="C724" i="2"/>
  <c r="B724" i="2"/>
  <c r="A724" i="2"/>
  <c r="C723" i="2"/>
  <c r="B723" i="2"/>
  <c r="A723" i="2"/>
  <c r="C722" i="2"/>
  <c r="B722" i="2"/>
  <c r="A722" i="2"/>
  <c r="C721" i="2"/>
  <c r="B721" i="2"/>
  <c r="A721" i="2"/>
  <c r="C720" i="2"/>
  <c r="B720" i="2"/>
  <c r="A720" i="2"/>
  <c r="C719" i="2"/>
  <c r="B719" i="2"/>
  <c r="A719" i="2"/>
  <c r="C718" i="2"/>
  <c r="B718" i="2"/>
  <c r="A718" i="2"/>
  <c r="C717" i="2"/>
  <c r="B717" i="2"/>
  <c r="A717" i="2"/>
  <c r="C716" i="2"/>
  <c r="B716" i="2"/>
  <c r="A716" i="2"/>
  <c r="C715" i="2"/>
  <c r="B715" i="2"/>
  <c r="A715" i="2"/>
  <c r="C714" i="2"/>
  <c r="B714" i="2"/>
  <c r="A714" i="2"/>
  <c r="C713" i="2"/>
  <c r="B713" i="2"/>
  <c r="A713" i="2"/>
  <c r="C712" i="2"/>
  <c r="B712" i="2"/>
  <c r="A712" i="2"/>
  <c r="C711" i="2"/>
  <c r="B711" i="2"/>
  <c r="A711" i="2"/>
  <c r="C710" i="2"/>
  <c r="B710" i="2"/>
  <c r="A710" i="2"/>
  <c r="C709" i="2"/>
  <c r="B709" i="2"/>
  <c r="A709" i="2"/>
  <c r="C708" i="2"/>
  <c r="B708" i="2"/>
  <c r="A708" i="2"/>
  <c r="C707" i="2"/>
  <c r="B707" i="2"/>
  <c r="A707" i="2"/>
  <c r="C706" i="2"/>
  <c r="B706" i="2"/>
  <c r="A706" i="2"/>
  <c r="C705" i="2"/>
  <c r="B705" i="2"/>
  <c r="A705" i="2"/>
  <c r="C704" i="2"/>
  <c r="B704" i="2"/>
  <c r="A704" i="2"/>
  <c r="C703" i="2"/>
  <c r="B703" i="2"/>
  <c r="A703" i="2"/>
  <c r="C702" i="2"/>
  <c r="B702" i="2"/>
  <c r="A702" i="2"/>
  <c r="C701" i="2"/>
  <c r="B701" i="2"/>
  <c r="A701" i="2"/>
  <c r="C700" i="2"/>
  <c r="B700" i="2"/>
  <c r="A700" i="2"/>
  <c r="C699" i="2"/>
  <c r="B699" i="2"/>
  <c r="A699" i="2"/>
  <c r="C698" i="2"/>
  <c r="B698" i="2"/>
  <c r="A698" i="2"/>
  <c r="C697" i="2"/>
  <c r="B697" i="2"/>
  <c r="A697" i="2"/>
  <c r="C696" i="2"/>
  <c r="B696" i="2"/>
  <c r="A696" i="2"/>
  <c r="C695" i="2"/>
  <c r="B695" i="2"/>
  <c r="A695" i="2"/>
  <c r="C694" i="2"/>
  <c r="B694" i="2"/>
  <c r="A694" i="2"/>
  <c r="C693" i="2"/>
  <c r="B693" i="2"/>
  <c r="A693" i="2"/>
  <c r="C692" i="2"/>
  <c r="B692" i="2"/>
  <c r="A692" i="2"/>
  <c r="C691" i="2"/>
  <c r="B691" i="2"/>
  <c r="A691" i="2"/>
  <c r="C690" i="2"/>
  <c r="B690" i="2"/>
  <c r="A690" i="2"/>
  <c r="C689" i="2"/>
  <c r="B689" i="2"/>
  <c r="A689" i="2"/>
  <c r="C688" i="2"/>
  <c r="B688" i="2"/>
  <c r="A688" i="2"/>
  <c r="C687" i="2"/>
  <c r="B687" i="2"/>
  <c r="A687" i="2"/>
  <c r="C686" i="2"/>
  <c r="B686" i="2"/>
  <c r="A686" i="2"/>
  <c r="C685" i="2"/>
  <c r="B685" i="2"/>
  <c r="A685" i="2"/>
  <c r="C684" i="2"/>
  <c r="B684" i="2"/>
  <c r="A684" i="2"/>
  <c r="C683" i="2"/>
  <c r="B683" i="2"/>
  <c r="A683" i="2"/>
  <c r="C682" i="2"/>
  <c r="B682" i="2"/>
  <c r="A682" i="2"/>
  <c r="C681" i="2"/>
  <c r="B681" i="2"/>
  <c r="A681" i="2"/>
  <c r="C680" i="2"/>
  <c r="B680" i="2"/>
  <c r="A680" i="2"/>
  <c r="C679" i="2"/>
  <c r="B679" i="2"/>
  <c r="A679" i="2"/>
  <c r="C678" i="2"/>
  <c r="B678" i="2"/>
  <c r="A678" i="2"/>
  <c r="C677" i="2"/>
  <c r="B677" i="2"/>
  <c r="A677" i="2"/>
  <c r="C676" i="2"/>
  <c r="B676" i="2"/>
  <c r="A676" i="2"/>
  <c r="C675" i="2"/>
  <c r="B675" i="2"/>
  <c r="A675" i="2"/>
  <c r="C674" i="2"/>
  <c r="B674" i="2"/>
  <c r="A674" i="2"/>
  <c r="C673" i="2"/>
  <c r="B673" i="2"/>
  <c r="A673" i="2"/>
  <c r="C672" i="2"/>
  <c r="B672" i="2"/>
  <c r="A672" i="2"/>
  <c r="C671" i="2"/>
  <c r="B671" i="2"/>
  <c r="A671" i="2"/>
  <c r="C670" i="2"/>
  <c r="B670" i="2"/>
  <c r="A670" i="2"/>
  <c r="C669" i="2"/>
  <c r="B669" i="2"/>
  <c r="A669" i="2"/>
  <c r="C668" i="2"/>
  <c r="B668" i="2"/>
  <c r="A668" i="2"/>
  <c r="C667" i="2"/>
  <c r="B667" i="2"/>
  <c r="A667" i="2"/>
  <c r="C666" i="2"/>
  <c r="B666" i="2"/>
  <c r="A666" i="2"/>
  <c r="C665" i="2"/>
  <c r="B665" i="2"/>
  <c r="A665" i="2"/>
  <c r="C664" i="2"/>
  <c r="B664" i="2"/>
  <c r="A664" i="2"/>
  <c r="C663" i="2"/>
  <c r="B663" i="2"/>
  <c r="A663" i="2"/>
  <c r="C662" i="2"/>
  <c r="B662" i="2"/>
  <c r="A662" i="2"/>
  <c r="C661" i="2"/>
  <c r="B661" i="2"/>
  <c r="A661" i="2"/>
  <c r="C660" i="2"/>
  <c r="B660" i="2"/>
  <c r="A660" i="2"/>
  <c r="C659" i="2"/>
  <c r="B659" i="2"/>
  <c r="A659" i="2"/>
  <c r="C658" i="2"/>
  <c r="B658" i="2"/>
  <c r="A658" i="2"/>
  <c r="C657" i="2"/>
  <c r="B657" i="2"/>
  <c r="A657" i="2"/>
  <c r="C656" i="2"/>
  <c r="B656" i="2"/>
  <c r="A656" i="2"/>
  <c r="C655" i="2"/>
  <c r="B655" i="2"/>
  <c r="A655" i="2"/>
  <c r="C654" i="2"/>
  <c r="B654" i="2"/>
  <c r="A654" i="2"/>
  <c r="C653" i="2"/>
  <c r="B653" i="2"/>
  <c r="A653" i="2"/>
  <c r="C652" i="2"/>
  <c r="B652" i="2"/>
  <c r="A652" i="2"/>
  <c r="C651" i="2"/>
  <c r="B651" i="2"/>
  <c r="A651" i="2"/>
  <c r="C650" i="2"/>
  <c r="B650" i="2"/>
  <c r="A650" i="2"/>
  <c r="C649" i="2"/>
  <c r="B649" i="2"/>
  <c r="A649" i="2"/>
  <c r="C648" i="2"/>
  <c r="B648" i="2"/>
  <c r="A648" i="2"/>
  <c r="C647" i="2"/>
  <c r="B647" i="2"/>
  <c r="A647" i="2"/>
  <c r="C646" i="2"/>
  <c r="B646" i="2"/>
  <c r="A646" i="2"/>
  <c r="C645" i="2"/>
  <c r="B645" i="2"/>
  <c r="A645" i="2"/>
  <c r="C644" i="2"/>
  <c r="B644" i="2"/>
  <c r="A644" i="2"/>
  <c r="C643" i="2"/>
  <c r="B643" i="2"/>
  <c r="A643" i="2"/>
  <c r="C642" i="2"/>
  <c r="B642" i="2"/>
  <c r="A642" i="2"/>
  <c r="C641" i="2"/>
  <c r="B641" i="2"/>
  <c r="A641" i="2"/>
  <c r="C640" i="2"/>
  <c r="B640" i="2"/>
  <c r="A640" i="2"/>
  <c r="C639" i="2"/>
  <c r="B639" i="2"/>
  <c r="A639" i="2"/>
  <c r="C638" i="2"/>
  <c r="B638" i="2"/>
  <c r="A638" i="2"/>
  <c r="C637" i="2"/>
  <c r="B637" i="2"/>
  <c r="A637" i="2"/>
  <c r="C636" i="2"/>
  <c r="B636" i="2"/>
  <c r="A636" i="2"/>
  <c r="C635" i="2"/>
  <c r="B635" i="2"/>
  <c r="A635" i="2"/>
  <c r="C634" i="2"/>
  <c r="B634" i="2"/>
  <c r="A634" i="2"/>
  <c r="C633" i="2"/>
  <c r="B633" i="2"/>
  <c r="A633" i="2"/>
  <c r="C632" i="2"/>
  <c r="B632" i="2"/>
  <c r="A632" i="2"/>
  <c r="C631" i="2"/>
  <c r="B631" i="2"/>
  <c r="A631" i="2"/>
  <c r="C630" i="2"/>
  <c r="B630" i="2"/>
  <c r="A630" i="2"/>
  <c r="C629" i="2"/>
  <c r="B629" i="2"/>
  <c r="A629" i="2"/>
  <c r="C628" i="2"/>
  <c r="B628" i="2"/>
  <c r="A628" i="2"/>
  <c r="C627" i="2"/>
  <c r="B627" i="2"/>
  <c r="A627" i="2"/>
  <c r="C626" i="2"/>
  <c r="B626" i="2"/>
  <c r="A626" i="2"/>
  <c r="C625" i="2"/>
  <c r="B625" i="2"/>
  <c r="A625" i="2"/>
  <c r="C624" i="2"/>
  <c r="B624" i="2"/>
  <c r="A624" i="2"/>
  <c r="C623" i="2"/>
  <c r="B623" i="2"/>
  <c r="A623" i="2"/>
  <c r="C622" i="2"/>
  <c r="B622" i="2"/>
  <c r="A622" i="2"/>
  <c r="C621" i="2"/>
  <c r="B621" i="2"/>
  <c r="A621" i="2"/>
  <c r="C620" i="2"/>
  <c r="B620" i="2"/>
  <c r="A620" i="2"/>
  <c r="C619" i="2"/>
  <c r="B619" i="2"/>
  <c r="A619" i="2"/>
  <c r="C618" i="2"/>
  <c r="B618" i="2"/>
  <c r="A618" i="2"/>
  <c r="C617" i="2"/>
  <c r="B617" i="2"/>
  <c r="A617" i="2"/>
  <c r="C616" i="2"/>
  <c r="B616" i="2"/>
  <c r="A616" i="2"/>
  <c r="C615" i="2"/>
  <c r="B615" i="2"/>
  <c r="A615" i="2"/>
  <c r="C614" i="2"/>
  <c r="B614" i="2"/>
  <c r="A614" i="2"/>
  <c r="C613" i="2"/>
  <c r="B613" i="2"/>
  <c r="A613" i="2"/>
  <c r="C612" i="2"/>
  <c r="B612" i="2"/>
  <c r="A612" i="2"/>
  <c r="C611" i="2"/>
  <c r="B611" i="2"/>
  <c r="A611" i="2"/>
  <c r="C610" i="2"/>
  <c r="B610" i="2"/>
  <c r="A610" i="2"/>
  <c r="C609" i="2"/>
  <c r="B609" i="2"/>
  <c r="A609" i="2"/>
  <c r="C608" i="2"/>
  <c r="B608" i="2"/>
  <c r="A608" i="2"/>
  <c r="C607" i="2"/>
  <c r="B607" i="2"/>
  <c r="A607" i="2"/>
  <c r="C606" i="2"/>
  <c r="B606" i="2"/>
  <c r="A606" i="2"/>
  <c r="C605" i="2"/>
  <c r="B605" i="2"/>
  <c r="A605" i="2"/>
  <c r="C604" i="2"/>
  <c r="B604" i="2"/>
  <c r="A604" i="2"/>
  <c r="C603" i="2"/>
  <c r="B603" i="2"/>
  <c r="A603" i="2"/>
  <c r="C602" i="2"/>
  <c r="B602" i="2"/>
  <c r="A602" i="2"/>
  <c r="C601" i="2"/>
  <c r="B601" i="2"/>
  <c r="A601" i="2"/>
  <c r="C600" i="2"/>
  <c r="B600" i="2"/>
  <c r="A600" i="2"/>
  <c r="C599" i="2"/>
  <c r="B599" i="2"/>
  <c r="A599" i="2"/>
  <c r="C598" i="2"/>
  <c r="B598" i="2"/>
  <c r="A598" i="2"/>
  <c r="C597" i="2"/>
  <c r="B597" i="2"/>
  <c r="A597" i="2"/>
  <c r="C596" i="2"/>
  <c r="B596" i="2"/>
  <c r="A596" i="2"/>
  <c r="C595" i="2"/>
  <c r="B595" i="2"/>
  <c r="A595" i="2"/>
  <c r="C594" i="2"/>
  <c r="B594" i="2"/>
  <c r="A594" i="2"/>
  <c r="C593" i="2"/>
  <c r="B593" i="2"/>
  <c r="A593" i="2"/>
  <c r="C592" i="2"/>
  <c r="B592" i="2"/>
  <c r="A592" i="2"/>
  <c r="C591" i="2"/>
  <c r="B591" i="2"/>
  <c r="A591" i="2"/>
  <c r="C590" i="2"/>
  <c r="B590" i="2"/>
  <c r="U590" i="2" s="1"/>
  <c r="A590" i="2"/>
  <c r="C589" i="2"/>
  <c r="B589" i="2"/>
  <c r="A589" i="2"/>
  <c r="C588" i="2"/>
  <c r="B588" i="2"/>
  <c r="A588" i="2"/>
  <c r="C587" i="2"/>
  <c r="B587" i="2"/>
  <c r="A587" i="2"/>
  <c r="C586" i="2"/>
  <c r="B586" i="2"/>
  <c r="A586" i="2"/>
  <c r="C585" i="2"/>
  <c r="B585" i="2"/>
  <c r="A585" i="2"/>
  <c r="C584" i="2"/>
  <c r="B584" i="2"/>
  <c r="A584" i="2"/>
  <c r="C583" i="2"/>
  <c r="B583" i="2"/>
  <c r="A583" i="2"/>
  <c r="C582" i="2"/>
  <c r="B582" i="2"/>
  <c r="A582" i="2"/>
  <c r="C581" i="2"/>
  <c r="B581" i="2"/>
  <c r="A581" i="2"/>
  <c r="C580" i="2"/>
  <c r="B580" i="2"/>
  <c r="A580" i="2"/>
  <c r="C579" i="2"/>
  <c r="B579" i="2"/>
  <c r="A579" i="2"/>
  <c r="C578" i="2"/>
  <c r="B578" i="2"/>
  <c r="A578" i="2"/>
  <c r="C577" i="2"/>
  <c r="B577" i="2"/>
  <c r="A577" i="2"/>
  <c r="C576" i="2"/>
  <c r="B576" i="2"/>
  <c r="A576" i="2"/>
  <c r="C575" i="2"/>
  <c r="B575" i="2"/>
  <c r="U575" i="2" s="1"/>
  <c r="A575" i="2"/>
  <c r="C574" i="2"/>
  <c r="B574" i="2"/>
  <c r="A574" i="2"/>
  <c r="C573" i="2"/>
  <c r="B573" i="2"/>
  <c r="A573" i="2"/>
  <c r="C572" i="2"/>
  <c r="B572" i="2"/>
  <c r="A572" i="2"/>
  <c r="C571" i="2"/>
  <c r="B571" i="2"/>
  <c r="A571" i="2"/>
  <c r="C570" i="2"/>
  <c r="B570" i="2"/>
  <c r="A570" i="2"/>
  <c r="C569" i="2"/>
  <c r="B569" i="2"/>
  <c r="A569" i="2"/>
  <c r="C568" i="2"/>
  <c r="B568" i="2"/>
  <c r="A568" i="2"/>
  <c r="C567" i="2"/>
  <c r="B567" i="2"/>
  <c r="A567" i="2"/>
  <c r="C566" i="2"/>
  <c r="B566" i="2"/>
  <c r="A566" i="2"/>
  <c r="C565" i="2"/>
  <c r="B565" i="2"/>
  <c r="A565" i="2"/>
  <c r="C564" i="2"/>
  <c r="B564" i="2"/>
  <c r="A564" i="2"/>
  <c r="C563" i="2"/>
  <c r="B563" i="2"/>
  <c r="A563" i="2"/>
  <c r="C562" i="2"/>
  <c r="B562" i="2"/>
  <c r="A562" i="2"/>
  <c r="C561" i="2"/>
  <c r="B561" i="2"/>
  <c r="A561" i="2"/>
  <c r="C560" i="2"/>
  <c r="B560" i="2"/>
  <c r="U560" i="2" s="1"/>
  <c r="A560" i="2"/>
  <c r="C559" i="2"/>
  <c r="B559" i="2"/>
  <c r="A559" i="2"/>
  <c r="C558" i="2"/>
  <c r="B558" i="2"/>
  <c r="A558" i="2"/>
  <c r="C557" i="2"/>
  <c r="B557" i="2"/>
  <c r="A557" i="2"/>
  <c r="C556" i="2"/>
  <c r="B556" i="2"/>
  <c r="A556" i="2"/>
  <c r="C555" i="2"/>
  <c r="B555" i="2"/>
  <c r="A555" i="2"/>
  <c r="C554" i="2"/>
  <c r="B554" i="2"/>
  <c r="A554" i="2"/>
  <c r="C553" i="2"/>
  <c r="B553" i="2"/>
  <c r="A553" i="2"/>
  <c r="C552" i="2"/>
  <c r="B552" i="2"/>
  <c r="A552" i="2"/>
  <c r="C551" i="2"/>
  <c r="B551" i="2"/>
  <c r="A551" i="2"/>
  <c r="C550" i="2"/>
  <c r="B550" i="2"/>
  <c r="A550" i="2"/>
  <c r="C549" i="2"/>
  <c r="B549" i="2"/>
  <c r="A549" i="2"/>
  <c r="C548" i="2"/>
  <c r="B548" i="2"/>
  <c r="A548" i="2"/>
  <c r="C547" i="2"/>
  <c r="B547" i="2"/>
  <c r="A547" i="2"/>
  <c r="C546" i="2"/>
  <c r="B546" i="2"/>
  <c r="A546" i="2"/>
  <c r="C545" i="2"/>
  <c r="B545" i="2"/>
  <c r="A545" i="2"/>
  <c r="C544" i="2"/>
  <c r="B544" i="2"/>
  <c r="A544" i="2"/>
  <c r="C543" i="2"/>
  <c r="B543" i="2"/>
  <c r="A543" i="2"/>
  <c r="C542" i="2"/>
  <c r="B542" i="2"/>
  <c r="A542" i="2"/>
  <c r="C541" i="2"/>
  <c r="B541" i="2"/>
  <c r="A541" i="2"/>
  <c r="C540" i="2"/>
  <c r="B540" i="2"/>
  <c r="A540" i="2"/>
  <c r="C539" i="2"/>
  <c r="B539" i="2"/>
  <c r="A539" i="2"/>
  <c r="C538" i="2"/>
  <c r="B538" i="2"/>
  <c r="A538" i="2"/>
  <c r="C537" i="2"/>
  <c r="B537" i="2"/>
  <c r="A537" i="2"/>
  <c r="C536" i="2"/>
  <c r="B536" i="2"/>
  <c r="A536" i="2"/>
  <c r="C535" i="2"/>
  <c r="B535" i="2"/>
  <c r="A535" i="2"/>
  <c r="C534" i="2"/>
  <c r="B534" i="2"/>
  <c r="A534" i="2"/>
  <c r="C533" i="2"/>
  <c r="B533" i="2"/>
  <c r="U533" i="2" s="1"/>
  <c r="A533" i="2"/>
  <c r="C532" i="2"/>
  <c r="B532" i="2"/>
  <c r="A532" i="2"/>
  <c r="C531" i="2"/>
  <c r="B531" i="2"/>
  <c r="A531" i="2"/>
  <c r="C530" i="2"/>
  <c r="B530" i="2"/>
  <c r="A530" i="2"/>
  <c r="C529" i="2"/>
  <c r="B529" i="2"/>
  <c r="A529" i="2"/>
  <c r="C528" i="2"/>
  <c r="B528" i="2"/>
  <c r="A528" i="2"/>
  <c r="C527" i="2"/>
  <c r="B527" i="2"/>
  <c r="A527" i="2"/>
  <c r="C526" i="2"/>
  <c r="B526" i="2"/>
  <c r="A526" i="2"/>
  <c r="C525" i="2"/>
  <c r="B525" i="2"/>
  <c r="A525" i="2"/>
  <c r="C524" i="2"/>
  <c r="B524" i="2"/>
  <c r="A524" i="2"/>
  <c r="C523" i="2"/>
  <c r="B523" i="2"/>
  <c r="A523" i="2"/>
  <c r="C522" i="2"/>
  <c r="B522" i="2"/>
  <c r="A522" i="2"/>
  <c r="C521" i="2"/>
  <c r="B521" i="2"/>
  <c r="U521" i="2" s="1"/>
  <c r="A521" i="2"/>
  <c r="C520" i="2"/>
  <c r="B520" i="2"/>
  <c r="A520" i="2"/>
  <c r="C519" i="2"/>
  <c r="B519" i="2"/>
  <c r="A519" i="2"/>
  <c r="C518" i="2"/>
  <c r="B518" i="2"/>
  <c r="A518" i="2"/>
  <c r="C517" i="2"/>
  <c r="B517" i="2"/>
  <c r="A517" i="2"/>
  <c r="C516" i="2"/>
  <c r="B516" i="2"/>
  <c r="A516" i="2"/>
  <c r="C515" i="2"/>
  <c r="B515" i="2"/>
  <c r="A515" i="2"/>
  <c r="C514" i="2"/>
  <c r="B514" i="2"/>
  <c r="A514" i="2"/>
  <c r="C513" i="2"/>
  <c r="B513" i="2"/>
  <c r="A513" i="2"/>
  <c r="C512" i="2"/>
  <c r="B512" i="2"/>
  <c r="A512" i="2"/>
  <c r="C511" i="2"/>
  <c r="B511" i="2"/>
  <c r="A511" i="2"/>
  <c r="C510" i="2"/>
  <c r="B510" i="2"/>
  <c r="A510" i="2"/>
  <c r="C509" i="2"/>
  <c r="B509" i="2"/>
  <c r="A509" i="2"/>
  <c r="C508" i="2"/>
  <c r="B508" i="2"/>
  <c r="A508" i="2"/>
  <c r="C507" i="2"/>
  <c r="B507" i="2"/>
  <c r="A507" i="2"/>
  <c r="C506" i="2"/>
  <c r="B506" i="2"/>
  <c r="U506" i="2" s="1"/>
  <c r="A506" i="2"/>
  <c r="C505" i="2"/>
  <c r="B505" i="2"/>
  <c r="A505" i="2"/>
  <c r="C504" i="2"/>
  <c r="B504" i="2"/>
  <c r="A504" i="2"/>
  <c r="C503" i="2"/>
  <c r="B503" i="2"/>
  <c r="A503" i="2"/>
  <c r="C502" i="2"/>
  <c r="B502" i="2"/>
  <c r="A502" i="2"/>
  <c r="C501" i="2"/>
  <c r="B501" i="2"/>
  <c r="A501" i="2"/>
  <c r="C500" i="2"/>
  <c r="B500" i="2"/>
  <c r="A500" i="2"/>
  <c r="C499" i="2"/>
  <c r="B499" i="2"/>
  <c r="A499" i="2"/>
  <c r="C498" i="2"/>
  <c r="B498" i="2"/>
  <c r="A498" i="2"/>
  <c r="C497" i="2"/>
  <c r="B497" i="2"/>
  <c r="A497" i="2"/>
  <c r="C496" i="2"/>
  <c r="B496" i="2"/>
  <c r="A496" i="2"/>
  <c r="C495" i="2"/>
  <c r="B495" i="2"/>
  <c r="A495" i="2"/>
  <c r="C494" i="2"/>
  <c r="B494" i="2"/>
  <c r="A494" i="2"/>
  <c r="C493" i="2"/>
  <c r="B493" i="2"/>
  <c r="A493" i="2"/>
  <c r="C492" i="2"/>
  <c r="B492" i="2"/>
  <c r="A492" i="2"/>
  <c r="C491" i="2"/>
  <c r="B491" i="2"/>
  <c r="A491" i="2"/>
  <c r="C490" i="2"/>
  <c r="B490" i="2"/>
  <c r="A490" i="2"/>
  <c r="C489" i="2"/>
  <c r="B489" i="2"/>
  <c r="A489" i="2"/>
  <c r="C488" i="2"/>
  <c r="B488" i="2"/>
  <c r="A488" i="2"/>
  <c r="C487" i="2"/>
  <c r="B487" i="2"/>
  <c r="A487" i="2"/>
  <c r="C486" i="2"/>
  <c r="B486" i="2"/>
  <c r="A486" i="2"/>
  <c r="C485" i="2"/>
  <c r="B485" i="2"/>
  <c r="A485" i="2"/>
  <c r="C484" i="2"/>
  <c r="B484" i="2"/>
  <c r="A484" i="2"/>
  <c r="C483" i="2"/>
  <c r="B483" i="2"/>
  <c r="A483" i="2"/>
  <c r="C482" i="2"/>
  <c r="B482" i="2"/>
  <c r="A482" i="2"/>
  <c r="C481" i="2"/>
  <c r="B481" i="2"/>
  <c r="A481" i="2"/>
  <c r="C480" i="2"/>
  <c r="B480" i="2"/>
  <c r="A480" i="2"/>
  <c r="C479" i="2"/>
  <c r="B479" i="2"/>
  <c r="A479" i="2"/>
  <c r="C478" i="2"/>
  <c r="B478" i="2"/>
  <c r="U478" i="2" s="1"/>
  <c r="A478" i="2"/>
  <c r="C477" i="2"/>
  <c r="B477" i="2"/>
  <c r="A477" i="2"/>
  <c r="C476" i="2"/>
  <c r="B476" i="2"/>
  <c r="A476" i="2"/>
  <c r="C475" i="2"/>
  <c r="B475" i="2"/>
  <c r="A475" i="2"/>
  <c r="C474" i="2"/>
  <c r="B474" i="2"/>
  <c r="A474" i="2"/>
  <c r="C473" i="2"/>
  <c r="B473" i="2"/>
  <c r="A473" i="2"/>
  <c r="C472" i="2"/>
  <c r="B472" i="2"/>
  <c r="A472" i="2"/>
  <c r="C471" i="2"/>
  <c r="B471" i="2"/>
  <c r="A471" i="2"/>
  <c r="C470" i="2"/>
  <c r="B470" i="2"/>
  <c r="A470" i="2"/>
  <c r="C469" i="2"/>
  <c r="B469" i="2"/>
  <c r="A469" i="2"/>
  <c r="C468" i="2"/>
  <c r="B468" i="2"/>
  <c r="A468" i="2"/>
  <c r="C467" i="2"/>
  <c r="B467" i="2"/>
  <c r="A467" i="2"/>
  <c r="C466" i="2"/>
  <c r="B466" i="2"/>
  <c r="A466" i="2"/>
  <c r="C465" i="2"/>
  <c r="B465" i="2"/>
  <c r="A465" i="2"/>
  <c r="C464" i="2"/>
  <c r="B464" i="2"/>
  <c r="A464" i="2"/>
  <c r="C463" i="2"/>
  <c r="B463" i="2"/>
  <c r="A463" i="2"/>
  <c r="C462" i="2"/>
  <c r="B462" i="2"/>
  <c r="A462" i="2"/>
  <c r="C461" i="2"/>
  <c r="B461" i="2"/>
  <c r="A461" i="2"/>
  <c r="C460" i="2"/>
  <c r="B460" i="2"/>
  <c r="A460" i="2"/>
  <c r="C459" i="2"/>
  <c r="B459" i="2"/>
  <c r="A459" i="2"/>
  <c r="C458" i="2"/>
  <c r="B458" i="2"/>
  <c r="A458" i="2"/>
  <c r="C457" i="2"/>
  <c r="B457" i="2"/>
  <c r="A457" i="2"/>
  <c r="C456" i="2"/>
  <c r="B456" i="2"/>
  <c r="A456" i="2"/>
  <c r="C455" i="2"/>
  <c r="B455" i="2"/>
  <c r="A455" i="2"/>
  <c r="C454" i="2"/>
  <c r="B454" i="2"/>
  <c r="A454" i="2"/>
  <c r="C453" i="2"/>
  <c r="B453" i="2"/>
  <c r="A453" i="2"/>
  <c r="C452" i="2"/>
  <c r="B452" i="2"/>
  <c r="A452" i="2"/>
  <c r="C451" i="2"/>
  <c r="B451" i="2"/>
  <c r="A451" i="2"/>
  <c r="C450" i="2"/>
  <c r="B450" i="2"/>
  <c r="A450" i="2"/>
  <c r="C449" i="2"/>
  <c r="B449" i="2"/>
  <c r="A449" i="2"/>
  <c r="C448" i="2"/>
  <c r="B448" i="2"/>
  <c r="A448" i="2"/>
  <c r="C447" i="2"/>
  <c r="B447" i="2"/>
  <c r="A447" i="2"/>
  <c r="C446" i="2"/>
  <c r="B446" i="2"/>
  <c r="A446" i="2"/>
  <c r="C445" i="2"/>
  <c r="B445" i="2"/>
  <c r="A445" i="2"/>
  <c r="C444" i="2"/>
  <c r="B444" i="2"/>
  <c r="A444" i="2"/>
  <c r="C443" i="2"/>
  <c r="B443" i="2"/>
  <c r="A443" i="2"/>
  <c r="C442" i="2"/>
  <c r="B442" i="2"/>
  <c r="A442" i="2"/>
  <c r="C441" i="2"/>
  <c r="B441" i="2"/>
  <c r="A441" i="2"/>
  <c r="C440" i="2"/>
  <c r="B440" i="2"/>
  <c r="A440" i="2"/>
  <c r="C439" i="2"/>
  <c r="B439" i="2"/>
  <c r="A439" i="2"/>
  <c r="C438" i="2"/>
  <c r="B438" i="2"/>
  <c r="A438" i="2"/>
  <c r="C437" i="2"/>
  <c r="B437" i="2"/>
  <c r="A437" i="2"/>
  <c r="C436" i="2"/>
  <c r="B436" i="2"/>
  <c r="A436" i="2"/>
  <c r="C435" i="2"/>
  <c r="B435" i="2"/>
  <c r="A435" i="2"/>
  <c r="C434" i="2"/>
  <c r="B434" i="2"/>
  <c r="A434" i="2"/>
  <c r="C433" i="2"/>
  <c r="B433" i="2"/>
  <c r="A433" i="2"/>
  <c r="C432" i="2"/>
  <c r="B432" i="2"/>
  <c r="A432" i="2"/>
  <c r="C431" i="2"/>
  <c r="B431" i="2"/>
  <c r="A431" i="2"/>
  <c r="C430" i="2"/>
  <c r="B430" i="2"/>
  <c r="A430" i="2"/>
  <c r="C429" i="2"/>
  <c r="B429" i="2"/>
  <c r="A429" i="2"/>
  <c r="C428" i="2"/>
  <c r="B428" i="2"/>
  <c r="A428" i="2"/>
  <c r="C427" i="2"/>
  <c r="B427" i="2"/>
  <c r="A427" i="2"/>
  <c r="C426" i="2"/>
  <c r="B426" i="2"/>
  <c r="A426" i="2"/>
  <c r="C425" i="2"/>
  <c r="B425" i="2"/>
  <c r="A425" i="2"/>
  <c r="C424" i="2"/>
  <c r="B424" i="2"/>
  <c r="A424" i="2"/>
  <c r="C423" i="2"/>
  <c r="B423" i="2"/>
  <c r="A423" i="2"/>
  <c r="C422" i="2"/>
  <c r="B422" i="2"/>
  <c r="A422" i="2"/>
  <c r="C421" i="2"/>
  <c r="B421" i="2"/>
  <c r="A421" i="2"/>
  <c r="C420" i="2"/>
  <c r="B420" i="2"/>
  <c r="A420" i="2"/>
  <c r="C419" i="2"/>
  <c r="B419" i="2"/>
  <c r="A419" i="2"/>
  <c r="C418" i="2"/>
  <c r="B418" i="2"/>
  <c r="A418" i="2"/>
  <c r="C417" i="2"/>
  <c r="B417" i="2"/>
  <c r="A417" i="2"/>
  <c r="C416" i="2"/>
  <c r="B416" i="2"/>
  <c r="A416" i="2"/>
  <c r="C415" i="2"/>
  <c r="B415" i="2"/>
  <c r="A415" i="2"/>
  <c r="C414" i="2"/>
  <c r="B414" i="2"/>
  <c r="A414" i="2"/>
  <c r="C413" i="2"/>
  <c r="B413" i="2"/>
  <c r="A413" i="2"/>
  <c r="C412" i="2"/>
  <c r="B412" i="2"/>
  <c r="A412" i="2"/>
  <c r="C411" i="2"/>
  <c r="B411" i="2"/>
  <c r="A411" i="2"/>
  <c r="C410" i="2"/>
  <c r="B410" i="2"/>
  <c r="A410" i="2"/>
  <c r="C409" i="2"/>
  <c r="B409" i="2"/>
  <c r="A409" i="2"/>
  <c r="C408" i="2"/>
  <c r="B408" i="2"/>
  <c r="A408" i="2"/>
  <c r="C407" i="2"/>
  <c r="B407" i="2"/>
  <c r="A407" i="2"/>
  <c r="C406" i="2"/>
  <c r="B406" i="2"/>
  <c r="A406" i="2"/>
  <c r="C405" i="2"/>
  <c r="B405" i="2"/>
  <c r="A405" i="2"/>
  <c r="C404" i="2"/>
  <c r="B404" i="2"/>
  <c r="A404" i="2"/>
  <c r="C403" i="2"/>
  <c r="B403" i="2"/>
  <c r="A403" i="2"/>
  <c r="C402" i="2"/>
  <c r="B402" i="2"/>
  <c r="A402" i="2"/>
  <c r="C401" i="2"/>
  <c r="B401" i="2"/>
  <c r="A401" i="2"/>
  <c r="C400" i="2"/>
  <c r="B400" i="2"/>
  <c r="A400" i="2"/>
  <c r="C399" i="2"/>
  <c r="B399" i="2"/>
  <c r="A399" i="2"/>
  <c r="C398" i="2"/>
  <c r="B398" i="2"/>
  <c r="A398" i="2"/>
  <c r="C397" i="2"/>
  <c r="B397" i="2"/>
  <c r="A397" i="2"/>
  <c r="C396" i="2"/>
  <c r="B396" i="2"/>
  <c r="A396" i="2"/>
  <c r="C395" i="2"/>
  <c r="B395" i="2"/>
  <c r="A395" i="2"/>
  <c r="C394" i="2"/>
  <c r="B394" i="2"/>
  <c r="A394" i="2"/>
  <c r="C393" i="2"/>
  <c r="B393" i="2"/>
  <c r="A393" i="2"/>
  <c r="C392" i="2"/>
  <c r="B392" i="2"/>
  <c r="A392" i="2"/>
  <c r="C391" i="2"/>
  <c r="B391" i="2"/>
  <c r="A391" i="2"/>
  <c r="C390" i="2"/>
  <c r="B390" i="2"/>
  <c r="A390" i="2"/>
  <c r="C389" i="2"/>
  <c r="B389" i="2"/>
  <c r="A389" i="2"/>
  <c r="C388" i="2"/>
  <c r="B388" i="2"/>
  <c r="A388" i="2"/>
  <c r="C387" i="2"/>
  <c r="B387" i="2"/>
  <c r="A387" i="2"/>
  <c r="C386" i="2"/>
  <c r="B386" i="2"/>
  <c r="A386" i="2"/>
  <c r="C385" i="2"/>
  <c r="B385" i="2"/>
  <c r="A385" i="2"/>
  <c r="C384" i="2"/>
  <c r="B384" i="2"/>
  <c r="A384" i="2"/>
  <c r="C383" i="2"/>
  <c r="B383" i="2"/>
  <c r="A383" i="2"/>
  <c r="C382" i="2"/>
  <c r="B382" i="2"/>
  <c r="A382" i="2"/>
  <c r="C381" i="2"/>
  <c r="B381" i="2"/>
  <c r="A381" i="2"/>
  <c r="C380" i="2"/>
  <c r="B380" i="2"/>
  <c r="A380" i="2"/>
  <c r="C379" i="2"/>
  <c r="B379" i="2"/>
  <c r="A379" i="2"/>
  <c r="C378" i="2"/>
  <c r="B378" i="2"/>
  <c r="A378" i="2"/>
  <c r="C377" i="2"/>
  <c r="B377" i="2"/>
  <c r="A377" i="2"/>
  <c r="C376" i="2"/>
  <c r="B376" i="2"/>
  <c r="A376" i="2"/>
  <c r="C375" i="2"/>
  <c r="B375" i="2"/>
  <c r="A375" i="2"/>
  <c r="C374" i="2"/>
  <c r="B374" i="2"/>
  <c r="A374" i="2"/>
  <c r="C373" i="2"/>
  <c r="B373" i="2"/>
  <c r="A373" i="2"/>
  <c r="C372" i="2"/>
  <c r="B372" i="2"/>
  <c r="A372" i="2"/>
  <c r="C371" i="2"/>
  <c r="B371" i="2"/>
  <c r="A371" i="2"/>
  <c r="C370" i="2"/>
  <c r="B370" i="2"/>
  <c r="A370" i="2"/>
  <c r="C369" i="2"/>
  <c r="B369" i="2"/>
  <c r="A369" i="2"/>
  <c r="C368" i="2"/>
  <c r="B368" i="2"/>
  <c r="A368" i="2"/>
  <c r="C367" i="2"/>
  <c r="B367" i="2"/>
  <c r="A367" i="2"/>
  <c r="C366" i="2"/>
  <c r="B366" i="2"/>
  <c r="A366" i="2"/>
  <c r="C365" i="2"/>
  <c r="B365" i="2"/>
  <c r="A365" i="2"/>
  <c r="C364" i="2"/>
  <c r="B364" i="2"/>
  <c r="A364" i="2"/>
  <c r="C363" i="2"/>
  <c r="B363" i="2"/>
  <c r="A363" i="2"/>
  <c r="C362" i="2"/>
  <c r="B362" i="2"/>
  <c r="A362" i="2"/>
  <c r="C361" i="2"/>
  <c r="B361" i="2"/>
  <c r="A361" i="2"/>
  <c r="C360" i="2"/>
  <c r="B360" i="2"/>
  <c r="A360" i="2"/>
  <c r="C359" i="2"/>
  <c r="B359" i="2"/>
  <c r="A359" i="2"/>
  <c r="C358" i="2"/>
  <c r="B358" i="2"/>
  <c r="A358" i="2"/>
  <c r="C357" i="2"/>
  <c r="B357" i="2"/>
  <c r="A357" i="2"/>
  <c r="C356" i="2"/>
  <c r="B356" i="2"/>
  <c r="A356" i="2"/>
  <c r="C355" i="2"/>
  <c r="B355" i="2"/>
  <c r="A355" i="2"/>
  <c r="C354" i="2"/>
  <c r="B354" i="2"/>
  <c r="A354" i="2"/>
  <c r="C353" i="2"/>
  <c r="B353" i="2"/>
  <c r="A353" i="2"/>
  <c r="C352" i="2"/>
  <c r="B352" i="2"/>
  <c r="A352" i="2"/>
  <c r="C351" i="2"/>
  <c r="B351" i="2"/>
  <c r="A351" i="2"/>
  <c r="C350" i="2"/>
  <c r="B350" i="2"/>
  <c r="A350" i="2"/>
  <c r="C349" i="2"/>
  <c r="B349" i="2"/>
  <c r="A349" i="2"/>
  <c r="C348" i="2"/>
  <c r="B348" i="2"/>
  <c r="A348" i="2"/>
  <c r="C347" i="2"/>
  <c r="B347" i="2"/>
  <c r="A347" i="2"/>
  <c r="C346" i="2"/>
  <c r="B346" i="2"/>
  <c r="A346" i="2"/>
  <c r="C345" i="2"/>
  <c r="B345" i="2"/>
  <c r="A345" i="2"/>
  <c r="C344" i="2"/>
  <c r="B344" i="2"/>
  <c r="A344" i="2"/>
  <c r="C343" i="2"/>
  <c r="B343" i="2"/>
  <c r="A343" i="2"/>
  <c r="C342" i="2"/>
  <c r="B342" i="2"/>
  <c r="A342" i="2"/>
  <c r="C341" i="2"/>
  <c r="B341" i="2"/>
  <c r="A341" i="2"/>
  <c r="C340" i="2"/>
  <c r="B340" i="2"/>
  <c r="A340" i="2"/>
  <c r="C339" i="2"/>
  <c r="B339" i="2"/>
  <c r="A339" i="2"/>
  <c r="C338" i="2"/>
  <c r="B338" i="2"/>
  <c r="A338" i="2"/>
  <c r="C337" i="2"/>
  <c r="B337" i="2"/>
  <c r="A337" i="2"/>
  <c r="C336" i="2"/>
  <c r="B336" i="2"/>
  <c r="A336" i="2"/>
  <c r="C335" i="2"/>
  <c r="B335" i="2"/>
  <c r="A335" i="2"/>
  <c r="C334" i="2"/>
  <c r="B334" i="2"/>
  <c r="A334" i="2"/>
  <c r="C333" i="2"/>
  <c r="B333" i="2"/>
  <c r="A333" i="2"/>
  <c r="C332" i="2"/>
  <c r="B332" i="2"/>
  <c r="A332" i="2"/>
  <c r="C331" i="2"/>
  <c r="B331" i="2"/>
  <c r="A331" i="2"/>
  <c r="C330" i="2"/>
  <c r="B330" i="2"/>
  <c r="A330" i="2"/>
  <c r="C329" i="2"/>
  <c r="B329" i="2"/>
  <c r="A329" i="2"/>
  <c r="C328" i="2"/>
  <c r="B328" i="2"/>
  <c r="A328" i="2"/>
  <c r="C327" i="2"/>
  <c r="B327" i="2"/>
  <c r="A327" i="2"/>
  <c r="C326" i="2"/>
  <c r="B326" i="2"/>
  <c r="A326" i="2"/>
  <c r="C325" i="2"/>
  <c r="B325" i="2"/>
  <c r="A325" i="2"/>
  <c r="C324" i="2"/>
  <c r="B324" i="2"/>
  <c r="A324" i="2"/>
  <c r="C323" i="2"/>
  <c r="B323" i="2"/>
  <c r="A323" i="2"/>
  <c r="C322" i="2"/>
  <c r="B322" i="2"/>
  <c r="A322" i="2"/>
  <c r="C321" i="2"/>
  <c r="B321" i="2"/>
  <c r="A321" i="2"/>
  <c r="C320" i="2"/>
  <c r="B320" i="2"/>
  <c r="A320" i="2"/>
  <c r="C319" i="2"/>
  <c r="B319" i="2"/>
  <c r="A319" i="2"/>
  <c r="C318" i="2"/>
  <c r="B318" i="2"/>
  <c r="A318" i="2"/>
  <c r="C317" i="2"/>
  <c r="B317" i="2"/>
  <c r="A317" i="2"/>
  <c r="C316" i="2"/>
  <c r="B316" i="2"/>
  <c r="A316" i="2"/>
  <c r="C315" i="2"/>
  <c r="B315" i="2"/>
  <c r="A315" i="2"/>
  <c r="C314" i="2"/>
  <c r="B314" i="2"/>
  <c r="A314" i="2"/>
  <c r="C313" i="2"/>
  <c r="B313" i="2"/>
  <c r="A313" i="2"/>
  <c r="C312" i="2"/>
  <c r="B312" i="2"/>
  <c r="A312" i="2"/>
  <c r="C311" i="2"/>
  <c r="B311" i="2"/>
  <c r="A311" i="2"/>
  <c r="C310" i="2"/>
  <c r="B310" i="2"/>
  <c r="A310" i="2"/>
  <c r="C309" i="2"/>
  <c r="B309" i="2"/>
  <c r="A309" i="2"/>
  <c r="C308" i="2"/>
  <c r="B308" i="2"/>
  <c r="A308" i="2"/>
  <c r="C307" i="2"/>
  <c r="B307" i="2"/>
  <c r="A307" i="2"/>
  <c r="C306" i="2"/>
  <c r="B306" i="2"/>
  <c r="A306" i="2"/>
  <c r="C305" i="2"/>
  <c r="B305" i="2"/>
  <c r="A305" i="2"/>
  <c r="C304" i="2"/>
  <c r="B304" i="2"/>
  <c r="A304" i="2"/>
  <c r="C303" i="2"/>
  <c r="B303" i="2"/>
  <c r="A303" i="2"/>
  <c r="C302" i="2"/>
  <c r="B302" i="2"/>
  <c r="A302" i="2"/>
  <c r="C301" i="2"/>
  <c r="B301" i="2"/>
  <c r="A301" i="2"/>
  <c r="C300" i="2"/>
  <c r="B300" i="2"/>
  <c r="A300" i="2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C244" i="2"/>
  <c r="B244" i="2"/>
  <c r="A244" i="2"/>
  <c r="C243" i="2"/>
  <c r="B243" i="2"/>
  <c r="A243" i="2"/>
  <c r="C242" i="2"/>
  <c r="B242" i="2"/>
  <c r="A242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C227" i="2"/>
  <c r="B227" i="2"/>
  <c r="A227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C201" i="2"/>
  <c r="B201" i="2"/>
  <c r="A201" i="2"/>
  <c r="C200" i="2"/>
  <c r="B200" i="2"/>
  <c r="A200" i="2"/>
  <c r="C199" i="2"/>
  <c r="B199" i="2"/>
  <c r="A199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C192" i="2"/>
  <c r="B192" i="2"/>
  <c r="A192" i="2"/>
  <c r="C191" i="2"/>
  <c r="B191" i="2"/>
  <c r="A191" i="2"/>
  <c r="C190" i="2"/>
  <c r="B190" i="2"/>
  <c r="A190" i="2"/>
  <c r="C189" i="2"/>
  <c r="B189" i="2"/>
  <c r="A189" i="2"/>
  <c r="C188" i="2"/>
  <c r="B188" i="2"/>
  <c r="A188" i="2"/>
  <c r="C187" i="2"/>
  <c r="B187" i="2"/>
  <c r="A187" i="2"/>
  <c r="C186" i="2"/>
  <c r="B186" i="2"/>
  <c r="A186" i="2"/>
  <c r="C185" i="2"/>
  <c r="B185" i="2"/>
  <c r="A185" i="2"/>
  <c r="C184" i="2"/>
  <c r="B184" i="2"/>
  <c r="A184" i="2"/>
  <c r="C183" i="2"/>
  <c r="B183" i="2"/>
  <c r="A183" i="2"/>
  <c r="C182" i="2"/>
  <c r="B182" i="2"/>
  <c r="A182" i="2"/>
  <c r="C181" i="2"/>
  <c r="B181" i="2"/>
  <c r="A181" i="2"/>
  <c r="C180" i="2"/>
  <c r="B180" i="2"/>
  <c r="A180" i="2"/>
  <c r="C179" i="2"/>
  <c r="B179" i="2"/>
  <c r="A179" i="2"/>
  <c r="C178" i="2"/>
  <c r="B178" i="2"/>
  <c r="A178" i="2"/>
  <c r="C177" i="2"/>
  <c r="B177" i="2"/>
  <c r="A177" i="2"/>
  <c r="C176" i="2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C156" i="2"/>
  <c r="B156" i="2"/>
  <c r="A156" i="2"/>
  <c r="C155" i="2"/>
  <c r="B155" i="2"/>
  <c r="A155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C149" i="2"/>
  <c r="B149" i="2"/>
  <c r="A149" i="2"/>
  <c r="C148" i="2"/>
  <c r="B148" i="2"/>
  <c r="A148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U15" i="2" l="1"/>
  <c r="U31" i="2"/>
  <c r="U47" i="2"/>
  <c r="U63" i="2"/>
  <c r="U79" i="2"/>
  <c r="U95" i="2"/>
  <c r="U111" i="2"/>
  <c r="U127" i="2"/>
  <c r="U143" i="2"/>
  <c r="U159" i="2"/>
  <c r="U175" i="2"/>
  <c r="U191" i="2"/>
  <c r="U207" i="2"/>
  <c r="U223" i="2"/>
  <c r="U239" i="2"/>
  <c r="U255" i="2"/>
  <c r="U271" i="2"/>
  <c r="U287" i="2"/>
  <c r="U303" i="2"/>
  <c r="U319" i="2"/>
  <c r="U335" i="2"/>
  <c r="U351" i="2"/>
  <c r="U367" i="2"/>
  <c r="U383" i="2"/>
  <c r="U399" i="2"/>
  <c r="U415" i="2"/>
  <c r="U431" i="2"/>
  <c r="U447" i="2"/>
  <c r="U463" i="2"/>
  <c r="U479" i="2"/>
  <c r="U495" i="2"/>
  <c r="U511" i="2"/>
  <c r="U527" i="2"/>
  <c r="U543" i="2"/>
  <c r="U559" i="2"/>
  <c r="U591" i="2"/>
  <c r="U607" i="2"/>
  <c r="U623" i="2"/>
  <c r="U639" i="2"/>
  <c r="U655" i="2"/>
  <c r="U671" i="2"/>
  <c r="U687" i="2"/>
  <c r="U703" i="2"/>
  <c r="U719" i="2"/>
  <c r="U735" i="2"/>
  <c r="U751" i="2"/>
  <c r="U725" i="2"/>
  <c r="U722" i="2"/>
  <c r="U738" i="2"/>
  <c r="U26" i="2"/>
  <c r="U282" i="2"/>
  <c r="U586" i="2"/>
  <c r="U666" i="2"/>
  <c r="U21" i="2"/>
  <c r="U85" i="2"/>
  <c r="U149" i="2"/>
  <c r="U261" i="2"/>
  <c r="U325" i="2"/>
  <c r="U453" i="2"/>
  <c r="U613" i="2"/>
  <c r="U645" i="2"/>
  <c r="U741" i="2"/>
  <c r="U757" i="2"/>
  <c r="U773" i="2"/>
  <c r="U789" i="2"/>
  <c r="U805" i="2"/>
  <c r="U821" i="2"/>
  <c r="U885" i="2"/>
  <c r="U16" i="2"/>
  <c r="U32" i="2"/>
  <c r="U48" i="2"/>
  <c r="U64" i="2"/>
  <c r="U80" i="2"/>
  <c r="U96" i="2"/>
  <c r="U112" i="2"/>
  <c r="U128" i="2"/>
  <c r="U144" i="2"/>
  <c r="U160" i="2"/>
  <c r="U176" i="2"/>
  <c r="U192" i="2"/>
  <c r="U208" i="2"/>
  <c r="U224" i="2"/>
  <c r="U240" i="2"/>
  <c r="U256" i="2"/>
  <c r="U272" i="2"/>
  <c r="U288" i="2"/>
  <c r="U304" i="2"/>
  <c r="U320" i="2"/>
  <c r="U336" i="2"/>
  <c r="U352" i="2"/>
  <c r="U368" i="2"/>
  <c r="U384" i="2"/>
  <c r="U400" i="2"/>
  <c r="U416" i="2"/>
  <c r="U432" i="2"/>
  <c r="U448" i="2"/>
  <c r="U464" i="2"/>
  <c r="U480" i="2"/>
  <c r="U496" i="2"/>
  <c r="U512" i="2"/>
  <c r="U528" i="2"/>
  <c r="U544" i="2"/>
  <c r="U576" i="2"/>
  <c r="U592" i="2"/>
  <c r="U608" i="2"/>
  <c r="U624" i="2"/>
  <c r="U640" i="2"/>
  <c r="U656" i="2"/>
  <c r="U672" i="2"/>
  <c r="U688" i="2"/>
  <c r="U704" i="2"/>
  <c r="U720" i="2"/>
  <c r="U736" i="2"/>
  <c r="U752" i="2"/>
  <c r="U768" i="2"/>
  <c r="U784" i="2"/>
  <c r="U800" i="2"/>
  <c r="U816" i="2"/>
  <c r="U832" i="2"/>
  <c r="U848" i="2"/>
  <c r="U864" i="2"/>
  <c r="U880" i="2"/>
  <c r="U202" i="2"/>
  <c r="U330" i="2"/>
  <c r="U618" i="2"/>
  <c r="U730" i="2"/>
  <c r="U229" i="2"/>
  <c r="U389" i="2"/>
  <c r="U485" i="2"/>
  <c r="U597" i="2"/>
  <c r="U693" i="2"/>
  <c r="U11" i="2"/>
  <c r="U27" i="2"/>
  <c r="U43" i="2"/>
  <c r="U59" i="2"/>
  <c r="U75" i="2"/>
  <c r="U91" i="2"/>
  <c r="U107" i="2"/>
  <c r="U123" i="2"/>
  <c r="U139" i="2"/>
  <c r="U155" i="2"/>
  <c r="U171" i="2"/>
  <c r="U187" i="2"/>
  <c r="U203" i="2"/>
  <c r="U219" i="2"/>
  <c r="U235" i="2"/>
  <c r="U251" i="2"/>
  <c r="U267" i="2"/>
  <c r="U283" i="2"/>
  <c r="U299" i="2"/>
  <c r="U315" i="2"/>
  <c r="U331" i="2"/>
  <c r="U347" i="2"/>
  <c r="U363" i="2"/>
  <c r="U379" i="2"/>
  <c r="U395" i="2"/>
  <c r="U411" i="2"/>
  <c r="U427" i="2"/>
  <c r="U443" i="2"/>
  <c r="U459" i="2"/>
  <c r="U475" i="2"/>
  <c r="U491" i="2"/>
  <c r="U507" i="2"/>
  <c r="U523" i="2"/>
  <c r="U539" i="2"/>
  <c r="U555" i="2"/>
  <c r="U571" i="2"/>
  <c r="U587" i="2"/>
  <c r="U603" i="2"/>
  <c r="U619" i="2"/>
  <c r="U635" i="2"/>
  <c r="U651" i="2"/>
  <c r="U667" i="2"/>
  <c r="U683" i="2"/>
  <c r="U699" i="2"/>
  <c r="U715" i="2"/>
  <c r="U731" i="2"/>
  <c r="U747" i="2"/>
  <c r="U763" i="2"/>
  <c r="U779" i="2"/>
  <c r="U795" i="2"/>
  <c r="U811" i="2"/>
  <c r="U827" i="2"/>
  <c r="U843" i="2"/>
  <c r="U859" i="2"/>
  <c r="U875" i="2"/>
  <c r="U546" i="2"/>
  <c r="U74" i="2"/>
  <c r="U266" i="2"/>
  <c r="U522" i="2"/>
  <c r="U746" i="2"/>
  <c r="U133" i="2"/>
  <c r="U245" i="2"/>
  <c r="U309" i="2"/>
  <c r="U565" i="2"/>
  <c r="U837" i="2"/>
  <c r="U6" i="2"/>
  <c r="U22" i="2"/>
  <c r="U38" i="2"/>
  <c r="U54" i="2"/>
  <c r="U70" i="2"/>
  <c r="U86" i="2"/>
  <c r="U102" i="2"/>
  <c r="U118" i="2"/>
  <c r="U134" i="2"/>
  <c r="U150" i="2"/>
  <c r="U166" i="2"/>
  <c r="U182" i="2"/>
  <c r="U198" i="2"/>
  <c r="U214" i="2"/>
  <c r="U230" i="2"/>
  <c r="U246" i="2"/>
  <c r="U262" i="2"/>
  <c r="U278" i="2"/>
  <c r="U294" i="2"/>
  <c r="U310" i="2"/>
  <c r="U326" i="2"/>
  <c r="U342" i="2"/>
  <c r="U358" i="2"/>
  <c r="U374" i="2"/>
  <c r="U390" i="2"/>
  <c r="U406" i="2"/>
  <c r="U422" i="2"/>
  <c r="U438" i="2"/>
  <c r="U454" i="2"/>
  <c r="U470" i="2"/>
  <c r="U486" i="2"/>
  <c r="U502" i="2"/>
  <c r="U518" i="2"/>
  <c r="U534" i="2"/>
  <c r="U550" i="2"/>
  <c r="U566" i="2"/>
  <c r="U582" i="2"/>
  <c r="U598" i="2"/>
  <c r="U90" i="2"/>
  <c r="U362" i="2"/>
  <c r="U474" i="2"/>
  <c r="U650" i="2"/>
  <c r="U117" i="2"/>
  <c r="U181" i="2"/>
  <c r="U357" i="2"/>
  <c r="U421" i="2"/>
  <c r="U517" i="2"/>
  <c r="U853" i="2"/>
  <c r="U17" i="2"/>
  <c r="U33" i="2"/>
  <c r="U49" i="2"/>
  <c r="U65" i="2"/>
  <c r="U81" i="2"/>
  <c r="U97" i="2"/>
  <c r="U113" i="2"/>
  <c r="U129" i="2"/>
  <c r="U145" i="2"/>
  <c r="U161" i="2"/>
  <c r="U177" i="2"/>
  <c r="U193" i="2"/>
  <c r="U209" i="2"/>
  <c r="U225" i="2"/>
  <c r="U241" i="2"/>
  <c r="U257" i="2"/>
  <c r="U273" i="2"/>
  <c r="U289" i="2"/>
  <c r="U305" i="2"/>
  <c r="U321" i="2"/>
  <c r="U337" i="2"/>
  <c r="U353" i="2"/>
  <c r="U369" i="2"/>
  <c r="U385" i="2"/>
  <c r="U401" i="2"/>
  <c r="U417" i="2"/>
  <c r="U433" i="2"/>
  <c r="U449" i="2"/>
  <c r="U465" i="2"/>
  <c r="U481" i="2"/>
  <c r="U497" i="2"/>
  <c r="U513" i="2"/>
  <c r="U529" i="2"/>
  <c r="U545" i="2"/>
  <c r="U561" i="2"/>
  <c r="U577" i="2"/>
  <c r="U593" i="2"/>
  <c r="U609" i="2"/>
  <c r="U625" i="2"/>
  <c r="U641" i="2"/>
  <c r="U10" i="2"/>
  <c r="U154" i="2"/>
  <c r="U410" i="2"/>
  <c r="U570" i="2"/>
  <c r="U714" i="2"/>
  <c r="U165" i="2"/>
  <c r="U293" i="2"/>
  <c r="U469" i="2"/>
  <c r="U549" i="2"/>
  <c r="U12" i="2"/>
  <c r="U28" i="2"/>
  <c r="U44" i="2"/>
  <c r="U60" i="2"/>
  <c r="U76" i="2"/>
  <c r="U92" i="2"/>
  <c r="U108" i="2"/>
  <c r="U124" i="2"/>
  <c r="U140" i="2"/>
  <c r="U156" i="2"/>
  <c r="U172" i="2"/>
  <c r="U188" i="2"/>
  <c r="U204" i="2"/>
  <c r="U220" i="2"/>
  <c r="U236" i="2"/>
  <c r="U252" i="2"/>
  <c r="U268" i="2"/>
  <c r="U284" i="2"/>
  <c r="U300" i="2"/>
  <c r="U316" i="2"/>
  <c r="U332" i="2"/>
  <c r="U348" i="2"/>
  <c r="U364" i="2"/>
  <c r="U380" i="2"/>
  <c r="U396" i="2"/>
  <c r="U412" i="2"/>
  <c r="U428" i="2"/>
  <c r="U444" i="2"/>
  <c r="U460" i="2"/>
  <c r="U476" i="2"/>
  <c r="U492" i="2"/>
  <c r="U508" i="2"/>
  <c r="U524" i="2"/>
  <c r="U540" i="2"/>
  <c r="U556" i="2"/>
  <c r="U572" i="2"/>
  <c r="U588" i="2"/>
  <c r="U604" i="2"/>
  <c r="U620" i="2"/>
  <c r="U636" i="2"/>
  <c r="U652" i="2"/>
  <c r="U668" i="2"/>
  <c r="U684" i="2"/>
  <c r="U700" i="2"/>
  <c r="U716" i="2"/>
  <c r="U732" i="2"/>
  <c r="U748" i="2"/>
  <c r="U764" i="2"/>
  <c r="U780" i="2"/>
  <c r="U796" i="2"/>
  <c r="U812" i="2"/>
  <c r="U828" i="2"/>
  <c r="U844" i="2"/>
  <c r="U860" i="2"/>
  <c r="U876" i="2"/>
  <c r="U442" i="2"/>
  <c r="U554" i="2"/>
  <c r="U37" i="2"/>
  <c r="U101" i="2"/>
  <c r="U373" i="2"/>
  <c r="U437" i="2"/>
  <c r="U581" i="2"/>
  <c r="U869" i="2"/>
  <c r="U7" i="2"/>
  <c r="U23" i="2"/>
  <c r="U39" i="2"/>
  <c r="U55" i="2"/>
  <c r="U71" i="2"/>
  <c r="U87" i="2"/>
  <c r="U103" i="2"/>
  <c r="U119" i="2"/>
  <c r="U135" i="2"/>
  <c r="U151" i="2"/>
  <c r="U167" i="2"/>
  <c r="U183" i="2"/>
  <c r="U199" i="2"/>
  <c r="U215" i="2"/>
  <c r="U231" i="2"/>
  <c r="U247" i="2"/>
  <c r="U263" i="2"/>
  <c r="U279" i="2"/>
  <c r="U295" i="2"/>
  <c r="U311" i="2"/>
  <c r="U327" i="2"/>
  <c r="U343" i="2"/>
  <c r="U359" i="2"/>
  <c r="U375" i="2"/>
  <c r="U391" i="2"/>
  <c r="U407" i="2"/>
  <c r="U423" i="2"/>
  <c r="U439" i="2"/>
  <c r="U455" i="2"/>
  <c r="U471" i="2"/>
  <c r="U487" i="2"/>
  <c r="U503" i="2"/>
  <c r="U519" i="2"/>
  <c r="U535" i="2"/>
  <c r="U551" i="2"/>
  <c r="U567" i="2"/>
  <c r="U583" i="2"/>
  <c r="U599" i="2"/>
  <c r="U615" i="2"/>
  <c r="U631" i="2"/>
  <c r="U647" i="2"/>
  <c r="U663" i="2"/>
  <c r="U679" i="2"/>
  <c r="U695" i="2"/>
  <c r="U711" i="2"/>
  <c r="U727" i="2"/>
  <c r="U743" i="2"/>
  <c r="U759" i="2"/>
  <c r="U775" i="2"/>
  <c r="U791" i="2"/>
  <c r="U807" i="2"/>
  <c r="U823" i="2"/>
  <c r="U839" i="2"/>
  <c r="U855" i="2"/>
  <c r="U871" i="2"/>
  <c r="U887" i="2"/>
  <c r="U138" i="2"/>
  <c r="U346" i="2"/>
  <c r="U634" i="2"/>
  <c r="U69" i="2"/>
  <c r="U501" i="2"/>
  <c r="U677" i="2"/>
  <c r="U298" i="2"/>
  <c r="U602" i="2"/>
  <c r="U53" i="2"/>
  <c r="U213" i="2"/>
  <c r="U661" i="2"/>
  <c r="U13" i="2"/>
  <c r="U29" i="2"/>
  <c r="U45" i="2"/>
  <c r="U61" i="2"/>
  <c r="U77" i="2"/>
  <c r="U93" i="2"/>
  <c r="U109" i="2"/>
  <c r="U125" i="2"/>
  <c r="U141" i="2"/>
  <c r="U157" i="2"/>
  <c r="U173" i="2"/>
  <c r="U189" i="2"/>
  <c r="U205" i="2"/>
  <c r="U221" i="2"/>
  <c r="U237" i="2"/>
  <c r="U253" i="2"/>
  <c r="U269" i="2"/>
  <c r="U285" i="2"/>
  <c r="U301" i="2"/>
  <c r="U317" i="2"/>
  <c r="U333" i="2"/>
  <c r="U349" i="2"/>
  <c r="U365" i="2"/>
  <c r="U381" i="2"/>
  <c r="U397" i="2"/>
  <c r="U413" i="2"/>
  <c r="U429" i="2"/>
  <c r="U445" i="2"/>
  <c r="U461" i="2"/>
  <c r="U477" i="2"/>
  <c r="U493" i="2"/>
  <c r="U509" i="2"/>
  <c r="U525" i="2"/>
  <c r="U541" i="2"/>
  <c r="U557" i="2"/>
  <c r="U573" i="2"/>
  <c r="U589" i="2"/>
  <c r="U605" i="2"/>
  <c r="U621" i="2"/>
  <c r="U637" i="2"/>
  <c r="U653" i="2"/>
  <c r="U669" i="2"/>
  <c r="U685" i="2"/>
  <c r="U701" i="2"/>
  <c r="U717" i="2"/>
  <c r="U733" i="2"/>
  <c r="U749" i="2"/>
  <c r="U765" i="2"/>
  <c r="U781" i="2"/>
  <c r="U797" i="2"/>
  <c r="U813" i="2"/>
  <c r="U829" i="2"/>
  <c r="U845" i="2"/>
  <c r="U861" i="2"/>
  <c r="U877" i="2"/>
  <c r="U42" i="2"/>
  <c r="U234" i="2"/>
  <c r="U314" i="2"/>
  <c r="U538" i="2"/>
  <c r="U698" i="2"/>
  <c r="U197" i="2"/>
  <c r="U277" i="2"/>
  <c r="U341" i="2"/>
  <c r="U405" i="2"/>
  <c r="U629" i="2"/>
  <c r="U709" i="2"/>
  <c r="U8" i="2"/>
  <c r="U24" i="2"/>
  <c r="U40" i="2"/>
  <c r="U56" i="2"/>
  <c r="U72" i="2"/>
  <c r="U88" i="2"/>
  <c r="U104" i="2"/>
  <c r="U120" i="2"/>
  <c r="U136" i="2"/>
  <c r="U152" i="2"/>
  <c r="U168" i="2"/>
  <c r="U184" i="2"/>
  <c r="U200" i="2"/>
  <c r="U216" i="2"/>
  <c r="U232" i="2"/>
  <c r="U248" i="2"/>
  <c r="U264" i="2"/>
  <c r="U280" i="2"/>
  <c r="U296" i="2"/>
  <c r="U312" i="2"/>
  <c r="U328" i="2"/>
  <c r="U344" i="2"/>
  <c r="U360" i="2"/>
  <c r="U376" i="2"/>
  <c r="U392" i="2"/>
  <c r="U408" i="2"/>
  <c r="U424" i="2"/>
  <c r="U440" i="2"/>
  <c r="U456" i="2"/>
  <c r="U472" i="2"/>
  <c r="U504" i="2"/>
  <c r="U520" i="2"/>
  <c r="U536" i="2"/>
  <c r="U552" i="2"/>
  <c r="U568" i="2"/>
  <c r="U584" i="2"/>
  <c r="U600" i="2"/>
  <c r="U616" i="2"/>
  <c r="U632" i="2"/>
  <c r="U648" i="2"/>
  <c r="U664" i="2"/>
  <c r="U680" i="2"/>
  <c r="U696" i="2"/>
  <c r="U712" i="2"/>
  <c r="U728" i="2"/>
  <c r="U744" i="2"/>
  <c r="U760" i="2"/>
  <c r="U776" i="2"/>
  <c r="U792" i="2"/>
  <c r="U808" i="2"/>
  <c r="U824" i="2"/>
  <c r="U840" i="2"/>
  <c r="U856" i="2"/>
  <c r="U872" i="2"/>
  <c r="U888" i="2"/>
  <c r="U170" i="2"/>
  <c r="U458" i="2"/>
  <c r="U778" i="2"/>
  <c r="U3" i="2"/>
  <c r="U19" i="2"/>
  <c r="U35" i="2"/>
  <c r="U51" i="2"/>
  <c r="U67" i="2"/>
  <c r="U83" i="2"/>
  <c r="U99" i="2"/>
  <c r="U115" i="2"/>
  <c r="U131" i="2"/>
  <c r="U147" i="2"/>
  <c r="U163" i="2"/>
  <c r="U179" i="2"/>
  <c r="U195" i="2"/>
  <c r="U211" i="2"/>
  <c r="U227" i="2"/>
  <c r="U243" i="2"/>
  <c r="U259" i="2"/>
  <c r="U275" i="2"/>
  <c r="U291" i="2"/>
  <c r="U307" i="2"/>
  <c r="U323" i="2"/>
  <c r="U339" i="2"/>
  <c r="U355" i="2"/>
  <c r="U371" i="2"/>
  <c r="U387" i="2"/>
  <c r="U403" i="2"/>
  <c r="U419" i="2"/>
  <c r="U435" i="2"/>
  <c r="U451" i="2"/>
  <c r="U467" i="2"/>
  <c r="U483" i="2"/>
  <c r="U499" i="2"/>
  <c r="U515" i="2"/>
  <c r="U531" i="2"/>
  <c r="U547" i="2"/>
  <c r="U563" i="2"/>
  <c r="U579" i="2"/>
  <c r="U595" i="2"/>
  <c r="U611" i="2"/>
  <c r="U627" i="2"/>
  <c r="U643" i="2"/>
  <c r="U659" i="2"/>
  <c r="U675" i="2"/>
  <c r="U691" i="2"/>
  <c r="U707" i="2"/>
  <c r="U723" i="2"/>
  <c r="U739" i="2"/>
  <c r="U755" i="2"/>
  <c r="U106" i="2"/>
  <c r="U186" i="2"/>
  <c r="U426" i="2"/>
  <c r="U762" i="2"/>
  <c r="U14" i="2"/>
  <c r="U30" i="2"/>
  <c r="U46" i="2"/>
  <c r="U62" i="2"/>
  <c r="U78" i="2"/>
  <c r="U94" i="2"/>
  <c r="U110" i="2"/>
  <c r="U126" i="2"/>
  <c r="U142" i="2"/>
  <c r="U158" i="2"/>
  <c r="U174" i="2"/>
  <c r="U190" i="2"/>
  <c r="U206" i="2"/>
  <c r="U222" i="2"/>
  <c r="U238" i="2"/>
  <c r="U254" i="2"/>
  <c r="U270" i="2"/>
  <c r="U286" i="2"/>
  <c r="U302" i="2"/>
  <c r="U318" i="2"/>
  <c r="U334" i="2"/>
  <c r="U350" i="2"/>
  <c r="U366" i="2"/>
  <c r="U382" i="2"/>
  <c r="U398" i="2"/>
  <c r="U414" i="2"/>
  <c r="U430" i="2"/>
  <c r="U446" i="2"/>
  <c r="U462" i="2"/>
  <c r="U494" i="2"/>
  <c r="U510" i="2"/>
  <c r="U526" i="2"/>
  <c r="U542" i="2"/>
  <c r="U558" i="2"/>
  <c r="U574" i="2"/>
  <c r="U606" i="2"/>
  <c r="U622" i="2"/>
  <c r="U638" i="2"/>
  <c r="U654" i="2"/>
  <c r="U670" i="2"/>
  <c r="U686" i="2"/>
  <c r="U702" i="2"/>
  <c r="U718" i="2"/>
  <c r="U58" i="2"/>
  <c r="U250" i="2"/>
  <c r="U378" i="2"/>
  <c r="U5" i="2"/>
  <c r="U9" i="2"/>
  <c r="U25" i="2"/>
  <c r="U41" i="2"/>
  <c r="U57" i="2"/>
  <c r="U73" i="2"/>
  <c r="U89" i="2"/>
  <c r="U105" i="2"/>
  <c r="U121" i="2"/>
  <c r="U137" i="2"/>
  <c r="U153" i="2"/>
  <c r="U169" i="2"/>
  <c r="U185" i="2"/>
  <c r="U201" i="2"/>
  <c r="U217" i="2"/>
  <c r="U233" i="2"/>
  <c r="U249" i="2"/>
  <c r="U265" i="2"/>
  <c r="U281" i="2"/>
  <c r="U297" i="2"/>
  <c r="U313" i="2"/>
  <c r="U329" i="2"/>
  <c r="U345" i="2"/>
  <c r="U361" i="2"/>
  <c r="U377" i="2"/>
  <c r="U393" i="2"/>
  <c r="U409" i="2"/>
  <c r="U425" i="2"/>
  <c r="U441" i="2"/>
  <c r="U457" i="2"/>
  <c r="U473" i="2"/>
  <c r="U489" i="2"/>
  <c r="U505" i="2"/>
  <c r="U537" i="2"/>
  <c r="U553" i="2"/>
  <c r="U569" i="2"/>
  <c r="U585" i="2"/>
  <c r="U601" i="2"/>
  <c r="U617" i="2"/>
  <c r="U633" i="2"/>
  <c r="U122" i="2"/>
  <c r="U218" i="2"/>
  <c r="U394" i="2"/>
  <c r="U490" i="2"/>
  <c r="U682" i="2"/>
  <c r="U4" i="2"/>
  <c r="U20" i="2"/>
  <c r="U36" i="2"/>
  <c r="U52" i="2"/>
  <c r="U68" i="2"/>
  <c r="U84" i="2"/>
  <c r="U100" i="2"/>
  <c r="U116" i="2"/>
  <c r="U132" i="2"/>
  <c r="U148" i="2"/>
  <c r="U164" i="2"/>
  <c r="U180" i="2"/>
  <c r="U196" i="2"/>
  <c r="U212" i="2"/>
  <c r="U228" i="2"/>
  <c r="U244" i="2"/>
  <c r="U260" i="2"/>
  <c r="U276" i="2"/>
  <c r="U292" i="2"/>
  <c r="U308" i="2"/>
  <c r="U324" i="2"/>
  <c r="U340" i="2"/>
  <c r="U356" i="2"/>
  <c r="U372" i="2"/>
  <c r="U388" i="2"/>
  <c r="U404" i="2"/>
  <c r="U420" i="2"/>
  <c r="U436" i="2"/>
  <c r="U452" i="2"/>
  <c r="U484" i="2"/>
  <c r="U500" i="2"/>
  <c r="U516" i="2"/>
  <c r="U532" i="2"/>
  <c r="U548" i="2"/>
  <c r="U564" i="2"/>
  <c r="U580" i="2"/>
  <c r="U596" i="2"/>
  <c r="U612" i="2"/>
  <c r="U628" i="2"/>
  <c r="U644" i="2"/>
  <c r="U660" i="2"/>
  <c r="U706" i="2"/>
  <c r="U690" i="2"/>
  <c r="U674" i="2"/>
  <c r="U771" i="2"/>
  <c r="U787" i="2"/>
  <c r="U803" i="2"/>
  <c r="U819" i="2"/>
  <c r="U835" i="2"/>
  <c r="U851" i="2"/>
  <c r="U867" i="2"/>
  <c r="U883" i="2"/>
  <c r="U658" i="2"/>
  <c r="U734" i="2"/>
  <c r="U750" i="2"/>
  <c r="U766" i="2"/>
  <c r="U782" i="2"/>
  <c r="U798" i="2"/>
  <c r="U814" i="2"/>
  <c r="U830" i="2"/>
  <c r="U846" i="2"/>
  <c r="U862" i="2"/>
  <c r="U878" i="2"/>
  <c r="U642" i="2"/>
  <c r="U649" i="2"/>
  <c r="U665" i="2"/>
  <c r="U681" i="2"/>
  <c r="U697" i="2"/>
  <c r="U713" i="2"/>
  <c r="U729" i="2"/>
  <c r="U745" i="2"/>
  <c r="U761" i="2"/>
  <c r="U777" i="2"/>
  <c r="U793" i="2"/>
  <c r="U809" i="2"/>
  <c r="U825" i="2"/>
  <c r="U841" i="2"/>
  <c r="U857" i="2"/>
  <c r="U873" i="2"/>
  <c r="U882" i="2"/>
  <c r="U626" i="2"/>
  <c r="U676" i="2"/>
  <c r="U692" i="2"/>
  <c r="U708" i="2"/>
  <c r="U724" i="2"/>
  <c r="U740" i="2"/>
  <c r="U756" i="2"/>
  <c r="U772" i="2"/>
  <c r="U788" i="2"/>
  <c r="U804" i="2"/>
  <c r="U820" i="2"/>
  <c r="U836" i="2"/>
  <c r="U852" i="2"/>
  <c r="U868" i="2"/>
  <c r="U884" i="2"/>
  <c r="U866" i="2"/>
  <c r="U610" i="2"/>
  <c r="U767" i="2"/>
  <c r="U783" i="2"/>
  <c r="U799" i="2"/>
  <c r="U815" i="2"/>
  <c r="U831" i="2"/>
  <c r="U847" i="2"/>
  <c r="U863" i="2"/>
  <c r="U879" i="2"/>
  <c r="U850" i="2"/>
  <c r="U594" i="2"/>
  <c r="U794" i="2"/>
  <c r="U810" i="2"/>
  <c r="U826" i="2"/>
  <c r="U842" i="2"/>
  <c r="U858" i="2"/>
  <c r="U874" i="2"/>
  <c r="U834" i="2"/>
  <c r="U578" i="2"/>
  <c r="U818" i="2"/>
  <c r="U562" i="2"/>
  <c r="U802" i="2"/>
  <c r="U18" i="2"/>
  <c r="U34" i="2"/>
  <c r="U50" i="2"/>
  <c r="U66" i="2"/>
  <c r="U82" i="2"/>
  <c r="U98" i="2"/>
  <c r="U114" i="2"/>
  <c r="U130" i="2"/>
  <c r="U146" i="2"/>
  <c r="U162" i="2"/>
  <c r="U178" i="2"/>
  <c r="U194" i="2"/>
  <c r="U210" i="2"/>
  <c r="U226" i="2"/>
  <c r="U242" i="2"/>
  <c r="U258" i="2"/>
  <c r="U274" i="2"/>
  <c r="U290" i="2"/>
  <c r="U306" i="2"/>
  <c r="U322" i="2"/>
  <c r="U338" i="2"/>
  <c r="U354" i="2"/>
  <c r="U370" i="2"/>
  <c r="U386" i="2"/>
  <c r="U402" i="2"/>
  <c r="U418" i="2"/>
  <c r="U434" i="2"/>
  <c r="U450" i="2"/>
  <c r="U466" i="2"/>
  <c r="U482" i="2"/>
  <c r="U786" i="2"/>
  <c r="U530" i="2"/>
  <c r="U614" i="2"/>
  <c r="U630" i="2"/>
  <c r="U646" i="2"/>
  <c r="U662" i="2"/>
  <c r="U678" i="2"/>
  <c r="U694" i="2"/>
  <c r="U710" i="2"/>
  <c r="U726" i="2"/>
  <c r="U742" i="2"/>
  <c r="U758" i="2"/>
  <c r="U774" i="2"/>
  <c r="U790" i="2"/>
  <c r="U806" i="2"/>
  <c r="U822" i="2"/>
  <c r="U838" i="2"/>
  <c r="U854" i="2"/>
  <c r="U870" i="2"/>
  <c r="U886" i="2"/>
  <c r="U770" i="2"/>
  <c r="U514" i="2"/>
  <c r="U657" i="2"/>
  <c r="U673" i="2"/>
  <c r="U689" i="2"/>
  <c r="U705" i="2"/>
  <c r="U721" i="2"/>
  <c r="U737" i="2"/>
  <c r="U753" i="2"/>
  <c r="U769" i="2"/>
  <c r="U785" i="2"/>
  <c r="U801" i="2"/>
  <c r="U817" i="2"/>
  <c r="U833" i="2"/>
  <c r="U849" i="2"/>
  <c r="U865" i="2"/>
  <c r="U881" i="2"/>
  <c r="U754" i="2"/>
  <c r="U498" i="2"/>
  <c r="T17" i="2"/>
  <c r="T33" i="2"/>
  <c r="T49" i="2"/>
  <c r="T65" i="2"/>
  <c r="T81" i="2"/>
  <c r="T97" i="2"/>
  <c r="T113" i="2"/>
  <c r="T129" i="2"/>
  <c r="T145" i="2"/>
  <c r="T161" i="2"/>
  <c r="T177" i="2"/>
  <c r="T193" i="2"/>
  <c r="T13" i="2"/>
  <c r="T29" i="2"/>
  <c r="T45" i="2"/>
  <c r="T61" i="2"/>
  <c r="T77" i="2"/>
  <c r="T93" i="2"/>
  <c r="T109" i="2"/>
  <c r="T125" i="2"/>
  <c r="T141" i="2"/>
  <c r="T157" i="2"/>
  <c r="T173" i="2"/>
  <c r="T189" i="2"/>
  <c r="T205" i="2"/>
  <c r="T488" i="2"/>
  <c r="T478" i="2"/>
  <c r="T9" i="2"/>
  <c r="T25" i="2"/>
  <c r="T41" i="2"/>
  <c r="T57" i="2"/>
  <c r="T73" i="2"/>
  <c r="T89" i="2"/>
  <c r="T105" i="2"/>
  <c r="T121" i="2"/>
  <c r="T137" i="2"/>
  <c r="T153" i="2"/>
  <c r="T169" i="2"/>
  <c r="T185" i="2"/>
  <c r="T201" i="2"/>
  <c r="T521" i="2"/>
  <c r="U488" i="2"/>
  <c r="T468" i="2"/>
  <c r="T506" i="2"/>
  <c r="T5" i="2"/>
  <c r="T21" i="2"/>
  <c r="T37" i="2"/>
  <c r="T53" i="2"/>
  <c r="T69" i="2"/>
  <c r="T85" i="2"/>
  <c r="T101" i="2"/>
  <c r="T117" i="2"/>
  <c r="T133" i="2"/>
  <c r="T149" i="2"/>
  <c r="T165" i="2"/>
  <c r="T181" i="2"/>
  <c r="T197" i="2"/>
  <c r="T533" i="2"/>
  <c r="U468" i="2"/>
  <c r="T6" i="2"/>
  <c r="T10" i="2"/>
  <c r="T14" i="2"/>
  <c r="T18" i="2"/>
  <c r="T22" i="2"/>
  <c r="T26" i="2"/>
  <c r="T30" i="2"/>
  <c r="T34" i="2"/>
  <c r="T38" i="2"/>
  <c r="T42" i="2"/>
  <c r="T46" i="2"/>
  <c r="T50" i="2"/>
  <c r="T54" i="2"/>
  <c r="T58" i="2"/>
  <c r="T62" i="2"/>
  <c r="T66" i="2"/>
  <c r="T70" i="2"/>
  <c r="T74" i="2"/>
  <c r="T78" i="2"/>
  <c r="T82" i="2"/>
  <c r="T86" i="2"/>
  <c r="T90" i="2"/>
  <c r="T94" i="2"/>
  <c r="T98" i="2"/>
  <c r="T102" i="2"/>
  <c r="T106" i="2"/>
  <c r="T110" i="2"/>
  <c r="T114" i="2"/>
  <c r="T118" i="2"/>
  <c r="T122" i="2"/>
  <c r="T126" i="2"/>
  <c r="T130" i="2"/>
  <c r="T134" i="2"/>
  <c r="T138" i="2"/>
  <c r="T142" i="2"/>
  <c r="T146" i="2"/>
  <c r="T150" i="2"/>
  <c r="T154" i="2"/>
  <c r="T158" i="2"/>
  <c r="T162" i="2"/>
  <c r="T166" i="2"/>
  <c r="T170" i="2"/>
  <c r="T174" i="2"/>
  <c r="T178" i="2"/>
  <c r="T182" i="2"/>
  <c r="T186" i="2"/>
  <c r="T190" i="2"/>
  <c r="T194" i="2"/>
  <c r="T198" i="2"/>
  <c r="T202" i="2"/>
  <c r="T206" i="2"/>
  <c r="T210" i="2"/>
  <c r="T214" i="2"/>
  <c r="T218" i="2"/>
  <c r="T222" i="2"/>
  <c r="T226" i="2"/>
  <c r="T230" i="2"/>
  <c r="T234" i="2"/>
  <c r="T238" i="2"/>
  <c r="T242" i="2"/>
  <c r="T246" i="2"/>
  <c r="T250" i="2"/>
  <c r="T254" i="2"/>
  <c r="T258" i="2"/>
  <c r="T262" i="2"/>
  <c r="T266" i="2"/>
  <c r="T270" i="2"/>
  <c r="T274" i="2"/>
  <c r="T278" i="2"/>
  <c r="T282" i="2"/>
  <c r="T286" i="2"/>
  <c r="T290" i="2"/>
  <c r="T294" i="2"/>
  <c r="T298" i="2"/>
  <c r="T302" i="2"/>
  <c r="T306" i="2"/>
  <c r="T310" i="2"/>
  <c r="U2" i="2"/>
  <c r="T3" i="2"/>
  <c r="T7" i="2"/>
  <c r="T11" i="2"/>
  <c r="T15" i="2"/>
  <c r="T19" i="2"/>
  <c r="T23" i="2"/>
  <c r="T27" i="2"/>
  <c r="T31" i="2"/>
  <c r="T35" i="2"/>
  <c r="T39" i="2"/>
  <c r="T43" i="2"/>
  <c r="T47" i="2"/>
  <c r="T51" i="2"/>
  <c r="T55" i="2"/>
  <c r="T59" i="2"/>
  <c r="T63" i="2"/>
  <c r="T67" i="2"/>
  <c r="T71" i="2"/>
  <c r="T75" i="2"/>
  <c r="T79" i="2"/>
  <c r="T83" i="2"/>
  <c r="T87" i="2"/>
  <c r="T91" i="2"/>
  <c r="T95" i="2"/>
  <c r="T99" i="2"/>
  <c r="T103" i="2"/>
  <c r="T107" i="2"/>
  <c r="T111" i="2"/>
  <c r="T115" i="2"/>
  <c r="T119" i="2"/>
  <c r="T123" i="2"/>
  <c r="T127" i="2"/>
  <c r="T131" i="2"/>
  <c r="T135" i="2"/>
  <c r="T139" i="2"/>
  <c r="T143" i="2"/>
  <c r="T147" i="2"/>
  <c r="T151" i="2"/>
  <c r="T155" i="2"/>
  <c r="T159" i="2"/>
  <c r="T163" i="2"/>
  <c r="T167" i="2"/>
  <c r="T171" i="2"/>
  <c r="T175" i="2"/>
  <c r="T179" i="2"/>
  <c r="T183" i="2"/>
  <c r="T187" i="2"/>
  <c r="T191" i="2"/>
  <c r="T195" i="2"/>
  <c r="T199" i="2"/>
  <c r="T203" i="2"/>
  <c r="T207" i="2"/>
  <c r="T211" i="2"/>
  <c r="T215" i="2"/>
  <c r="T219" i="2"/>
  <c r="T223" i="2"/>
  <c r="T227" i="2"/>
  <c r="T231" i="2"/>
  <c r="T235" i="2"/>
  <c r="T239" i="2"/>
  <c r="T243" i="2"/>
  <c r="T247" i="2"/>
  <c r="T251" i="2"/>
  <c r="T255" i="2"/>
  <c r="T259" i="2"/>
  <c r="T263" i="2"/>
  <c r="T267" i="2"/>
  <c r="T271" i="2"/>
  <c r="T275" i="2"/>
  <c r="T279" i="2"/>
  <c r="T283" i="2"/>
  <c r="T287" i="2"/>
  <c r="T291" i="2"/>
  <c r="T295" i="2"/>
  <c r="T299" i="2"/>
  <c r="T303" i="2"/>
  <c r="T307" i="2"/>
  <c r="T311" i="2"/>
  <c r="T315" i="2"/>
  <c r="T319" i="2"/>
  <c r="T4" i="2"/>
  <c r="T8" i="2"/>
  <c r="T12" i="2"/>
  <c r="T20" i="2"/>
  <c r="T24" i="2"/>
  <c r="T28" i="2"/>
  <c r="T36" i="2"/>
  <c r="T40" i="2"/>
  <c r="T44" i="2"/>
  <c r="T52" i="2"/>
  <c r="T56" i="2"/>
  <c r="T60" i="2"/>
  <c r="T68" i="2"/>
  <c r="T72" i="2"/>
  <c r="T76" i="2"/>
  <c r="T84" i="2"/>
  <c r="T88" i="2"/>
  <c r="T92" i="2"/>
  <c r="T100" i="2"/>
  <c r="T104" i="2"/>
  <c r="T108" i="2"/>
  <c r="T314" i="2"/>
  <c r="T318" i="2"/>
  <c r="T322" i="2"/>
  <c r="T326" i="2"/>
  <c r="T330" i="2"/>
  <c r="T334" i="2"/>
  <c r="T338" i="2"/>
  <c r="T342" i="2"/>
  <c r="T346" i="2"/>
  <c r="T350" i="2"/>
  <c r="T354" i="2"/>
  <c r="T358" i="2"/>
  <c r="T362" i="2"/>
  <c r="T366" i="2"/>
  <c r="T370" i="2"/>
  <c r="T374" i="2"/>
  <c r="T378" i="2"/>
  <c r="T382" i="2"/>
  <c r="T386" i="2"/>
  <c r="T390" i="2"/>
  <c r="T394" i="2"/>
  <c r="T398" i="2"/>
  <c r="T402" i="2"/>
  <c r="T406" i="2"/>
  <c r="T410" i="2"/>
  <c r="T414" i="2"/>
  <c r="T418" i="2"/>
  <c r="T422" i="2"/>
  <c r="T426" i="2"/>
  <c r="T430" i="2"/>
  <c r="T434" i="2"/>
  <c r="T438" i="2"/>
  <c r="T442" i="2"/>
  <c r="T446" i="2"/>
  <c r="T450" i="2"/>
  <c r="T454" i="2"/>
  <c r="T458" i="2"/>
  <c r="T462" i="2"/>
  <c r="T466" i="2"/>
  <c r="T470" i="2"/>
  <c r="T474" i="2"/>
  <c r="T482" i="2"/>
  <c r="T486" i="2"/>
  <c r="T490" i="2"/>
  <c r="T494" i="2"/>
  <c r="T498" i="2"/>
  <c r="T502" i="2"/>
  <c r="T323" i="2"/>
  <c r="T327" i="2"/>
  <c r="T331" i="2"/>
  <c r="T335" i="2"/>
  <c r="T339" i="2"/>
  <c r="T343" i="2"/>
  <c r="T347" i="2"/>
  <c r="T351" i="2"/>
  <c r="T355" i="2"/>
  <c r="T359" i="2"/>
  <c r="T363" i="2"/>
  <c r="T367" i="2"/>
  <c r="T371" i="2"/>
  <c r="T375" i="2"/>
  <c r="T379" i="2"/>
  <c r="T383" i="2"/>
  <c r="T387" i="2"/>
  <c r="T391" i="2"/>
  <c r="T395" i="2"/>
  <c r="T399" i="2"/>
  <c r="T403" i="2"/>
  <c r="T407" i="2"/>
  <c r="T411" i="2"/>
  <c r="T415" i="2"/>
  <c r="T419" i="2"/>
  <c r="T423" i="2"/>
  <c r="T427" i="2"/>
  <c r="T431" i="2"/>
  <c r="T435" i="2"/>
  <c r="T439" i="2"/>
  <c r="T443" i="2"/>
  <c r="T447" i="2"/>
  <c r="T451" i="2"/>
  <c r="T455" i="2"/>
  <c r="T459" i="2"/>
  <c r="T463" i="2"/>
  <c r="T467" i="2"/>
  <c r="T471" i="2"/>
  <c r="T475" i="2"/>
  <c r="T479" i="2"/>
  <c r="T483" i="2"/>
  <c r="T487" i="2"/>
  <c r="T491" i="2"/>
  <c r="T116" i="2"/>
  <c r="T120" i="2"/>
  <c r="T124" i="2"/>
  <c r="T132" i="2"/>
  <c r="T136" i="2"/>
  <c r="T140" i="2"/>
  <c r="T148" i="2"/>
  <c r="T152" i="2"/>
  <c r="T156" i="2"/>
  <c r="T164" i="2"/>
  <c r="T168" i="2"/>
  <c r="T172" i="2"/>
  <c r="T180" i="2"/>
  <c r="T184" i="2"/>
  <c r="T188" i="2"/>
  <c r="T196" i="2"/>
  <c r="T200" i="2"/>
  <c r="T204" i="2"/>
  <c r="T212" i="2"/>
  <c r="T216" i="2"/>
  <c r="T220" i="2"/>
  <c r="T228" i="2"/>
  <c r="T232" i="2"/>
  <c r="T236" i="2"/>
  <c r="T244" i="2"/>
  <c r="T248" i="2"/>
  <c r="T252" i="2"/>
  <c r="T256" i="2"/>
  <c r="T260" i="2"/>
  <c r="T264" i="2"/>
  <c r="T268" i="2"/>
  <c r="T276" i="2"/>
  <c r="T280" i="2"/>
  <c r="T284" i="2"/>
  <c r="T292" i="2"/>
  <c r="T296" i="2"/>
  <c r="T300" i="2"/>
  <c r="T308" i="2"/>
  <c r="T312" i="2"/>
  <c r="T316" i="2"/>
  <c r="T324" i="2"/>
  <c r="T328" i="2"/>
  <c r="T332" i="2"/>
  <c r="T340" i="2"/>
  <c r="T344" i="2"/>
  <c r="T348" i="2"/>
  <c r="T356" i="2"/>
  <c r="T360" i="2"/>
  <c r="T364" i="2"/>
  <c r="T372" i="2"/>
  <c r="T376" i="2"/>
  <c r="T380" i="2"/>
  <c r="T388" i="2"/>
  <c r="T392" i="2"/>
  <c r="T396" i="2"/>
  <c r="T404" i="2"/>
  <c r="T408" i="2"/>
  <c r="T412" i="2"/>
  <c r="T420" i="2"/>
  <c r="T424" i="2"/>
  <c r="T428" i="2"/>
  <c r="T436" i="2"/>
  <c r="T440" i="2"/>
  <c r="T444" i="2"/>
  <c r="T452" i="2"/>
  <c r="T456" i="2"/>
  <c r="T460" i="2"/>
  <c r="T472" i="2"/>
  <c r="T476" i="2"/>
  <c r="T484" i="2"/>
  <c r="T492" i="2"/>
  <c r="T496" i="2"/>
  <c r="T500" i="2"/>
  <c r="T504" i="2"/>
  <c r="T508" i="2"/>
  <c r="T516" i="2"/>
  <c r="T520" i="2"/>
  <c r="T524" i="2"/>
  <c r="T209" i="2"/>
  <c r="T213" i="2"/>
  <c r="T217" i="2"/>
  <c r="T221" i="2"/>
  <c r="T225" i="2"/>
  <c r="T229" i="2"/>
  <c r="T233" i="2"/>
  <c r="T237" i="2"/>
  <c r="T241" i="2"/>
  <c r="T245" i="2"/>
  <c r="T249" i="2"/>
  <c r="T253" i="2"/>
  <c r="T257" i="2"/>
  <c r="T261" i="2"/>
  <c r="T265" i="2"/>
  <c r="T269" i="2"/>
  <c r="T273" i="2"/>
  <c r="T277" i="2"/>
  <c r="T281" i="2"/>
  <c r="T285" i="2"/>
  <c r="T289" i="2"/>
  <c r="T293" i="2"/>
  <c r="T297" i="2"/>
  <c r="T301" i="2"/>
  <c r="T305" i="2"/>
  <c r="T309" i="2"/>
  <c r="T313" i="2"/>
  <c r="T317" i="2"/>
  <c r="T321" i="2"/>
  <c r="T325" i="2"/>
  <c r="T329" i="2"/>
  <c r="T333" i="2"/>
  <c r="T337" i="2"/>
  <c r="T341" i="2"/>
  <c r="T345" i="2"/>
  <c r="T349" i="2"/>
  <c r="T353" i="2"/>
  <c r="T357" i="2"/>
  <c r="T361" i="2"/>
  <c r="T365" i="2"/>
  <c r="T369" i="2"/>
  <c r="T373" i="2"/>
  <c r="T377" i="2"/>
  <c r="T381" i="2"/>
  <c r="T385" i="2"/>
  <c r="T389" i="2"/>
  <c r="T393" i="2"/>
  <c r="T397" i="2"/>
  <c r="T401" i="2"/>
  <c r="T405" i="2"/>
  <c r="T409" i="2"/>
  <c r="T413" i="2"/>
  <c r="T417" i="2"/>
  <c r="T421" i="2"/>
  <c r="T425" i="2"/>
  <c r="T429" i="2"/>
  <c r="T433" i="2"/>
  <c r="T437" i="2"/>
  <c r="T441" i="2"/>
  <c r="T445" i="2"/>
  <c r="T449" i="2"/>
  <c r="T453" i="2"/>
  <c r="T457" i="2"/>
  <c r="T461" i="2"/>
  <c r="T465" i="2"/>
  <c r="T469" i="2"/>
  <c r="T473" i="2"/>
  <c r="T477" i="2"/>
  <c r="T481" i="2"/>
  <c r="T485" i="2"/>
  <c r="T489" i="2"/>
  <c r="T493" i="2"/>
  <c r="T497" i="2"/>
  <c r="T501" i="2"/>
  <c r="T505" i="2"/>
  <c r="T509" i="2"/>
  <c r="T513" i="2"/>
  <c r="T517" i="2"/>
  <c r="T525" i="2"/>
  <c r="T529" i="2"/>
  <c r="T537" i="2"/>
  <c r="T541" i="2"/>
  <c r="T545" i="2"/>
  <c r="T549" i="2"/>
  <c r="T510" i="2"/>
  <c r="T514" i="2"/>
  <c r="T518" i="2"/>
  <c r="T522" i="2"/>
  <c r="T526" i="2"/>
  <c r="T530" i="2"/>
  <c r="T534" i="2"/>
  <c r="T538" i="2"/>
  <c r="T542" i="2"/>
  <c r="T546" i="2"/>
  <c r="T550" i="2"/>
  <c r="T554" i="2"/>
  <c r="T558" i="2"/>
  <c r="T562" i="2"/>
  <c r="T495" i="2"/>
  <c r="T499" i="2"/>
  <c r="T503" i="2"/>
  <c r="T507" i="2"/>
  <c r="T511" i="2"/>
  <c r="T515" i="2"/>
  <c r="T519" i="2"/>
  <c r="T523" i="2"/>
  <c r="T527" i="2"/>
  <c r="T531" i="2"/>
  <c r="T535" i="2"/>
  <c r="T539" i="2"/>
  <c r="T543" i="2"/>
  <c r="T547" i="2"/>
  <c r="T551" i="2"/>
  <c r="T555" i="2"/>
  <c r="T559" i="2"/>
  <c r="T563" i="2"/>
  <c r="T567" i="2"/>
  <c r="T571" i="2"/>
  <c r="T575" i="2"/>
  <c r="T579" i="2"/>
  <c r="T583" i="2"/>
  <c r="T587" i="2"/>
  <c r="T591" i="2"/>
  <c r="T595" i="2"/>
  <c r="T599" i="2"/>
  <c r="T603" i="2"/>
  <c r="T607" i="2"/>
  <c r="T611" i="2"/>
  <c r="T615" i="2"/>
  <c r="T619" i="2"/>
  <c r="T623" i="2"/>
  <c r="T627" i="2"/>
  <c r="T631" i="2"/>
  <c r="T532" i="2"/>
  <c r="T536" i="2"/>
  <c r="T540" i="2"/>
  <c r="T548" i="2"/>
  <c r="T552" i="2"/>
  <c r="T556" i="2"/>
  <c r="T564" i="2"/>
  <c r="T568" i="2"/>
  <c r="T572" i="2"/>
  <c r="T580" i="2"/>
  <c r="T584" i="2"/>
  <c r="T588" i="2"/>
  <c r="T596" i="2"/>
  <c r="T600" i="2"/>
  <c r="T604" i="2"/>
  <c r="T612" i="2"/>
  <c r="T616" i="2"/>
  <c r="T624" i="2"/>
  <c r="T752" i="2"/>
  <c r="T880" i="2"/>
  <c r="T635" i="2"/>
  <c r="T639" i="2"/>
  <c r="T643" i="2"/>
  <c r="T647" i="2"/>
  <c r="T651" i="2"/>
  <c r="T655" i="2"/>
  <c r="T659" i="2"/>
  <c r="T663" i="2"/>
  <c r="T667" i="2"/>
  <c r="T671" i="2"/>
  <c r="T675" i="2"/>
  <c r="T679" i="2"/>
  <c r="T683" i="2"/>
  <c r="T687" i="2"/>
  <c r="T691" i="2"/>
  <c r="T695" i="2"/>
  <c r="T699" i="2"/>
  <c r="T703" i="2"/>
  <c r="T707" i="2"/>
  <c r="T711" i="2"/>
  <c r="T715" i="2"/>
  <c r="T719" i="2"/>
  <c r="T723" i="2"/>
  <c r="T727" i="2"/>
  <c r="T731" i="2"/>
  <c r="T735" i="2"/>
  <c r="T739" i="2"/>
  <c r="T743" i="2"/>
  <c r="T747" i="2"/>
  <c r="T751" i="2"/>
  <c r="T755" i="2"/>
  <c r="T759" i="2"/>
  <c r="T763" i="2"/>
  <c r="T767" i="2"/>
  <c r="T771" i="2"/>
  <c r="T775" i="2"/>
  <c r="T779" i="2"/>
  <c r="T783" i="2"/>
  <c r="T787" i="2"/>
  <c r="T791" i="2"/>
  <c r="T795" i="2"/>
  <c r="T799" i="2"/>
  <c r="T803" i="2"/>
  <c r="T807" i="2"/>
  <c r="T811" i="2"/>
  <c r="T815" i="2"/>
  <c r="T819" i="2"/>
  <c r="T823" i="2"/>
  <c r="T827" i="2"/>
  <c r="T831" i="2"/>
  <c r="T835" i="2"/>
  <c r="T839" i="2"/>
  <c r="T843" i="2"/>
  <c r="T847" i="2"/>
  <c r="T851" i="2"/>
  <c r="T855" i="2"/>
  <c r="T859" i="2"/>
  <c r="T863" i="2"/>
  <c r="T867" i="2"/>
  <c r="T871" i="2"/>
  <c r="T875" i="2"/>
  <c r="T879" i="2"/>
  <c r="T883" i="2"/>
  <c r="T887" i="2"/>
  <c r="T16" i="2"/>
  <c r="T620" i="2"/>
  <c r="T628" i="2"/>
  <c r="T632" i="2"/>
  <c r="T636" i="2"/>
  <c r="T644" i="2"/>
  <c r="T648" i="2"/>
  <c r="T652" i="2"/>
  <c r="T660" i="2"/>
  <c r="T664" i="2"/>
  <c r="T668" i="2"/>
  <c r="T676" i="2"/>
  <c r="T680" i="2"/>
  <c r="T684" i="2"/>
  <c r="T692" i="2"/>
  <c r="T696" i="2"/>
  <c r="T700" i="2"/>
  <c r="T708" i="2"/>
  <c r="T712" i="2"/>
  <c r="T716" i="2"/>
  <c r="T724" i="2"/>
  <c r="T728" i="2"/>
  <c r="T732" i="2"/>
  <c r="T740" i="2"/>
  <c r="T744" i="2"/>
  <c r="T748" i="2"/>
  <c r="T756" i="2"/>
  <c r="T760" i="2"/>
  <c r="T764" i="2"/>
  <c r="T553" i="2"/>
  <c r="T557" i="2"/>
  <c r="T561" i="2"/>
  <c r="T565" i="2"/>
  <c r="T569" i="2"/>
  <c r="T573" i="2"/>
  <c r="T577" i="2"/>
  <c r="T581" i="2"/>
  <c r="T585" i="2"/>
  <c r="T589" i="2"/>
  <c r="T593" i="2"/>
  <c r="T597" i="2"/>
  <c r="T601" i="2"/>
  <c r="T605" i="2"/>
  <c r="T609" i="2"/>
  <c r="T613" i="2"/>
  <c r="T617" i="2"/>
  <c r="T621" i="2"/>
  <c r="T625" i="2"/>
  <c r="T629" i="2"/>
  <c r="T633" i="2"/>
  <c r="T637" i="2"/>
  <c r="T641" i="2"/>
  <c r="T645" i="2"/>
  <c r="T649" i="2"/>
  <c r="T653" i="2"/>
  <c r="T657" i="2"/>
  <c r="T661" i="2"/>
  <c r="T665" i="2"/>
  <c r="T669" i="2"/>
  <c r="T673" i="2"/>
  <c r="T677" i="2"/>
  <c r="T681" i="2"/>
  <c r="T685" i="2"/>
  <c r="T689" i="2"/>
  <c r="T693" i="2"/>
  <c r="T697" i="2"/>
  <c r="T701" i="2"/>
  <c r="T705" i="2"/>
  <c r="T709" i="2"/>
  <c r="T713" i="2"/>
  <c r="T717" i="2"/>
  <c r="T721" i="2"/>
  <c r="T725" i="2"/>
  <c r="T729" i="2"/>
  <c r="T733" i="2"/>
  <c r="T737" i="2"/>
  <c r="T741" i="2"/>
  <c r="T745" i="2"/>
  <c r="T749" i="2"/>
  <c r="T753" i="2"/>
  <c r="T757" i="2"/>
  <c r="T761" i="2"/>
  <c r="T765" i="2"/>
  <c r="T769" i="2"/>
  <c r="T773" i="2"/>
  <c r="T777" i="2"/>
  <c r="T781" i="2"/>
  <c r="T785" i="2"/>
  <c r="T789" i="2"/>
  <c r="T793" i="2"/>
  <c r="T797" i="2"/>
  <c r="T801" i="2"/>
  <c r="T805" i="2"/>
  <c r="T809" i="2"/>
  <c r="T813" i="2"/>
  <c r="T817" i="2"/>
  <c r="T821" i="2"/>
  <c r="T825" i="2"/>
  <c r="T829" i="2"/>
  <c r="T833" i="2"/>
  <c r="T837" i="2"/>
  <c r="T841" i="2"/>
  <c r="T845" i="2"/>
  <c r="T849" i="2"/>
  <c r="T853" i="2"/>
  <c r="T857" i="2"/>
  <c r="T861" i="2"/>
  <c r="T865" i="2"/>
  <c r="T869" i="2"/>
  <c r="T873" i="2"/>
  <c r="T877" i="2"/>
  <c r="T881" i="2"/>
  <c r="T885" i="2"/>
  <c r="T566" i="2"/>
  <c r="T570" i="2"/>
  <c r="T574" i="2"/>
  <c r="T578" i="2"/>
  <c r="T582" i="2"/>
  <c r="T586" i="2"/>
  <c r="T590" i="2"/>
  <c r="T594" i="2"/>
  <c r="T598" i="2"/>
  <c r="T602" i="2"/>
  <c r="T606" i="2"/>
  <c r="T610" i="2"/>
  <c r="T614" i="2"/>
  <c r="T618" i="2"/>
  <c r="T622" i="2"/>
  <c r="T626" i="2"/>
  <c r="T630" i="2"/>
  <c r="T634" i="2"/>
  <c r="T638" i="2"/>
  <c r="T642" i="2"/>
  <c r="T646" i="2"/>
  <c r="T650" i="2"/>
  <c r="T654" i="2"/>
  <c r="T658" i="2"/>
  <c r="T662" i="2"/>
  <c r="T666" i="2"/>
  <c r="T670" i="2"/>
  <c r="T674" i="2"/>
  <c r="T678" i="2"/>
  <c r="T682" i="2"/>
  <c r="T686" i="2"/>
  <c r="T690" i="2"/>
  <c r="T694" i="2"/>
  <c r="T698" i="2"/>
  <c r="T702" i="2"/>
  <c r="T706" i="2"/>
  <c r="T710" i="2"/>
  <c r="T714" i="2"/>
  <c r="T718" i="2"/>
  <c r="T722" i="2"/>
  <c r="T726" i="2"/>
  <c r="T730" i="2"/>
  <c r="T734" i="2"/>
  <c r="T738" i="2"/>
  <c r="T742" i="2"/>
  <c r="T746" i="2"/>
  <c r="T750" i="2"/>
  <c r="T754" i="2"/>
  <c r="T758" i="2"/>
  <c r="T762" i="2"/>
  <c r="T766" i="2"/>
  <c r="T770" i="2"/>
  <c r="T774" i="2"/>
  <c r="T778" i="2"/>
  <c r="T782" i="2"/>
  <c r="T786" i="2"/>
  <c r="T790" i="2"/>
  <c r="T794" i="2"/>
  <c r="T798" i="2"/>
  <c r="T802" i="2"/>
  <c r="T240" i="2"/>
  <c r="T864" i="2"/>
  <c r="T736" i="2"/>
  <c r="T608" i="2"/>
  <c r="T480" i="2"/>
  <c r="T224" i="2"/>
  <c r="T464" i="2"/>
  <c r="T208" i="2"/>
  <c r="T806" i="2"/>
  <c r="T810" i="2"/>
  <c r="T814" i="2"/>
  <c r="T818" i="2"/>
  <c r="T822" i="2"/>
  <c r="T826" i="2"/>
  <c r="T830" i="2"/>
  <c r="T834" i="2"/>
  <c r="T838" i="2"/>
  <c r="T842" i="2"/>
  <c r="T846" i="2"/>
  <c r="T850" i="2"/>
  <c r="T854" i="2"/>
  <c r="T858" i="2"/>
  <c r="T862" i="2"/>
  <c r="T866" i="2"/>
  <c r="T870" i="2"/>
  <c r="T874" i="2"/>
  <c r="T878" i="2"/>
  <c r="T882" i="2"/>
  <c r="T886" i="2"/>
  <c r="T848" i="2"/>
  <c r="T720" i="2"/>
  <c r="T592" i="2"/>
  <c r="T448" i="2"/>
  <c r="T192" i="2"/>
  <c r="T432" i="2"/>
  <c r="T176" i="2"/>
  <c r="T832" i="2"/>
  <c r="T704" i="2"/>
  <c r="T576" i="2"/>
  <c r="T416" i="2"/>
  <c r="T160" i="2"/>
  <c r="T400" i="2"/>
  <c r="T144" i="2"/>
  <c r="T816" i="2"/>
  <c r="T688" i="2"/>
  <c r="T560" i="2"/>
  <c r="T384" i="2"/>
  <c r="T128" i="2"/>
  <c r="T368" i="2"/>
  <c r="T112" i="2"/>
  <c r="T800" i="2"/>
  <c r="T672" i="2"/>
  <c r="T544" i="2"/>
  <c r="T352" i="2"/>
  <c r="T96" i="2"/>
  <c r="T336" i="2"/>
  <c r="T80" i="2"/>
  <c r="T772" i="2"/>
  <c r="T776" i="2"/>
  <c r="T780" i="2"/>
  <c r="T788" i="2"/>
  <c r="T792" i="2"/>
  <c r="T796" i="2"/>
  <c r="T804" i="2"/>
  <c r="T808" i="2"/>
  <c r="T812" i="2"/>
  <c r="T820" i="2"/>
  <c r="T824" i="2"/>
  <c r="T828" i="2"/>
  <c r="T836" i="2"/>
  <c r="T840" i="2"/>
  <c r="T844" i="2"/>
  <c r="T852" i="2"/>
  <c r="T856" i="2"/>
  <c r="T860" i="2"/>
  <c r="T868" i="2"/>
  <c r="T872" i="2"/>
  <c r="T876" i="2"/>
  <c r="T884" i="2"/>
  <c r="T888" i="2"/>
  <c r="T784" i="2"/>
  <c r="T656" i="2"/>
  <c r="T528" i="2"/>
  <c r="T320" i="2"/>
  <c r="T64" i="2"/>
  <c r="T304" i="2"/>
  <c r="T48" i="2"/>
  <c r="T768" i="2"/>
  <c r="T640" i="2"/>
  <c r="T512" i="2"/>
  <c r="T288" i="2"/>
  <c r="T32" i="2"/>
  <c r="T272" i="2"/>
  <c r="T2" i="2"/>
  <c r="S468" i="2"/>
  <c r="S488" i="2"/>
  <c r="S478" i="2"/>
  <c r="S590" i="2"/>
  <c r="S506" i="2"/>
  <c r="S533" i="2"/>
  <c r="S546" i="2"/>
  <c r="S575" i="2"/>
  <c r="S9" i="2"/>
  <c r="S25" i="2"/>
  <c r="S41" i="2"/>
  <c r="S57" i="2"/>
  <c r="S73" i="2"/>
  <c r="S89" i="2"/>
  <c r="S105" i="2"/>
  <c r="S121" i="2"/>
  <c r="S137" i="2"/>
  <c r="S153" i="2"/>
  <c r="S169" i="2"/>
  <c r="S185" i="2"/>
  <c r="S201" i="2"/>
  <c r="S217" i="2"/>
  <c r="S233" i="2"/>
  <c r="S249" i="2"/>
  <c r="S265" i="2"/>
  <c r="S281" i="2"/>
  <c r="S297" i="2"/>
  <c r="S313" i="2"/>
  <c r="S329" i="2"/>
  <c r="S345" i="2"/>
  <c r="S361" i="2"/>
  <c r="S377" i="2"/>
  <c r="S393" i="2"/>
  <c r="S409" i="2"/>
  <c r="S425" i="2"/>
  <c r="S441" i="2"/>
  <c r="S457" i="2"/>
  <c r="S473" i="2"/>
  <c r="S489" i="2"/>
  <c r="S505" i="2"/>
  <c r="S521" i="2"/>
  <c r="S537" i="2"/>
  <c r="S553" i="2"/>
  <c r="S569" i="2"/>
  <c r="S585" i="2"/>
  <c r="S601" i="2"/>
  <c r="S617" i="2"/>
  <c r="S633" i="2"/>
  <c r="S649" i="2"/>
  <c r="S665" i="2"/>
  <c r="S681" i="2"/>
  <c r="S697" i="2"/>
  <c r="S713" i="2"/>
  <c r="S729" i="2"/>
  <c r="S745" i="2"/>
  <c r="S761" i="2"/>
  <c r="S777" i="2"/>
  <c r="S793" i="2"/>
  <c r="S809" i="2"/>
  <c r="S825" i="2"/>
  <c r="S841" i="2"/>
  <c r="S857" i="2"/>
  <c r="S873" i="2"/>
  <c r="S438" i="2"/>
  <c r="S614" i="2"/>
  <c r="S3" i="2"/>
  <c r="S19" i="2"/>
  <c r="S35" i="2"/>
  <c r="S51" i="2"/>
  <c r="S67" i="2"/>
  <c r="S83" i="2"/>
  <c r="S99" i="2"/>
  <c r="S115" i="2"/>
  <c r="S131" i="2"/>
  <c r="S147" i="2"/>
  <c r="S163" i="2"/>
  <c r="S179" i="2"/>
  <c r="S195" i="2"/>
  <c r="S211" i="2"/>
  <c r="S227" i="2"/>
  <c r="S243" i="2"/>
  <c r="S259" i="2"/>
  <c r="S275" i="2"/>
  <c r="S291" i="2"/>
  <c r="S307" i="2"/>
  <c r="S323" i="2"/>
  <c r="S339" i="2"/>
  <c r="S355" i="2"/>
  <c r="S371" i="2"/>
  <c r="S387" i="2"/>
  <c r="S403" i="2"/>
  <c r="S419" i="2"/>
  <c r="S435" i="2"/>
  <c r="S451" i="2"/>
  <c r="S467" i="2"/>
  <c r="S483" i="2"/>
  <c r="S499" i="2"/>
  <c r="S515" i="2"/>
  <c r="S531" i="2"/>
  <c r="S547" i="2"/>
  <c r="S563" i="2"/>
  <c r="S579" i="2"/>
  <c r="S595" i="2"/>
  <c r="S611" i="2"/>
  <c r="S627" i="2"/>
  <c r="S643" i="2"/>
  <c r="S659" i="2"/>
  <c r="S675" i="2"/>
  <c r="S691" i="2"/>
  <c r="S707" i="2"/>
  <c r="S723" i="2"/>
  <c r="S739" i="2"/>
  <c r="S755" i="2"/>
  <c r="S771" i="2"/>
  <c r="S787" i="2"/>
  <c r="S803" i="2"/>
  <c r="S819" i="2"/>
  <c r="S835" i="2"/>
  <c r="S851" i="2"/>
  <c r="S867" i="2"/>
  <c r="S883" i="2"/>
  <c r="S6" i="2"/>
  <c r="S70" i="2"/>
  <c r="S246" i="2"/>
  <c r="S278" i="2"/>
  <c r="S342" i="2"/>
  <c r="S422" i="2"/>
  <c r="S694" i="2"/>
  <c r="S822" i="2"/>
  <c r="S38" i="2"/>
  <c r="S310" i="2"/>
  <c r="S486" i="2"/>
  <c r="S662" i="2"/>
  <c r="S13" i="2"/>
  <c r="S29" i="2"/>
  <c r="S45" i="2"/>
  <c r="S61" i="2"/>
  <c r="S77" i="2"/>
  <c r="S93" i="2"/>
  <c r="S109" i="2"/>
  <c r="S125" i="2"/>
  <c r="S141" i="2"/>
  <c r="S157" i="2"/>
  <c r="S173" i="2"/>
  <c r="S189" i="2"/>
  <c r="S205" i="2"/>
  <c r="S221" i="2"/>
  <c r="S237" i="2"/>
  <c r="S253" i="2"/>
  <c r="S269" i="2"/>
  <c r="S285" i="2"/>
  <c r="S301" i="2"/>
  <c r="S317" i="2"/>
  <c r="S333" i="2"/>
  <c r="S349" i="2"/>
  <c r="S365" i="2"/>
  <c r="S381" i="2"/>
  <c r="S397" i="2"/>
  <c r="S413" i="2"/>
  <c r="S429" i="2"/>
  <c r="S445" i="2"/>
  <c r="S461" i="2"/>
  <c r="S477" i="2"/>
  <c r="S493" i="2"/>
  <c r="S509" i="2"/>
  <c r="S525" i="2"/>
  <c r="S541" i="2"/>
  <c r="S557" i="2"/>
  <c r="S573" i="2"/>
  <c r="S589" i="2"/>
  <c r="S605" i="2"/>
  <c r="S621" i="2"/>
  <c r="S637" i="2"/>
  <c r="S653" i="2"/>
  <c r="S669" i="2"/>
  <c r="S685" i="2"/>
  <c r="S701" i="2"/>
  <c r="S717" i="2"/>
  <c r="S733" i="2"/>
  <c r="S749" i="2"/>
  <c r="S765" i="2"/>
  <c r="S781" i="2"/>
  <c r="S797" i="2"/>
  <c r="S813" i="2"/>
  <c r="S829" i="2"/>
  <c r="S845" i="2"/>
  <c r="S861" i="2"/>
  <c r="S877" i="2"/>
  <c r="S10" i="2"/>
  <c r="S26" i="2"/>
  <c r="S42" i="2"/>
  <c r="S58" i="2"/>
  <c r="S74" i="2"/>
  <c r="S90" i="2"/>
  <c r="S106" i="2"/>
  <c r="S122" i="2"/>
  <c r="S138" i="2"/>
  <c r="S154" i="2"/>
  <c r="S170" i="2"/>
  <c r="S186" i="2"/>
  <c r="S202" i="2"/>
  <c r="S218" i="2"/>
  <c r="S234" i="2"/>
  <c r="S250" i="2"/>
  <c r="S266" i="2"/>
  <c r="S282" i="2"/>
  <c r="S298" i="2"/>
  <c r="S314" i="2"/>
  <c r="S330" i="2"/>
  <c r="S346" i="2"/>
  <c r="S362" i="2"/>
  <c r="S378" i="2"/>
  <c r="S394" i="2"/>
  <c r="S410" i="2"/>
  <c r="S426" i="2"/>
  <c r="S442" i="2"/>
  <c r="S458" i="2"/>
  <c r="S474" i="2"/>
  <c r="S490" i="2"/>
  <c r="S522" i="2"/>
  <c r="S538" i="2"/>
  <c r="S554" i="2"/>
  <c r="S570" i="2"/>
  <c r="S586" i="2"/>
  <c r="S602" i="2"/>
  <c r="S618" i="2"/>
  <c r="S634" i="2"/>
  <c r="S650" i="2"/>
  <c r="S666" i="2"/>
  <c r="S682" i="2"/>
  <c r="S698" i="2"/>
  <c r="S714" i="2"/>
  <c r="S730" i="2"/>
  <c r="S746" i="2"/>
  <c r="S762" i="2"/>
  <c r="S778" i="2"/>
  <c r="S794" i="2"/>
  <c r="S810" i="2"/>
  <c r="S826" i="2"/>
  <c r="S842" i="2"/>
  <c r="S858" i="2"/>
  <c r="S874" i="2"/>
  <c r="S118" i="2"/>
  <c r="S294" i="2"/>
  <c r="S518" i="2"/>
  <c r="S710" i="2"/>
  <c r="S790" i="2"/>
  <c r="S7" i="2"/>
  <c r="S23" i="2"/>
  <c r="S39" i="2"/>
  <c r="S55" i="2"/>
  <c r="S71" i="2"/>
  <c r="S87" i="2"/>
  <c r="S103" i="2"/>
  <c r="S119" i="2"/>
  <c r="S135" i="2"/>
  <c r="S151" i="2"/>
  <c r="S167" i="2"/>
  <c r="S183" i="2"/>
  <c r="S199" i="2"/>
  <c r="S215" i="2"/>
  <c r="S231" i="2"/>
  <c r="S247" i="2"/>
  <c r="S263" i="2"/>
  <c r="S279" i="2"/>
  <c r="S295" i="2"/>
  <c r="S311" i="2"/>
  <c r="S327" i="2"/>
  <c r="S343" i="2"/>
  <c r="S359" i="2"/>
  <c r="S375" i="2"/>
  <c r="S391" i="2"/>
  <c r="S407" i="2"/>
  <c r="S423" i="2"/>
  <c r="S439" i="2"/>
  <c r="S455" i="2"/>
  <c r="S471" i="2"/>
  <c r="S487" i="2"/>
  <c r="S503" i="2"/>
  <c r="S519" i="2"/>
  <c r="S535" i="2"/>
  <c r="S551" i="2"/>
  <c r="S567" i="2"/>
  <c r="S583" i="2"/>
  <c r="S599" i="2"/>
  <c r="S615" i="2"/>
  <c r="S631" i="2"/>
  <c r="S647" i="2"/>
  <c r="S663" i="2"/>
  <c r="S679" i="2"/>
  <c r="S695" i="2"/>
  <c r="S711" i="2"/>
  <c r="S727" i="2"/>
  <c r="S743" i="2"/>
  <c r="S759" i="2"/>
  <c r="S775" i="2"/>
  <c r="S791" i="2"/>
  <c r="S807" i="2"/>
  <c r="S823" i="2"/>
  <c r="S839" i="2"/>
  <c r="S855" i="2"/>
  <c r="S871" i="2"/>
  <c r="S887" i="2"/>
  <c r="S863" i="2"/>
  <c r="S86" i="2"/>
  <c r="S166" i="2"/>
  <c r="S534" i="2"/>
  <c r="S4" i="2"/>
  <c r="S20" i="2"/>
  <c r="S36" i="2"/>
  <c r="S52" i="2"/>
  <c r="S68" i="2"/>
  <c r="S84" i="2"/>
  <c r="S100" i="2"/>
  <c r="S116" i="2"/>
  <c r="S132" i="2"/>
  <c r="S148" i="2"/>
  <c r="S164" i="2"/>
  <c r="S180" i="2"/>
  <c r="S196" i="2"/>
  <c r="S212" i="2"/>
  <c r="S228" i="2"/>
  <c r="S244" i="2"/>
  <c r="S260" i="2"/>
  <c r="S276" i="2"/>
  <c r="S292" i="2"/>
  <c r="S308" i="2"/>
  <c r="S324" i="2"/>
  <c r="S340" i="2"/>
  <c r="S356" i="2"/>
  <c r="S372" i="2"/>
  <c r="S388" i="2"/>
  <c r="S404" i="2"/>
  <c r="S420" i="2"/>
  <c r="S436" i="2"/>
  <c r="S452" i="2"/>
  <c r="S484" i="2"/>
  <c r="S500" i="2"/>
  <c r="S516" i="2"/>
  <c r="S532" i="2"/>
  <c r="S548" i="2"/>
  <c r="S564" i="2"/>
  <c r="S580" i="2"/>
  <c r="S596" i="2"/>
  <c r="S612" i="2"/>
  <c r="S628" i="2"/>
  <c r="S644" i="2"/>
  <c r="S660" i="2"/>
  <c r="S676" i="2"/>
  <c r="S692" i="2"/>
  <c r="S708" i="2"/>
  <c r="S724" i="2"/>
  <c r="S740" i="2"/>
  <c r="S756" i="2"/>
  <c r="S772" i="2"/>
  <c r="S788" i="2"/>
  <c r="S804" i="2"/>
  <c r="S820" i="2"/>
  <c r="S836" i="2"/>
  <c r="S852" i="2"/>
  <c r="S868" i="2"/>
  <c r="S884" i="2"/>
  <c r="S134" i="2"/>
  <c r="S182" i="2"/>
  <c r="S262" i="2"/>
  <c r="S374" i="2"/>
  <c r="S470" i="2"/>
  <c r="S582" i="2"/>
  <c r="S726" i="2"/>
  <c r="S838" i="2"/>
  <c r="S17" i="2"/>
  <c r="S33" i="2"/>
  <c r="S49" i="2"/>
  <c r="S65" i="2"/>
  <c r="S81" i="2"/>
  <c r="S97" i="2"/>
  <c r="S113" i="2"/>
  <c r="S129" i="2"/>
  <c r="S145" i="2"/>
  <c r="S161" i="2"/>
  <c r="S177" i="2"/>
  <c r="S193" i="2"/>
  <c r="S209" i="2"/>
  <c r="S225" i="2"/>
  <c r="S241" i="2"/>
  <c r="S257" i="2"/>
  <c r="S273" i="2"/>
  <c r="S289" i="2"/>
  <c r="S305" i="2"/>
  <c r="S321" i="2"/>
  <c r="S337" i="2"/>
  <c r="S353" i="2"/>
  <c r="S369" i="2"/>
  <c r="S385" i="2"/>
  <c r="S401" i="2"/>
  <c r="S417" i="2"/>
  <c r="S433" i="2"/>
  <c r="S449" i="2"/>
  <c r="S465" i="2"/>
  <c r="S481" i="2"/>
  <c r="S497" i="2"/>
  <c r="S513" i="2"/>
  <c r="S529" i="2"/>
  <c r="S545" i="2"/>
  <c r="S561" i="2"/>
  <c r="S577" i="2"/>
  <c r="S593" i="2"/>
  <c r="S609" i="2"/>
  <c r="S625" i="2"/>
  <c r="S641" i="2"/>
  <c r="S657" i="2"/>
  <c r="S673" i="2"/>
  <c r="S689" i="2"/>
  <c r="S705" i="2"/>
  <c r="S721" i="2"/>
  <c r="S737" i="2"/>
  <c r="S753" i="2"/>
  <c r="S769" i="2"/>
  <c r="S785" i="2"/>
  <c r="S801" i="2"/>
  <c r="S817" i="2"/>
  <c r="S833" i="2"/>
  <c r="S849" i="2"/>
  <c r="S865" i="2"/>
  <c r="S881" i="2"/>
  <c r="S16" i="2"/>
  <c r="S102" i="2"/>
  <c r="S214" i="2"/>
  <c r="S390" i="2"/>
  <c r="S502" i="2"/>
  <c r="S678" i="2"/>
  <c r="S854" i="2"/>
  <c r="S14" i="2"/>
  <c r="S30" i="2"/>
  <c r="S46" i="2"/>
  <c r="S62" i="2"/>
  <c r="S78" i="2"/>
  <c r="S94" i="2"/>
  <c r="S110" i="2"/>
  <c r="S126" i="2"/>
  <c r="S142" i="2"/>
  <c r="S158" i="2"/>
  <c r="S174" i="2"/>
  <c r="S190" i="2"/>
  <c r="S206" i="2"/>
  <c r="S222" i="2"/>
  <c r="S238" i="2"/>
  <c r="S254" i="2"/>
  <c r="S270" i="2"/>
  <c r="S286" i="2"/>
  <c r="S302" i="2"/>
  <c r="S318" i="2"/>
  <c r="S334" i="2"/>
  <c r="S350" i="2"/>
  <c r="S366" i="2"/>
  <c r="S382" i="2"/>
  <c r="S398" i="2"/>
  <c r="S414" i="2"/>
  <c r="S430" i="2"/>
  <c r="S446" i="2"/>
  <c r="S462" i="2"/>
  <c r="S494" i="2"/>
  <c r="S510" i="2"/>
  <c r="S526" i="2"/>
  <c r="S542" i="2"/>
  <c r="S558" i="2"/>
  <c r="S574" i="2"/>
  <c r="S606" i="2"/>
  <c r="S622" i="2"/>
  <c r="S638" i="2"/>
  <c r="S654" i="2"/>
  <c r="S670" i="2"/>
  <c r="S686" i="2"/>
  <c r="S702" i="2"/>
  <c r="S718" i="2"/>
  <c r="S734" i="2"/>
  <c r="S750" i="2"/>
  <c r="S766" i="2"/>
  <c r="S782" i="2"/>
  <c r="S798" i="2"/>
  <c r="S814" i="2"/>
  <c r="S830" i="2"/>
  <c r="S846" i="2"/>
  <c r="S862" i="2"/>
  <c r="S878" i="2"/>
  <c r="S54" i="2"/>
  <c r="S198" i="2"/>
  <c r="S454" i="2"/>
  <c r="S566" i="2"/>
  <c r="S886" i="2"/>
  <c r="S11" i="2"/>
  <c r="S27" i="2"/>
  <c r="S43" i="2"/>
  <c r="S59" i="2"/>
  <c r="S75" i="2"/>
  <c r="S91" i="2"/>
  <c r="S107" i="2"/>
  <c r="S123" i="2"/>
  <c r="S139" i="2"/>
  <c r="S155" i="2"/>
  <c r="S171" i="2"/>
  <c r="S187" i="2"/>
  <c r="S203" i="2"/>
  <c r="S219" i="2"/>
  <c r="S235" i="2"/>
  <c r="S251" i="2"/>
  <c r="S267" i="2"/>
  <c r="S283" i="2"/>
  <c r="S299" i="2"/>
  <c r="S315" i="2"/>
  <c r="S331" i="2"/>
  <c r="S347" i="2"/>
  <c r="S363" i="2"/>
  <c r="S379" i="2"/>
  <c r="S395" i="2"/>
  <c r="S411" i="2"/>
  <c r="S427" i="2"/>
  <c r="S443" i="2"/>
  <c r="S459" i="2"/>
  <c r="S475" i="2"/>
  <c r="S491" i="2"/>
  <c r="S507" i="2"/>
  <c r="S523" i="2"/>
  <c r="S539" i="2"/>
  <c r="S555" i="2"/>
  <c r="S571" i="2"/>
  <c r="S587" i="2"/>
  <c r="S603" i="2"/>
  <c r="S619" i="2"/>
  <c r="S635" i="2"/>
  <c r="S651" i="2"/>
  <c r="S667" i="2"/>
  <c r="S683" i="2"/>
  <c r="S699" i="2"/>
  <c r="S715" i="2"/>
  <c r="S731" i="2"/>
  <c r="S747" i="2"/>
  <c r="S763" i="2"/>
  <c r="S779" i="2"/>
  <c r="S795" i="2"/>
  <c r="S811" i="2"/>
  <c r="S827" i="2"/>
  <c r="S843" i="2"/>
  <c r="S859" i="2"/>
  <c r="S875" i="2"/>
  <c r="S326" i="2"/>
  <c r="S630" i="2"/>
  <c r="S758" i="2"/>
  <c r="S8" i="2"/>
  <c r="S24" i="2"/>
  <c r="S40" i="2"/>
  <c r="S56" i="2"/>
  <c r="S72" i="2"/>
  <c r="S88" i="2"/>
  <c r="S104" i="2"/>
  <c r="S120" i="2"/>
  <c r="S136" i="2"/>
  <c r="S152" i="2"/>
  <c r="S168" i="2"/>
  <c r="S184" i="2"/>
  <c r="S200" i="2"/>
  <c r="S216" i="2"/>
  <c r="S232" i="2"/>
  <c r="S248" i="2"/>
  <c r="S264" i="2"/>
  <c r="S280" i="2"/>
  <c r="S296" i="2"/>
  <c r="S312" i="2"/>
  <c r="S328" i="2"/>
  <c r="S344" i="2"/>
  <c r="S360" i="2"/>
  <c r="S376" i="2"/>
  <c r="S392" i="2"/>
  <c r="S408" i="2"/>
  <c r="S424" i="2"/>
  <c r="S440" i="2"/>
  <c r="S456" i="2"/>
  <c r="S472" i="2"/>
  <c r="S504" i="2"/>
  <c r="S520" i="2"/>
  <c r="S536" i="2"/>
  <c r="S552" i="2"/>
  <c r="S568" i="2"/>
  <c r="S584" i="2"/>
  <c r="S600" i="2"/>
  <c r="S616" i="2"/>
  <c r="S632" i="2"/>
  <c r="S648" i="2"/>
  <c r="S664" i="2"/>
  <c r="S680" i="2"/>
  <c r="S696" i="2"/>
  <c r="S712" i="2"/>
  <c r="S728" i="2"/>
  <c r="S744" i="2"/>
  <c r="S760" i="2"/>
  <c r="S776" i="2"/>
  <c r="S792" i="2"/>
  <c r="S808" i="2"/>
  <c r="S824" i="2"/>
  <c r="S840" i="2"/>
  <c r="S856" i="2"/>
  <c r="S872" i="2"/>
  <c r="S888" i="2"/>
  <c r="S22" i="2"/>
  <c r="S150" i="2"/>
  <c r="S230" i="2"/>
  <c r="S406" i="2"/>
  <c r="S550" i="2"/>
  <c r="S598" i="2"/>
  <c r="S806" i="2"/>
  <c r="S870" i="2"/>
  <c r="S5" i="2"/>
  <c r="S21" i="2"/>
  <c r="S37" i="2"/>
  <c r="S53" i="2"/>
  <c r="S69" i="2"/>
  <c r="S85" i="2"/>
  <c r="S101" i="2"/>
  <c r="S117" i="2"/>
  <c r="S133" i="2"/>
  <c r="S149" i="2"/>
  <c r="S165" i="2"/>
  <c r="S181" i="2"/>
  <c r="S197" i="2"/>
  <c r="S213" i="2"/>
  <c r="S229" i="2"/>
  <c r="S245" i="2"/>
  <c r="S261" i="2"/>
  <c r="S277" i="2"/>
  <c r="S293" i="2"/>
  <c r="S309" i="2"/>
  <c r="S325" i="2"/>
  <c r="S341" i="2"/>
  <c r="S357" i="2"/>
  <c r="S373" i="2"/>
  <c r="S389" i="2"/>
  <c r="S405" i="2"/>
  <c r="S421" i="2"/>
  <c r="S437" i="2"/>
  <c r="S453" i="2"/>
  <c r="S469" i="2"/>
  <c r="S485" i="2"/>
  <c r="S501" i="2"/>
  <c r="S517" i="2"/>
  <c r="S549" i="2"/>
  <c r="S565" i="2"/>
  <c r="S581" i="2"/>
  <c r="S597" i="2"/>
  <c r="S613" i="2"/>
  <c r="S629" i="2"/>
  <c r="S645" i="2"/>
  <c r="S661" i="2"/>
  <c r="S677" i="2"/>
  <c r="S693" i="2"/>
  <c r="S709" i="2"/>
  <c r="S725" i="2"/>
  <c r="S741" i="2"/>
  <c r="S757" i="2"/>
  <c r="S773" i="2"/>
  <c r="S789" i="2"/>
  <c r="S805" i="2"/>
  <c r="S821" i="2"/>
  <c r="S837" i="2"/>
  <c r="S853" i="2"/>
  <c r="S869" i="2"/>
  <c r="S885" i="2"/>
  <c r="S18" i="2"/>
  <c r="S34" i="2"/>
  <c r="S50" i="2"/>
  <c r="S66" i="2"/>
  <c r="S82" i="2"/>
  <c r="S98" i="2"/>
  <c r="S114" i="2"/>
  <c r="S130" i="2"/>
  <c r="S146" i="2"/>
  <c r="S162" i="2"/>
  <c r="S178" i="2"/>
  <c r="S194" i="2"/>
  <c r="S210" i="2"/>
  <c r="S226" i="2"/>
  <c r="S242" i="2"/>
  <c r="S258" i="2"/>
  <c r="S274" i="2"/>
  <c r="S290" i="2"/>
  <c r="S306" i="2"/>
  <c r="S322" i="2"/>
  <c r="S338" i="2"/>
  <c r="S354" i="2"/>
  <c r="S370" i="2"/>
  <c r="S386" i="2"/>
  <c r="S402" i="2"/>
  <c r="S418" i="2"/>
  <c r="S434" i="2"/>
  <c r="S450" i="2"/>
  <c r="S466" i="2"/>
  <c r="S482" i="2"/>
  <c r="S498" i="2"/>
  <c r="S514" i="2"/>
  <c r="S530" i="2"/>
  <c r="S562" i="2"/>
  <c r="S578" i="2"/>
  <c r="S594" i="2"/>
  <c r="S610" i="2"/>
  <c r="S626" i="2"/>
  <c r="S642" i="2"/>
  <c r="S658" i="2"/>
  <c r="S674" i="2"/>
  <c r="S690" i="2"/>
  <c r="S774" i="2"/>
  <c r="S15" i="2"/>
  <c r="S31" i="2"/>
  <c r="S47" i="2"/>
  <c r="S63" i="2"/>
  <c r="S79" i="2"/>
  <c r="S95" i="2"/>
  <c r="S111" i="2"/>
  <c r="S127" i="2"/>
  <c r="S143" i="2"/>
  <c r="S159" i="2"/>
  <c r="S175" i="2"/>
  <c r="S191" i="2"/>
  <c r="S207" i="2"/>
  <c r="S223" i="2"/>
  <c r="S239" i="2"/>
  <c r="S255" i="2"/>
  <c r="S271" i="2"/>
  <c r="S287" i="2"/>
  <c r="S303" i="2"/>
  <c r="S319" i="2"/>
  <c r="S335" i="2"/>
  <c r="S351" i="2"/>
  <c r="S367" i="2"/>
  <c r="S383" i="2"/>
  <c r="S399" i="2"/>
  <c r="S415" i="2"/>
  <c r="S431" i="2"/>
  <c r="S447" i="2"/>
  <c r="S463" i="2"/>
  <c r="S479" i="2"/>
  <c r="S495" i="2"/>
  <c r="S511" i="2"/>
  <c r="S527" i="2"/>
  <c r="S543" i="2"/>
  <c r="S559" i="2"/>
  <c r="S591" i="2"/>
  <c r="S607" i="2"/>
  <c r="S623" i="2"/>
  <c r="S639" i="2"/>
  <c r="S655" i="2"/>
  <c r="S671" i="2"/>
  <c r="S687" i="2"/>
  <c r="S703" i="2"/>
  <c r="S719" i="2"/>
  <c r="S735" i="2"/>
  <c r="S751" i="2"/>
  <c r="S767" i="2"/>
  <c r="S783" i="2"/>
  <c r="S799" i="2"/>
  <c r="S815" i="2"/>
  <c r="S831" i="2"/>
  <c r="S847" i="2"/>
  <c r="S358" i="2"/>
  <c r="S646" i="2"/>
  <c r="S742" i="2"/>
  <c r="S12" i="2"/>
  <c r="S28" i="2"/>
  <c r="S44" i="2"/>
  <c r="S60" i="2"/>
  <c r="S76" i="2"/>
  <c r="S92" i="2"/>
  <c r="S108" i="2"/>
  <c r="S124" i="2"/>
  <c r="S140" i="2"/>
  <c r="S156" i="2"/>
  <c r="S172" i="2"/>
  <c r="S188" i="2"/>
  <c r="S204" i="2"/>
  <c r="S220" i="2"/>
  <c r="S236" i="2"/>
  <c r="S252" i="2"/>
  <c r="S268" i="2"/>
  <c r="S284" i="2"/>
  <c r="S300" i="2"/>
  <c r="S316" i="2"/>
  <c r="S332" i="2"/>
  <c r="S348" i="2"/>
  <c r="S364" i="2"/>
  <c r="S380" i="2"/>
  <c r="S396" i="2"/>
  <c r="S412" i="2"/>
  <c r="S428" i="2"/>
  <c r="S444" i="2"/>
  <c r="S460" i="2"/>
  <c r="S476" i="2"/>
  <c r="S492" i="2"/>
  <c r="S508" i="2"/>
  <c r="S524" i="2"/>
  <c r="S540" i="2"/>
  <c r="S556" i="2"/>
  <c r="S572" i="2"/>
  <c r="S588" i="2"/>
  <c r="S604" i="2"/>
  <c r="S620" i="2"/>
  <c r="S636" i="2"/>
  <c r="S652" i="2"/>
  <c r="S668" i="2"/>
  <c r="S684" i="2"/>
  <c r="S700" i="2"/>
  <c r="S716" i="2"/>
  <c r="S732" i="2"/>
  <c r="S748" i="2"/>
  <c r="S764" i="2"/>
  <c r="S780" i="2"/>
  <c r="S796" i="2"/>
  <c r="S812" i="2"/>
  <c r="S828" i="2"/>
  <c r="S844" i="2"/>
  <c r="S860" i="2"/>
  <c r="S876" i="2"/>
  <c r="S882" i="2"/>
  <c r="S866" i="2"/>
  <c r="S850" i="2"/>
  <c r="S834" i="2"/>
  <c r="S818" i="2"/>
  <c r="S802" i="2"/>
  <c r="S786" i="2"/>
  <c r="S770" i="2"/>
  <c r="S754" i="2"/>
  <c r="S738" i="2"/>
  <c r="S722" i="2"/>
  <c r="S706" i="2"/>
  <c r="S880" i="2"/>
  <c r="S864" i="2"/>
  <c r="S848" i="2"/>
  <c r="S832" i="2"/>
  <c r="S816" i="2"/>
  <c r="S800" i="2"/>
  <c r="S784" i="2"/>
  <c r="S768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320" i="2"/>
  <c r="S304" i="2"/>
  <c r="S288" i="2"/>
  <c r="S272" i="2"/>
  <c r="S256" i="2"/>
  <c r="S240" i="2"/>
  <c r="S224" i="2"/>
  <c r="S208" i="2"/>
  <c r="S192" i="2"/>
  <c r="S176" i="2"/>
  <c r="S160" i="2"/>
  <c r="S144" i="2"/>
  <c r="S128" i="2"/>
  <c r="S112" i="2"/>
  <c r="S96" i="2"/>
  <c r="S80" i="2"/>
  <c r="S64" i="2"/>
  <c r="S48" i="2"/>
  <c r="S32" i="2"/>
  <c r="S879" i="2"/>
  <c r="S2" i="2"/>
  <c r="R98" i="2"/>
  <c r="R572" i="2"/>
  <c r="R596" i="2"/>
  <c r="R660" i="2"/>
  <c r="P137" i="2"/>
  <c r="R143" i="2"/>
  <c r="R167" i="2"/>
  <c r="R199" i="2"/>
  <c r="R130" i="2"/>
  <c r="R290" i="2"/>
  <c r="R298" i="2"/>
  <c r="R282" i="2"/>
  <c r="R93" i="2"/>
  <c r="P106" i="2"/>
  <c r="P21" i="2"/>
  <c r="P85" i="2"/>
  <c r="R149" i="2"/>
  <c r="R165" i="2"/>
  <c r="R189" i="2"/>
  <c r="R32" i="2"/>
  <c r="R40" i="2"/>
  <c r="P133" i="2"/>
  <c r="R112" i="2"/>
  <c r="P91" i="2"/>
  <c r="R262" i="2"/>
  <c r="P110" i="2"/>
  <c r="R29" i="2"/>
  <c r="P103" i="2"/>
  <c r="R127" i="2"/>
  <c r="P132" i="2"/>
  <c r="R212" i="2"/>
  <c r="R881" i="2"/>
  <c r="P761" i="2"/>
  <c r="R380" i="2"/>
  <c r="P29" i="2"/>
  <c r="R53" i="2"/>
  <c r="P252" i="2"/>
  <c r="P93" i="2"/>
  <c r="P199" i="2"/>
  <c r="P223" i="2"/>
  <c r="P247" i="2"/>
  <c r="R263" i="2"/>
  <c r="P500" i="2"/>
  <c r="P532" i="2"/>
  <c r="P3" i="2"/>
  <c r="R125" i="2"/>
  <c r="R138" i="2"/>
  <c r="R242" i="2"/>
  <c r="R487" i="2"/>
  <c r="R14" i="2"/>
  <c r="R67" i="2"/>
  <c r="R75" i="2"/>
  <c r="R83" i="2"/>
  <c r="P218" i="2"/>
  <c r="P386" i="2"/>
  <c r="P418" i="2"/>
  <c r="P17" i="2"/>
  <c r="R33" i="2"/>
  <c r="P70" i="2"/>
  <c r="P78" i="2"/>
  <c r="R94" i="2"/>
  <c r="R115" i="2"/>
  <c r="R293" i="2"/>
  <c r="R373" i="2"/>
  <c r="R57" i="2"/>
  <c r="R89" i="2"/>
  <c r="P49" i="2"/>
  <c r="R171" i="2"/>
  <c r="R195" i="2"/>
  <c r="R219" i="2"/>
  <c r="R235" i="2"/>
  <c r="R7" i="2"/>
  <c r="R52" i="2"/>
  <c r="R84" i="2"/>
  <c r="P147" i="2"/>
  <c r="P171" i="2"/>
  <c r="R267" i="2"/>
  <c r="R275" i="2"/>
  <c r="P7" i="2"/>
  <c r="P15" i="2"/>
  <c r="R23" i="2"/>
  <c r="P84" i="2"/>
  <c r="R113" i="2"/>
  <c r="R150" i="2"/>
  <c r="R166" i="2"/>
  <c r="R198" i="2"/>
  <c r="R291" i="2"/>
  <c r="R2" i="2"/>
  <c r="P23" i="2"/>
  <c r="R137" i="2"/>
  <c r="P142" i="2"/>
  <c r="P222" i="2"/>
  <c r="P323" i="2"/>
  <c r="P47" i="2"/>
  <c r="P79" i="2"/>
  <c r="R116" i="2"/>
  <c r="R177" i="2"/>
  <c r="R310" i="2"/>
  <c r="R13" i="2"/>
  <c r="R21" i="2"/>
  <c r="R90" i="2"/>
  <c r="R103" i="2"/>
  <c r="P217" i="2"/>
  <c r="P2" i="2"/>
  <c r="P14" i="2"/>
  <c r="R19" i="2"/>
  <c r="R26" i="2"/>
  <c r="P52" i="2"/>
  <c r="P57" i="2"/>
  <c r="R62" i="2"/>
  <c r="R72" i="2"/>
  <c r="P115" i="2"/>
  <c r="R152" i="2"/>
  <c r="P169" i="2"/>
  <c r="R174" i="2"/>
  <c r="R184" i="2"/>
  <c r="R207" i="2"/>
  <c r="P242" i="2"/>
  <c r="R255" i="2"/>
  <c r="R305" i="2"/>
  <c r="P318" i="2"/>
  <c r="R413" i="2"/>
  <c r="R442" i="2"/>
  <c r="R495" i="2"/>
  <c r="R519" i="2"/>
  <c r="R543" i="2"/>
  <c r="P596" i="2"/>
  <c r="P684" i="2"/>
  <c r="P785" i="2"/>
  <c r="P801" i="2"/>
  <c r="P825" i="2"/>
  <c r="P865" i="2"/>
  <c r="P869" i="2"/>
  <c r="P672" i="2"/>
  <c r="P838" i="2"/>
  <c r="P768" i="2"/>
  <c r="P690" i="2"/>
  <c r="P554" i="2"/>
  <c r="P446" i="2"/>
  <c r="P429" i="2"/>
  <c r="P402" i="2"/>
  <c r="P752" i="2"/>
  <c r="P578" i="2"/>
  <c r="P573" i="2"/>
  <c r="P525" i="2"/>
  <c r="P513" i="2"/>
  <c r="P465" i="2"/>
  <c r="P436" i="2"/>
  <c r="P431" i="2"/>
  <c r="P827" i="2"/>
  <c r="P355" i="2"/>
  <c r="P338" i="2"/>
  <c r="P527" i="2"/>
  <c r="P508" i="2"/>
  <c r="P350" i="2"/>
  <c r="P315" i="2"/>
  <c r="P777" i="2"/>
  <c r="P681" i="2"/>
  <c r="P637" i="2"/>
  <c r="P548" i="2"/>
  <c r="P522" i="2"/>
  <c r="P510" i="2"/>
  <c r="P440" i="2"/>
  <c r="P401" i="2"/>
  <c r="P389" i="2"/>
  <c r="P457" i="2"/>
  <c r="P352" i="2"/>
  <c r="P342" i="2"/>
  <c r="P322" i="2"/>
  <c r="P821" i="2"/>
  <c r="P655" i="2"/>
  <c r="P524" i="2"/>
  <c r="P512" i="2"/>
  <c r="P488" i="2"/>
  <c r="P483" i="2"/>
  <c r="P464" i="2"/>
  <c r="P312" i="2"/>
  <c r="P26" i="2"/>
  <c r="P33" i="2"/>
  <c r="R38" i="2"/>
  <c r="P62" i="2"/>
  <c r="P67" i="2"/>
  <c r="P72" i="2"/>
  <c r="R77" i="2"/>
  <c r="P82" i="2"/>
  <c r="P89" i="2"/>
  <c r="R96" i="2"/>
  <c r="P108" i="2"/>
  <c r="P120" i="2"/>
  <c r="P125" i="2"/>
  <c r="P130" i="2"/>
  <c r="R135" i="2"/>
  <c r="P162" i="2"/>
  <c r="R192" i="2"/>
  <c r="P197" i="2"/>
  <c r="R202" i="2"/>
  <c r="R225" i="2"/>
  <c r="R227" i="2"/>
  <c r="P232" i="2"/>
  <c r="P237" i="2"/>
  <c r="R245" i="2"/>
  <c r="P255" i="2"/>
  <c r="R270" i="2"/>
  <c r="P280" i="2"/>
  <c r="P285" i="2"/>
  <c r="P305" i="2"/>
  <c r="R318" i="2"/>
  <c r="R334" i="2"/>
  <c r="P344" i="2"/>
  <c r="R360" i="2"/>
  <c r="R368" i="2"/>
  <c r="R376" i="2"/>
  <c r="P397" i="2"/>
  <c r="P413" i="2"/>
  <c r="P466" i="2"/>
  <c r="P551" i="2"/>
  <c r="R567" i="2"/>
  <c r="R591" i="2"/>
  <c r="R647" i="2"/>
  <c r="R695" i="2"/>
  <c r="P748" i="2"/>
  <c r="R796" i="2"/>
  <c r="R860" i="2"/>
  <c r="R5" i="2"/>
  <c r="P12" i="2"/>
  <c r="P19" i="2"/>
  <c r="P31" i="2"/>
  <c r="P38" i="2"/>
  <c r="P45" i="2"/>
  <c r="R50" i="2"/>
  <c r="P77" i="2"/>
  <c r="R82" i="2"/>
  <c r="P96" i="2"/>
  <c r="P101" i="2"/>
  <c r="R106" i="2"/>
  <c r="R108" i="2"/>
  <c r="R120" i="2"/>
  <c r="P135" i="2"/>
  <c r="R140" i="2"/>
  <c r="R145" i="2"/>
  <c r="P157" i="2"/>
  <c r="R162" i="2"/>
  <c r="P174" i="2"/>
  <c r="P179" i="2"/>
  <c r="R187" i="2"/>
  <c r="P192" i="2"/>
  <c r="R197" i="2"/>
  <c r="P202" i="2"/>
  <c r="P215" i="2"/>
  <c r="R220" i="2"/>
  <c r="R230" i="2"/>
  <c r="R237" i="2"/>
  <c r="P250" i="2"/>
  <c r="R258" i="2"/>
  <c r="P260" i="2"/>
  <c r="P295" i="2"/>
  <c r="P326" i="2"/>
  <c r="P334" i="2"/>
  <c r="P339" i="2"/>
  <c r="P360" i="2"/>
  <c r="P368" i="2"/>
  <c r="R408" i="2"/>
  <c r="P421" i="2"/>
  <c r="R461" i="2"/>
  <c r="P474" i="2"/>
  <c r="R522" i="2"/>
  <c r="R538" i="2"/>
  <c r="R546" i="2"/>
  <c r="P591" i="2"/>
  <c r="P812" i="2"/>
  <c r="P836" i="2"/>
  <c r="P844" i="2"/>
  <c r="P852" i="2"/>
  <c r="P5" i="2"/>
  <c r="R10" i="2"/>
  <c r="R12" i="2"/>
  <c r="R17" i="2"/>
  <c r="R24" i="2"/>
  <c r="R31" i="2"/>
  <c r="R36" i="2"/>
  <c r="P43" i="2"/>
  <c r="R45" i="2"/>
  <c r="P50" i="2"/>
  <c r="R55" i="2"/>
  <c r="R60" i="2"/>
  <c r="R65" i="2"/>
  <c r="R70" i="2"/>
  <c r="R87" i="2"/>
  <c r="P94" i="2"/>
  <c r="R101" i="2"/>
  <c r="P113" i="2"/>
  <c r="R118" i="2"/>
  <c r="R123" i="2"/>
  <c r="R128" i="2"/>
  <c r="R160" i="2"/>
  <c r="P167" i="2"/>
  <c r="R172" i="2"/>
  <c r="R182" i="2"/>
  <c r="P187" i="2"/>
  <c r="R210" i="2"/>
  <c r="R215" i="2"/>
  <c r="P220" i="2"/>
  <c r="P225" i="2"/>
  <c r="P230" i="2"/>
  <c r="R240" i="2"/>
  <c r="P245" i="2"/>
  <c r="R250" i="2"/>
  <c r="R265" i="2"/>
  <c r="R273" i="2"/>
  <c r="R278" i="2"/>
  <c r="R288" i="2"/>
  <c r="P293" i="2"/>
  <c r="R295" i="2"/>
  <c r="P300" i="2"/>
  <c r="R316" i="2"/>
  <c r="P321" i="2"/>
  <c r="R337" i="2"/>
  <c r="R363" i="2"/>
  <c r="R379" i="2"/>
  <c r="P392" i="2"/>
  <c r="P400" i="2"/>
  <c r="P408" i="2"/>
  <c r="P437" i="2"/>
  <c r="P445" i="2"/>
  <c r="P490" i="2"/>
  <c r="P530" i="2"/>
  <c r="R586" i="2"/>
  <c r="R602" i="2"/>
  <c r="R634" i="2"/>
  <c r="P735" i="2"/>
  <c r="P10" i="2"/>
  <c r="P24" i="2"/>
  <c r="P36" i="2"/>
  <c r="R41" i="2"/>
  <c r="R43" i="2"/>
  <c r="P55" i="2"/>
  <c r="P60" i="2"/>
  <c r="P65" i="2"/>
  <c r="P75" i="2"/>
  <c r="R80" i="2"/>
  <c r="P87" i="2"/>
  <c r="R92" i="2"/>
  <c r="P118" i="2"/>
  <c r="P123" i="2"/>
  <c r="P128" i="2"/>
  <c r="R133" i="2"/>
  <c r="P172" i="2"/>
  <c r="P182" i="2"/>
  <c r="P195" i="2"/>
  <c r="P205" i="2"/>
  <c r="P210" i="2"/>
  <c r="R218" i="2"/>
  <c r="R223" i="2"/>
  <c r="P235" i="2"/>
  <c r="P240" i="2"/>
  <c r="R253" i="2"/>
  <c r="P258" i="2"/>
  <c r="P273" i="2"/>
  <c r="R283" i="2"/>
  <c r="P288" i="2"/>
  <c r="R308" i="2"/>
  <c r="P363" i="2"/>
  <c r="P379" i="2"/>
  <c r="R387" i="2"/>
  <c r="R395" i="2"/>
  <c r="P424" i="2"/>
  <c r="R440" i="2"/>
  <c r="R464" i="2"/>
  <c r="R493" i="2"/>
  <c r="R557" i="2"/>
  <c r="P562" i="2"/>
  <c r="P831" i="2"/>
  <c r="R3" i="2"/>
  <c r="R22" i="2"/>
  <c r="P48" i="2"/>
  <c r="P80" i="2"/>
  <c r="R85" i="2"/>
  <c r="P92" i="2"/>
  <c r="P99" i="2"/>
  <c r="P111" i="2"/>
  <c r="R148" i="2"/>
  <c r="P155" i="2"/>
  <c r="P160" i="2"/>
  <c r="P165" i="2"/>
  <c r="R170" i="2"/>
  <c r="P177" i="2"/>
  <c r="R200" i="2"/>
  <c r="R205" i="2"/>
  <c r="R213" i="2"/>
  <c r="R243" i="2"/>
  <c r="P248" i="2"/>
  <c r="P253" i="2"/>
  <c r="P263" i="2"/>
  <c r="R268" i="2"/>
  <c r="R276" i="2"/>
  <c r="P283" i="2"/>
  <c r="P298" i="2"/>
  <c r="R311" i="2"/>
  <c r="R332" i="2"/>
  <c r="R342" i="2"/>
  <c r="R358" i="2"/>
  <c r="R374" i="2"/>
  <c r="R427" i="2"/>
  <c r="R435" i="2"/>
  <c r="R480" i="2"/>
  <c r="R488" i="2"/>
  <c r="P501" i="2"/>
  <c r="P533" i="2"/>
  <c r="R581" i="2"/>
  <c r="R717" i="2"/>
  <c r="R818" i="2"/>
  <c r="R826" i="2"/>
  <c r="R8" i="2"/>
  <c r="P22" i="2"/>
  <c r="R27" i="2"/>
  <c r="P41" i="2"/>
  <c r="R48" i="2"/>
  <c r="R58" i="2"/>
  <c r="R63" i="2"/>
  <c r="R68" i="2"/>
  <c r="R73" i="2"/>
  <c r="R99" i="2"/>
  <c r="R104" i="2"/>
  <c r="R111" i="2"/>
  <c r="P116" i="2"/>
  <c r="R126" i="2"/>
  <c r="P138" i="2"/>
  <c r="P143" i="2"/>
  <c r="P148" i="2"/>
  <c r="R153" i="2"/>
  <c r="R155" i="2"/>
  <c r="P170" i="2"/>
  <c r="R185" i="2"/>
  <c r="P200" i="2"/>
  <c r="R208" i="2"/>
  <c r="P213" i="2"/>
  <c r="R228" i="2"/>
  <c r="R233" i="2"/>
  <c r="P243" i="2"/>
  <c r="R256" i="2"/>
  <c r="P268" i="2"/>
  <c r="P276" i="2"/>
  <c r="R281" i="2"/>
  <c r="R286" i="2"/>
  <c r="P291" i="2"/>
  <c r="R306" i="2"/>
  <c r="R324" i="2"/>
  <c r="P374" i="2"/>
  <c r="R390" i="2"/>
  <c r="R414" i="2"/>
  <c r="P427" i="2"/>
  <c r="R504" i="2"/>
  <c r="R512" i="2"/>
  <c r="R552" i="2"/>
  <c r="P557" i="2"/>
  <c r="P661" i="2"/>
  <c r="P709" i="2"/>
  <c r="P858" i="2"/>
  <c r="P8" i="2"/>
  <c r="R20" i="2"/>
  <c r="R34" i="2"/>
  <c r="R39" i="2"/>
  <c r="P53" i="2"/>
  <c r="P58" i="2"/>
  <c r="P68" i="2"/>
  <c r="P73" i="2"/>
  <c r="R78" i="2"/>
  <c r="P90" i="2"/>
  <c r="R97" i="2"/>
  <c r="P104" i="2"/>
  <c r="R109" i="2"/>
  <c r="R121" i="2"/>
  <c r="P126" i="2"/>
  <c r="R131" i="2"/>
  <c r="R136" i="2"/>
  <c r="P153" i="2"/>
  <c r="R158" i="2"/>
  <c r="R193" i="2"/>
  <c r="R203" i="2"/>
  <c r="P208" i="2"/>
  <c r="R238" i="2"/>
  <c r="P256" i="2"/>
  <c r="R261" i="2"/>
  <c r="R271" i="2"/>
  <c r="P281" i="2"/>
  <c r="P286" i="2"/>
  <c r="P306" i="2"/>
  <c r="R314" i="2"/>
  <c r="P319" i="2"/>
  <c r="P353" i="2"/>
  <c r="R369" i="2"/>
  <c r="P459" i="2"/>
  <c r="P467" i="2"/>
  <c r="R483" i="2"/>
  <c r="P504" i="2"/>
  <c r="P528" i="2"/>
  <c r="P536" i="2"/>
  <c r="P544" i="2"/>
  <c r="R704" i="2"/>
  <c r="P741" i="2"/>
  <c r="R821" i="2"/>
  <c r="R6" i="2"/>
  <c r="R15" i="2"/>
  <c r="P20" i="2"/>
  <c r="P27" i="2"/>
  <c r="P34" i="2"/>
  <c r="P39" i="2"/>
  <c r="R46" i="2"/>
  <c r="R51" i="2"/>
  <c r="P63" i="2"/>
  <c r="P83" i="2"/>
  <c r="P97" i="2"/>
  <c r="R102" i="2"/>
  <c r="P109" i="2"/>
  <c r="P121" i="2"/>
  <c r="P131" i="2"/>
  <c r="P136" i="2"/>
  <c r="R141" i="2"/>
  <c r="R146" i="2"/>
  <c r="R188" i="2"/>
  <c r="P193" i="2"/>
  <c r="P198" i="2"/>
  <c r="P203" i="2"/>
  <c r="P238" i="2"/>
  <c r="R246" i="2"/>
  <c r="R251" i="2"/>
  <c r="P261" i="2"/>
  <c r="R296" i="2"/>
  <c r="R301" i="2"/>
  <c r="P335" i="2"/>
  <c r="R401" i="2"/>
  <c r="R438" i="2"/>
  <c r="R454" i="2"/>
  <c r="P475" i="2"/>
  <c r="R491" i="2"/>
  <c r="R515" i="2"/>
  <c r="R531" i="2"/>
  <c r="P712" i="2"/>
  <c r="P813" i="2"/>
  <c r="P6" i="2"/>
  <c r="P13" i="2"/>
  <c r="R25" i="2"/>
  <c r="P32" i="2"/>
  <c r="P46" i="2"/>
  <c r="R56" i="2"/>
  <c r="R66" i="2"/>
  <c r="R88" i="2"/>
  <c r="P102" i="2"/>
  <c r="R114" i="2"/>
  <c r="R119" i="2"/>
  <c r="R124" i="2"/>
  <c r="R129" i="2"/>
  <c r="R163" i="2"/>
  <c r="R168" i="2"/>
  <c r="R173" i="2"/>
  <c r="R175" i="2"/>
  <c r="P188" i="2"/>
  <c r="R211" i="2"/>
  <c r="P216" i="2"/>
  <c r="P221" i="2"/>
  <c r="R241" i="2"/>
  <c r="P246" i="2"/>
  <c r="P251" i="2"/>
  <c r="R289" i="2"/>
  <c r="P296" i="2"/>
  <c r="P301" i="2"/>
  <c r="R330" i="2"/>
  <c r="P348" i="2"/>
  <c r="R364" i="2"/>
  <c r="R478" i="2"/>
  <c r="P547" i="2"/>
  <c r="R563" i="2"/>
  <c r="R579" i="2"/>
  <c r="R587" i="2"/>
  <c r="R603" i="2"/>
  <c r="R808" i="2"/>
  <c r="R18" i="2"/>
  <c r="P44" i="2"/>
  <c r="P51" i="2"/>
  <c r="P56" i="2"/>
  <c r="P61" i="2"/>
  <c r="P66" i="2"/>
  <c r="R71" i="2"/>
  <c r="R81" i="2"/>
  <c r="P88" i="2"/>
  <c r="P107" i="2"/>
  <c r="P114" i="2"/>
  <c r="P124" i="2"/>
  <c r="P129" i="2"/>
  <c r="R161" i="2"/>
  <c r="P168" i="2"/>
  <c r="P183" i="2"/>
  <c r="R196" i="2"/>
  <c r="R226" i="2"/>
  <c r="P231" i="2"/>
  <c r="R236" i="2"/>
  <c r="P241" i="2"/>
  <c r="R249" i="2"/>
  <c r="R254" i="2"/>
  <c r="P266" i="2"/>
  <c r="P274" i="2"/>
  <c r="P279" i="2"/>
  <c r="R284" i="2"/>
  <c r="P289" i="2"/>
  <c r="P294" i="2"/>
  <c r="R304" i="2"/>
  <c r="P317" i="2"/>
  <c r="R343" i="2"/>
  <c r="P380" i="2"/>
  <c r="R412" i="2"/>
  <c r="P425" i="2"/>
  <c r="P478" i="2"/>
  <c r="R502" i="2"/>
  <c r="R510" i="2"/>
  <c r="R518" i="2"/>
  <c r="P579" i="2"/>
  <c r="P587" i="2"/>
  <c r="P603" i="2"/>
  <c r="P611" i="2"/>
  <c r="P659" i="2"/>
  <c r="P800" i="2"/>
  <c r="P11" i="2"/>
  <c r="P18" i="2"/>
  <c r="P25" i="2"/>
  <c r="R30" i="2"/>
  <c r="P37" i="2"/>
  <c r="R42" i="2"/>
  <c r="R44" i="2"/>
  <c r="R49" i="2"/>
  <c r="R61" i="2"/>
  <c r="P71" i="2"/>
  <c r="P76" i="2"/>
  <c r="P81" i="2"/>
  <c r="P95" i="2"/>
  <c r="R100" i="2"/>
  <c r="R107" i="2"/>
  <c r="P119" i="2"/>
  <c r="R134" i="2"/>
  <c r="R151" i="2"/>
  <c r="R156" i="2"/>
  <c r="P161" i="2"/>
  <c r="P173" i="2"/>
  <c r="R178" i="2"/>
  <c r="R183" i="2"/>
  <c r="R191" i="2"/>
  <c r="P206" i="2"/>
  <c r="R214" i="2"/>
  <c r="R224" i="2"/>
  <c r="R231" i="2"/>
  <c r="P236" i="2"/>
  <c r="R244" i="2"/>
  <c r="P249" i="2"/>
  <c r="P259" i="2"/>
  <c r="R264" i="2"/>
  <c r="R269" i="2"/>
  <c r="R277" i="2"/>
  <c r="R279" i="2"/>
  <c r="P284" i="2"/>
  <c r="R294" i="2"/>
  <c r="R312" i="2"/>
  <c r="R338" i="2"/>
  <c r="P388" i="2"/>
  <c r="P396" i="2"/>
  <c r="P420" i="2"/>
  <c r="P449" i="2"/>
  <c r="P542" i="2"/>
  <c r="P550" i="2"/>
  <c r="R582" i="2"/>
  <c r="R606" i="2"/>
  <c r="R888" i="2"/>
  <c r="R641" i="2"/>
  <c r="R516" i="2"/>
  <c r="R509" i="2"/>
  <c r="R620" i="2"/>
  <c r="R615" i="2"/>
  <c r="R583" i="2"/>
  <c r="R535" i="2"/>
  <c r="R566" i="2"/>
  <c r="R542" i="2"/>
  <c r="R537" i="2"/>
  <c r="R600" i="2"/>
  <c r="R595" i="2"/>
  <c r="R578" i="2"/>
  <c r="R472" i="2"/>
  <c r="R465" i="2"/>
  <c r="R458" i="2"/>
  <c r="R448" i="2"/>
  <c r="R630" i="2"/>
  <c r="R617" i="2"/>
  <c r="R556" i="2"/>
  <c r="R772" i="2"/>
  <c r="R663" i="2"/>
  <c r="R668" i="2"/>
  <c r="R560" i="2"/>
  <c r="R529" i="2"/>
  <c r="R517" i="2"/>
  <c r="R411" i="2"/>
  <c r="R372" i="2"/>
  <c r="R367" i="2"/>
  <c r="R471" i="2"/>
  <c r="R447" i="2"/>
  <c r="R611" i="2"/>
  <c r="R418" i="2"/>
  <c r="R4" i="2"/>
  <c r="R9" i="2"/>
  <c r="R11" i="2"/>
  <c r="P30" i="2"/>
  <c r="R37" i="2"/>
  <c r="P42" i="2"/>
  <c r="R59" i="2"/>
  <c r="R69" i="2"/>
  <c r="R74" i="2"/>
  <c r="R76" i="2"/>
  <c r="R86" i="2"/>
  <c r="R95" i="2"/>
  <c r="P100" i="2"/>
  <c r="R105" i="2"/>
  <c r="P112" i="2"/>
  <c r="R117" i="2"/>
  <c r="P134" i="2"/>
  <c r="R139" i="2"/>
  <c r="R144" i="2"/>
  <c r="P149" i="2"/>
  <c r="R154" i="2"/>
  <c r="P156" i="2"/>
  <c r="P166" i="2"/>
  <c r="P178" i="2"/>
  <c r="R186" i="2"/>
  <c r="P191" i="2"/>
  <c r="P201" i="2"/>
  <c r="R209" i="2"/>
  <c r="P214" i="2"/>
  <c r="P219" i="2"/>
  <c r="P224" i="2"/>
  <c r="R229" i="2"/>
  <c r="R257" i="2"/>
  <c r="R259" i="2"/>
  <c r="P264" i="2"/>
  <c r="P269" i="2"/>
  <c r="P277" i="2"/>
  <c r="R287" i="2"/>
  <c r="R307" i="2"/>
  <c r="R354" i="2"/>
  <c r="P359" i="2"/>
  <c r="R383" i="2"/>
  <c r="R399" i="2"/>
  <c r="R407" i="2"/>
  <c r="R420" i="2"/>
  <c r="P473" i="2"/>
  <c r="P481" i="2"/>
  <c r="R545" i="2"/>
  <c r="P566" i="2"/>
  <c r="P590" i="2"/>
  <c r="P614" i="2"/>
  <c r="P670" i="2"/>
  <c r="P763" i="2"/>
  <c r="P4" i="2"/>
  <c r="R16" i="2"/>
  <c r="R28" i="2"/>
  <c r="R35" i="2"/>
  <c r="R54" i="2"/>
  <c r="R64" i="2"/>
  <c r="R91" i="2"/>
  <c r="P105" i="2"/>
  <c r="R110" i="2"/>
  <c r="R122" i="2"/>
  <c r="P127" i="2"/>
  <c r="R132" i="2"/>
  <c r="P139" i="2"/>
  <c r="P144" i="2"/>
  <c r="R159" i="2"/>
  <c r="R181" i="2"/>
  <c r="P186" i="2"/>
  <c r="R194" i="2"/>
  <c r="R204" i="2"/>
  <c r="P229" i="2"/>
  <c r="P234" i="2"/>
  <c r="R239" i="2"/>
  <c r="P257" i="2"/>
  <c r="R272" i="2"/>
  <c r="P299" i="2"/>
  <c r="R315" i="2"/>
  <c r="R336" i="2"/>
  <c r="R378" i="2"/>
  <c r="P391" i="2"/>
  <c r="P399" i="2"/>
  <c r="P444" i="2"/>
  <c r="P460" i="2"/>
  <c r="P468" i="2"/>
  <c r="P505" i="2"/>
  <c r="P537" i="2"/>
  <c r="P553" i="2"/>
  <c r="R569" i="2"/>
  <c r="R577" i="2"/>
  <c r="R665" i="2"/>
  <c r="P9" i="2"/>
  <c r="P16" i="2"/>
  <c r="P28" i="2"/>
  <c r="P35" i="2"/>
  <c r="P40" i="2"/>
  <c r="R47" i="2"/>
  <c r="P54" i="2"/>
  <c r="P59" i="2"/>
  <c r="P64" i="2"/>
  <c r="P69" i="2"/>
  <c r="P74" i="2"/>
  <c r="R79" i="2"/>
  <c r="P86" i="2"/>
  <c r="P98" i="2"/>
  <c r="P117" i="2"/>
  <c r="P122" i="2"/>
  <c r="R142" i="2"/>
  <c r="R147" i="2"/>
  <c r="P154" i="2"/>
  <c r="P159" i="2"/>
  <c r="R164" i="2"/>
  <c r="R176" i="2"/>
  <c r="P181" i="2"/>
  <c r="P204" i="2"/>
  <c r="P209" i="2"/>
  <c r="R217" i="2"/>
  <c r="R222" i="2"/>
  <c r="R234" i="2"/>
  <c r="R247" i="2"/>
  <c r="R252" i="2"/>
  <c r="P262" i="2"/>
  <c r="P272" i="2"/>
  <c r="P282" i="2"/>
  <c r="P287" i="2"/>
  <c r="R297" i="2"/>
  <c r="P328" i="2"/>
  <c r="P336" i="2"/>
  <c r="P354" i="2"/>
  <c r="R455" i="2"/>
  <c r="R463" i="2"/>
  <c r="R468" i="2"/>
  <c r="R492" i="2"/>
  <c r="R524" i="2"/>
  <c r="P569" i="2"/>
  <c r="P601" i="2"/>
  <c r="P721" i="2"/>
  <c r="R737" i="2"/>
  <c r="P878" i="2"/>
  <c r="P140" i="2"/>
  <c r="P145" i="2"/>
  <c r="P150" i="2"/>
  <c r="R179" i="2"/>
  <c r="P184" i="2"/>
  <c r="P189" i="2"/>
  <c r="P194" i="2"/>
  <c r="P211" i="2"/>
  <c r="P226" i="2"/>
  <c r="P265" i="2"/>
  <c r="P270" i="2"/>
  <c r="P278" i="2"/>
  <c r="P290" i="2"/>
  <c r="P297" i="2"/>
  <c r="R302" i="2"/>
  <c r="P307" i="2"/>
  <c r="R322" i="2"/>
  <c r="P332" i="2"/>
  <c r="P337" i="2"/>
  <c r="R352" i="2"/>
  <c r="P364" i="2"/>
  <c r="P369" i="2"/>
  <c r="R384" i="2"/>
  <c r="R403" i="2"/>
  <c r="R430" i="2"/>
  <c r="P435" i="2"/>
  <c r="P442" i="2"/>
  <c r="R452" i="2"/>
  <c r="R457" i="2"/>
  <c r="P495" i="2"/>
  <c r="R505" i="2"/>
  <c r="P519" i="2"/>
  <c r="P531" i="2"/>
  <c r="R536" i="2"/>
  <c r="P538" i="2"/>
  <c r="P543" i="2"/>
  <c r="R555" i="2"/>
  <c r="P567" i="2"/>
  <c r="P572" i="2"/>
  <c r="P577" i="2"/>
  <c r="R584" i="2"/>
  <c r="P606" i="2"/>
  <c r="R616" i="2"/>
  <c r="R621" i="2"/>
  <c r="R629" i="2"/>
  <c r="P647" i="2"/>
  <c r="P660" i="2"/>
  <c r="P665" i="2"/>
  <c r="P696" i="2"/>
  <c r="P704" i="2"/>
  <c r="P722" i="2"/>
  <c r="P730" i="2"/>
  <c r="R743" i="2"/>
  <c r="R751" i="2"/>
  <c r="P756" i="2"/>
  <c r="P774" i="2"/>
  <c r="P795" i="2"/>
  <c r="P808" i="2"/>
  <c r="R834" i="2"/>
  <c r="R839" i="2"/>
  <c r="P860" i="2"/>
  <c r="P881" i="2"/>
  <c r="P302" i="2"/>
  <c r="R317" i="2"/>
  <c r="R327" i="2"/>
  <c r="R347" i="2"/>
  <c r="P384" i="2"/>
  <c r="R389" i="2"/>
  <c r="P403" i="2"/>
  <c r="R423" i="2"/>
  <c r="P430" i="2"/>
  <c r="P447" i="2"/>
  <c r="P452" i="2"/>
  <c r="P471" i="2"/>
  <c r="R541" i="2"/>
  <c r="R548" i="2"/>
  <c r="P555" i="2"/>
  <c r="R565" i="2"/>
  <c r="P584" i="2"/>
  <c r="R589" i="2"/>
  <c r="R594" i="2"/>
  <c r="R599" i="2"/>
  <c r="P616" i="2"/>
  <c r="P621" i="2"/>
  <c r="R637" i="2"/>
  <c r="R681" i="2"/>
  <c r="R686" i="2"/>
  <c r="R738" i="2"/>
  <c r="R759" i="2"/>
  <c r="R764" i="2"/>
  <c r="P769" i="2"/>
  <c r="R777" i="2"/>
  <c r="P782" i="2"/>
  <c r="P816" i="2"/>
  <c r="P839" i="2"/>
  <c r="P847" i="2"/>
  <c r="P868" i="2"/>
  <c r="P876" i="2"/>
  <c r="R884" i="2"/>
  <c r="P327" i="2"/>
  <c r="R335" i="2"/>
  <c r="P347" i="2"/>
  <c r="R357" i="2"/>
  <c r="R362" i="2"/>
  <c r="P367" i="2"/>
  <c r="P372" i="2"/>
  <c r="R377" i="2"/>
  <c r="R394" i="2"/>
  <c r="R406" i="2"/>
  <c r="P411" i="2"/>
  <c r="R416" i="2"/>
  <c r="P423" i="2"/>
  <c r="R445" i="2"/>
  <c r="R462" i="2"/>
  <c r="R476" i="2"/>
  <c r="R481" i="2"/>
  <c r="R486" i="2"/>
  <c r="R498" i="2"/>
  <c r="R503" i="2"/>
  <c r="P517" i="2"/>
  <c r="P529" i="2"/>
  <c r="P541" i="2"/>
  <c r="R553" i="2"/>
  <c r="P560" i="2"/>
  <c r="P565" i="2"/>
  <c r="P589" i="2"/>
  <c r="P594" i="2"/>
  <c r="P599" i="2"/>
  <c r="R609" i="2"/>
  <c r="R614" i="2"/>
  <c r="R624" i="2"/>
  <c r="P650" i="2"/>
  <c r="R707" i="2"/>
  <c r="R720" i="2"/>
  <c r="P725" i="2"/>
  <c r="P733" i="2"/>
  <c r="P759" i="2"/>
  <c r="P764" i="2"/>
  <c r="R785" i="2"/>
  <c r="P790" i="2"/>
  <c r="P811" i="2"/>
  <c r="R842" i="2"/>
  <c r="R850" i="2"/>
  <c r="P884" i="2"/>
  <c r="R350" i="2"/>
  <c r="P357" i="2"/>
  <c r="P362" i="2"/>
  <c r="P377" i="2"/>
  <c r="R382" i="2"/>
  <c r="P394" i="2"/>
  <c r="P406" i="2"/>
  <c r="P416" i="2"/>
  <c r="R428" i="2"/>
  <c r="R433" i="2"/>
  <c r="P462" i="2"/>
  <c r="P476" i="2"/>
  <c r="P486" i="2"/>
  <c r="P493" i="2"/>
  <c r="P498" i="2"/>
  <c r="P503" i="2"/>
  <c r="R508" i="2"/>
  <c r="R527" i="2"/>
  <c r="R534" i="2"/>
  <c r="R570" i="2"/>
  <c r="R575" i="2"/>
  <c r="P582" i="2"/>
  <c r="R604" i="2"/>
  <c r="P609" i="2"/>
  <c r="R619" i="2"/>
  <c r="R632" i="2"/>
  <c r="R645" i="2"/>
  <c r="R653" i="2"/>
  <c r="P658" i="2"/>
  <c r="P663" i="2"/>
  <c r="R676" i="2"/>
  <c r="R689" i="2"/>
  <c r="R702" i="2"/>
  <c r="P720" i="2"/>
  <c r="R741" i="2"/>
  <c r="P746" i="2"/>
  <c r="R767" i="2"/>
  <c r="P772" i="2"/>
  <c r="P798" i="2"/>
  <c r="P824" i="2"/>
  <c r="P829" i="2"/>
  <c r="R879" i="2"/>
  <c r="R300" i="2"/>
  <c r="P310" i="2"/>
  <c r="R320" i="2"/>
  <c r="R325" i="2"/>
  <c r="P330" i="2"/>
  <c r="R340" i="2"/>
  <c r="P382" i="2"/>
  <c r="P387" i="2"/>
  <c r="R421" i="2"/>
  <c r="P428" i="2"/>
  <c r="P433" i="2"/>
  <c r="R450" i="2"/>
  <c r="P455" i="2"/>
  <c r="R460" i="2"/>
  <c r="R469" i="2"/>
  <c r="R474" i="2"/>
  <c r="R501" i="2"/>
  <c r="P515" i="2"/>
  <c r="P534" i="2"/>
  <c r="P546" i="2"/>
  <c r="R551" i="2"/>
  <c r="P570" i="2"/>
  <c r="P575" i="2"/>
  <c r="P604" i="2"/>
  <c r="P619" i="2"/>
  <c r="R627" i="2"/>
  <c r="R640" i="2"/>
  <c r="P653" i="2"/>
  <c r="P689" i="2"/>
  <c r="R710" i="2"/>
  <c r="P715" i="2"/>
  <c r="R762" i="2"/>
  <c r="P793" i="2"/>
  <c r="R801" i="2"/>
  <c r="P837" i="2"/>
  <c r="R874" i="2"/>
  <c r="P887" i="2"/>
  <c r="P320" i="2"/>
  <c r="P325" i="2"/>
  <c r="R333" i="2"/>
  <c r="P340" i="2"/>
  <c r="R345" i="2"/>
  <c r="R355" i="2"/>
  <c r="R365" i="2"/>
  <c r="R370" i="2"/>
  <c r="R375" i="2"/>
  <c r="R392" i="2"/>
  <c r="R397" i="2"/>
  <c r="R409" i="2"/>
  <c r="R426" i="2"/>
  <c r="P438" i="2"/>
  <c r="R443" i="2"/>
  <c r="P450" i="2"/>
  <c r="R467" i="2"/>
  <c r="P469" i="2"/>
  <c r="R479" i="2"/>
  <c r="P491" i="2"/>
  <c r="R520" i="2"/>
  <c r="R532" i="2"/>
  <c r="R539" i="2"/>
  <c r="R544" i="2"/>
  <c r="R558" i="2"/>
  <c r="P563" i="2"/>
  <c r="R568" i="2"/>
  <c r="R580" i="2"/>
  <c r="R592" i="2"/>
  <c r="R597" i="2"/>
  <c r="P602" i="2"/>
  <c r="P627" i="2"/>
  <c r="R635" i="2"/>
  <c r="R661" i="2"/>
  <c r="P671" i="2"/>
  <c r="R679" i="2"/>
  <c r="R697" i="2"/>
  <c r="P710" i="2"/>
  <c r="R723" i="2"/>
  <c r="R731" i="2"/>
  <c r="P736" i="2"/>
  <c r="R757" i="2"/>
  <c r="P762" i="2"/>
  <c r="R775" i="2"/>
  <c r="R809" i="2"/>
  <c r="P814" i="2"/>
  <c r="P832" i="2"/>
  <c r="P845" i="2"/>
  <c r="P853" i="2"/>
  <c r="P874" i="2"/>
  <c r="P141" i="2"/>
  <c r="P146" i="2"/>
  <c r="P158" i="2"/>
  <c r="R180" i="2"/>
  <c r="P185" i="2"/>
  <c r="R190" i="2"/>
  <c r="P207" i="2"/>
  <c r="P212" i="2"/>
  <c r="P239" i="2"/>
  <c r="P244" i="2"/>
  <c r="P254" i="2"/>
  <c r="R266" i="2"/>
  <c r="P271" i="2"/>
  <c r="R303" i="2"/>
  <c r="R313" i="2"/>
  <c r="P333" i="2"/>
  <c r="P345" i="2"/>
  <c r="P365" i="2"/>
  <c r="P370" i="2"/>
  <c r="P375" i="2"/>
  <c r="R385" i="2"/>
  <c r="R404" i="2"/>
  <c r="P409" i="2"/>
  <c r="P414" i="2"/>
  <c r="R419" i="2"/>
  <c r="P426" i="2"/>
  <c r="R431" i="2"/>
  <c r="R436" i="2"/>
  <c r="P443" i="2"/>
  <c r="R453" i="2"/>
  <c r="P479" i="2"/>
  <c r="R484" i="2"/>
  <c r="R496" i="2"/>
  <c r="R513" i="2"/>
  <c r="P520" i="2"/>
  <c r="R525" i="2"/>
  <c r="P539" i="2"/>
  <c r="P558" i="2"/>
  <c r="P568" i="2"/>
  <c r="R573" i="2"/>
  <c r="P580" i="2"/>
  <c r="R585" i="2"/>
  <c r="P592" i="2"/>
  <c r="P597" i="2"/>
  <c r="R607" i="2"/>
  <c r="R612" i="2"/>
  <c r="R622" i="2"/>
  <c r="P648" i="2"/>
  <c r="R656" i="2"/>
  <c r="P666" i="2"/>
  <c r="P679" i="2"/>
  <c r="R692" i="2"/>
  <c r="P697" i="2"/>
  <c r="R718" i="2"/>
  <c r="R744" i="2"/>
  <c r="R752" i="2"/>
  <c r="P757" i="2"/>
  <c r="R770" i="2"/>
  <c r="R783" i="2"/>
  <c r="P788" i="2"/>
  <c r="P796" i="2"/>
  <c r="P809" i="2"/>
  <c r="R817" i="2"/>
  <c r="R869" i="2"/>
  <c r="P882" i="2"/>
  <c r="P151" i="2"/>
  <c r="P163" i="2"/>
  <c r="P175" i="2"/>
  <c r="P180" i="2"/>
  <c r="P190" i="2"/>
  <c r="P227" i="2"/>
  <c r="R232" i="2"/>
  <c r="R274" i="2"/>
  <c r="P303" i="2"/>
  <c r="P308" i="2"/>
  <c r="P313" i="2"/>
  <c r="R323" i="2"/>
  <c r="R328" i="2"/>
  <c r="R348" i="2"/>
  <c r="R353" i="2"/>
  <c r="P385" i="2"/>
  <c r="P404" i="2"/>
  <c r="P419" i="2"/>
  <c r="R424" i="2"/>
  <c r="P453" i="2"/>
  <c r="P484" i="2"/>
  <c r="R489" i="2"/>
  <c r="P496" i="2"/>
  <c r="R506" i="2"/>
  <c r="P556" i="2"/>
  <c r="P585" i="2"/>
  <c r="R590" i="2"/>
  <c r="P607" i="2"/>
  <c r="P612" i="2"/>
  <c r="P617" i="2"/>
  <c r="P622" i="2"/>
  <c r="P630" i="2"/>
  <c r="R643" i="2"/>
  <c r="R651" i="2"/>
  <c r="P656" i="2"/>
  <c r="R674" i="2"/>
  <c r="P692" i="2"/>
  <c r="R700" i="2"/>
  <c r="P705" i="2"/>
  <c r="R734" i="2"/>
  <c r="R739" i="2"/>
  <c r="P744" i="2"/>
  <c r="P783" i="2"/>
  <c r="P817" i="2"/>
  <c r="P840" i="2"/>
  <c r="P856" i="2"/>
  <c r="P861" i="2"/>
  <c r="P877" i="2"/>
  <c r="R885" i="2"/>
  <c r="R417" i="2"/>
  <c r="P448" i="2"/>
  <c r="P458" i="2"/>
  <c r="P472" i="2"/>
  <c r="R477" i="2"/>
  <c r="P489" i="2"/>
  <c r="R499" i="2"/>
  <c r="P506" i="2"/>
  <c r="R530" i="2"/>
  <c r="R549" i="2"/>
  <c r="R561" i="2"/>
  <c r="P595" i="2"/>
  <c r="P600" i="2"/>
  <c r="R610" i="2"/>
  <c r="R625" i="2"/>
  <c r="P643" i="2"/>
  <c r="P651" i="2"/>
  <c r="R659" i="2"/>
  <c r="P674" i="2"/>
  <c r="P687" i="2"/>
  <c r="P700" i="2"/>
  <c r="R708" i="2"/>
  <c r="R721" i="2"/>
  <c r="P726" i="2"/>
  <c r="P734" i="2"/>
  <c r="P760" i="2"/>
  <c r="P765" i="2"/>
  <c r="R799" i="2"/>
  <c r="P804" i="2"/>
  <c r="R825" i="2"/>
  <c r="P885" i="2"/>
  <c r="R331" i="2"/>
  <c r="P343" i="2"/>
  <c r="P358" i="2"/>
  <c r="P373" i="2"/>
  <c r="P378" i="2"/>
  <c r="P390" i="2"/>
  <c r="P395" i="2"/>
  <c r="R402" i="2"/>
  <c r="P407" i="2"/>
  <c r="P412" i="2"/>
  <c r="P417" i="2"/>
  <c r="R429" i="2"/>
  <c r="R434" i="2"/>
  <c r="R441" i="2"/>
  <c r="R446" i="2"/>
  <c r="P463" i="2"/>
  <c r="P477" i="2"/>
  <c r="R482" i="2"/>
  <c r="P487" i="2"/>
  <c r="R494" i="2"/>
  <c r="P499" i="2"/>
  <c r="R511" i="2"/>
  <c r="P518" i="2"/>
  <c r="R523" i="2"/>
  <c r="P549" i="2"/>
  <c r="R554" i="2"/>
  <c r="P561" i="2"/>
  <c r="R571" i="2"/>
  <c r="R576" i="2"/>
  <c r="R605" i="2"/>
  <c r="P610" i="2"/>
  <c r="R633" i="2"/>
  <c r="R646" i="2"/>
  <c r="R654" i="2"/>
  <c r="R677" i="2"/>
  <c r="R690" i="2"/>
  <c r="P695" i="2"/>
  <c r="P708" i="2"/>
  <c r="P747" i="2"/>
  <c r="R773" i="2"/>
  <c r="P778" i="2"/>
  <c r="R786" i="2"/>
  <c r="R794" i="2"/>
  <c r="P799" i="2"/>
  <c r="P830" i="2"/>
  <c r="P843" i="2"/>
  <c r="P864" i="2"/>
  <c r="P872" i="2"/>
  <c r="R880" i="2"/>
  <c r="P311" i="2"/>
  <c r="R321" i="2"/>
  <c r="R326" i="2"/>
  <c r="P331" i="2"/>
  <c r="R341" i="2"/>
  <c r="R351" i="2"/>
  <c r="P383" i="2"/>
  <c r="R388" i="2"/>
  <c r="R400" i="2"/>
  <c r="P434" i="2"/>
  <c r="P441" i="2"/>
  <c r="R451" i="2"/>
  <c r="R456" i="2"/>
  <c r="R470" i="2"/>
  <c r="P482" i="2"/>
  <c r="P494" i="2"/>
  <c r="P511" i="2"/>
  <c r="P523" i="2"/>
  <c r="R528" i="2"/>
  <c r="P535" i="2"/>
  <c r="R547" i="2"/>
  <c r="P571" i="2"/>
  <c r="P576" i="2"/>
  <c r="P583" i="2"/>
  <c r="P605" i="2"/>
  <c r="P615" i="2"/>
  <c r="P620" i="2"/>
  <c r="R628" i="2"/>
  <c r="P654" i="2"/>
  <c r="P703" i="2"/>
  <c r="R711" i="2"/>
  <c r="R742" i="2"/>
  <c r="P755" i="2"/>
  <c r="P773" i="2"/>
  <c r="R781" i="2"/>
  <c r="P794" i="2"/>
  <c r="P807" i="2"/>
  <c r="P820" i="2"/>
  <c r="P859" i="2"/>
  <c r="P880" i="2"/>
  <c r="P341" i="2"/>
  <c r="R346" i="2"/>
  <c r="P351" i="2"/>
  <c r="R366" i="2"/>
  <c r="R371" i="2"/>
  <c r="R410" i="2"/>
  <c r="R422" i="2"/>
  <c r="R439" i="2"/>
  <c r="R444" i="2"/>
  <c r="P451" i="2"/>
  <c r="P456" i="2"/>
  <c r="P470" i="2"/>
  <c r="R475" i="2"/>
  <c r="P509" i="2"/>
  <c r="P516" i="2"/>
  <c r="R521" i="2"/>
  <c r="R540" i="2"/>
  <c r="R559" i="2"/>
  <c r="R564" i="2"/>
  <c r="R588" i="2"/>
  <c r="R593" i="2"/>
  <c r="R598" i="2"/>
  <c r="P628" i="2"/>
  <c r="R636" i="2"/>
  <c r="R649" i="2"/>
  <c r="R667" i="2"/>
  <c r="R724" i="2"/>
  <c r="P750" i="2"/>
  <c r="P781" i="2"/>
  <c r="R802" i="2"/>
  <c r="R810" i="2"/>
  <c r="P833" i="2"/>
  <c r="P846" i="2"/>
  <c r="P867" i="2"/>
  <c r="R883" i="2"/>
  <c r="P316" i="2"/>
  <c r="P346" i="2"/>
  <c r="R356" i="2"/>
  <c r="R361" i="2"/>
  <c r="P366" i="2"/>
  <c r="P371" i="2"/>
  <c r="P376" i="2"/>
  <c r="R386" i="2"/>
  <c r="R393" i="2"/>
  <c r="R398" i="2"/>
  <c r="R405" i="2"/>
  <c r="P410" i="2"/>
  <c r="R415" i="2"/>
  <c r="P422" i="2"/>
  <c r="P439" i="2"/>
  <c r="P461" i="2"/>
  <c r="P480" i="2"/>
  <c r="R485" i="2"/>
  <c r="P492" i="2"/>
  <c r="R497" i="2"/>
  <c r="P502" i="2"/>
  <c r="P521" i="2"/>
  <c r="R533" i="2"/>
  <c r="P540" i="2"/>
  <c r="P552" i="2"/>
  <c r="P559" i="2"/>
  <c r="P564" i="2"/>
  <c r="P581" i="2"/>
  <c r="P588" i="2"/>
  <c r="P593" i="2"/>
  <c r="P598" i="2"/>
  <c r="R608" i="2"/>
  <c r="R613" i="2"/>
  <c r="R623" i="2"/>
  <c r="P649" i="2"/>
  <c r="R662" i="2"/>
  <c r="P667" i="2"/>
  <c r="P680" i="2"/>
  <c r="P685" i="2"/>
  <c r="R693" i="2"/>
  <c r="R706" i="2"/>
  <c r="R719" i="2"/>
  <c r="P724" i="2"/>
  <c r="P732" i="2"/>
  <c r="R745" i="2"/>
  <c r="P776" i="2"/>
  <c r="P789" i="2"/>
  <c r="P810" i="2"/>
  <c r="R823" i="2"/>
  <c r="R828" i="2"/>
  <c r="R841" i="2"/>
  <c r="R849" i="2"/>
  <c r="R857" i="2"/>
  <c r="P883" i="2"/>
  <c r="R292" i="2"/>
  <c r="R299" i="2"/>
  <c r="P304" i="2"/>
  <c r="R309" i="2"/>
  <c r="P314" i="2"/>
  <c r="R329" i="2"/>
  <c r="R339" i="2"/>
  <c r="R349" i="2"/>
  <c r="P356" i="2"/>
  <c r="P361" i="2"/>
  <c r="R381" i="2"/>
  <c r="P393" i="2"/>
  <c r="P398" i="2"/>
  <c r="P405" i="2"/>
  <c r="P415" i="2"/>
  <c r="R432" i="2"/>
  <c r="R437" i="2"/>
  <c r="P454" i="2"/>
  <c r="P485" i="2"/>
  <c r="R490" i="2"/>
  <c r="P497" i="2"/>
  <c r="R507" i="2"/>
  <c r="R514" i="2"/>
  <c r="R526" i="2"/>
  <c r="P545" i="2"/>
  <c r="R574" i="2"/>
  <c r="P586" i="2"/>
  <c r="P608" i="2"/>
  <c r="P613" i="2"/>
  <c r="R618" i="2"/>
  <c r="R631" i="2"/>
  <c r="R652" i="2"/>
  <c r="P693" i="2"/>
  <c r="R701" i="2"/>
  <c r="R714" i="2"/>
  <c r="R735" i="2"/>
  <c r="R740" i="2"/>
  <c r="R761" i="2"/>
  <c r="R766" i="2"/>
  <c r="P784" i="2"/>
  <c r="R792" i="2"/>
  <c r="P797" i="2"/>
  <c r="R805" i="2"/>
  <c r="P828" i="2"/>
  <c r="P841" i="2"/>
  <c r="P849" i="2"/>
  <c r="P857" i="2"/>
  <c r="P152" i="2"/>
  <c r="R157" i="2"/>
  <c r="P164" i="2"/>
  <c r="R169" i="2"/>
  <c r="P176" i="2"/>
  <c r="P196" i="2"/>
  <c r="R201" i="2"/>
  <c r="R206" i="2"/>
  <c r="R216" i="2"/>
  <c r="R221" i="2"/>
  <c r="P228" i="2"/>
  <c r="P233" i="2"/>
  <c r="R248" i="2"/>
  <c r="R260" i="2"/>
  <c r="P267" i="2"/>
  <c r="P275" i="2"/>
  <c r="R280" i="2"/>
  <c r="R285" i="2"/>
  <c r="P292" i="2"/>
  <c r="P309" i="2"/>
  <c r="R319" i="2"/>
  <c r="P324" i="2"/>
  <c r="P329" i="2"/>
  <c r="R344" i="2"/>
  <c r="P349" i="2"/>
  <c r="R359" i="2"/>
  <c r="P381" i="2"/>
  <c r="R391" i="2"/>
  <c r="R396" i="2"/>
  <c r="R425" i="2"/>
  <c r="P432" i="2"/>
  <c r="R449" i="2"/>
  <c r="R459" i="2"/>
  <c r="R466" i="2"/>
  <c r="R473" i="2"/>
  <c r="R500" i="2"/>
  <c r="P507" i="2"/>
  <c r="P514" i="2"/>
  <c r="P526" i="2"/>
  <c r="R550" i="2"/>
  <c r="R562" i="2"/>
  <c r="P574" i="2"/>
  <c r="R601" i="2"/>
  <c r="P618" i="2"/>
  <c r="R626" i="2"/>
  <c r="R639" i="2"/>
  <c r="P644" i="2"/>
  <c r="P652" i="2"/>
  <c r="R670" i="2"/>
  <c r="P675" i="2"/>
  <c r="P688" i="2"/>
  <c r="P701" i="2"/>
  <c r="P727" i="2"/>
  <c r="P740" i="2"/>
  <c r="R748" i="2"/>
  <c r="P766" i="2"/>
  <c r="P792" i="2"/>
  <c r="P805" i="2"/>
  <c r="R831" i="2"/>
  <c r="R844" i="2"/>
  <c r="M29" i="2"/>
  <c r="N29" i="2" s="1"/>
  <c r="M90" i="2"/>
  <c r="N90" i="2" s="1"/>
  <c r="M49" i="2"/>
  <c r="N49" i="2" s="1"/>
  <c r="M99" i="2"/>
  <c r="N99" i="2" s="1"/>
  <c r="M154" i="2"/>
  <c r="N154" i="2" s="1"/>
  <c r="M202" i="2"/>
  <c r="N202" i="2" s="1"/>
  <c r="M343" i="2"/>
  <c r="N343" i="2" s="1"/>
  <c r="P623" i="2"/>
  <c r="P632" i="2"/>
  <c r="P639" i="2"/>
  <c r="P646" i="2"/>
  <c r="R657" i="2"/>
  <c r="P686" i="2"/>
  <c r="P719" i="2"/>
  <c r="R728" i="2"/>
  <c r="P739" i="2"/>
  <c r="P770" i="2"/>
  <c r="R779" i="2"/>
  <c r="R790" i="2"/>
  <c r="R803" i="2"/>
  <c r="R814" i="2"/>
  <c r="R836" i="2"/>
  <c r="R858" i="2"/>
  <c r="R865" i="2"/>
  <c r="R872" i="2"/>
  <c r="R887" i="2"/>
  <c r="M5" i="2"/>
  <c r="N5" i="2" s="1"/>
  <c r="M65" i="2"/>
  <c r="N65" i="2" s="1"/>
  <c r="M140" i="2"/>
  <c r="N140" i="2" s="1"/>
  <c r="M193" i="2"/>
  <c r="N193" i="2" s="1"/>
  <c r="R655" i="2"/>
  <c r="P657" i="2"/>
  <c r="P677" i="2"/>
  <c r="R684" i="2"/>
  <c r="P706" i="2"/>
  <c r="R768" i="2"/>
  <c r="P803" i="2"/>
  <c r="P823" i="2"/>
  <c r="P834" i="2"/>
  <c r="R854" i="2"/>
  <c r="R876" i="2"/>
  <c r="M25" i="2"/>
  <c r="N25" i="2" s="1"/>
  <c r="M63" i="2"/>
  <c r="N63" i="2" s="1"/>
  <c r="M86" i="2"/>
  <c r="N86" i="2" s="1"/>
  <c r="M88" i="2"/>
  <c r="N88" i="2" s="1"/>
  <c r="M106" i="2"/>
  <c r="N106" i="2" s="1"/>
  <c r="M124" i="2"/>
  <c r="N124" i="2" s="1"/>
  <c r="M230" i="2"/>
  <c r="N230" i="2" s="1"/>
  <c r="R644" i="2"/>
  <c r="R666" i="2"/>
  <c r="P668" i="2"/>
  <c r="R675" i="2"/>
  <c r="R715" i="2"/>
  <c r="P717" i="2"/>
  <c r="R726" i="2"/>
  <c r="P728" i="2"/>
  <c r="R733" i="2"/>
  <c r="P737" i="2"/>
  <c r="R746" i="2"/>
  <c r="R755" i="2"/>
  <c r="P779" i="2"/>
  <c r="R788" i="2"/>
  <c r="R832" i="2"/>
  <c r="R845" i="2"/>
  <c r="P854" i="2"/>
  <c r="M45" i="2"/>
  <c r="N45" i="2" s="1"/>
  <c r="Q45" i="2" s="1"/>
  <c r="R830" i="2"/>
  <c r="R843" i="2"/>
  <c r="R847" i="2"/>
  <c r="R852" i="2"/>
  <c r="P863" i="2"/>
  <c r="R870" i="2"/>
  <c r="M84" i="2"/>
  <c r="N84" i="2" s="1"/>
  <c r="Q84" i="2" s="1"/>
  <c r="M122" i="2"/>
  <c r="N122" i="2" s="1"/>
  <c r="Q122" i="2" s="1"/>
  <c r="P626" i="2"/>
  <c r="P635" i="2"/>
  <c r="R642" i="2"/>
  <c r="R664" i="2"/>
  <c r="R673" i="2"/>
  <c r="P702" i="2"/>
  <c r="R713" i="2"/>
  <c r="P775" i="2"/>
  <c r="R797" i="2"/>
  <c r="R812" i="2"/>
  <c r="R819" i="2"/>
  <c r="R861" i="2"/>
  <c r="R863" i="2"/>
  <c r="R868" i="2"/>
  <c r="M21" i="2"/>
  <c r="N21" i="2" s="1"/>
  <c r="M61" i="2"/>
  <c r="N61" i="2" s="1"/>
  <c r="Q61" i="2" s="1"/>
  <c r="V61" i="2" s="1"/>
  <c r="L829" i="3" s="1"/>
  <c r="M75" i="2"/>
  <c r="N75" i="2" s="1"/>
  <c r="M82" i="2"/>
  <c r="N82" i="2" s="1"/>
  <c r="M129" i="2"/>
  <c r="N129" i="2" s="1"/>
  <c r="M286" i="2"/>
  <c r="N286" i="2" s="1"/>
  <c r="P642" i="2"/>
  <c r="P664" i="2"/>
  <c r="P673" i="2"/>
  <c r="R682" i="2"/>
  <c r="R691" i="2"/>
  <c r="R722" i="2"/>
  <c r="P731" i="2"/>
  <c r="R753" i="2"/>
  <c r="R795" i="2"/>
  <c r="P819" i="2"/>
  <c r="R859" i="2"/>
  <c r="P870" i="2"/>
  <c r="P879" i="2"/>
  <c r="M337" i="2"/>
  <c r="N337" i="2" s="1"/>
  <c r="M41" i="2"/>
  <c r="N41" i="2" s="1"/>
  <c r="M59" i="2"/>
  <c r="N59" i="2" s="1"/>
  <c r="M68" i="2"/>
  <c r="N68" i="2" s="1"/>
  <c r="M91" i="2"/>
  <c r="N91" i="2" s="1"/>
  <c r="M120" i="2"/>
  <c r="N120" i="2" s="1"/>
  <c r="M157" i="2"/>
  <c r="N157" i="2" s="1"/>
  <c r="P633" i="2"/>
  <c r="R658" i="2"/>
  <c r="P662" i="2"/>
  <c r="R671" i="2"/>
  <c r="R680" i="2"/>
  <c r="P682" i="2"/>
  <c r="P691" i="2"/>
  <c r="P713" i="2"/>
  <c r="P742" i="2"/>
  <c r="R760" i="2"/>
  <c r="R771" i="2"/>
  <c r="R784" i="2"/>
  <c r="P786" i="2"/>
  <c r="R806" i="2"/>
  <c r="R824" i="2"/>
  <c r="R877" i="2"/>
  <c r="M50" i="2"/>
  <c r="N50" i="2" s="1"/>
  <c r="M118" i="2"/>
  <c r="N118" i="2" s="1"/>
  <c r="P624" i="2"/>
  <c r="P640" i="2"/>
  <c r="R698" i="2"/>
  <c r="P711" i="2"/>
  <c r="R729" i="2"/>
  <c r="R749" i="2"/>
  <c r="P751" i="2"/>
  <c r="P753" i="2"/>
  <c r="R758" i="2"/>
  <c r="P771" i="2"/>
  <c r="P806" i="2"/>
  <c r="P826" i="2"/>
  <c r="R835" i="2"/>
  <c r="P850" i="2"/>
  <c r="R875" i="2"/>
  <c r="M17" i="2"/>
  <c r="N17" i="2" s="1"/>
  <c r="M73" i="2"/>
  <c r="N73" i="2" s="1"/>
  <c r="R669" i="2"/>
  <c r="P678" i="2"/>
  <c r="R685" i="2"/>
  <c r="R696" i="2"/>
  <c r="P698" i="2"/>
  <c r="R705" i="2"/>
  <c r="R747" i="2"/>
  <c r="R756" i="2"/>
  <c r="R769" i="2"/>
  <c r="P815" i="2"/>
  <c r="P835" i="2"/>
  <c r="R837" i="2"/>
  <c r="R848" i="2"/>
  <c r="P855" i="2"/>
  <c r="P866" i="2"/>
  <c r="M37" i="2"/>
  <c r="N37" i="2" s="1"/>
  <c r="M57" i="2"/>
  <c r="N57" i="2" s="1"/>
  <c r="M107" i="2"/>
  <c r="N107" i="2" s="1"/>
  <c r="Q107" i="2" s="1"/>
  <c r="V107" i="2" s="1"/>
  <c r="L720" i="3" s="1"/>
  <c r="M132" i="2"/>
  <c r="N132" i="2" s="1"/>
  <c r="P631" i="2"/>
  <c r="R638" i="2"/>
  <c r="P645" i="2"/>
  <c r="P669" i="2"/>
  <c r="R678" i="2"/>
  <c r="R687" i="2"/>
  <c r="R703" i="2"/>
  <c r="P707" i="2"/>
  <c r="R709" i="2"/>
  <c r="R716" i="2"/>
  <c r="P718" i="2"/>
  <c r="R727" i="2"/>
  <c r="P729" i="2"/>
  <c r="R736" i="2"/>
  <c r="P738" i="2"/>
  <c r="P749" i="2"/>
  <c r="P758" i="2"/>
  <c r="R778" i="2"/>
  <c r="P780" i="2"/>
  <c r="R782" i="2"/>
  <c r="R789" i="2"/>
  <c r="P791" i="2"/>
  <c r="R793" i="2"/>
  <c r="R804" i="2"/>
  <c r="R813" i="2"/>
  <c r="R815" i="2"/>
  <c r="R822" i="2"/>
  <c r="R833" i="2"/>
  <c r="R846" i="2"/>
  <c r="R855" i="2"/>
  <c r="R864" i="2"/>
  <c r="R866" i="2"/>
  <c r="P873" i="2"/>
  <c r="P875" i="2"/>
  <c r="P888" i="2"/>
  <c r="M64" i="2"/>
  <c r="N64" i="2" s="1"/>
  <c r="Q64" i="2" s="1"/>
  <c r="M71" i="2"/>
  <c r="N71" i="2" s="1"/>
  <c r="Q71" i="2" s="1"/>
  <c r="V71" i="2" s="1"/>
  <c r="L656" i="3" s="1"/>
  <c r="M105" i="2"/>
  <c r="N105" i="2" s="1"/>
  <c r="Q105" i="2" s="1"/>
  <c r="M146" i="2"/>
  <c r="N146" i="2" s="1"/>
  <c r="M153" i="2"/>
  <c r="N153" i="2" s="1"/>
  <c r="Q153" i="2" s="1"/>
  <c r="P638" i="2"/>
  <c r="P676" i="2"/>
  <c r="R694" i="2"/>
  <c r="R776" i="2"/>
  <c r="R780" i="2"/>
  <c r="R791" i="2"/>
  <c r="R800" i="2"/>
  <c r="P802" i="2"/>
  <c r="R811" i="2"/>
  <c r="R820" i="2"/>
  <c r="P822" i="2"/>
  <c r="P848" i="2"/>
  <c r="R853" i="2"/>
  <c r="R871" i="2"/>
  <c r="R873" i="2"/>
  <c r="R886" i="2"/>
  <c r="M13" i="2"/>
  <c r="N13" i="2" s="1"/>
  <c r="M114" i="2"/>
  <c r="N114" i="2" s="1"/>
  <c r="Q114" i="2" s="1"/>
  <c r="V114" i="2" s="1"/>
  <c r="L721" i="3" s="1"/>
  <c r="P629" i="2"/>
  <c r="P636" i="2"/>
  <c r="R683" i="2"/>
  <c r="P694" i="2"/>
  <c r="P716" i="2"/>
  <c r="R725" i="2"/>
  <c r="R732" i="2"/>
  <c r="P767" i="2"/>
  <c r="R798" i="2"/>
  <c r="R862" i="2"/>
  <c r="P871" i="2"/>
  <c r="R882" i="2"/>
  <c r="P886" i="2"/>
  <c r="M33" i="2"/>
  <c r="N33" i="2" s="1"/>
  <c r="M69" i="2"/>
  <c r="N69" i="2" s="1"/>
  <c r="Q69" i="2" s="1"/>
  <c r="M76" i="2"/>
  <c r="N76" i="2" s="1"/>
  <c r="M103" i="2"/>
  <c r="N103" i="2" s="1"/>
  <c r="Q103" i="2" s="1"/>
  <c r="M137" i="2"/>
  <c r="N137" i="2" s="1"/>
  <c r="Q137" i="2" s="1"/>
  <c r="M218" i="2"/>
  <c r="N218" i="2" s="1"/>
  <c r="R650" i="2"/>
  <c r="P683" i="2"/>
  <c r="P714" i="2"/>
  <c r="P745" i="2"/>
  <c r="R754" i="2"/>
  <c r="R765" i="2"/>
  <c r="R774" i="2"/>
  <c r="R787" i="2"/>
  <c r="R807" i="2"/>
  <c r="R829" i="2"/>
  <c r="R840" i="2"/>
  <c r="M53" i="2"/>
  <c r="N53" i="2" s="1"/>
  <c r="M101" i="2"/>
  <c r="N101" i="2" s="1"/>
  <c r="M121" i="2"/>
  <c r="N121" i="2" s="1"/>
  <c r="P634" i="2"/>
  <c r="R672" i="2"/>
  <c r="R699" i="2"/>
  <c r="R712" i="2"/>
  <c r="P723" i="2"/>
  <c r="P743" i="2"/>
  <c r="P754" i="2"/>
  <c r="R763" i="2"/>
  <c r="P787" i="2"/>
  <c r="R827" i="2"/>
  <c r="R838" i="2"/>
  <c r="P842" i="2"/>
  <c r="R851" i="2"/>
  <c r="P862" i="2"/>
  <c r="R878" i="2"/>
  <c r="M2" i="2"/>
  <c r="N2" i="2" s="1"/>
  <c r="M9" i="2"/>
  <c r="N9" i="2" s="1"/>
  <c r="Q9" i="2" s="1"/>
  <c r="M67" i="2"/>
  <c r="N67" i="2" s="1"/>
  <c r="M92" i="2"/>
  <c r="N92" i="2" s="1"/>
  <c r="P625" i="2"/>
  <c r="P641" i="2"/>
  <c r="R648" i="2"/>
  <c r="R688" i="2"/>
  <c r="P699" i="2"/>
  <c r="R730" i="2"/>
  <c r="R750" i="2"/>
  <c r="R816" i="2"/>
  <c r="P818" i="2"/>
  <c r="P851" i="2"/>
  <c r="R856" i="2"/>
  <c r="R867" i="2"/>
  <c r="M78" i="2"/>
  <c r="N78" i="2" s="1"/>
  <c r="Q78" i="2" s="1"/>
  <c r="M93" i="2"/>
  <c r="N93" i="2" s="1"/>
  <c r="M112" i="2"/>
  <c r="N112" i="2" s="1"/>
  <c r="M130" i="2"/>
  <c r="N130" i="2" s="1"/>
  <c r="M139" i="2"/>
  <c r="N139" i="2" s="1"/>
  <c r="Q139" i="2" s="1"/>
  <c r="V139" i="2" s="1"/>
  <c r="L754" i="3" s="1"/>
  <c r="M159" i="2"/>
  <c r="N159" i="2" s="1"/>
  <c r="M173" i="2"/>
  <c r="N173" i="2" s="1"/>
  <c r="Q173" i="2" s="1"/>
  <c r="M175" i="2"/>
  <c r="N175" i="2" s="1"/>
  <c r="M178" i="2"/>
  <c r="N178" i="2" s="1"/>
  <c r="M199" i="2"/>
  <c r="N199" i="2" s="1"/>
  <c r="Q199" i="2" s="1"/>
  <c r="M250" i="2"/>
  <c r="N250" i="2" s="1"/>
  <c r="M369" i="2"/>
  <c r="N369" i="2" s="1"/>
  <c r="Q369" i="2" s="1"/>
  <c r="V369" i="2" s="1"/>
  <c r="L140" i="3" s="1"/>
  <c r="M74" i="2"/>
  <c r="N74" i="2" s="1"/>
  <c r="M89" i="2"/>
  <c r="N89" i="2" s="1"/>
  <c r="M108" i="2"/>
  <c r="N108" i="2" s="1"/>
  <c r="Q108" i="2" s="1"/>
  <c r="V108" i="2" s="1"/>
  <c r="L750" i="3" s="1"/>
  <c r="M123" i="2"/>
  <c r="N123" i="2" s="1"/>
  <c r="M133" i="2"/>
  <c r="N133" i="2" s="1"/>
  <c r="M162" i="2"/>
  <c r="N162" i="2" s="1"/>
  <c r="M185" i="2"/>
  <c r="N185" i="2" s="1"/>
  <c r="M190" i="2"/>
  <c r="N190" i="2" s="1"/>
  <c r="M210" i="2"/>
  <c r="N210" i="2" s="1"/>
  <c r="M229" i="2"/>
  <c r="N229" i="2" s="1"/>
  <c r="M284" i="2"/>
  <c r="N284" i="2" s="1"/>
  <c r="Q284" i="2" s="1"/>
  <c r="V284" i="2" s="1"/>
  <c r="L329" i="3" s="1"/>
  <c r="M301" i="2"/>
  <c r="N301" i="2" s="1"/>
  <c r="Q301" i="2" s="1"/>
  <c r="V301" i="2" s="1"/>
  <c r="L275" i="3" s="1"/>
  <c r="M330" i="2"/>
  <c r="N330" i="2" s="1"/>
  <c r="M334" i="2"/>
  <c r="N334" i="2" s="1"/>
  <c r="M70" i="2"/>
  <c r="N70" i="2" s="1"/>
  <c r="Q70" i="2" s="1"/>
  <c r="M85" i="2"/>
  <c r="N85" i="2" s="1"/>
  <c r="M104" i="2"/>
  <c r="N104" i="2" s="1"/>
  <c r="M119" i="2"/>
  <c r="N119" i="2" s="1"/>
  <c r="M136" i="2"/>
  <c r="N136" i="2" s="1"/>
  <c r="Q136" i="2" s="1"/>
  <c r="V136" i="2" s="1"/>
  <c r="L664" i="3" s="1"/>
  <c r="M142" i="2"/>
  <c r="N142" i="2" s="1"/>
  <c r="Q142" i="2" s="1"/>
  <c r="V142" i="2" s="1"/>
  <c r="L839" i="3" s="1"/>
  <c r="M167" i="2"/>
  <c r="N167" i="2" s="1"/>
  <c r="M170" i="2"/>
  <c r="N170" i="2" s="1"/>
  <c r="M203" i="2"/>
  <c r="N203" i="2" s="1"/>
  <c r="Q203" i="2" s="1"/>
  <c r="M214" i="2"/>
  <c r="N214" i="2" s="1"/>
  <c r="Q214" i="2" s="1"/>
  <c r="M293" i="2"/>
  <c r="N293" i="2" s="1"/>
  <c r="M295" i="2"/>
  <c r="N295" i="2" s="1"/>
  <c r="M321" i="2"/>
  <c r="N321" i="2" s="1"/>
  <c r="Q321" i="2" s="1"/>
  <c r="V321" i="2" s="1"/>
  <c r="L16" i="3" s="1"/>
  <c r="M6" i="2"/>
  <c r="N6" i="2" s="1"/>
  <c r="Q6" i="2" s="1"/>
  <c r="V6" i="2" s="1"/>
  <c r="L688" i="3" s="1"/>
  <c r="M10" i="2"/>
  <c r="N10" i="2" s="1"/>
  <c r="Q10" i="2" s="1"/>
  <c r="M14" i="2"/>
  <c r="N14" i="2" s="1"/>
  <c r="M18" i="2"/>
  <c r="N18" i="2" s="1"/>
  <c r="M22" i="2"/>
  <c r="N22" i="2" s="1"/>
  <c r="M26" i="2"/>
  <c r="N26" i="2" s="1"/>
  <c r="M30" i="2"/>
  <c r="N30" i="2" s="1"/>
  <c r="M34" i="2"/>
  <c r="N34" i="2" s="1"/>
  <c r="M38" i="2"/>
  <c r="N38" i="2" s="1"/>
  <c r="M42" i="2"/>
  <c r="N42" i="2" s="1"/>
  <c r="Q42" i="2" s="1"/>
  <c r="M46" i="2"/>
  <c r="N46" i="2" s="1"/>
  <c r="M54" i="2"/>
  <c r="N54" i="2" s="1"/>
  <c r="Q54" i="2" s="1"/>
  <c r="M58" i="2"/>
  <c r="N58" i="2" s="1"/>
  <c r="Q58" i="2" s="1"/>
  <c r="M62" i="2"/>
  <c r="N62" i="2" s="1"/>
  <c r="Q62" i="2" s="1"/>
  <c r="M66" i="2"/>
  <c r="N66" i="2" s="1"/>
  <c r="Q66" i="2" s="1"/>
  <c r="V66" i="2" s="1"/>
  <c r="L745" i="3" s="1"/>
  <c r="M81" i="2"/>
  <c r="N81" i="2" s="1"/>
  <c r="M100" i="2"/>
  <c r="N100" i="2" s="1"/>
  <c r="Q100" i="2" s="1"/>
  <c r="V100" i="2" s="1"/>
  <c r="L749" i="3" s="1"/>
  <c r="M115" i="2"/>
  <c r="N115" i="2" s="1"/>
  <c r="Q115" i="2" s="1"/>
  <c r="M145" i="2"/>
  <c r="N145" i="2" s="1"/>
  <c r="M148" i="2"/>
  <c r="N148" i="2" s="1"/>
  <c r="M180" i="2"/>
  <c r="N180" i="2" s="1"/>
  <c r="Q180" i="2" s="1"/>
  <c r="V180" i="2" s="1"/>
  <c r="L813" i="3" s="1"/>
  <c r="M187" i="2"/>
  <c r="N187" i="2" s="1"/>
  <c r="Q187" i="2" s="1"/>
  <c r="V187" i="2" s="1"/>
  <c r="L783" i="3" s="1"/>
  <c r="M192" i="2"/>
  <c r="N192" i="2" s="1"/>
  <c r="M201" i="2"/>
  <c r="N201" i="2" s="1"/>
  <c r="M231" i="2"/>
  <c r="N231" i="2" s="1"/>
  <c r="M246" i="2"/>
  <c r="N246" i="2" s="1"/>
  <c r="Q246" i="2" s="1"/>
  <c r="M254" i="2"/>
  <c r="N254" i="2" s="1"/>
  <c r="M269" i="2"/>
  <c r="N269" i="2" s="1"/>
  <c r="M278" i="2"/>
  <c r="N278" i="2" s="1"/>
  <c r="M297" i="2"/>
  <c r="N297" i="2" s="1"/>
  <c r="M310" i="2"/>
  <c r="N310" i="2" s="1"/>
  <c r="Q310" i="2" s="1"/>
  <c r="V310" i="2" s="1"/>
  <c r="L276" i="3" s="1"/>
  <c r="M390" i="2"/>
  <c r="N390" i="2" s="1"/>
  <c r="M477" i="2"/>
  <c r="N477" i="2" s="1"/>
  <c r="M77" i="2"/>
  <c r="N77" i="2" s="1"/>
  <c r="M96" i="2"/>
  <c r="N96" i="2" s="1"/>
  <c r="M111" i="2"/>
  <c r="N111" i="2" s="1"/>
  <c r="Q111" i="2" s="1"/>
  <c r="V111" i="2" s="1"/>
  <c r="L835" i="3" s="1"/>
  <c r="M126" i="2"/>
  <c r="N126" i="2" s="1"/>
  <c r="M135" i="2"/>
  <c r="N135" i="2" s="1"/>
  <c r="M182" i="2"/>
  <c r="N182" i="2" s="1"/>
  <c r="Q182" i="2" s="1"/>
  <c r="M194" i="2"/>
  <c r="N194" i="2" s="1"/>
  <c r="M212" i="2"/>
  <c r="N212" i="2" s="1"/>
  <c r="M240" i="2"/>
  <c r="N240" i="2" s="1"/>
  <c r="M379" i="2"/>
  <c r="N379" i="2" s="1"/>
  <c r="Q379" i="2" s="1"/>
  <c r="M205" i="2"/>
  <c r="N205" i="2" s="1"/>
  <c r="M252" i="2"/>
  <c r="N252" i="2" s="1"/>
  <c r="Q252" i="2" s="1"/>
  <c r="M339" i="2"/>
  <c r="N339" i="2" s="1"/>
  <c r="M377" i="2"/>
  <c r="N377" i="2" s="1"/>
  <c r="M174" i="2"/>
  <c r="N174" i="2" s="1"/>
  <c r="Q174" i="2" s="1"/>
  <c r="V174" i="2" s="1"/>
  <c r="L870" i="3" s="1"/>
  <c r="M177" i="2"/>
  <c r="N177" i="2" s="1"/>
  <c r="Q177" i="2" s="1"/>
  <c r="V177" i="2" s="1"/>
  <c r="L729" i="3" s="1"/>
  <c r="M261" i="2"/>
  <c r="N261" i="2" s="1"/>
  <c r="M263" i="2"/>
  <c r="N263" i="2" s="1"/>
  <c r="M274" i="2"/>
  <c r="N274" i="2" s="1"/>
  <c r="M150" i="2"/>
  <c r="N150" i="2" s="1"/>
  <c r="M158" i="2"/>
  <c r="N158" i="2" s="1"/>
  <c r="M164" i="2"/>
  <c r="N164" i="2" s="1"/>
  <c r="Q164" i="2" s="1"/>
  <c r="V164" i="2" s="1"/>
  <c r="L811" i="3" s="1"/>
  <c r="M172" i="2"/>
  <c r="N172" i="2" s="1"/>
  <c r="Q172" i="2" s="1"/>
  <c r="M179" i="2"/>
  <c r="N179" i="2" s="1"/>
  <c r="M189" i="2"/>
  <c r="N189" i="2" s="1"/>
  <c r="Q189" i="2" s="1"/>
  <c r="M265" i="2"/>
  <c r="N265" i="2" s="1"/>
  <c r="Q265" i="2" s="1"/>
  <c r="M302" i="2"/>
  <c r="N302" i="2" s="1"/>
  <c r="Q302" i="2" s="1"/>
  <c r="V302" i="2" s="1"/>
  <c r="L331" i="3" s="1"/>
  <c r="M331" i="2"/>
  <c r="N331" i="2" s="1"/>
  <c r="M447" i="2"/>
  <c r="N447" i="2" s="1"/>
  <c r="M80" i="2"/>
  <c r="N80" i="2" s="1"/>
  <c r="M95" i="2"/>
  <c r="N95" i="2" s="1"/>
  <c r="M110" i="2"/>
  <c r="N110" i="2" s="1"/>
  <c r="M125" i="2"/>
  <c r="N125" i="2" s="1"/>
  <c r="M138" i="2"/>
  <c r="N138" i="2" s="1"/>
  <c r="Q138" i="2" s="1"/>
  <c r="M141" i="2"/>
  <c r="N141" i="2" s="1"/>
  <c r="M144" i="2"/>
  <c r="N144" i="2" s="1"/>
  <c r="Q144" i="2" s="1"/>
  <c r="V144" i="2" s="1"/>
  <c r="L665" i="3" s="1"/>
  <c r="M161" i="2"/>
  <c r="N161" i="2" s="1"/>
  <c r="Q161" i="2" s="1"/>
  <c r="M198" i="2"/>
  <c r="N198" i="2" s="1"/>
  <c r="M209" i="2"/>
  <c r="N209" i="2" s="1"/>
  <c r="M222" i="2"/>
  <c r="N222" i="2" s="1"/>
  <c r="Q222" i="2" s="1"/>
  <c r="V222" i="2" s="1"/>
  <c r="L788" i="3" s="1"/>
  <c r="M131" i="2"/>
  <c r="N131" i="2" s="1"/>
  <c r="M134" i="2"/>
  <c r="N134" i="2" s="1"/>
  <c r="Q134" i="2" s="1"/>
  <c r="M166" i="2"/>
  <c r="N166" i="2" s="1"/>
  <c r="M169" i="2"/>
  <c r="N169" i="2" s="1"/>
  <c r="Q169" i="2" s="1"/>
  <c r="M184" i="2"/>
  <c r="N184" i="2" s="1"/>
  <c r="Q184" i="2" s="1"/>
  <c r="M237" i="2"/>
  <c r="N237" i="2" s="1"/>
  <c r="M245" i="2"/>
  <c r="N245" i="2" s="1"/>
  <c r="Q245" i="2" s="1"/>
  <c r="J851" i="3"/>
  <c r="K851" i="3" s="1"/>
  <c r="J855" i="3"/>
  <c r="K855" i="3" s="1"/>
  <c r="J863" i="3"/>
  <c r="K863" i="3" s="1"/>
  <c r="J722" i="3"/>
  <c r="K722" i="3" s="1"/>
  <c r="J705" i="3"/>
  <c r="K705" i="3" s="1"/>
  <c r="J867" i="3"/>
  <c r="K867" i="3" s="1"/>
  <c r="J854" i="3"/>
  <c r="K854" i="3" s="1"/>
  <c r="J858" i="3"/>
  <c r="K858" i="3" s="1"/>
  <c r="J841" i="3"/>
  <c r="K841" i="3" s="1"/>
  <c r="J824" i="3"/>
  <c r="K824" i="3" s="1"/>
  <c r="J807" i="3"/>
  <c r="K807" i="3" s="1"/>
  <c r="J794" i="3"/>
  <c r="K794" i="3" s="1"/>
  <c r="J777" i="3"/>
  <c r="K777" i="3" s="1"/>
  <c r="J760" i="3"/>
  <c r="K760" i="3" s="1"/>
  <c r="J871" i="3"/>
  <c r="K871" i="3" s="1"/>
  <c r="J862" i="3"/>
  <c r="K862" i="3" s="1"/>
  <c r="J853" i="3"/>
  <c r="K853" i="3" s="1"/>
  <c r="J836" i="3"/>
  <c r="K836" i="3" s="1"/>
  <c r="J819" i="3"/>
  <c r="K819" i="3" s="1"/>
  <c r="J806" i="3"/>
  <c r="K806" i="3" s="1"/>
  <c r="J789" i="3"/>
  <c r="K789" i="3" s="1"/>
  <c r="J870" i="3"/>
  <c r="K870" i="3" s="1"/>
  <c r="J823" i="3"/>
  <c r="K823" i="3" s="1"/>
  <c r="J861" i="3"/>
  <c r="K861" i="3" s="1"/>
  <c r="J844" i="3"/>
  <c r="K844" i="3" s="1"/>
  <c r="J827" i="3"/>
  <c r="K827" i="3" s="1"/>
  <c r="J814" i="3"/>
  <c r="K814" i="3" s="1"/>
  <c r="J797" i="3"/>
  <c r="K797" i="3" s="1"/>
  <c r="J780" i="3"/>
  <c r="K780" i="3" s="1"/>
  <c r="J763" i="3"/>
  <c r="K763" i="3" s="1"/>
  <c r="J874" i="3"/>
  <c r="K874" i="3" s="1"/>
  <c r="J865" i="3"/>
  <c r="K865" i="3" s="1"/>
  <c r="J848" i="3"/>
  <c r="K848" i="3" s="1"/>
  <c r="J831" i="3"/>
  <c r="K831" i="3" s="1"/>
  <c r="J835" i="3"/>
  <c r="K835" i="3" s="1"/>
  <c r="J869" i="3"/>
  <c r="K869" i="3" s="1"/>
  <c r="J856" i="3"/>
  <c r="K856" i="3" s="1"/>
  <c r="J839" i="3"/>
  <c r="K839" i="3" s="1"/>
  <c r="J873" i="3"/>
  <c r="K873" i="3" s="1"/>
  <c r="J770" i="3"/>
  <c r="K770" i="3" s="1"/>
  <c r="J625" i="3"/>
  <c r="K625" i="3" s="1"/>
  <c r="J866" i="3"/>
  <c r="K866" i="3" s="1"/>
  <c r="J846" i="3"/>
  <c r="K846" i="3" s="1"/>
  <c r="J817" i="3"/>
  <c r="K817" i="3" s="1"/>
  <c r="J751" i="3"/>
  <c r="K751" i="3" s="1"/>
  <c r="J743" i="3"/>
  <c r="K743" i="3" s="1"/>
  <c r="J641" i="3"/>
  <c r="K641" i="3" s="1"/>
  <c r="J608" i="3"/>
  <c r="K608" i="3" s="1"/>
  <c r="J597" i="3"/>
  <c r="K597" i="3" s="1"/>
  <c r="J587" i="3"/>
  <c r="K587" i="3" s="1"/>
  <c r="J736" i="3"/>
  <c r="K736" i="3" s="1"/>
  <c r="J721" i="3"/>
  <c r="K721" i="3" s="1"/>
  <c r="J701" i="3"/>
  <c r="K701" i="3" s="1"/>
  <c r="J657" i="3"/>
  <c r="K657" i="3" s="1"/>
  <c r="J652" i="3"/>
  <c r="K652" i="3" s="1"/>
  <c r="J602" i="3"/>
  <c r="K602" i="3" s="1"/>
  <c r="J544" i="3"/>
  <c r="K544" i="3" s="1"/>
  <c r="J750" i="3"/>
  <c r="K750" i="3" s="1"/>
  <c r="J687" i="3"/>
  <c r="K687" i="3" s="1"/>
  <c r="J669" i="3"/>
  <c r="K669" i="3" s="1"/>
  <c r="J635" i="3"/>
  <c r="K635" i="3" s="1"/>
  <c r="J864" i="3"/>
  <c r="K864" i="3" s="1"/>
  <c r="J843" i="3"/>
  <c r="K843" i="3" s="1"/>
  <c r="J815" i="3"/>
  <c r="K815" i="3" s="1"/>
  <c r="J713" i="3"/>
  <c r="K713" i="3" s="1"/>
  <c r="J706" i="3"/>
  <c r="K706" i="3" s="1"/>
  <c r="J785" i="3"/>
  <c r="K785" i="3" s="1"/>
  <c r="J766" i="3"/>
  <c r="K766" i="3" s="1"/>
  <c r="J699" i="3"/>
  <c r="K699" i="3" s="1"/>
  <c r="J679" i="3"/>
  <c r="K679" i="3" s="1"/>
  <c r="J832" i="3"/>
  <c r="K832" i="3" s="1"/>
  <c r="J748" i="3"/>
  <c r="K748" i="3" s="1"/>
  <c r="J733" i="3"/>
  <c r="K733" i="3" s="1"/>
  <c r="J719" i="3"/>
  <c r="K719" i="3" s="1"/>
  <c r="J561" i="3"/>
  <c r="K561" i="3" s="1"/>
  <c r="J556" i="3"/>
  <c r="K556" i="3" s="1"/>
  <c r="J542" i="3"/>
  <c r="K542" i="3" s="1"/>
  <c r="J533" i="3"/>
  <c r="K533" i="3" s="1"/>
  <c r="J765" i="3"/>
  <c r="K765" i="3" s="1"/>
  <c r="J655" i="3"/>
  <c r="K655" i="3" s="1"/>
  <c r="J622" i="3"/>
  <c r="K622" i="3" s="1"/>
  <c r="J859" i="3"/>
  <c r="K859" i="3" s="1"/>
  <c r="J849" i="3"/>
  <c r="K849" i="3" s="1"/>
  <c r="J738" i="3"/>
  <c r="K738" i="3" s="1"/>
  <c r="J615" i="3"/>
  <c r="K615" i="3" s="1"/>
  <c r="J829" i="3"/>
  <c r="K829" i="3" s="1"/>
  <c r="J782" i="3"/>
  <c r="K782" i="3" s="1"/>
  <c r="J753" i="3"/>
  <c r="K753" i="3" s="1"/>
  <c r="J731" i="3"/>
  <c r="K731" i="3" s="1"/>
  <c r="J696" i="3"/>
  <c r="K696" i="3" s="1"/>
  <c r="J604" i="3"/>
  <c r="K604" i="3" s="1"/>
  <c r="J593" i="3"/>
  <c r="K593" i="3" s="1"/>
  <c r="J588" i="3"/>
  <c r="K588" i="3" s="1"/>
  <c r="J583" i="3"/>
  <c r="K583" i="3" s="1"/>
  <c r="J800" i="3"/>
  <c r="K800" i="3" s="1"/>
  <c r="J689" i="3"/>
  <c r="K689" i="3" s="1"/>
  <c r="J642" i="3"/>
  <c r="K642" i="3" s="1"/>
  <c r="J578" i="3"/>
  <c r="K578" i="3" s="1"/>
  <c r="J847" i="3"/>
  <c r="K847" i="3" s="1"/>
  <c r="J730" i="3"/>
  <c r="K730" i="3" s="1"/>
  <c r="J716" i="3"/>
  <c r="K716" i="3" s="1"/>
  <c r="J510" i="3"/>
  <c r="K510" i="3" s="1"/>
  <c r="J749" i="3"/>
  <c r="K749" i="3" s="1"/>
  <c r="J668" i="3"/>
  <c r="K668" i="3" s="1"/>
  <c r="J521" i="3"/>
  <c r="K521" i="3" s="1"/>
  <c r="J476" i="3"/>
  <c r="K476" i="3" s="1"/>
  <c r="J607" i="3"/>
  <c r="K607" i="3" s="1"/>
  <c r="J580" i="3"/>
  <c r="K580" i="3" s="1"/>
  <c r="J564" i="3"/>
  <c r="K564" i="3" s="1"/>
  <c r="J534" i="3"/>
  <c r="K534" i="3" s="1"/>
  <c r="J527" i="3"/>
  <c r="K527" i="3" s="1"/>
  <c r="J509" i="3"/>
  <c r="K509" i="3" s="1"/>
  <c r="J451" i="3"/>
  <c r="K451" i="3" s="1"/>
  <c r="J437" i="3"/>
  <c r="K437" i="3" s="1"/>
  <c r="J423" i="3"/>
  <c r="K423" i="3" s="1"/>
  <c r="J410" i="3"/>
  <c r="K410" i="3" s="1"/>
  <c r="J393" i="3"/>
  <c r="K393" i="3" s="1"/>
  <c r="J363" i="3"/>
  <c r="K363" i="3" s="1"/>
  <c r="J346" i="3"/>
  <c r="K346" i="3" s="1"/>
  <c r="J645" i="3"/>
  <c r="K645" i="3" s="1"/>
  <c r="J491" i="3"/>
  <c r="K491" i="3" s="1"/>
  <c r="J802" i="3"/>
  <c r="K802" i="3" s="1"/>
  <c r="J596" i="3"/>
  <c r="K596" i="3" s="1"/>
  <c r="J485" i="3"/>
  <c r="K485" i="3" s="1"/>
  <c r="J455" i="3"/>
  <c r="K455" i="3" s="1"/>
  <c r="J427" i="3"/>
  <c r="K427" i="3" s="1"/>
  <c r="J418" i="3"/>
  <c r="K418" i="3" s="1"/>
  <c r="J401" i="3"/>
  <c r="K401" i="3" s="1"/>
  <c r="J371" i="3"/>
  <c r="K371" i="3" s="1"/>
  <c r="J666" i="3"/>
  <c r="K666" i="3" s="1"/>
  <c r="J614" i="3"/>
  <c r="K614" i="3" s="1"/>
  <c r="J579" i="3"/>
  <c r="K579" i="3" s="1"/>
  <c r="J563" i="3"/>
  <c r="K563" i="3" s="1"/>
  <c r="J526" i="3"/>
  <c r="K526" i="3" s="1"/>
  <c r="J520" i="3"/>
  <c r="K520" i="3" s="1"/>
  <c r="J479" i="3"/>
  <c r="K479" i="3" s="1"/>
  <c r="J460" i="3"/>
  <c r="K460" i="3" s="1"/>
  <c r="J436" i="3"/>
  <c r="K436" i="3" s="1"/>
  <c r="J405" i="3"/>
  <c r="K405" i="3" s="1"/>
  <c r="J375" i="3"/>
  <c r="K375" i="3" s="1"/>
  <c r="J358" i="3"/>
  <c r="K358" i="3" s="1"/>
  <c r="J341" i="3"/>
  <c r="K341" i="3" s="1"/>
  <c r="J686" i="3"/>
  <c r="K686" i="3" s="1"/>
  <c r="J654" i="3"/>
  <c r="K654" i="3" s="1"/>
  <c r="J623" i="3"/>
  <c r="K623" i="3" s="1"/>
  <c r="J605" i="3"/>
  <c r="K605" i="3" s="1"/>
  <c r="J502" i="3"/>
  <c r="K502" i="3" s="1"/>
  <c r="J445" i="3"/>
  <c r="K445" i="3" s="1"/>
  <c r="J409" i="3"/>
  <c r="K409" i="3" s="1"/>
  <c r="J379" i="3"/>
  <c r="K379" i="3" s="1"/>
  <c r="J362" i="3"/>
  <c r="K362" i="3" s="1"/>
  <c r="J345" i="3"/>
  <c r="K345" i="3" s="1"/>
  <c r="J674" i="3"/>
  <c r="K674" i="3" s="1"/>
  <c r="J632" i="3"/>
  <c r="K632" i="3" s="1"/>
  <c r="J562" i="3"/>
  <c r="K562" i="3" s="1"/>
  <c r="J490" i="3"/>
  <c r="K490" i="3" s="1"/>
  <c r="J484" i="3"/>
  <c r="K484" i="3" s="1"/>
  <c r="J812" i="3"/>
  <c r="K812" i="3" s="1"/>
  <c r="J732" i="3"/>
  <c r="K732" i="3" s="1"/>
  <c r="J577" i="3"/>
  <c r="K577" i="3" s="1"/>
  <c r="J547" i="3"/>
  <c r="K547" i="3" s="1"/>
  <c r="J519" i="3"/>
  <c r="K519" i="3" s="1"/>
  <c r="J507" i="3"/>
  <c r="K507" i="3" s="1"/>
  <c r="J454" i="3"/>
  <c r="K454" i="3" s="1"/>
  <c r="J684" i="3"/>
  <c r="K684" i="3" s="1"/>
  <c r="J631" i="3"/>
  <c r="K631" i="3" s="1"/>
  <c r="J603" i="3"/>
  <c r="K603" i="3" s="1"/>
  <c r="J594" i="3"/>
  <c r="K594" i="3" s="1"/>
  <c r="J585" i="3"/>
  <c r="K585" i="3" s="1"/>
  <c r="J501" i="3"/>
  <c r="K501" i="3" s="1"/>
  <c r="J478" i="3"/>
  <c r="K478" i="3" s="1"/>
  <c r="J718" i="3"/>
  <c r="K718" i="3" s="1"/>
  <c r="J640" i="3"/>
  <c r="K640" i="3" s="1"/>
  <c r="J568" i="3"/>
  <c r="K568" i="3" s="1"/>
  <c r="J546" i="3"/>
  <c r="K546" i="3" s="1"/>
  <c r="J512" i="3"/>
  <c r="K512" i="3" s="1"/>
  <c r="J473" i="3"/>
  <c r="K473" i="3" s="1"/>
  <c r="J463" i="3"/>
  <c r="K463" i="3" s="1"/>
  <c r="J444" i="3"/>
  <c r="K444" i="3" s="1"/>
  <c r="J439" i="3"/>
  <c r="K439" i="3" s="1"/>
  <c r="J430" i="3"/>
  <c r="K430" i="3" s="1"/>
  <c r="J421" i="3"/>
  <c r="K421" i="3" s="1"/>
  <c r="J395" i="3"/>
  <c r="K395" i="3" s="1"/>
  <c r="J378" i="3"/>
  <c r="K378" i="3" s="1"/>
  <c r="J796" i="3"/>
  <c r="K796" i="3" s="1"/>
  <c r="J783" i="3"/>
  <c r="K783" i="3" s="1"/>
  <c r="J704" i="3"/>
  <c r="K704" i="3" s="1"/>
  <c r="J554" i="3"/>
  <c r="K554" i="3" s="1"/>
  <c r="J518" i="3"/>
  <c r="K518" i="3" s="1"/>
  <c r="J768" i="3"/>
  <c r="K768" i="3" s="1"/>
  <c r="J672" i="3"/>
  <c r="K672" i="3" s="1"/>
  <c r="J500" i="3"/>
  <c r="K500" i="3" s="1"/>
  <c r="J448" i="3"/>
  <c r="K448" i="3" s="1"/>
  <c r="J434" i="3"/>
  <c r="K434" i="3" s="1"/>
  <c r="J425" i="3"/>
  <c r="K425" i="3" s="1"/>
  <c r="J403" i="3"/>
  <c r="K403" i="3" s="1"/>
  <c r="J795" i="3"/>
  <c r="K795" i="3" s="1"/>
  <c r="J649" i="3"/>
  <c r="K649" i="3" s="1"/>
  <c r="J618" i="3"/>
  <c r="K618" i="3" s="1"/>
  <c r="J560" i="3"/>
  <c r="K560" i="3" s="1"/>
  <c r="J493" i="3"/>
  <c r="K493" i="3" s="1"/>
  <c r="J462" i="3"/>
  <c r="K462" i="3" s="1"/>
  <c r="J834" i="3"/>
  <c r="K834" i="3" s="1"/>
  <c r="J471" i="3"/>
  <c r="K471" i="3" s="1"/>
  <c r="J313" i="3"/>
  <c r="K313" i="3" s="1"/>
  <c r="J590" i="3"/>
  <c r="K590" i="3" s="1"/>
  <c r="J353" i="3"/>
  <c r="K353" i="3" s="1"/>
  <c r="J331" i="3"/>
  <c r="K331" i="3" s="1"/>
  <c r="J287" i="3"/>
  <c r="K287" i="3" s="1"/>
  <c r="J278" i="3"/>
  <c r="K278" i="3" s="1"/>
  <c r="J255" i="3"/>
  <c r="K255" i="3" s="1"/>
  <c r="J246" i="3"/>
  <c r="K246" i="3" s="1"/>
  <c r="J223" i="3"/>
  <c r="K223" i="3" s="1"/>
  <c r="J214" i="3"/>
  <c r="K214" i="3" s="1"/>
  <c r="J191" i="3"/>
  <c r="K191" i="3" s="1"/>
  <c r="J386" i="3"/>
  <c r="K386" i="3" s="1"/>
  <c r="J377" i="3"/>
  <c r="K377" i="3" s="1"/>
  <c r="J338" i="3"/>
  <c r="K338" i="3" s="1"/>
  <c r="J419" i="3"/>
  <c r="K419" i="3" s="1"/>
  <c r="J259" i="3"/>
  <c r="K259" i="3" s="1"/>
  <c r="J250" i="3"/>
  <c r="K250" i="3" s="1"/>
  <c r="J227" i="3"/>
  <c r="K227" i="3" s="1"/>
  <c r="J218" i="3"/>
  <c r="K218" i="3" s="1"/>
  <c r="J195" i="3"/>
  <c r="K195" i="3" s="1"/>
  <c r="J186" i="3"/>
  <c r="K186" i="3" s="1"/>
  <c r="J182" i="3"/>
  <c r="K182" i="3" s="1"/>
  <c r="J178" i="3"/>
  <c r="K178" i="3" s="1"/>
  <c r="J174" i="3"/>
  <c r="K174" i="3" s="1"/>
  <c r="J170" i="3"/>
  <c r="K170" i="3" s="1"/>
  <c r="J166" i="3"/>
  <c r="K166" i="3" s="1"/>
  <c r="J162" i="3"/>
  <c r="K162" i="3" s="1"/>
  <c r="J158" i="3"/>
  <c r="K158" i="3" s="1"/>
  <c r="J154" i="3"/>
  <c r="K154" i="3" s="1"/>
  <c r="J150" i="3"/>
  <c r="K150" i="3" s="1"/>
  <c r="J146" i="3"/>
  <c r="K146" i="3" s="1"/>
  <c r="J142" i="3"/>
  <c r="K142" i="3" s="1"/>
  <c r="J138" i="3"/>
  <c r="K138" i="3" s="1"/>
  <c r="J134" i="3"/>
  <c r="K134" i="3" s="1"/>
  <c r="J130" i="3"/>
  <c r="K130" i="3" s="1"/>
  <c r="J126" i="3"/>
  <c r="K126" i="3" s="1"/>
  <c r="J122" i="3"/>
  <c r="K122" i="3" s="1"/>
  <c r="J118" i="3"/>
  <c r="K118" i="3" s="1"/>
  <c r="J114" i="3"/>
  <c r="K114" i="3" s="1"/>
  <c r="J110" i="3"/>
  <c r="K110" i="3" s="1"/>
  <c r="J106" i="3"/>
  <c r="K106" i="3" s="1"/>
  <c r="J102" i="3"/>
  <c r="K102" i="3" s="1"/>
  <c r="J98" i="3"/>
  <c r="K98" i="3" s="1"/>
  <c r="J94" i="3"/>
  <c r="K94" i="3" s="1"/>
  <c r="J90" i="3"/>
  <c r="K90" i="3" s="1"/>
  <c r="J86" i="3"/>
  <c r="K86" i="3" s="1"/>
  <c r="J82" i="3"/>
  <c r="K82" i="3" s="1"/>
  <c r="J78" i="3"/>
  <c r="K78" i="3" s="1"/>
  <c r="J74" i="3"/>
  <c r="K74" i="3" s="1"/>
  <c r="J70" i="3"/>
  <c r="K70" i="3" s="1"/>
  <c r="J66" i="3"/>
  <c r="K66" i="3" s="1"/>
  <c r="J62" i="3"/>
  <c r="K62" i="3" s="1"/>
  <c r="J559" i="3"/>
  <c r="K559" i="3" s="1"/>
  <c r="J429" i="3"/>
  <c r="K429" i="3" s="1"/>
  <c r="J337" i="3"/>
  <c r="K337" i="3" s="1"/>
  <c r="J330" i="3"/>
  <c r="K330" i="3" s="1"/>
  <c r="J323" i="3"/>
  <c r="K323" i="3" s="1"/>
  <c r="J492" i="3"/>
  <c r="K492" i="3" s="1"/>
  <c r="J394" i="3"/>
  <c r="K394" i="3" s="1"/>
  <c r="J385" i="3"/>
  <c r="K385" i="3" s="1"/>
  <c r="J254" i="3"/>
  <c r="K254" i="3" s="1"/>
  <c r="J231" i="3"/>
  <c r="K231" i="3" s="1"/>
  <c r="J222" i="3"/>
  <c r="K222" i="3" s="1"/>
  <c r="J199" i="3"/>
  <c r="K199" i="3" s="1"/>
  <c r="J190" i="3"/>
  <c r="K190" i="3" s="1"/>
  <c r="J658" i="3"/>
  <c r="K658" i="3" s="1"/>
  <c r="J628" i="3"/>
  <c r="K628" i="3" s="1"/>
  <c r="J529" i="3"/>
  <c r="K529" i="3" s="1"/>
  <c r="J517" i="3"/>
  <c r="K517" i="3" s="1"/>
  <c r="J504" i="3"/>
  <c r="K504" i="3" s="1"/>
  <c r="J438" i="3"/>
  <c r="K438" i="3" s="1"/>
  <c r="J374" i="3"/>
  <c r="K374" i="3" s="1"/>
  <c r="J329" i="3"/>
  <c r="K329" i="3" s="1"/>
  <c r="J322" i="3"/>
  <c r="K322" i="3" s="1"/>
  <c r="J290" i="3"/>
  <c r="K290" i="3" s="1"/>
  <c r="J267" i="3"/>
  <c r="K267" i="3" s="1"/>
  <c r="J258" i="3"/>
  <c r="K258" i="3" s="1"/>
  <c r="J235" i="3"/>
  <c r="K235" i="3" s="1"/>
  <c r="J226" i="3"/>
  <c r="K226" i="3" s="1"/>
  <c r="J203" i="3"/>
  <c r="K203" i="3" s="1"/>
  <c r="J194" i="3"/>
  <c r="K194" i="3" s="1"/>
  <c r="J185" i="3"/>
  <c r="K185" i="3" s="1"/>
  <c r="J181" i="3"/>
  <c r="K181" i="3" s="1"/>
  <c r="J177" i="3"/>
  <c r="K177" i="3" s="1"/>
  <c r="J173" i="3"/>
  <c r="K173" i="3" s="1"/>
  <c r="J169" i="3"/>
  <c r="K169" i="3" s="1"/>
  <c r="J165" i="3"/>
  <c r="K165" i="3" s="1"/>
  <c r="J161" i="3"/>
  <c r="K161" i="3" s="1"/>
  <c r="J157" i="3"/>
  <c r="K157" i="3" s="1"/>
  <c r="J153" i="3"/>
  <c r="K153" i="3" s="1"/>
  <c r="J149" i="3"/>
  <c r="K149" i="3" s="1"/>
  <c r="J145" i="3"/>
  <c r="K145" i="3" s="1"/>
  <c r="J141" i="3"/>
  <c r="K141" i="3" s="1"/>
  <c r="J137" i="3"/>
  <c r="K137" i="3" s="1"/>
  <c r="J133" i="3"/>
  <c r="K133" i="3" s="1"/>
  <c r="J129" i="3"/>
  <c r="K129" i="3" s="1"/>
  <c r="J125" i="3"/>
  <c r="K125" i="3" s="1"/>
  <c r="J121" i="3"/>
  <c r="K121" i="3" s="1"/>
  <c r="J117" i="3"/>
  <c r="K117" i="3" s="1"/>
  <c r="J113" i="3"/>
  <c r="K113" i="3" s="1"/>
  <c r="J109" i="3"/>
  <c r="K109" i="3" s="1"/>
  <c r="J627" i="3"/>
  <c r="K627" i="3" s="1"/>
  <c r="J528" i="3"/>
  <c r="K528" i="3" s="1"/>
  <c r="J315" i="3"/>
  <c r="K315" i="3" s="1"/>
  <c r="J294" i="3"/>
  <c r="K294" i="3" s="1"/>
  <c r="J271" i="3"/>
  <c r="K271" i="3" s="1"/>
  <c r="J262" i="3"/>
  <c r="K262" i="3" s="1"/>
  <c r="J239" i="3"/>
  <c r="K239" i="3" s="1"/>
  <c r="J230" i="3"/>
  <c r="K230" i="3" s="1"/>
  <c r="J207" i="3"/>
  <c r="K207" i="3" s="1"/>
  <c r="J198" i="3"/>
  <c r="K198" i="3" s="1"/>
  <c r="J402" i="3"/>
  <c r="K402" i="3" s="1"/>
  <c r="J391" i="3"/>
  <c r="K391" i="3" s="1"/>
  <c r="J321" i="3"/>
  <c r="K321" i="3" s="1"/>
  <c r="J638" i="3"/>
  <c r="K638" i="3" s="1"/>
  <c r="J487" i="3"/>
  <c r="K487" i="3" s="1"/>
  <c r="J234" i="3"/>
  <c r="K234" i="3" s="1"/>
  <c r="J211" i="3"/>
  <c r="K211" i="3" s="1"/>
  <c r="J202" i="3"/>
  <c r="K202" i="3" s="1"/>
  <c r="J566" i="3"/>
  <c r="K566" i="3" s="1"/>
  <c r="J499" i="3"/>
  <c r="K499" i="3" s="1"/>
  <c r="J411" i="3"/>
  <c r="K411" i="3" s="1"/>
  <c r="J355" i="3"/>
  <c r="K355" i="3" s="1"/>
  <c r="J347" i="3"/>
  <c r="K347" i="3" s="1"/>
  <c r="J314" i="3"/>
  <c r="K314" i="3" s="1"/>
  <c r="J279" i="3"/>
  <c r="K279" i="3" s="1"/>
  <c r="J270" i="3"/>
  <c r="K270" i="3" s="1"/>
  <c r="J247" i="3"/>
  <c r="K247" i="3" s="1"/>
  <c r="J472" i="3"/>
  <c r="K472" i="3" s="1"/>
  <c r="J591" i="3"/>
  <c r="K591" i="3" s="1"/>
  <c r="J433" i="3"/>
  <c r="K433" i="3" s="1"/>
  <c r="J369" i="3"/>
  <c r="K369" i="3" s="1"/>
  <c r="J361" i="3"/>
  <c r="K361" i="3" s="1"/>
  <c r="J354" i="3"/>
  <c r="K354" i="3" s="1"/>
  <c r="J339" i="3"/>
  <c r="K339" i="3" s="1"/>
  <c r="J302" i="3"/>
  <c r="K302" i="3" s="1"/>
  <c r="J283" i="3"/>
  <c r="K283" i="3" s="1"/>
  <c r="J274" i="3"/>
  <c r="K274" i="3" s="1"/>
  <c r="J251" i="3"/>
  <c r="K251" i="3" s="1"/>
  <c r="J219" i="3"/>
  <c r="K219" i="3" s="1"/>
  <c r="J176" i="3"/>
  <c r="K176" i="3" s="1"/>
  <c r="J159" i="3"/>
  <c r="K159" i="3" s="1"/>
  <c r="J144" i="3"/>
  <c r="K144" i="3" s="1"/>
  <c r="J112" i="3"/>
  <c r="K112" i="3" s="1"/>
  <c r="J100" i="3"/>
  <c r="K100" i="3" s="1"/>
  <c r="J71" i="3"/>
  <c r="K71" i="3" s="1"/>
  <c r="J65" i="3"/>
  <c r="K65" i="3" s="1"/>
  <c r="J54" i="3"/>
  <c r="K54" i="3" s="1"/>
  <c r="J38" i="3"/>
  <c r="K38" i="3" s="1"/>
  <c r="J242" i="3"/>
  <c r="K242" i="3" s="1"/>
  <c r="J167" i="3"/>
  <c r="K167" i="3" s="1"/>
  <c r="J151" i="3"/>
  <c r="K151" i="3" s="1"/>
  <c r="J131" i="3"/>
  <c r="K131" i="3" s="1"/>
  <c r="J88" i="3"/>
  <c r="K88" i="3" s="1"/>
  <c r="J59" i="3"/>
  <c r="K59" i="3" s="1"/>
  <c r="J43" i="3"/>
  <c r="K43" i="3" s="1"/>
  <c r="J27" i="3"/>
  <c r="K27" i="3" s="1"/>
  <c r="J11" i="3"/>
  <c r="K11" i="3" s="1"/>
  <c r="J206" i="3"/>
  <c r="K206" i="3" s="1"/>
  <c r="J184" i="3"/>
  <c r="K184" i="3" s="1"/>
  <c r="J124" i="3"/>
  <c r="K124" i="3" s="1"/>
  <c r="J105" i="3"/>
  <c r="K105" i="3" s="1"/>
  <c r="J76" i="3"/>
  <c r="K76" i="3" s="1"/>
  <c r="J48" i="3"/>
  <c r="K48" i="3" s="1"/>
  <c r="J32" i="3"/>
  <c r="K32" i="3" s="1"/>
  <c r="J16" i="3"/>
  <c r="K16" i="3" s="1"/>
  <c r="J175" i="3"/>
  <c r="K175" i="3" s="1"/>
  <c r="J143" i="3"/>
  <c r="K143" i="3" s="1"/>
  <c r="J111" i="3"/>
  <c r="K111" i="3" s="1"/>
  <c r="J99" i="3"/>
  <c r="K99" i="3" s="1"/>
  <c r="J93" i="3"/>
  <c r="K93" i="3" s="1"/>
  <c r="J64" i="3"/>
  <c r="K64" i="3" s="1"/>
  <c r="J53" i="3"/>
  <c r="K53" i="3" s="1"/>
  <c r="J37" i="3"/>
  <c r="K37" i="3" s="1"/>
  <c r="J21" i="3"/>
  <c r="K21" i="3" s="1"/>
  <c r="J5" i="3"/>
  <c r="K5" i="3" s="1"/>
  <c r="M701" i="2"/>
  <c r="N701" i="2" s="1"/>
  <c r="Q701" i="2" s="1"/>
  <c r="V701" i="2" s="1"/>
  <c r="L578" i="3" s="1"/>
  <c r="J136" i="3"/>
  <c r="K136" i="3" s="1"/>
  <c r="J87" i="3"/>
  <c r="K87" i="3" s="1"/>
  <c r="J81" i="3"/>
  <c r="K81" i="3" s="1"/>
  <c r="J58" i="3"/>
  <c r="K58" i="3" s="1"/>
  <c r="J42" i="3"/>
  <c r="K42" i="3" s="1"/>
  <c r="J26" i="3"/>
  <c r="K26" i="3" s="1"/>
  <c r="J10" i="3"/>
  <c r="K10" i="3" s="1"/>
  <c r="M888" i="2"/>
  <c r="N888" i="2" s="1"/>
  <c r="M885" i="2"/>
  <c r="N885" i="2" s="1"/>
  <c r="J215" i="3"/>
  <c r="K215" i="3" s="1"/>
  <c r="J183" i="3"/>
  <c r="K183" i="3" s="1"/>
  <c r="J164" i="3"/>
  <c r="K164" i="3" s="1"/>
  <c r="J156" i="3"/>
  <c r="K156" i="3" s="1"/>
  <c r="J123" i="3"/>
  <c r="K123" i="3" s="1"/>
  <c r="J104" i="3"/>
  <c r="K104" i="3" s="1"/>
  <c r="J75" i="3"/>
  <c r="K75" i="3" s="1"/>
  <c r="J69" i="3"/>
  <c r="K69" i="3" s="1"/>
  <c r="J47" i="3"/>
  <c r="K47" i="3" s="1"/>
  <c r="J31" i="3"/>
  <c r="K31" i="3" s="1"/>
  <c r="J15" i="3"/>
  <c r="K15" i="3" s="1"/>
  <c r="M882" i="2"/>
  <c r="N882" i="2" s="1"/>
  <c r="J238" i="3"/>
  <c r="K238" i="3" s="1"/>
  <c r="J116" i="3"/>
  <c r="K116" i="3" s="1"/>
  <c r="J92" i="3"/>
  <c r="K92" i="3" s="1"/>
  <c r="J63" i="3"/>
  <c r="K63" i="3" s="1"/>
  <c r="J52" i="3"/>
  <c r="K52" i="3" s="1"/>
  <c r="J36" i="3"/>
  <c r="K36" i="3" s="1"/>
  <c r="J20" i="3"/>
  <c r="K20" i="3" s="1"/>
  <c r="J4" i="3"/>
  <c r="K4" i="3" s="1"/>
  <c r="M879" i="2"/>
  <c r="N879" i="2" s="1"/>
  <c r="M876" i="2"/>
  <c r="N876" i="2" s="1"/>
  <c r="M873" i="2"/>
  <c r="N873" i="2" s="1"/>
  <c r="M860" i="2"/>
  <c r="N860" i="2" s="1"/>
  <c r="M857" i="2"/>
  <c r="N857" i="2" s="1"/>
  <c r="M844" i="2"/>
  <c r="N844" i="2" s="1"/>
  <c r="Q844" i="2" s="1"/>
  <c r="M841" i="2"/>
  <c r="N841" i="2" s="1"/>
  <c r="Q841" i="2" s="1"/>
  <c r="V841" i="2" s="1"/>
  <c r="L641" i="3" s="1"/>
  <c r="M828" i="2"/>
  <c r="N828" i="2" s="1"/>
  <c r="Q828" i="2" s="1"/>
  <c r="V828" i="2" s="1"/>
  <c r="L589" i="3" s="1"/>
  <c r="M825" i="2"/>
  <c r="N825" i="2" s="1"/>
  <c r="Q825" i="2" s="1"/>
  <c r="V825" i="2" s="1"/>
  <c r="L497" i="3" s="1"/>
  <c r="M812" i="2"/>
  <c r="N812" i="2" s="1"/>
  <c r="M809" i="2"/>
  <c r="N809" i="2" s="1"/>
  <c r="Q809" i="2" s="1"/>
  <c r="V809" i="2" s="1"/>
  <c r="L418" i="3" s="1"/>
  <c r="M796" i="2"/>
  <c r="N796" i="2" s="1"/>
  <c r="M793" i="2"/>
  <c r="N793" i="2" s="1"/>
  <c r="Q793" i="2" s="1"/>
  <c r="M780" i="2"/>
  <c r="N780" i="2" s="1"/>
  <c r="M777" i="2"/>
  <c r="N777" i="2" s="1"/>
  <c r="M764" i="2"/>
  <c r="N764" i="2" s="1"/>
  <c r="Q764" i="2" s="1"/>
  <c r="V764" i="2" s="1"/>
  <c r="L434" i="3" s="1"/>
  <c r="M761" i="2"/>
  <c r="N761" i="2" s="1"/>
  <c r="Q761" i="2" s="1"/>
  <c r="V761" i="2" s="1"/>
  <c r="L357" i="3" s="1"/>
  <c r="J172" i="3"/>
  <c r="K172" i="3" s="1"/>
  <c r="J148" i="3"/>
  <c r="K148" i="3" s="1"/>
  <c r="J135" i="3"/>
  <c r="K135" i="3" s="1"/>
  <c r="J80" i="3"/>
  <c r="K80" i="3" s="1"/>
  <c r="J57" i="3"/>
  <c r="K57" i="3" s="1"/>
  <c r="J41" i="3"/>
  <c r="K41" i="3" s="1"/>
  <c r="J25" i="3"/>
  <c r="K25" i="3" s="1"/>
  <c r="J9" i="3"/>
  <c r="K9" i="3" s="1"/>
  <c r="J163" i="3"/>
  <c r="K163" i="3" s="1"/>
  <c r="J155" i="3"/>
  <c r="K155" i="3" s="1"/>
  <c r="J128" i="3"/>
  <c r="K128" i="3" s="1"/>
  <c r="J103" i="3"/>
  <c r="K103" i="3" s="1"/>
  <c r="J97" i="3"/>
  <c r="K97" i="3" s="1"/>
  <c r="J68" i="3"/>
  <c r="K68" i="3" s="1"/>
  <c r="J46" i="3"/>
  <c r="K46" i="3" s="1"/>
  <c r="J30" i="3"/>
  <c r="K30" i="3" s="1"/>
  <c r="J14" i="3"/>
  <c r="K14" i="3" s="1"/>
  <c r="M729" i="2"/>
  <c r="N729" i="2" s="1"/>
  <c r="J180" i="3"/>
  <c r="K180" i="3" s="1"/>
  <c r="J115" i="3"/>
  <c r="K115" i="3" s="1"/>
  <c r="J91" i="3"/>
  <c r="K91" i="3" s="1"/>
  <c r="J85" i="3"/>
  <c r="K85" i="3" s="1"/>
  <c r="J51" i="3"/>
  <c r="K51" i="3" s="1"/>
  <c r="J35" i="3"/>
  <c r="K35" i="3" s="1"/>
  <c r="J19" i="3"/>
  <c r="K19" i="3" s="1"/>
  <c r="J3" i="3"/>
  <c r="K3" i="3" s="1"/>
  <c r="J171" i="3"/>
  <c r="K171" i="3" s="1"/>
  <c r="J147" i="3"/>
  <c r="K147" i="3" s="1"/>
  <c r="J140" i="3"/>
  <c r="K140" i="3" s="1"/>
  <c r="J108" i="3"/>
  <c r="K108" i="3" s="1"/>
  <c r="J79" i="3"/>
  <c r="K79" i="3" s="1"/>
  <c r="J73" i="3"/>
  <c r="K73" i="3" s="1"/>
  <c r="J56" i="3"/>
  <c r="K56" i="3" s="1"/>
  <c r="J40" i="3"/>
  <c r="K40" i="3" s="1"/>
  <c r="J24" i="3"/>
  <c r="K24" i="3" s="1"/>
  <c r="J8" i="3"/>
  <c r="K8" i="3" s="1"/>
  <c r="M880" i="2"/>
  <c r="N880" i="2" s="1"/>
  <c r="Q880" i="2" s="1"/>
  <c r="M877" i="2"/>
  <c r="N877" i="2" s="1"/>
  <c r="M864" i="2"/>
  <c r="N864" i="2" s="1"/>
  <c r="Q864" i="2" s="1"/>
  <c r="M861" i="2"/>
  <c r="N861" i="2" s="1"/>
  <c r="Q861" i="2" s="1"/>
  <c r="V861" i="2" s="1"/>
  <c r="L438" i="3" s="1"/>
  <c r="J179" i="3"/>
  <c r="K179" i="3" s="1"/>
  <c r="J120" i="3"/>
  <c r="K120" i="3" s="1"/>
  <c r="J84" i="3"/>
  <c r="K84" i="3" s="1"/>
  <c r="J50" i="3"/>
  <c r="K50" i="3" s="1"/>
  <c r="J34" i="3"/>
  <c r="K34" i="3" s="1"/>
  <c r="J18" i="3"/>
  <c r="K18" i="3" s="1"/>
  <c r="J2" i="3"/>
  <c r="K2" i="3" s="1"/>
  <c r="J210" i="3"/>
  <c r="K210" i="3" s="1"/>
  <c r="J160" i="3"/>
  <c r="K160" i="3" s="1"/>
  <c r="J139" i="3"/>
  <c r="K139" i="3" s="1"/>
  <c r="J107" i="3"/>
  <c r="K107" i="3" s="1"/>
  <c r="J101" i="3"/>
  <c r="K101" i="3" s="1"/>
  <c r="J72" i="3"/>
  <c r="K72" i="3" s="1"/>
  <c r="J55" i="3"/>
  <c r="K55" i="3" s="1"/>
  <c r="J39" i="3"/>
  <c r="K39" i="3" s="1"/>
  <c r="J23" i="3"/>
  <c r="K23" i="3" s="1"/>
  <c r="J7" i="3"/>
  <c r="K7" i="3" s="1"/>
  <c r="J187" i="3"/>
  <c r="K187" i="3" s="1"/>
  <c r="J168" i="3"/>
  <c r="K168" i="3" s="1"/>
  <c r="J152" i="3"/>
  <c r="K152" i="3" s="1"/>
  <c r="J132" i="3"/>
  <c r="K132" i="3" s="1"/>
  <c r="J95" i="3"/>
  <c r="K95" i="3" s="1"/>
  <c r="J89" i="3"/>
  <c r="K89" i="3" s="1"/>
  <c r="J60" i="3"/>
  <c r="K60" i="3" s="1"/>
  <c r="J44" i="3"/>
  <c r="K44" i="3" s="1"/>
  <c r="J28" i="3"/>
  <c r="K28" i="3" s="1"/>
  <c r="J12" i="3"/>
  <c r="K12" i="3" s="1"/>
  <c r="M871" i="2"/>
  <c r="N871" i="2" s="1"/>
  <c r="M868" i="2"/>
  <c r="N868" i="2" s="1"/>
  <c r="Q868" i="2" s="1"/>
  <c r="V868" i="2" s="1"/>
  <c r="L644" i="3" s="1"/>
  <c r="M865" i="2"/>
  <c r="N865" i="2" s="1"/>
  <c r="Q865" i="2" s="1"/>
  <c r="V865" i="2" s="1"/>
  <c r="L531" i="3" s="1"/>
  <c r="M855" i="2"/>
  <c r="N855" i="2" s="1"/>
  <c r="M852" i="2"/>
  <c r="N852" i="2" s="1"/>
  <c r="Q852" i="2" s="1"/>
  <c r="V852" i="2" s="1"/>
  <c r="L391" i="3" s="1"/>
  <c r="M849" i="2"/>
  <c r="N849" i="2" s="1"/>
  <c r="M839" i="2"/>
  <c r="N839" i="2" s="1"/>
  <c r="Q839" i="2" s="1"/>
  <c r="V839" i="2" s="1"/>
  <c r="L590" i="3" s="1"/>
  <c r="M836" i="2"/>
  <c r="N836" i="2" s="1"/>
  <c r="M833" i="2"/>
  <c r="N833" i="2" s="1"/>
  <c r="Q833" i="2" s="1"/>
  <c r="M823" i="2"/>
  <c r="N823" i="2" s="1"/>
  <c r="Q823" i="2" s="1"/>
  <c r="M820" i="2"/>
  <c r="N820" i="2" s="1"/>
  <c r="Q820" i="2" s="1"/>
  <c r="M817" i="2"/>
  <c r="N817" i="2" s="1"/>
  <c r="M807" i="2"/>
  <c r="N807" i="2" s="1"/>
  <c r="Q807" i="2" s="1"/>
  <c r="M804" i="2"/>
  <c r="N804" i="2" s="1"/>
  <c r="Q804" i="2" s="1"/>
  <c r="M801" i="2"/>
  <c r="N801" i="2" s="1"/>
  <c r="Q801" i="2" s="1"/>
  <c r="V801" i="2" s="1"/>
  <c r="L495" i="3" s="1"/>
  <c r="M791" i="2"/>
  <c r="N791" i="2" s="1"/>
  <c r="J119" i="3"/>
  <c r="K119" i="3" s="1"/>
  <c r="J83" i="3"/>
  <c r="K83" i="3" s="1"/>
  <c r="J77" i="3"/>
  <c r="K77" i="3" s="1"/>
  <c r="J49" i="3"/>
  <c r="K49" i="3" s="1"/>
  <c r="J33" i="3"/>
  <c r="K33" i="3" s="1"/>
  <c r="M837" i="2"/>
  <c r="N837" i="2" s="1"/>
  <c r="Q837" i="2" s="1"/>
  <c r="M830" i="2"/>
  <c r="N830" i="2" s="1"/>
  <c r="Q830" i="2" s="1"/>
  <c r="M785" i="2"/>
  <c r="N785" i="2" s="1"/>
  <c r="Q785" i="2" s="1"/>
  <c r="V785" i="2" s="1"/>
  <c r="L385" i="3" s="1"/>
  <c r="M772" i="2"/>
  <c r="N772" i="2" s="1"/>
  <c r="Q772" i="2" s="1"/>
  <c r="V772" i="2" s="1"/>
  <c r="L635" i="3" s="1"/>
  <c r="M734" i="2"/>
  <c r="N734" i="2" s="1"/>
  <c r="Q734" i="2" s="1"/>
  <c r="V734" i="2" s="1"/>
  <c r="L581" i="3" s="1"/>
  <c r="M709" i="2"/>
  <c r="N709" i="2" s="1"/>
  <c r="M697" i="2"/>
  <c r="N697" i="2" s="1"/>
  <c r="Q697" i="2" s="1"/>
  <c r="M674" i="2"/>
  <c r="N674" i="2" s="1"/>
  <c r="Q674" i="2" s="1"/>
  <c r="V674" i="2" s="1"/>
  <c r="L595" i="3" s="1"/>
  <c r="J45" i="3"/>
  <c r="K45" i="3" s="1"/>
  <c r="J6" i="3"/>
  <c r="K6" i="3" s="1"/>
  <c r="M862" i="2"/>
  <c r="N862" i="2" s="1"/>
  <c r="M795" i="2"/>
  <c r="N795" i="2" s="1"/>
  <c r="Q795" i="2" s="1"/>
  <c r="M757" i="2"/>
  <c r="N757" i="2" s="1"/>
  <c r="Q757" i="2" s="1"/>
  <c r="V757" i="2" s="1"/>
  <c r="L552" i="3" s="1"/>
  <c r="M720" i="2"/>
  <c r="N720" i="2" s="1"/>
  <c r="M703" i="2"/>
  <c r="N703" i="2" s="1"/>
  <c r="Q703" i="2" s="1"/>
  <c r="J17" i="3"/>
  <c r="K17" i="3" s="1"/>
  <c r="M816" i="2"/>
  <c r="N816" i="2" s="1"/>
  <c r="M740" i="2"/>
  <c r="N740" i="2" s="1"/>
  <c r="Q740" i="2" s="1"/>
  <c r="V740" i="2" s="1"/>
  <c r="L432" i="3" s="1"/>
  <c r="M678" i="2"/>
  <c r="N678" i="2" s="1"/>
  <c r="J29" i="3"/>
  <c r="K29" i="3" s="1"/>
  <c r="M821" i="2"/>
  <c r="N821" i="2" s="1"/>
  <c r="Q821" i="2" s="1"/>
  <c r="V821" i="2" s="1"/>
  <c r="L419" i="3" s="1"/>
  <c r="M814" i="2"/>
  <c r="N814" i="2" s="1"/>
  <c r="M775" i="2"/>
  <c r="N775" i="2" s="1"/>
  <c r="M765" i="2"/>
  <c r="N765" i="2" s="1"/>
  <c r="M749" i="2"/>
  <c r="N749" i="2" s="1"/>
  <c r="Q749" i="2" s="1"/>
  <c r="M743" i="2"/>
  <c r="N743" i="2" s="1"/>
  <c r="M856" i="2"/>
  <c r="N856" i="2" s="1"/>
  <c r="Q856" i="2" s="1"/>
  <c r="M840" i="2"/>
  <c r="N840" i="2" s="1"/>
  <c r="M835" i="2"/>
  <c r="N835" i="2" s="1"/>
  <c r="M826" i="2"/>
  <c r="N826" i="2" s="1"/>
  <c r="M788" i="2"/>
  <c r="N788" i="2" s="1"/>
  <c r="Q788" i="2" s="1"/>
  <c r="M778" i="2"/>
  <c r="N778" i="2" s="1"/>
  <c r="Q778" i="2" s="1"/>
  <c r="M760" i="2"/>
  <c r="N760" i="2" s="1"/>
  <c r="Q760" i="2" s="1"/>
  <c r="M715" i="2"/>
  <c r="N715" i="2" s="1"/>
  <c r="Q715" i="2" s="1"/>
  <c r="M887" i="2"/>
  <c r="N887" i="2" s="1"/>
  <c r="Q887" i="2" s="1"/>
  <c r="V887" i="2" s="1"/>
  <c r="L395" i="3" s="1"/>
  <c r="M883" i="2"/>
  <c r="N883" i="2" s="1"/>
  <c r="M875" i="2"/>
  <c r="N875" i="2" s="1"/>
  <c r="M800" i="2"/>
  <c r="N800" i="2" s="1"/>
  <c r="M773" i="2"/>
  <c r="N773" i="2" s="1"/>
  <c r="Q773" i="2" s="1"/>
  <c r="V773" i="2" s="1"/>
  <c r="L358" i="3" s="1"/>
  <c r="M732" i="2"/>
  <c r="N732" i="2" s="1"/>
  <c r="Q732" i="2" s="1"/>
  <c r="M721" i="2"/>
  <c r="N721" i="2" s="1"/>
  <c r="M718" i="2"/>
  <c r="N718" i="2" s="1"/>
  <c r="M704" i="2"/>
  <c r="N704" i="2" s="1"/>
  <c r="M698" i="2"/>
  <c r="N698" i="2" s="1"/>
  <c r="J127" i="3"/>
  <c r="K127" i="3" s="1"/>
  <c r="M881" i="2"/>
  <c r="N881" i="2" s="1"/>
  <c r="M845" i="2"/>
  <c r="N845" i="2" s="1"/>
  <c r="Q845" i="2" s="1"/>
  <c r="M805" i="2"/>
  <c r="N805" i="2" s="1"/>
  <c r="M798" i="2"/>
  <c r="N798" i="2" s="1"/>
  <c r="Q798" i="2" s="1"/>
  <c r="M752" i="2"/>
  <c r="N752" i="2" s="1"/>
  <c r="M741" i="2"/>
  <c r="N741" i="2" s="1"/>
  <c r="Q741" i="2" s="1"/>
  <c r="M738" i="2"/>
  <c r="N738" i="2" s="1"/>
  <c r="M735" i="2"/>
  <c r="N735" i="2" s="1"/>
  <c r="Q735" i="2" s="1"/>
  <c r="V735" i="2" s="1"/>
  <c r="L601" i="3" s="1"/>
  <c r="J13" i="3"/>
  <c r="K13" i="3" s="1"/>
  <c r="M824" i="2"/>
  <c r="N824" i="2" s="1"/>
  <c r="Q824" i="2" s="1"/>
  <c r="M781" i="2"/>
  <c r="N781" i="2" s="1"/>
  <c r="Q781" i="2" s="1"/>
  <c r="V781" i="2" s="1"/>
  <c r="L585" i="3" s="1"/>
  <c r="M768" i="2"/>
  <c r="N768" i="2" s="1"/>
  <c r="M763" i="2"/>
  <c r="N763" i="2" s="1"/>
  <c r="Q763" i="2" s="1"/>
  <c r="M744" i="2"/>
  <c r="N744" i="2" s="1"/>
  <c r="Q744" i="2" s="1"/>
  <c r="V744" i="2" s="1"/>
  <c r="L520" i="3" s="1"/>
  <c r="M727" i="2"/>
  <c r="N727" i="2" s="1"/>
  <c r="Q727" i="2" s="1"/>
  <c r="J96" i="3"/>
  <c r="K96" i="3" s="1"/>
  <c r="J67" i="3"/>
  <c r="K67" i="3" s="1"/>
  <c r="M869" i="2"/>
  <c r="N869" i="2" s="1"/>
  <c r="Q869" i="2" s="1"/>
  <c r="V869" i="2" s="1"/>
  <c r="L393" i="3" s="1"/>
  <c r="M843" i="2"/>
  <c r="N843" i="2" s="1"/>
  <c r="Q843" i="2" s="1"/>
  <c r="M776" i="2"/>
  <c r="N776" i="2" s="1"/>
  <c r="Q776" i="2" s="1"/>
  <c r="M747" i="2"/>
  <c r="N747" i="2" s="1"/>
  <c r="Q747" i="2" s="1"/>
  <c r="M713" i="2"/>
  <c r="N713" i="2" s="1"/>
  <c r="M658" i="2"/>
  <c r="N658" i="2" s="1"/>
  <c r="Q658" i="2" s="1"/>
  <c r="M859" i="2"/>
  <c r="N859" i="2" s="1"/>
  <c r="Q859" i="2" s="1"/>
  <c r="M829" i="2"/>
  <c r="N829" i="2" s="1"/>
  <c r="Q829" i="2" s="1"/>
  <c r="M789" i="2"/>
  <c r="N789" i="2" s="1"/>
  <c r="M808" i="2"/>
  <c r="N808" i="2" s="1"/>
  <c r="Q808" i="2" s="1"/>
  <c r="V808" i="2" s="1"/>
  <c r="L387" i="3" s="1"/>
  <c r="M766" i="2"/>
  <c r="N766" i="2" s="1"/>
  <c r="Q766" i="2" s="1"/>
  <c r="V766" i="2" s="1"/>
  <c r="L474" i="3" s="1"/>
  <c r="M753" i="2"/>
  <c r="N753" i="2" s="1"/>
  <c r="M750" i="2"/>
  <c r="N750" i="2" s="1"/>
  <c r="Q750" i="2" s="1"/>
  <c r="M733" i="2"/>
  <c r="N733" i="2" s="1"/>
  <c r="Q733" i="2" s="1"/>
  <c r="V733" i="2" s="1"/>
  <c r="L550" i="3" s="1"/>
  <c r="M705" i="2"/>
  <c r="N705" i="2" s="1"/>
  <c r="Q705" i="2" s="1"/>
  <c r="M884" i="2"/>
  <c r="N884" i="2" s="1"/>
  <c r="Q884" i="2" s="1"/>
  <c r="M848" i="2"/>
  <c r="N848" i="2" s="1"/>
  <c r="M813" i="2"/>
  <c r="N813" i="2" s="1"/>
  <c r="Q813" i="2" s="1"/>
  <c r="M769" i="2"/>
  <c r="N769" i="2" s="1"/>
  <c r="Q769" i="2" s="1"/>
  <c r="M745" i="2"/>
  <c r="N745" i="2" s="1"/>
  <c r="M853" i="2"/>
  <c r="N853" i="2" s="1"/>
  <c r="Q853" i="2" s="1"/>
  <c r="M811" i="2"/>
  <c r="N811" i="2" s="1"/>
  <c r="Q811" i="2" s="1"/>
  <c r="M782" i="2"/>
  <c r="N782" i="2" s="1"/>
  <c r="Q782" i="2" s="1"/>
  <c r="J61" i="3"/>
  <c r="K61" i="3" s="1"/>
  <c r="M872" i="2"/>
  <c r="N872" i="2" s="1"/>
  <c r="M832" i="2"/>
  <c r="N832" i="2" s="1"/>
  <c r="M818" i="2"/>
  <c r="N818" i="2" s="1"/>
  <c r="M797" i="2"/>
  <c r="N797" i="2" s="1"/>
  <c r="M792" i="2"/>
  <c r="N792" i="2" s="1"/>
  <c r="Q792" i="2" s="1"/>
  <c r="M739" i="2"/>
  <c r="N739" i="2" s="1"/>
  <c r="Q739" i="2" s="1"/>
  <c r="V739" i="2" s="1"/>
  <c r="L412" i="3" s="1"/>
  <c r="M737" i="2"/>
  <c r="N737" i="2" s="1"/>
  <c r="M640" i="2"/>
  <c r="N640" i="2" s="1"/>
  <c r="Q640" i="2" s="1"/>
  <c r="V640" i="2" s="1"/>
  <c r="L509" i="3" s="1"/>
  <c r="M633" i="2"/>
  <c r="N633" i="2" s="1"/>
  <c r="M623" i="2"/>
  <c r="N623" i="2" s="1"/>
  <c r="Q623" i="2" s="1"/>
  <c r="V623" i="2" s="1"/>
  <c r="L368" i="3" s="1"/>
  <c r="M696" i="2"/>
  <c r="N696" i="2" s="1"/>
  <c r="Q696" i="2" s="1"/>
  <c r="M673" i="2"/>
  <c r="N673" i="2" s="1"/>
  <c r="M655" i="2"/>
  <c r="N655" i="2" s="1"/>
  <c r="Q655" i="2" s="1"/>
  <c r="M630" i="2"/>
  <c r="N630" i="2" s="1"/>
  <c r="M620" i="2"/>
  <c r="N620" i="2" s="1"/>
  <c r="M613" i="2"/>
  <c r="N613" i="2" s="1"/>
  <c r="Q613" i="2" s="1"/>
  <c r="V613" i="2" s="1"/>
  <c r="L367" i="3" s="1"/>
  <c r="M603" i="2"/>
  <c r="N603" i="2" s="1"/>
  <c r="Q603" i="2" s="1"/>
  <c r="M756" i="2"/>
  <c r="N756" i="2" s="1"/>
  <c r="Q756" i="2" s="1"/>
  <c r="M652" i="2"/>
  <c r="N652" i="2" s="1"/>
  <c r="M593" i="2"/>
  <c r="N593" i="2" s="1"/>
  <c r="Q593" i="2" s="1"/>
  <c r="V593" i="2" s="1"/>
  <c r="L353" i="3" s="1"/>
  <c r="M583" i="2"/>
  <c r="N583" i="2" s="1"/>
  <c r="Q583" i="2" s="1"/>
  <c r="V583" i="2" s="1"/>
  <c r="L126" i="3" s="1"/>
  <c r="M878" i="2"/>
  <c r="N878" i="2" s="1"/>
  <c r="Q878" i="2" s="1"/>
  <c r="M668" i="2"/>
  <c r="N668" i="2" s="1"/>
  <c r="M663" i="2"/>
  <c r="N663" i="2" s="1"/>
  <c r="M644" i="2"/>
  <c r="N644" i="2" s="1"/>
  <c r="M637" i="2"/>
  <c r="N637" i="2" s="1"/>
  <c r="M627" i="2"/>
  <c r="N627" i="2" s="1"/>
  <c r="Q627" i="2" s="1"/>
  <c r="M590" i="2"/>
  <c r="N590" i="2" s="1"/>
  <c r="Q590" i="2" s="1"/>
  <c r="V590" i="2" s="1"/>
  <c r="M779" i="2"/>
  <c r="N779" i="2" s="1"/>
  <c r="M617" i="2"/>
  <c r="N617" i="2" s="1"/>
  <c r="Q617" i="2" s="1"/>
  <c r="V617" i="2" s="1"/>
  <c r="L458" i="3" s="1"/>
  <c r="M607" i="2"/>
  <c r="N607" i="2" s="1"/>
  <c r="M722" i="2"/>
  <c r="N722" i="2" s="1"/>
  <c r="M688" i="2"/>
  <c r="N688" i="2" s="1"/>
  <c r="Q688" i="2" s="1"/>
  <c r="V688" i="2" s="1"/>
  <c r="L467" i="3" s="1"/>
  <c r="M641" i="2"/>
  <c r="N641" i="2" s="1"/>
  <c r="Q641" i="2" s="1"/>
  <c r="M631" i="2"/>
  <c r="N631" i="2" s="1"/>
  <c r="M577" i="2"/>
  <c r="N577" i="2" s="1"/>
  <c r="Q577" i="2" s="1"/>
  <c r="V577" i="2" s="1"/>
  <c r="L321" i="3" s="1"/>
  <c r="M710" i="2"/>
  <c r="N710" i="2" s="1"/>
  <c r="Q710" i="2" s="1"/>
  <c r="V710" i="2" s="1"/>
  <c r="L548" i="3" s="1"/>
  <c r="M621" i="2"/>
  <c r="N621" i="2" s="1"/>
  <c r="M611" i="2"/>
  <c r="N611" i="2" s="1"/>
  <c r="Q611" i="2" s="1"/>
  <c r="M736" i="2"/>
  <c r="N736" i="2" s="1"/>
  <c r="Q736" i="2" s="1"/>
  <c r="V736" i="2" s="1"/>
  <c r="L632" i="3" s="1"/>
  <c r="M708" i="2"/>
  <c r="N708" i="2" s="1"/>
  <c r="Q708" i="2" s="1"/>
  <c r="V708" i="2" s="1"/>
  <c r="L487" i="3" s="1"/>
  <c r="M666" i="2"/>
  <c r="N666" i="2" s="1"/>
  <c r="Q666" i="2" s="1"/>
  <c r="M656" i="2"/>
  <c r="N656" i="2" s="1"/>
  <c r="Q656" i="2" s="1"/>
  <c r="V656" i="2" s="1"/>
  <c r="L573" i="3" s="1"/>
  <c r="M601" i="2"/>
  <c r="N601" i="2" s="1"/>
  <c r="Q601" i="2" s="1"/>
  <c r="V601" i="2" s="1"/>
  <c r="L422" i="3" s="1"/>
  <c r="M591" i="2"/>
  <c r="N591" i="2" s="1"/>
  <c r="M684" i="2"/>
  <c r="N684" i="2" s="1"/>
  <c r="Q684" i="2" s="1"/>
  <c r="M635" i="2"/>
  <c r="N635" i="2" s="1"/>
  <c r="M827" i="2"/>
  <c r="N827" i="2" s="1"/>
  <c r="Q827" i="2" s="1"/>
  <c r="M759" i="2"/>
  <c r="N759" i="2" s="1"/>
  <c r="Q759" i="2" s="1"/>
  <c r="V759" i="2" s="1"/>
  <c r="L603" i="3" s="1"/>
  <c r="M693" i="2"/>
  <c r="N693" i="2" s="1"/>
  <c r="Q693" i="2" s="1"/>
  <c r="V693" i="2" s="1"/>
  <c r="L628" i="3" s="1"/>
  <c r="M682" i="2"/>
  <c r="N682" i="2" s="1"/>
  <c r="Q682" i="2" s="1"/>
  <c r="M645" i="2"/>
  <c r="N645" i="2" s="1"/>
  <c r="M625" i="2"/>
  <c r="N625" i="2" s="1"/>
  <c r="M615" i="2"/>
  <c r="N615" i="2" s="1"/>
  <c r="Q615" i="2" s="1"/>
  <c r="V615" i="2" s="1"/>
  <c r="L402" i="3" s="1"/>
  <c r="J22" i="3"/>
  <c r="K22" i="3" s="1"/>
  <c r="M711" i="2"/>
  <c r="N711" i="2" s="1"/>
  <c r="Q711" i="2" s="1"/>
  <c r="V711" i="2" s="1"/>
  <c r="L579" i="3" s="1"/>
  <c r="M687" i="2"/>
  <c r="N687" i="2" s="1"/>
  <c r="Q687" i="2" s="1"/>
  <c r="M657" i="2"/>
  <c r="N657" i="2" s="1"/>
  <c r="Q657" i="2" s="1"/>
  <c r="V657" i="2" s="1"/>
  <c r="L593" i="3" s="1"/>
  <c r="M646" i="2"/>
  <c r="N646" i="2" s="1"/>
  <c r="Q646" i="2" s="1"/>
  <c r="M609" i="2"/>
  <c r="N609" i="2" s="1"/>
  <c r="Q609" i="2" s="1"/>
  <c r="V609" i="2" s="1"/>
  <c r="L505" i="3" s="1"/>
  <c r="M599" i="2"/>
  <c r="N599" i="2" s="1"/>
  <c r="Q599" i="2" s="1"/>
  <c r="M717" i="2"/>
  <c r="N717" i="2" s="1"/>
  <c r="Q717" i="2" s="1"/>
  <c r="V717" i="2" s="1"/>
  <c r="L442" i="3" s="1"/>
  <c r="M629" i="2"/>
  <c r="N629" i="2" s="1"/>
  <c r="M569" i="2"/>
  <c r="N569" i="2" s="1"/>
  <c r="Q569" i="2" s="1"/>
  <c r="M566" i="2"/>
  <c r="N566" i="2" s="1"/>
  <c r="Q566" i="2" s="1"/>
  <c r="V566" i="2" s="1"/>
  <c r="L73" i="3" s="1"/>
  <c r="M557" i="2"/>
  <c r="N557" i="2" s="1"/>
  <c r="Q557" i="2" s="1"/>
  <c r="V557" i="2" s="1"/>
  <c r="L224" i="3" s="1"/>
  <c r="M535" i="2"/>
  <c r="N535" i="2" s="1"/>
  <c r="Q535" i="2" s="1"/>
  <c r="V535" i="2" s="1"/>
  <c r="L309" i="3" s="1"/>
  <c r="M596" i="2"/>
  <c r="N596" i="2" s="1"/>
  <c r="Q596" i="2" s="1"/>
  <c r="V596" i="2" s="1"/>
  <c r="L534" i="3" s="1"/>
  <c r="M572" i="2"/>
  <c r="N572" i="2" s="1"/>
  <c r="Q572" i="2" s="1"/>
  <c r="V572" i="2" s="1"/>
  <c r="L225" i="3" s="1"/>
  <c r="M549" i="2"/>
  <c r="N549" i="2" s="1"/>
  <c r="Q549" i="2" s="1"/>
  <c r="V549" i="2" s="1"/>
  <c r="L350" i="3" s="1"/>
  <c r="M675" i="2"/>
  <c r="N675" i="2" s="1"/>
  <c r="Q675" i="2" s="1"/>
  <c r="M619" i="2"/>
  <c r="N619" i="2" s="1"/>
  <c r="M512" i="2"/>
  <c r="N512" i="2" s="1"/>
  <c r="Q512" i="2" s="1"/>
  <c r="V512" i="2" s="1"/>
  <c r="L55" i="3" s="1"/>
  <c r="M677" i="2"/>
  <c r="N677" i="2" s="1"/>
  <c r="M605" i="2"/>
  <c r="N605" i="2" s="1"/>
  <c r="Q605" i="2" s="1"/>
  <c r="V605" i="2" s="1"/>
  <c r="L617" i="3" s="1"/>
  <c r="M586" i="2"/>
  <c r="N586" i="2" s="1"/>
  <c r="Q586" i="2" s="1"/>
  <c r="V586" i="2" s="1"/>
  <c r="L201" i="3" s="1"/>
  <c r="M492" i="2"/>
  <c r="N492" i="2" s="1"/>
  <c r="Q492" i="2" s="1"/>
  <c r="V492" i="2" s="1"/>
  <c r="L346" i="3" s="1"/>
  <c r="M581" i="2"/>
  <c r="N581" i="2" s="1"/>
  <c r="Q581" i="2" s="1"/>
  <c r="M570" i="2"/>
  <c r="N570" i="2" s="1"/>
  <c r="Q570" i="2" s="1"/>
  <c r="V570" i="2" s="1"/>
  <c r="L170" i="3" s="1"/>
  <c r="M536" i="2"/>
  <c r="N536" i="2" s="1"/>
  <c r="Q536" i="2" s="1"/>
  <c r="V536" i="2" s="1"/>
  <c r="L318" i="3" s="1"/>
  <c r="M472" i="2"/>
  <c r="N472" i="2" s="1"/>
  <c r="Q472" i="2" s="1"/>
  <c r="V472" i="2" s="1"/>
  <c r="L345" i="3" s="1"/>
  <c r="M424" i="2"/>
  <c r="N424" i="2" s="1"/>
  <c r="Q424" i="2" s="1"/>
  <c r="V424" i="2" s="1"/>
  <c r="L160" i="3" s="1"/>
  <c r="M748" i="2"/>
  <c r="N748" i="2" s="1"/>
  <c r="Q748" i="2" s="1"/>
  <c r="V748" i="2" s="1"/>
  <c r="L633" i="3" s="1"/>
  <c r="M662" i="2"/>
  <c r="N662" i="2" s="1"/>
  <c r="M516" i="2"/>
  <c r="N516" i="2" s="1"/>
  <c r="Q516" i="2" s="1"/>
  <c r="V516" i="2" s="1"/>
  <c r="L166" i="3" s="1"/>
  <c r="M846" i="2"/>
  <c r="N846" i="2" s="1"/>
  <c r="Q846" i="2" s="1"/>
  <c r="M622" i="2"/>
  <c r="N622" i="2" s="1"/>
  <c r="Q622" i="2" s="1"/>
  <c r="V622" i="2" s="1"/>
  <c r="L364" i="3" s="1"/>
  <c r="M589" i="2"/>
  <c r="N589" i="2" s="1"/>
  <c r="Q589" i="2" s="1"/>
  <c r="V589" i="2" s="1"/>
  <c r="M573" i="2"/>
  <c r="N573" i="2" s="1"/>
  <c r="Q573" i="2" s="1"/>
  <c r="V573" i="2" s="1"/>
  <c r="L256" i="3" s="1"/>
  <c r="M564" i="2"/>
  <c r="N564" i="2" s="1"/>
  <c r="Q564" i="2" s="1"/>
  <c r="M543" i="2"/>
  <c r="N543" i="2" s="1"/>
  <c r="Q543" i="2" s="1"/>
  <c r="V543" i="2" s="1"/>
  <c r="L223" i="3" s="1"/>
  <c r="M650" i="2"/>
  <c r="N650" i="2" s="1"/>
  <c r="Q650" i="2" s="1"/>
  <c r="V650" i="2" s="1"/>
  <c r="L623" i="3" s="1"/>
  <c r="M636" i="2"/>
  <c r="N636" i="2" s="1"/>
  <c r="M685" i="2"/>
  <c r="N685" i="2" s="1"/>
  <c r="Q685" i="2" s="1"/>
  <c r="V685" i="2" s="1"/>
  <c r="L376" i="3" s="1"/>
  <c r="M654" i="2"/>
  <c r="N654" i="2" s="1"/>
  <c r="Q654" i="2" s="1"/>
  <c r="V654" i="2" s="1"/>
  <c r="L511" i="3" s="1"/>
  <c r="M670" i="2"/>
  <c r="N670" i="2" s="1"/>
  <c r="Q670" i="2" s="1"/>
  <c r="V670" i="2" s="1"/>
  <c r="L465" i="3" s="1"/>
  <c r="M612" i="2"/>
  <c r="N612" i="2" s="1"/>
  <c r="Q612" i="2" s="1"/>
  <c r="V612" i="2" s="1"/>
  <c r="L618" i="3" s="1"/>
  <c r="M579" i="2"/>
  <c r="N579" i="2" s="1"/>
  <c r="Q579" i="2" s="1"/>
  <c r="V579" i="2" s="1"/>
  <c r="L35" i="3" s="1"/>
  <c r="M553" i="2"/>
  <c r="N553" i="2" s="1"/>
  <c r="Q553" i="2" s="1"/>
  <c r="V553" i="2" s="1"/>
  <c r="L124" i="3" s="1"/>
  <c r="M500" i="2"/>
  <c r="N500" i="2" s="1"/>
  <c r="Q500" i="2" s="1"/>
  <c r="V500" i="2" s="1"/>
  <c r="L149" i="3" s="1"/>
  <c r="M702" i="2"/>
  <c r="N702" i="2" s="1"/>
  <c r="M544" i="2"/>
  <c r="N544" i="2" s="1"/>
  <c r="Q544" i="2" s="1"/>
  <c r="V544" i="2" s="1"/>
  <c r="L254" i="3" s="1"/>
  <c r="M480" i="2"/>
  <c r="N480" i="2" s="1"/>
  <c r="Q480" i="2" s="1"/>
  <c r="V480" i="2" s="1"/>
  <c r="L96" i="3" s="1"/>
  <c r="M604" i="2"/>
  <c r="N604" i="2" s="1"/>
  <c r="Q604" i="2" s="1"/>
  <c r="V604" i="2" s="1"/>
  <c r="L566" i="3" s="1"/>
  <c r="M595" i="2"/>
  <c r="N595" i="2" s="1"/>
  <c r="Q595" i="2" s="1"/>
  <c r="V595" i="2" s="1"/>
  <c r="L127" i="3" s="1"/>
  <c r="M562" i="2"/>
  <c r="N562" i="2" s="1"/>
  <c r="Q562" i="2" s="1"/>
  <c r="V562" i="2" s="1"/>
  <c r="L320" i="3" s="1"/>
  <c r="M524" i="2"/>
  <c r="N524" i="2" s="1"/>
  <c r="Q524" i="2" s="1"/>
  <c r="V524" i="2" s="1"/>
  <c r="L317" i="3" s="1"/>
  <c r="M639" i="2"/>
  <c r="N639" i="2" s="1"/>
  <c r="Q639" i="2" s="1"/>
  <c r="V639" i="2" s="1"/>
  <c r="L461" i="3" s="1"/>
  <c r="M602" i="2"/>
  <c r="N602" i="2" s="1"/>
  <c r="Q602" i="2" s="1"/>
  <c r="V602" i="2" s="1"/>
  <c r="L504" i="3" s="1"/>
  <c r="M588" i="2"/>
  <c r="N588" i="2" s="1"/>
  <c r="Q588" i="2" s="1"/>
  <c r="V588" i="2" s="1"/>
  <c r="L257" i="3" s="1"/>
  <c r="M597" i="2"/>
  <c r="N597" i="2" s="1"/>
  <c r="Q597" i="2" s="1"/>
  <c r="V597" i="2" s="1"/>
  <c r="L565" i="3" s="1"/>
  <c r="M532" i="2"/>
  <c r="N532" i="2" s="1"/>
  <c r="Q532" i="2" s="1"/>
  <c r="V532" i="2" s="1"/>
  <c r="M523" i="2"/>
  <c r="N523" i="2" s="1"/>
  <c r="Q523" i="2" s="1"/>
  <c r="V523" i="2" s="1"/>
  <c r="L308" i="3" s="1"/>
  <c r="M518" i="2"/>
  <c r="N518" i="2" s="1"/>
  <c r="Q518" i="2" s="1"/>
  <c r="V518" i="2" s="1"/>
  <c r="L221" i="3" s="1"/>
  <c r="M471" i="2"/>
  <c r="N471" i="2" s="1"/>
  <c r="Q471" i="2" s="1"/>
  <c r="V471" i="2" s="1"/>
  <c r="L314" i="3" s="1"/>
  <c r="M441" i="2"/>
  <c r="N441" i="2" s="1"/>
  <c r="Q441" i="2" s="1"/>
  <c r="V441" i="2" s="1"/>
  <c r="L287" i="3" s="1"/>
  <c r="M614" i="2"/>
  <c r="N614" i="2" s="1"/>
  <c r="Q614" i="2" s="1"/>
  <c r="V614" i="2" s="1"/>
  <c r="L398" i="3" s="1"/>
  <c r="M565" i="2"/>
  <c r="N565" i="2" s="1"/>
  <c r="Q565" i="2" s="1"/>
  <c r="M530" i="2"/>
  <c r="N530" i="2" s="1"/>
  <c r="Q530" i="2" s="1"/>
  <c r="V530" i="2" s="1"/>
  <c r="L222" i="3" s="1"/>
  <c r="M521" i="2"/>
  <c r="N521" i="2" s="1"/>
  <c r="Q521" i="2" s="1"/>
  <c r="V521" i="2" s="1"/>
  <c r="M469" i="2"/>
  <c r="N469" i="2" s="1"/>
  <c r="Q469" i="2" s="1"/>
  <c r="V469" i="2" s="1"/>
  <c r="L289" i="3" s="1"/>
  <c r="M463" i="2"/>
  <c r="N463" i="2" s="1"/>
  <c r="Q463" i="2" s="1"/>
  <c r="V463" i="2" s="1"/>
  <c r="L163" i="3" s="1"/>
  <c r="M537" i="2"/>
  <c r="N537" i="2" s="1"/>
  <c r="Q537" i="2" s="1"/>
  <c r="V537" i="2" s="1"/>
  <c r="L349" i="3" s="1"/>
  <c r="M514" i="2"/>
  <c r="N514" i="2" s="1"/>
  <c r="Q514" i="2" s="1"/>
  <c r="V514" i="2" s="1"/>
  <c r="L122" i="3" s="1"/>
  <c r="M466" i="2"/>
  <c r="N466" i="2" s="1"/>
  <c r="Q466" i="2" s="1"/>
  <c r="V466" i="2" s="1"/>
  <c r="L249" i="3" s="1"/>
  <c r="M461" i="2"/>
  <c r="N461" i="2" s="1"/>
  <c r="Q461" i="2" s="1"/>
  <c r="V461" i="2" s="1"/>
  <c r="L119" i="3" s="1"/>
  <c r="M450" i="2"/>
  <c r="N450" i="2" s="1"/>
  <c r="Q450" i="2" s="1"/>
  <c r="V450" i="2" s="1"/>
  <c r="L162" i="3" s="1"/>
  <c r="M725" i="2"/>
  <c r="N725" i="2" s="1"/>
  <c r="Q725" i="2" s="1"/>
  <c r="V725" i="2" s="1"/>
  <c r="L354" i="3" s="1"/>
  <c r="M554" i="2"/>
  <c r="N554" i="2" s="1"/>
  <c r="Q554" i="2" s="1"/>
  <c r="V554" i="2" s="1"/>
  <c r="L153" i="3" s="1"/>
  <c r="M550" i="2"/>
  <c r="N550" i="2" s="1"/>
  <c r="Q550" i="2" s="1"/>
  <c r="V550" i="2" s="1"/>
  <c r="L33" i="3" s="1"/>
  <c r="M528" i="2"/>
  <c r="N528" i="2" s="1"/>
  <c r="Q528" i="2" s="1"/>
  <c r="V528" i="2" s="1"/>
  <c r="L167" i="3" s="1"/>
  <c r="M485" i="2"/>
  <c r="N485" i="2" s="1"/>
  <c r="Q485" i="2" s="1"/>
  <c r="V485" i="2" s="1"/>
  <c r="L219" i="3" s="1"/>
  <c r="M580" i="2"/>
  <c r="N580" i="2" s="1"/>
  <c r="Q580" i="2" s="1"/>
  <c r="V580" i="2" s="1"/>
  <c r="L57" i="3" s="1"/>
  <c r="M548" i="2"/>
  <c r="N548" i="2" s="1"/>
  <c r="Q548" i="2" s="1"/>
  <c r="V548" i="2" s="1"/>
  <c r="L319" i="3" s="1"/>
  <c r="M505" i="2"/>
  <c r="N505" i="2" s="1"/>
  <c r="Q505" i="2" s="1"/>
  <c r="V505" i="2" s="1"/>
  <c r="M493" i="2"/>
  <c r="N493" i="2" s="1"/>
  <c r="Q493" i="2" s="1"/>
  <c r="V493" i="2" s="1"/>
  <c r="L6" i="3" s="1"/>
  <c r="M659" i="2"/>
  <c r="N659" i="2" s="1"/>
  <c r="Q659" i="2" s="1"/>
  <c r="V659" i="2" s="1"/>
  <c r="L373" i="3" s="1"/>
  <c r="M498" i="2"/>
  <c r="N498" i="2" s="1"/>
  <c r="Q498" i="2" s="1"/>
  <c r="V498" i="2" s="1"/>
  <c r="L97" i="3" s="1"/>
  <c r="M456" i="2"/>
  <c r="N456" i="2" s="1"/>
  <c r="Q456" i="2" s="1"/>
  <c r="V456" i="2" s="1"/>
  <c r="L344" i="3" s="1"/>
  <c r="M784" i="2"/>
  <c r="N784" i="2" s="1"/>
  <c r="Q784" i="2" s="1"/>
  <c r="M598" i="2"/>
  <c r="N598" i="2" s="1"/>
  <c r="Q598" i="2" s="1"/>
  <c r="V598" i="2" s="1"/>
  <c r="L616" i="3" s="1"/>
  <c r="M592" i="2"/>
  <c r="N592" i="2" s="1"/>
  <c r="Q592" i="2" s="1"/>
  <c r="V592" i="2" s="1"/>
  <c r="L322" i="3" s="1"/>
  <c r="M542" i="2"/>
  <c r="N542" i="2" s="1"/>
  <c r="Q542" i="2" s="1"/>
  <c r="V542" i="2" s="1"/>
  <c r="L198" i="3" s="1"/>
  <c r="M540" i="2"/>
  <c r="N540" i="2" s="1"/>
  <c r="Q540" i="2" s="1"/>
  <c r="V540" i="2" s="1"/>
  <c r="L152" i="3" s="1"/>
  <c r="M531" i="2"/>
  <c r="N531" i="2" s="1"/>
  <c r="Q531" i="2" s="1"/>
  <c r="V531" i="2" s="1"/>
  <c r="L253" i="3" s="1"/>
  <c r="M503" i="2"/>
  <c r="N503" i="2" s="1"/>
  <c r="Q503" i="2" s="1"/>
  <c r="V503" i="2" s="1"/>
  <c r="L220" i="3" s="1"/>
  <c r="M478" i="2"/>
  <c r="N478" i="2" s="1"/>
  <c r="Q478" i="2" s="1"/>
  <c r="V478" i="2" s="1"/>
  <c r="M451" i="2"/>
  <c r="N451" i="2" s="1"/>
  <c r="Q451" i="2" s="1"/>
  <c r="V451" i="2" s="1"/>
  <c r="L192" i="3" s="1"/>
  <c r="M576" i="2"/>
  <c r="N576" i="2" s="1"/>
  <c r="Q576" i="2" s="1"/>
  <c r="V576" i="2" s="1"/>
  <c r="L312" i="3" s="1"/>
  <c r="M486" i="2"/>
  <c r="N486" i="2" s="1"/>
  <c r="Q486" i="2" s="1"/>
  <c r="V486" i="2" s="1"/>
  <c r="L250" i="3" s="1"/>
  <c r="M643" i="2"/>
  <c r="N643" i="2" s="1"/>
  <c r="Q643" i="2" s="1"/>
  <c r="V643" i="2" s="1"/>
  <c r="L622" i="3" s="1"/>
  <c r="M585" i="2"/>
  <c r="N585" i="2" s="1"/>
  <c r="Q585" i="2" s="1"/>
  <c r="V585" i="2" s="1"/>
  <c r="L171" i="3" s="1"/>
  <c r="M551" i="2"/>
  <c r="N551" i="2" s="1"/>
  <c r="Q551" i="2" s="1"/>
  <c r="V551" i="2" s="1"/>
  <c r="L72" i="3" s="1"/>
  <c r="M525" i="2"/>
  <c r="N525" i="2" s="1"/>
  <c r="Q525" i="2" s="1"/>
  <c r="V525" i="2" s="1"/>
  <c r="L348" i="3" s="1"/>
  <c r="M515" i="2"/>
  <c r="N515" i="2" s="1"/>
  <c r="Q515" i="2" s="1"/>
  <c r="V515" i="2" s="1"/>
  <c r="L150" i="3" s="1"/>
  <c r="M457" i="2"/>
  <c r="N457" i="2" s="1"/>
  <c r="Q457" i="2" s="1"/>
  <c r="V457" i="2" s="1"/>
  <c r="L27" i="3" s="1"/>
  <c r="M433" i="2"/>
  <c r="N433" i="2" s="1"/>
  <c r="Q433" i="2" s="1"/>
  <c r="V433" i="2" s="1"/>
  <c r="L67" i="3" s="1"/>
  <c r="M402" i="2"/>
  <c r="N402" i="2" s="1"/>
  <c r="Q402" i="2" s="1"/>
  <c r="V402" i="2" s="1"/>
  <c r="L284" i="3" s="1"/>
  <c r="M476" i="2"/>
  <c r="N476" i="2" s="1"/>
  <c r="Q476" i="2" s="1"/>
  <c r="V476" i="2" s="1"/>
  <c r="L70" i="3" s="1"/>
  <c r="M449" i="2"/>
  <c r="N449" i="2" s="1"/>
  <c r="Q449" i="2" s="1"/>
  <c r="V449" i="2" s="1"/>
  <c r="L146" i="3" s="1"/>
  <c r="M444" i="2"/>
  <c r="N444" i="2" s="1"/>
  <c r="Q444" i="2" s="1"/>
  <c r="V444" i="2" s="1"/>
  <c r="L26" i="3" s="1"/>
  <c r="M442" i="2"/>
  <c r="N442" i="2" s="1"/>
  <c r="Q442" i="2" s="1"/>
  <c r="V442" i="2" s="1"/>
  <c r="L303" i="3" s="1"/>
  <c r="M426" i="2"/>
  <c r="N426" i="2" s="1"/>
  <c r="Q426" i="2" s="1"/>
  <c r="V426" i="2" s="1"/>
  <c r="L215" i="3" s="1"/>
  <c r="M394" i="2"/>
  <c r="N394" i="2" s="1"/>
  <c r="Q394" i="2" s="1"/>
  <c r="V394" i="2" s="1"/>
  <c r="L64" i="3" s="1"/>
  <c r="M484" i="2"/>
  <c r="N484" i="2" s="1"/>
  <c r="Q484" i="2" s="1"/>
  <c r="V484" i="2" s="1"/>
  <c r="L194" i="3" s="1"/>
  <c r="M440" i="2"/>
  <c r="N440" i="2" s="1"/>
  <c r="Q440" i="2" s="1"/>
  <c r="V440" i="2" s="1"/>
  <c r="L247" i="3" s="1"/>
  <c r="M416" i="2"/>
  <c r="N416" i="2" s="1"/>
  <c r="Q416" i="2" s="1"/>
  <c r="V416" i="2" s="1"/>
  <c r="L301" i="3" s="1"/>
  <c r="M496" i="2"/>
  <c r="N496" i="2" s="1"/>
  <c r="Q496" i="2" s="1"/>
  <c r="V496" i="2" s="1"/>
  <c r="L71" i="3" s="1"/>
  <c r="M419" i="2"/>
  <c r="N419" i="2" s="1"/>
  <c r="Q419" i="2" s="1"/>
  <c r="V419" i="2" s="1"/>
  <c r="L49" i="3" s="1"/>
  <c r="M345" i="2"/>
  <c r="N345" i="2" s="1"/>
  <c r="Q345" i="2" s="1"/>
  <c r="V345" i="2" s="1"/>
  <c r="L110" i="3" s="1"/>
  <c r="M329" i="2"/>
  <c r="N329" i="2" s="1"/>
  <c r="Q329" i="2" s="1"/>
  <c r="V329" i="2" s="1"/>
  <c r="L294" i="3" s="1"/>
  <c r="M506" i="2"/>
  <c r="N506" i="2" s="1"/>
  <c r="Q506" i="2" s="1"/>
  <c r="V506" i="2" s="1"/>
  <c r="M488" i="2"/>
  <c r="N488" i="2" s="1"/>
  <c r="Q488" i="2" s="1"/>
  <c r="V488" i="2" s="1"/>
  <c r="M319" i="2"/>
  <c r="N319" i="2" s="1"/>
  <c r="Q319" i="2" s="1"/>
  <c r="V319" i="2" s="1"/>
  <c r="L277" i="3" s="1"/>
  <c r="M304" i="2"/>
  <c r="N304" i="2" s="1"/>
  <c r="Q304" i="2" s="1"/>
  <c r="V304" i="2" s="1"/>
  <c r="L39" i="3" s="1"/>
  <c r="M300" i="2"/>
  <c r="N300" i="2" s="1"/>
  <c r="Q300" i="2" s="1"/>
  <c r="V300" i="2" s="1"/>
  <c r="L235" i="3" s="1"/>
  <c r="M296" i="2"/>
  <c r="N296" i="2" s="1"/>
  <c r="Q296" i="2" s="1"/>
  <c r="V296" i="2" s="1"/>
  <c r="L105" i="3" s="1"/>
  <c r="M520" i="2"/>
  <c r="N520" i="2" s="1"/>
  <c r="Q520" i="2" s="1"/>
  <c r="V520" i="2" s="1"/>
  <c r="M504" i="2"/>
  <c r="N504" i="2" s="1"/>
  <c r="Q504" i="2" s="1"/>
  <c r="V504" i="2" s="1"/>
  <c r="L251" i="3" s="1"/>
  <c r="M680" i="2"/>
  <c r="N680" i="2" s="1"/>
  <c r="Q680" i="2" s="1"/>
  <c r="M561" i="2"/>
  <c r="N561" i="2" s="1"/>
  <c r="Q561" i="2" s="1"/>
  <c r="V561" i="2" s="1"/>
  <c r="L311" i="3" s="1"/>
  <c r="M468" i="2"/>
  <c r="N468" i="2" s="1"/>
  <c r="Q468" i="2" s="1"/>
  <c r="V468" i="2" s="1"/>
  <c r="M460" i="2"/>
  <c r="N460" i="2" s="1"/>
  <c r="Q460" i="2" s="1"/>
  <c r="V460" i="2" s="1"/>
  <c r="L89" i="3" s="1"/>
  <c r="M436" i="2"/>
  <c r="N436" i="2" s="1"/>
  <c r="Q436" i="2" s="1"/>
  <c r="V436" i="2" s="1"/>
  <c r="L145" i="3" s="1"/>
  <c r="M422" i="2"/>
  <c r="N422" i="2" s="1"/>
  <c r="Q422" i="2" s="1"/>
  <c r="V422" i="2" s="1"/>
  <c r="L116" i="3" s="1"/>
  <c r="M414" i="2"/>
  <c r="N414" i="2" s="1"/>
  <c r="Q414" i="2" s="1"/>
  <c r="V414" i="2" s="1"/>
  <c r="L245" i="3" s="1"/>
  <c r="M406" i="2"/>
  <c r="N406" i="2" s="1"/>
  <c r="Q406" i="2" s="1"/>
  <c r="V406" i="2" s="1"/>
  <c r="L48" i="3" s="1"/>
  <c r="M395" i="2"/>
  <c r="N395" i="2" s="1"/>
  <c r="Q395" i="2" s="1"/>
  <c r="V395" i="2" s="1"/>
  <c r="L84" i="3" s="1"/>
  <c r="M392" i="2"/>
  <c r="N392" i="2" s="1"/>
  <c r="Q392" i="2" s="1"/>
  <c r="V392" i="2" s="1"/>
  <c r="L22" i="3" s="1"/>
  <c r="M371" i="2"/>
  <c r="N371" i="2" s="1"/>
  <c r="Q371" i="2" s="1"/>
  <c r="V371" i="2" s="1"/>
  <c r="L186" i="3" s="1"/>
  <c r="M355" i="2"/>
  <c r="N355" i="2" s="1"/>
  <c r="Q355" i="2" s="1"/>
  <c r="V355" i="2" s="1"/>
  <c r="L81" i="3" s="1"/>
  <c r="M606" i="2"/>
  <c r="N606" i="2" s="1"/>
  <c r="Q606" i="2" s="1"/>
  <c r="V606" i="2" s="1"/>
  <c r="L366" i="3" s="1"/>
  <c r="M508" i="2"/>
  <c r="N508" i="2" s="1"/>
  <c r="Q508" i="2" s="1"/>
  <c r="V508" i="2" s="1"/>
  <c r="L307" i="3" s="1"/>
  <c r="M434" i="2"/>
  <c r="N434" i="2" s="1"/>
  <c r="Q434" i="2" s="1"/>
  <c r="V434" i="2" s="1"/>
  <c r="L87" i="3" s="1"/>
  <c r="M479" i="2"/>
  <c r="N479" i="2" s="1"/>
  <c r="Q479" i="2" s="1"/>
  <c r="V479" i="2" s="1"/>
  <c r="L90" i="3" s="1"/>
  <c r="M464" i="2"/>
  <c r="N464" i="2" s="1"/>
  <c r="Q464" i="2" s="1"/>
  <c r="V464" i="2" s="1"/>
  <c r="L193" i="3" s="1"/>
  <c r="M452" i="2"/>
  <c r="N452" i="2" s="1"/>
  <c r="Q452" i="2" s="1"/>
  <c r="V452" i="2" s="1"/>
  <c r="L217" i="3" s="1"/>
  <c r="M432" i="2"/>
  <c r="N432" i="2" s="1"/>
  <c r="Q432" i="2" s="1"/>
  <c r="V432" i="2" s="1"/>
  <c r="L50" i="3" s="1"/>
  <c r="M427" i="2"/>
  <c r="N427" i="2" s="1"/>
  <c r="Q427" i="2" s="1"/>
  <c r="V427" i="2" s="1"/>
  <c r="L246" i="3" s="1"/>
  <c r="M420" i="2"/>
  <c r="N420" i="2" s="1"/>
  <c r="Q420" i="2" s="1"/>
  <c r="V420" i="2" s="1"/>
  <c r="L66" i="3" s="1"/>
  <c r="M443" i="2"/>
  <c r="N443" i="2" s="1"/>
  <c r="Q443" i="2" s="1"/>
  <c r="V443" i="2" s="1"/>
  <c r="L343" i="3" s="1"/>
  <c r="M491" i="2"/>
  <c r="N491" i="2" s="1"/>
  <c r="Q491" i="2" s="1"/>
  <c r="V491" i="2" s="1"/>
  <c r="L315" i="3" s="1"/>
  <c r="M448" i="2"/>
  <c r="N448" i="2" s="1"/>
  <c r="Q448" i="2" s="1"/>
  <c r="V448" i="2" s="1"/>
  <c r="L118" i="3" s="1"/>
  <c r="M513" i="2"/>
  <c r="N513" i="2" s="1"/>
  <c r="Q513" i="2" s="1"/>
  <c r="V513" i="2" s="1"/>
  <c r="L92" i="3" s="1"/>
  <c r="M264" i="2"/>
  <c r="N264" i="2" s="1"/>
  <c r="Q264" i="2" s="1"/>
  <c r="V264" i="2" s="1"/>
  <c r="L129" i="3" s="1"/>
  <c r="M216" i="2"/>
  <c r="N216" i="2" s="1"/>
  <c r="Q216" i="2" s="1"/>
  <c r="V216" i="2" s="1"/>
  <c r="L818" i="3" s="1"/>
  <c r="M388" i="2"/>
  <c r="N388" i="2" s="1"/>
  <c r="Q388" i="2" s="1"/>
  <c r="V388" i="2" s="1"/>
  <c r="L283" i="3" s="1"/>
  <c r="M382" i="2"/>
  <c r="N382" i="2" s="1"/>
  <c r="Q382" i="2" s="1"/>
  <c r="V382" i="2" s="1"/>
  <c r="L113" i="3" s="1"/>
  <c r="M350" i="2"/>
  <c r="N350" i="2" s="1"/>
  <c r="Q350" i="2" s="1"/>
  <c r="V350" i="2" s="1"/>
  <c r="L280" i="3" s="1"/>
  <c r="M306" i="2"/>
  <c r="N306" i="2" s="1"/>
  <c r="Q306" i="2" s="1"/>
  <c r="V306" i="2" s="1"/>
  <c r="L134" i="3" s="1"/>
  <c r="M290" i="2"/>
  <c r="N290" i="2" s="1"/>
  <c r="Q290" i="2" s="1"/>
  <c r="V290" i="2" s="1"/>
  <c r="L203" i="3" s="1"/>
  <c r="M359" i="2"/>
  <c r="N359" i="2" s="1"/>
  <c r="Q359" i="2" s="1"/>
  <c r="V359" i="2" s="1"/>
  <c r="L210" i="3" s="1"/>
  <c r="M357" i="2"/>
  <c r="N357" i="2" s="1"/>
  <c r="Q357" i="2" s="1"/>
  <c r="V357" i="2" s="1"/>
  <c r="L139" i="3" s="1"/>
  <c r="M276" i="2"/>
  <c r="N276" i="2" s="1"/>
  <c r="Q276" i="2" s="1"/>
  <c r="V276" i="2" s="1"/>
  <c r="L11" i="3" s="1"/>
  <c r="M273" i="2"/>
  <c r="N273" i="2" s="1"/>
  <c r="Q273" i="2" s="1"/>
  <c r="V273" i="2" s="1"/>
  <c r="L232" i="3" s="1"/>
  <c r="M410" i="2"/>
  <c r="N410" i="2" s="1"/>
  <c r="Q410" i="2" s="1"/>
  <c r="V410" i="2" s="1"/>
  <c r="L143" i="3" s="1"/>
  <c r="M370" i="2"/>
  <c r="N370" i="2" s="1"/>
  <c r="Q370" i="2" s="1"/>
  <c r="V370" i="2" s="1"/>
  <c r="L156" i="3" s="1"/>
  <c r="M363" i="2"/>
  <c r="N363" i="2" s="1"/>
  <c r="Q363" i="2" s="1"/>
  <c r="V363" i="2" s="1"/>
  <c r="L337" i="3" s="1"/>
  <c r="M270" i="2"/>
  <c r="N270" i="2" s="1"/>
  <c r="Q270" i="2" s="1"/>
  <c r="V270" i="2" s="1"/>
  <c r="L102" i="3" s="1"/>
  <c r="M244" i="2"/>
  <c r="N244" i="2" s="1"/>
  <c r="Q244" i="2" s="1"/>
  <c r="V244" i="2" s="1"/>
  <c r="L7" i="3" s="1"/>
  <c r="M459" i="2"/>
  <c r="N459" i="2" s="1"/>
  <c r="Q459" i="2" s="1"/>
  <c r="V459" i="2" s="1"/>
  <c r="L69" i="3" s="1"/>
  <c r="M353" i="2"/>
  <c r="N353" i="2" s="1"/>
  <c r="Q353" i="2" s="1"/>
  <c r="V353" i="2" s="1"/>
  <c r="L19" i="3" s="1"/>
  <c r="M288" i="2"/>
  <c r="N288" i="2" s="1"/>
  <c r="Q288" i="2" s="1"/>
  <c r="V288" i="2" s="1"/>
  <c r="L132" i="3" s="1"/>
  <c r="M285" i="2"/>
  <c r="N285" i="2" s="1"/>
  <c r="Q285" i="2" s="1"/>
  <c r="V285" i="2" s="1"/>
  <c r="L12" i="3" s="1"/>
  <c r="M256" i="2"/>
  <c r="N256" i="2" s="1"/>
  <c r="Q256" i="2" s="1"/>
  <c r="V256" i="2" s="1"/>
  <c r="L128" i="3" s="1"/>
  <c r="M253" i="2"/>
  <c r="N253" i="2" s="1"/>
  <c r="Q253" i="2" s="1"/>
  <c r="V253" i="2" s="1"/>
  <c r="L60" i="3" s="1"/>
  <c r="M241" i="2"/>
  <c r="N241" i="2" s="1"/>
  <c r="Q241" i="2" s="1"/>
  <c r="V241" i="2" s="1"/>
  <c r="L228" i="3" s="1"/>
  <c r="M232" i="2"/>
  <c r="N232" i="2" s="1"/>
  <c r="Q232" i="2" s="1"/>
  <c r="V232" i="2" s="1"/>
  <c r="L677" i="3" s="1"/>
  <c r="M220" i="2"/>
  <c r="N220" i="2" s="1"/>
  <c r="Q220" i="2" s="1"/>
  <c r="V220" i="2" s="1"/>
  <c r="L735" i="3" s="1"/>
  <c r="M439" i="2"/>
  <c r="N439" i="2" s="1"/>
  <c r="Q439" i="2" s="1"/>
  <c r="V439" i="2" s="1"/>
  <c r="L216" i="3" s="1"/>
  <c r="M418" i="2"/>
  <c r="N418" i="2" s="1"/>
  <c r="Q418" i="2" s="1"/>
  <c r="V418" i="2" s="1"/>
  <c r="L24" i="3" s="1"/>
  <c r="M338" i="2"/>
  <c r="N338" i="2" s="1"/>
  <c r="Q338" i="2" s="1"/>
  <c r="V338" i="2" s="1"/>
  <c r="L239" i="3" s="1"/>
  <c r="M325" i="2"/>
  <c r="N325" i="2" s="1"/>
  <c r="Q325" i="2" s="1"/>
  <c r="V325" i="2" s="1"/>
  <c r="L182" i="3" s="1"/>
  <c r="M268" i="2"/>
  <c r="N268" i="2" s="1"/>
  <c r="Q268" i="2" s="1"/>
  <c r="V268" i="2" s="1"/>
  <c r="L327" i="3" s="1"/>
  <c r="M226" i="2"/>
  <c r="N226" i="2" s="1"/>
  <c r="Q226" i="2" s="1"/>
  <c r="V226" i="2" s="1"/>
  <c r="L707" i="3" s="1"/>
  <c r="M217" i="2"/>
  <c r="N217" i="2" s="1"/>
  <c r="Q217" i="2" s="1"/>
  <c r="V217" i="2" s="1"/>
  <c r="L876" i="3" s="1"/>
  <c r="M208" i="2"/>
  <c r="N208" i="2" s="1"/>
  <c r="Q208" i="2" s="1"/>
  <c r="V208" i="2" s="1"/>
  <c r="L786" i="3" s="1"/>
  <c r="M314" i="2"/>
  <c r="N314" i="2" s="1"/>
  <c r="Q314" i="2" s="1"/>
  <c r="V314" i="2" s="1"/>
  <c r="L107" i="3" s="1"/>
  <c r="M307" i="2"/>
  <c r="N307" i="2" s="1"/>
  <c r="Q307" i="2" s="1"/>
  <c r="V307" i="2" s="1"/>
  <c r="L180" i="3" s="1"/>
  <c r="M196" i="2"/>
  <c r="N196" i="2" s="1"/>
  <c r="Q196" i="2" s="1"/>
  <c r="V196" i="2" s="1"/>
  <c r="L846" i="3" s="1"/>
  <c r="M156" i="2"/>
  <c r="N156" i="2" s="1"/>
  <c r="Q156" i="2" s="1"/>
  <c r="V156" i="2" s="1"/>
  <c r="L810" i="3" s="1"/>
  <c r="M467" i="2"/>
  <c r="N467" i="2" s="1"/>
  <c r="Q467" i="2" s="1"/>
  <c r="V467" i="2" s="1"/>
  <c r="M428" i="2"/>
  <c r="N428" i="2" s="1"/>
  <c r="Q428" i="2" s="1"/>
  <c r="V428" i="2" s="1"/>
  <c r="L286" i="3" s="1"/>
  <c r="M407" i="2"/>
  <c r="N407" i="2" s="1"/>
  <c r="Q407" i="2" s="1"/>
  <c r="V407" i="2" s="1"/>
  <c r="L65" i="3" s="1"/>
  <c r="M366" i="2"/>
  <c r="N366" i="2" s="1"/>
  <c r="Q366" i="2" s="1"/>
  <c r="V366" i="2" s="1"/>
  <c r="L62" i="3" s="1"/>
  <c r="M280" i="2"/>
  <c r="N280" i="2" s="1"/>
  <c r="Q280" i="2" s="1"/>
  <c r="V280" i="2" s="1"/>
  <c r="L177" i="3" s="1"/>
  <c r="M248" i="2"/>
  <c r="N248" i="2" s="1"/>
  <c r="Q248" i="2" s="1"/>
  <c r="V248" i="2" s="1"/>
  <c r="L173" i="3" s="1"/>
  <c r="M587" i="2"/>
  <c r="N587" i="2" s="1"/>
  <c r="Q587" i="2" s="1"/>
  <c r="V587" i="2" s="1"/>
  <c r="L226" i="3" s="1"/>
  <c r="M430" i="2"/>
  <c r="N430" i="2" s="1"/>
  <c r="Q430" i="2" s="1"/>
  <c r="V430" i="2" s="1"/>
  <c r="L342" i="3" s="1"/>
  <c r="M399" i="2"/>
  <c r="N399" i="2" s="1"/>
  <c r="Q399" i="2" s="1"/>
  <c r="V399" i="2" s="1"/>
  <c r="L188" i="3" s="1"/>
  <c r="M375" i="2"/>
  <c r="N375" i="2" s="1"/>
  <c r="Q375" i="2" s="1"/>
  <c r="V375" i="2" s="1"/>
  <c r="L298" i="3" s="1"/>
  <c r="M373" i="2"/>
  <c r="N373" i="2" s="1"/>
  <c r="Q373" i="2" s="1"/>
  <c r="V373" i="2" s="1"/>
  <c r="L242" i="3" s="1"/>
  <c r="M236" i="2"/>
  <c r="N236" i="2" s="1"/>
  <c r="Q236" i="2" s="1"/>
  <c r="V236" i="2" s="1"/>
  <c r="L323" i="3" s="1"/>
  <c r="M317" i="2"/>
  <c r="N317" i="2" s="1"/>
  <c r="Q317" i="2" s="1"/>
  <c r="V317" i="2" s="1"/>
  <c r="L206" i="3" s="1"/>
  <c r="M292" i="2"/>
  <c r="N292" i="2" s="1"/>
  <c r="Q292" i="2" s="1"/>
  <c r="V292" i="2" s="1"/>
  <c r="L274" i="3" s="1"/>
  <c r="M289" i="2"/>
  <c r="N289" i="2" s="1"/>
  <c r="Q289" i="2" s="1"/>
  <c r="V289" i="2" s="1"/>
  <c r="L178" i="3" s="1"/>
  <c r="M260" i="2"/>
  <c r="N260" i="2" s="1"/>
  <c r="Q260" i="2" s="1"/>
  <c r="V260" i="2" s="1"/>
  <c r="L326" i="3" s="1"/>
  <c r="M257" i="2"/>
  <c r="N257" i="2" s="1"/>
  <c r="Q257" i="2" s="1"/>
  <c r="V257" i="2" s="1"/>
  <c r="L174" i="3" s="1"/>
  <c r="M242" i="2"/>
  <c r="N242" i="2" s="1"/>
  <c r="Q242" i="2" s="1"/>
  <c r="V242" i="2" s="1"/>
  <c r="L268" i="3" s="1"/>
  <c r="M233" i="2"/>
  <c r="N233" i="2" s="1"/>
  <c r="Q233" i="2" s="1"/>
  <c r="V233" i="2" s="1"/>
  <c r="L708" i="3" s="1"/>
  <c r="M415" i="2"/>
  <c r="N415" i="2" s="1"/>
  <c r="Q415" i="2" s="1"/>
  <c r="V415" i="2" s="1"/>
  <c r="L285" i="3" s="1"/>
  <c r="M354" i="2"/>
  <c r="N354" i="2" s="1"/>
  <c r="Q354" i="2" s="1"/>
  <c r="V354" i="2" s="1"/>
  <c r="L44" i="3" s="1"/>
  <c r="M341" i="2"/>
  <c r="N341" i="2" s="1"/>
  <c r="Q341" i="2" s="1"/>
  <c r="V341" i="2" s="1"/>
  <c r="L335" i="3" s="1"/>
  <c r="M315" i="2"/>
  <c r="N315" i="2" s="1"/>
  <c r="Q315" i="2" s="1"/>
  <c r="V315" i="2" s="1"/>
  <c r="L135" i="3" s="1"/>
  <c r="M272" i="2"/>
  <c r="N272" i="2" s="1"/>
  <c r="Q272" i="2" s="1"/>
  <c r="V272" i="2" s="1"/>
  <c r="L176" i="3" s="1"/>
  <c r="M421" i="2"/>
  <c r="N421" i="2" s="1"/>
  <c r="Q421" i="2" s="1"/>
  <c r="V421" i="2" s="1"/>
  <c r="L86" i="3" s="1"/>
  <c r="M188" i="2"/>
  <c r="N188" i="2" s="1"/>
  <c r="Q188" i="2" s="1"/>
  <c r="V188" i="2" s="1"/>
  <c r="L814" i="3" s="1"/>
  <c r="M72" i="2"/>
  <c r="N72" i="2" s="1"/>
  <c r="Q72" i="2" s="1"/>
  <c r="V72" i="2" s="1"/>
  <c r="L679" i="3" s="1"/>
  <c r="M87" i="2"/>
  <c r="N87" i="2" s="1"/>
  <c r="Q87" i="2" s="1"/>
  <c r="V87" i="2" s="1"/>
  <c r="L859" i="3" s="1"/>
  <c r="M102" i="2"/>
  <c r="N102" i="2" s="1"/>
  <c r="Q102" i="2" s="1"/>
  <c r="V102" i="2" s="1"/>
  <c r="L803" i="3" s="1"/>
  <c r="M117" i="2"/>
  <c r="N117" i="2" s="1"/>
  <c r="Q117" i="2" s="1"/>
  <c r="V117" i="2" s="1"/>
  <c r="L805" i="3" s="1"/>
  <c r="M186" i="2"/>
  <c r="N186" i="2" s="1"/>
  <c r="Q186" i="2" s="1"/>
  <c r="V186" i="2" s="1"/>
  <c r="L760" i="3" s="1"/>
  <c r="M200" i="2"/>
  <c r="N200" i="2" s="1"/>
  <c r="Q200" i="2" s="1"/>
  <c r="V200" i="2" s="1"/>
  <c r="L762" i="3" s="1"/>
  <c r="M215" i="2"/>
  <c r="N215" i="2" s="1"/>
  <c r="Q215" i="2" s="1"/>
  <c r="V215" i="2" s="1"/>
  <c r="L787" i="3" s="1"/>
  <c r="M224" i="2"/>
  <c r="N224" i="2" s="1"/>
  <c r="Q224" i="2" s="1"/>
  <c r="V224" i="2" s="1"/>
  <c r="L877" i="3" s="1"/>
  <c r="M277" i="2"/>
  <c r="N277" i="2" s="1"/>
  <c r="Q277" i="2" s="1"/>
  <c r="V277" i="2" s="1"/>
  <c r="L61" i="3" s="1"/>
  <c r="M281" i="2"/>
  <c r="N281" i="2" s="1"/>
  <c r="Q281" i="2" s="1"/>
  <c r="V281" i="2" s="1"/>
  <c r="L202" i="3" s="1"/>
  <c r="M294" i="2"/>
  <c r="N294" i="2" s="1"/>
  <c r="Q294" i="2" s="1"/>
  <c r="V294" i="2" s="1"/>
  <c r="L13" i="3" s="1"/>
  <c r="M404" i="2"/>
  <c r="N404" i="2" s="1"/>
  <c r="Q404" i="2" s="1"/>
  <c r="V404" i="2" s="1"/>
  <c r="L340" i="3" s="1"/>
  <c r="M4" i="2"/>
  <c r="N4" i="2" s="1"/>
  <c r="Q4" i="2" s="1"/>
  <c r="V4" i="2" s="1"/>
  <c r="L848" i="3" s="1"/>
  <c r="M8" i="2"/>
  <c r="N8" i="2" s="1"/>
  <c r="Q8" i="2" s="1"/>
  <c r="V8" i="2" s="1"/>
  <c r="L737" i="3" s="1"/>
  <c r="M12" i="2"/>
  <c r="N12" i="2" s="1"/>
  <c r="Q12" i="2" s="1"/>
  <c r="V12" i="2" s="1"/>
  <c r="L648" i="3" s="1"/>
  <c r="M16" i="2"/>
  <c r="N16" i="2" s="1"/>
  <c r="Q16" i="2" s="1"/>
  <c r="V16" i="2" s="1"/>
  <c r="L792" i="3" s="1"/>
  <c r="M20" i="2"/>
  <c r="N20" i="2" s="1"/>
  <c r="Q20" i="2" s="1"/>
  <c r="V20" i="2" s="1"/>
  <c r="L686" i="3" s="1"/>
  <c r="M24" i="2"/>
  <c r="N24" i="2" s="1"/>
  <c r="Q24" i="2" s="1"/>
  <c r="V24" i="2" s="1"/>
  <c r="L739" i="3" s="1"/>
  <c r="M28" i="2"/>
  <c r="N28" i="2" s="1"/>
  <c r="Q28" i="2" s="1"/>
  <c r="V28" i="2" s="1"/>
  <c r="L647" i="3" s="1"/>
  <c r="M32" i="2"/>
  <c r="N32" i="2" s="1"/>
  <c r="Q32" i="2" s="1"/>
  <c r="V32" i="2" s="1"/>
  <c r="L740" i="3" s="1"/>
  <c r="M36" i="2"/>
  <c r="N36" i="2" s="1"/>
  <c r="Q36" i="2" s="1"/>
  <c r="V36" i="2" s="1"/>
  <c r="L651" i="3" s="1"/>
  <c r="M40" i="2"/>
  <c r="N40" i="2" s="1"/>
  <c r="Q40" i="2" s="1"/>
  <c r="V40" i="2" s="1"/>
  <c r="L795" i="3" s="1"/>
  <c r="M44" i="2"/>
  <c r="N44" i="2" s="1"/>
  <c r="Q44" i="2" s="1"/>
  <c r="V44" i="2" s="1"/>
  <c r="L687" i="3" s="1"/>
  <c r="M48" i="2"/>
  <c r="N48" i="2" s="1"/>
  <c r="Q48" i="2" s="1"/>
  <c r="V48" i="2" s="1"/>
  <c r="L827" i="3" s="1"/>
  <c r="M52" i="2"/>
  <c r="N52" i="2" s="1"/>
  <c r="Q52" i="2" s="1"/>
  <c r="V52" i="2" s="1"/>
  <c r="L743" i="3" s="1"/>
  <c r="M56" i="2"/>
  <c r="N56" i="2" s="1"/>
  <c r="Q56" i="2" s="1"/>
  <c r="V56" i="2" s="1"/>
  <c r="L654" i="3" s="1"/>
  <c r="M60" i="2"/>
  <c r="N60" i="2" s="1"/>
  <c r="Q60" i="2" s="1"/>
  <c r="V60" i="2" s="1"/>
  <c r="L798" i="3" s="1"/>
  <c r="M83" i="2"/>
  <c r="N83" i="2" s="1"/>
  <c r="Q83" i="2" s="1"/>
  <c r="V83" i="2" s="1"/>
  <c r="L747" i="3" s="1"/>
  <c r="M98" i="2"/>
  <c r="N98" i="2" s="1"/>
  <c r="Q98" i="2" s="1"/>
  <c r="V98" i="2" s="1"/>
  <c r="L682" i="3" s="1"/>
  <c r="M113" i="2"/>
  <c r="N113" i="2" s="1"/>
  <c r="Q113" i="2" s="1"/>
  <c r="V113" i="2" s="1"/>
  <c r="L661" i="3" s="1"/>
  <c r="M128" i="2"/>
  <c r="N128" i="2" s="1"/>
  <c r="Q128" i="2" s="1"/>
  <c r="V128" i="2" s="1"/>
  <c r="L663" i="3" s="1"/>
  <c r="M143" i="2"/>
  <c r="N143" i="2" s="1"/>
  <c r="Q143" i="2" s="1"/>
  <c r="V143" i="2" s="1"/>
  <c r="L866" i="3" s="1"/>
  <c r="M152" i="2"/>
  <c r="N152" i="2" s="1"/>
  <c r="Q152" i="2" s="1"/>
  <c r="V152" i="2" s="1"/>
  <c r="L666" i="3" s="1"/>
  <c r="M249" i="2"/>
  <c r="N249" i="2" s="1"/>
  <c r="Q249" i="2" s="1"/>
  <c r="V249" i="2" s="1"/>
  <c r="L229" i="3" s="1"/>
  <c r="M313" i="2"/>
  <c r="N313" i="2" s="1"/>
  <c r="Q313" i="2" s="1"/>
  <c r="V313" i="2" s="1"/>
  <c r="L40" i="3" s="1"/>
  <c r="M322" i="2"/>
  <c r="N322" i="2" s="1"/>
  <c r="Q322" i="2" s="1"/>
  <c r="V322" i="2" s="1"/>
  <c r="L41" i="3" s="1"/>
  <c r="M360" i="2"/>
  <c r="N360" i="2" s="1"/>
  <c r="Q360" i="2" s="1"/>
  <c r="V360" i="2" s="1"/>
  <c r="L241" i="3" s="1"/>
  <c r="M79" i="2"/>
  <c r="N79" i="2" s="1"/>
  <c r="Q79" i="2" s="1"/>
  <c r="V79" i="2" s="1"/>
  <c r="L657" i="3" s="1"/>
  <c r="M94" i="2"/>
  <c r="N94" i="2" s="1"/>
  <c r="Q94" i="2" s="1"/>
  <c r="V94" i="2" s="1"/>
  <c r="L802" i="3" s="1"/>
  <c r="M109" i="2"/>
  <c r="N109" i="2" s="1"/>
  <c r="Q109" i="2" s="1"/>
  <c r="V109" i="2" s="1"/>
  <c r="L773" i="3" s="1"/>
  <c r="M181" i="2"/>
  <c r="N181" i="2" s="1"/>
  <c r="Q181" i="2" s="1"/>
  <c r="V181" i="2" s="1"/>
  <c r="L844" i="3" s="1"/>
  <c r="M197" i="2"/>
  <c r="N197" i="2" s="1"/>
  <c r="Q197" i="2" s="1"/>
  <c r="V197" i="2" s="1"/>
  <c r="L873" i="3" s="1"/>
  <c r="M206" i="2"/>
  <c r="N206" i="2" s="1"/>
  <c r="Q206" i="2" s="1"/>
  <c r="V206" i="2" s="1"/>
  <c r="L733" i="3" s="1"/>
  <c r="M213" i="2"/>
  <c r="N213" i="2" s="1"/>
  <c r="Q213" i="2" s="1"/>
  <c r="V213" i="2" s="1"/>
  <c r="L734" i="3" s="1"/>
  <c r="M228" i="2"/>
  <c r="N228" i="2" s="1"/>
  <c r="Q228" i="2" s="1"/>
  <c r="V228" i="2" s="1"/>
  <c r="L766" i="3" s="1"/>
  <c r="M234" i="2"/>
  <c r="N234" i="2" s="1"/>
  <c r="Q234" i="2" s="1"/>
  <c r="V234" i="2" s="1"/>
  <c r="L227" i="3" s="1"/>
  <c r="M298" i="2"/>
  <c r="N298" i="2" s="1"/>
  <c r="Q298" i="2" s="1"/>
  <c r="V298" i="2" s="1"/>
  <c r="L179" i="3" s="1"/>
  <c r="M305" i="2"/>
  <c r="N305" i="2" s="1"/>
  <c r="Q305" i="2" s="1"/>
  <c r="V305" i="2" s="1"/>
  <c r="L106" i="3" s="1"/>
  <c r="M387" i="2"/>
  <c r="N387" i="2" s="1"/>
  <c r="Q387" i="2" s="1"/>
  <c r="V387" i="2" s="1"/>
  <c r="L243" i="3" s="1"/>
  <c r="M127" i="2"/>
  <c r="N127" i="2" s="1"/>
  <c r="Q127" i="2" s="1"/>
  <c r="V127" i="2" s="1"/>
  <c r="L864" i="3" s="1"/>
  <c r="M149" i="2"/>
  <c r="N149" i="2" s="1"/>
  <c r="Q149" i="2" s="1"/>
  <c r="V149" i="2" s="1"/>
  <c r="L809" i="3" s="1"/>
  <c r="M160" i="2"/>
  <c r="N160" i="2" s="1"/>
  <c r="Q160" i="2" s="1"/>
  <c r="V160" i="2" s="1"/>
  <c r="L701" i="3" s="1"/>
  <c r="M165" i="2"/>
  <c r="N165" i="2" s="1"/>
  <c r="Q165" i="2" s="1"/>
  <c r="V165" i="2" s="1"/>
  <c r="L842" i="3" s="1"/>
  <c r="M176" i="2"/>
  <c r="N176" i="2" s="1"/>
  <c r="Q176" i="2" s="1"/>
  <c r="V176" i="2" s="1"/>
  <c r="L703" i="3" s="1"/>
  <c r="M327" i="2"/>
  <c r="N327" i="2" s="1"/>
  <c r="Q327" i="2" s="1"/>
  <c r="V327" i="2" s="1"/>
  <c r="L238" i="3" s="1"/>
  <c r="M347" i="2"/>
  <c r="N347" i="2" s="1"/>
  <c r="Q347" i="2" s="1"/>
  <c r="V347" i="2" s="1"/>
  <c r="L184" i="3" s="1"/>
  <c r="M223" i="2"/>
  <c r="N223" i="2" s="1"/>
  <c r="Q223" i="2" s="1"/>
  <c r="V223" i="2" s="1"/>
  <c r="L819" i="3" s="1"/>
  <c r="M262" i="2"/>
  <c r="N262" i="2" s="1"/>
  <c r="Q262" i="2" s="1"/>
  <c r="V262" i="2" s="1"/>
  <c r="L9" i="3" s="1"/>
  <c r="M266" i="2"/>
  <c r="N266" i="2" s="1"/>
  <c r="Q266" i="2" s="1"/>
  <c r="V266" i="2" s="1"/>
  <c r="L231" i="3" s="1"/>
  <c r="M349" i="2"/>
  <c r="N349" i="2" s="1"/>
  <c r="Q349" i="2" s="1"/>
  <c r="V349" i="2" s="1"/>
  <c r="L240" i="3" s="1"/>
  <c r="M423" i="2"/>
  <c r="N423" i="2" s="1"/>
  <c r="Q423" i="2" s="1"/>
  <c r="V423" i="2" s="1"/>
  <c r="L144" i="3" s="1"/>
  <c r="M425" i="2"/>
  <c r="N425" i="2" s="1"/>
  <c r="Q425" i="2" s="1"/>
  <c r="V425" i="2" s="1"/>
  <c r="L190" i="3" s="1"/>
  <c r="M3" i="2"/>
  <c r="N3" i="2" s="1"/>
  <c r="Q3" i="2" s="1"/>
  <c r="V3" i="2" s="1"/>
  <c r="L821" i="3" s="1"/>
  <c r="M7" i="2"/>
  <c r="N7" i="2" s="1"/>
  <c r="Q7" i="2" s="1"/>
  <c r="V7" i="2" s="1"/>
  <c r="L691" i="3" s="1"/>
  <c r="M11" i="2"/>
  <c r="N11" i="2" s="1"/>
  <c r="Q11" i="2" s="1"/>
  <c r="V11" i="2" s="1"/>
  <c r="L849" i="3" s="1"/>
  <c r="M15" i="2"/>
  <c r="N15" i="2" s="1"/>
  <c r="Q15" i="2" s="1"/>
  <c r="V15" i="2" s="1"/>
  <c r="L738" i="3" s="1"/>
  <c r="M19" i="2"/>
  <c r="N19" i="2" s="1"/>
  <c r="Q19" i="2" s="1"/>
  <c r="V19" i="2" s="1"/>
  <c r="L649" i="3" s="1"/>
  <c r="M23" i="2"/>
  <c r="N23" i="2" s="1"/>
  <c r="Q23" i="2" s="1"/>
  <c r="V23" i="2" s="1"/>
  <c r="L709" i="3" s="1"/>
  <c r="M27" i="2"/>
  <c r="N27" i="2" s="1"/>
  <c r="Q27" i="2" s="1"/>
  <c r="V27" i="2" s="1"/>
  <c r="L851" i="3" s="1"/>
  <c r="M31" i="2"/>
  <c r="N31" i="2" s="1"/>
  <c r="Q31" i="2" s="1"/>
  <c r="V31" i="2" s="1"/>
  <c r="L710" i="3" s="1"/>
  <c r="M35" i="2"/>
  <c r="N35" i="2" s="1"/>
  <c r="Q35" i="2" s="1"/>
  <c r="V35" i="2" s="1"/>
  <c r="L852" i="3" s="1"/>
  <c r="M39" i="2"/>
  <c r="N39" i="2" s="1"/>
  <c r="Q39" i="2" s="1"/>
  <c r="V39" i="2" s="1"/>
  <c r="L741" i="3" s="1"/>
  <c r="M43" i="2"/>
  <c r="N43" i="2" s="1"/>
  <c r="Q43" i="2" s="1"/>
  <c r="V43" i="2" s="1"/>
  <c r="L652" i="3" s="1"/>
  <c r="M47" i="2"/>
  <c r="N47" i="2" s="1"/>
  <c r="Q47" i="2" s="1"/>
  <c r="V47" i="2" s="1"/>
  <c r="L796" i="3" s="1"/>
  <c r="M51" i="2"/>
  <c r="N51" i="2" s="1"/>
  <c r="Q51" i="2" s="1"/>
  <c r="V51" i="2" s="1"/>
  <c r="L713" i="3" s="1"/>
  <c r="M55" i="2"/>
  <c r="N55" i="2" s="1"/>
  <c r="Q55" i="2" s="1"/>
  <c r="V55" i="2" s="1"/>
  <c r="L855" i="3" s="1"/>
  <c r="M97" i="2"/>
  <c r="N97" i="2" s="1"/>
  <c r="Q97" i="2" s="1"/>
  <c r="V97" i="2" s="1"/>
  <c r="L659" i="3" s="1"/>
  <c r="M116" i="2"/>
  <c r="N116" i="2" s="1"/>
  <c r="Q116" i="2" s="1"/>
  <c r="V116" i="2" s="1"/>
  <c r="L774" i="3" s="1"/>
  <c r="M151" i="2"/>
  <c r="N151" i="2" s="1"/>
  <c r="Q151" i="2" s="1"/>
  <c r="V151" i="2" s="1"/>
  <c r="L867" i="3" s="1"/>
  <c r="M168" i="2"/>
  <c r="N168" i="2" s="1"/>
  <c r="Q168" i="2" s="1"/>
  <c r="V168" i="2" s="1"/>
  <c r="L702" i="3" s="1"/>
  <c r="M204" i="2"/>
  <c r="N204" i="2" s="1"/>
  <c r="Q204" i="2" s="1"/>
  <c r="V204" i="2" s="1"/>
  <c r="L874" i="3" s="1"/>
  <c r="M221" i="2"/>
  <c r="N221" i="2" s="1"/>
  <c r="Q221" i="2" s="1"/>
  <c r="V221" i="2" s="1"/>
  <c r="L765" i="3" s="1"/>
  <c r="M225" i="2"/>
  <c r="N225" i="2" s="1"/>
  <c r="Q225" i="2" s="1"/>
  <c r="V225" i="2" s="1"/>
  <c r="L676" i="3" s="1"/>
  <c r="M238" i="2"/>
  <c r="N238" i="2" s="1"/>
  <c r="Q238" i="2" s="1"/>
  <c r="V238" i="2" s="1"/>
  <c r="L76" i="3" s="1"/>
  <c r="M258" i="2"/>
  <c r="N258" i="2" s="1"/>
  <c r="Q258" i="2" s="1"/>
  <c r="V258" i="2" s="1"/>
  <c r="L230" i="3" s="1"/>
  <c r="M282" i="2"/>
  <c r="N282" i="2" s="1"/>
  <c r="Q282" i="2" s="1"/>
  <c r="V282" i="2" s="1"/>
  <c r="L233" i="3" s="1"/>
  <c r="M437" i="2"/>
  <c r="N437" i="2" s="1"/>
  <c r="Q437" i="2" s="1"/>
  <c r="V437" i="2" s="1"/>
  <c r="L161" i="3" s="1"/>
  <c r="M147" i="2"/>
  <c r="N147" i="2" s="1"/>
  <c r="Q147" i="2" s="1"/>
  <c r="V147" i="2" s="1"/>
  <c r="L755" i="3" s="1"/>
  <c r="M163" i="2"/>
  <c r="N163" i="2" s="1"/>
  <c r="Q163" i="2" s="1"/>
  <c r="V163" i="2" s="1"/>
  <c r="L780" i="3" s="1"/>
  <c r="M227" i="2"/>
  <c r="N227" i="2" s="1"/>
  <c r="Q227" i="2" s="1"/>
  <c r="V227" i="2" s="1"/>
  <c r="L736" i="3" s="1"/>
  <c r="M356" i="2"/>
  <c r="N356" i="2" s="1"/>
  <c r="Q356" i="2" s="1"/>
  <c r="V356" i="2" s="1"/>
  <c r="L111" i="3" s="1"/>
  <c r="M239" i="2"/>
  <c r="N239" i="2" s="1"/>
  <c r="Q239" i="2" s="1"/>
  <c r="V239" i="2" s="1"/>
  <c r="L98" i="3" s="1"/>
  <c r="M251" i="2"/>
  <c r="N251" i="2" s="1"/>
  <c r="Q251" i="2" s="1"/>
  <c r="V251" i="2" s="1"/>
  <c r="L325" i="3" s="1"/>
  <c r="M283" i="2"/>
  <c r="N283" i="2" s="1"/>
  <c r="Q283" i="2" s="1"/>
  <c r="V283" i="2" s="1"/>
  <c r="L273" i="3" s="1"/>
  <c r="M312" i="2"/>
  <c r="N312" i="2" s="1"/>
  <c r="Q312" i="2" s="1"/>
  <c r="V312" i="2" s="1"/>
  <c r="L15" i="3" s="1"/>
  <c r="M358" i="2"/>
  <c r="N358" i="2" s="1"/>
  <c r="Q358" i="2" s="1"/>
  <c r="V358" i="2" s="1"/>
  <c r="L185" i="3" s="1"/>
  <c r="M362" i="2"/>
  <c r="N362" i="2" s="1"/>
  <c r="Q362" i="2" s="1"/>
  <c r="V362" i="2" s="1"/>
  <c r="L297" i="3" s="1"/>
  <c r="M391" i="2"/>
  <c r="N391" i="2" s="1"/>
  <c r="Q391" i="2" s="1"/>
  <c r="V391" i="2" s="1"/>
  <c r="L4" i="3" s="1"/>
  <c r="M393" i="2"/>
  <c r="N393" i="2" s="1"/>
  <c r="Q393" i="2" s="1"/>
  <c r="V393" i="2" s="1"/>
  <c r="L47" i="3" s="1"/>
  <c r="M271" i="2"/>
  <c r="N271" i="2" s="1"/>
  <c r="Q271" i="2" s="1"/>
  <c r="V271" i="2" s="1"/>
  <c r="L130" i="3" s="1"/>
  <c r="M351" i="2"/>
  <c r="N351" i="2" s="1"/>
  <c r="Q351" i="2" s="1"/>
  <c r="V351" i="2" s="1"/>
  <c r="L296" i="3" s="1"/>
  <c r="M381" i="2"/>
  <c r="N381" i="2" s="1"/>
  <c r="Q381" i="2" s="1"/>
  <c r="V381" i="2" s="1"/>
  <c r="L83" i="3" s="1"/>
  <c r="M383" i="2"/>
  <c r="N383" i="2" s="1"/>
  <c r="Q383" i="2" s="1"/>
  <c r="V383" i="2" s="1"/>
  <c r="L141" i="3" s="1"/>
  <c r="M211" i="2"/>
  <c r="N211" i="2" s="1"/>
  <c r="Q211" i="2" s="1"/>
  <c r="V211" i="2" s="1"/>
  <c r="L674" i="3" s="1"/>
  <c r="M489" i="2"/>
  <c r="N489" i="2" s="1"/>
  <c r="Q489" i="2" s="1"/>
  <c r="V489" i="2" s="1"/>
  <c r="L290" i="3" s="1"/>
  <c r="M259" i="2"/>
  <c r="N259" i="2" s="1"/>
  <c r="Q259" i="2" s="1"/>
  <c r="V259" i="2" s="1"/>
  <c r="L270" i="3" s="1"/>
  <c r="M291" i="2"/>
  <c r="N291" i="2" s="1"/>
  <c r="Q291" i="2" s="1"/>
  <c r="V291" i="2" s="1"/>
  <c r="L234" i="3" s="1"/>
  <c r="M323" i="2"/>
  <c r="N323" i="2" s="1"/>
  <c r="Q323" i="2" s="1"/>
  <c r="V323" i="2" s="1"/>
  <c r="L108" i="3" s="1"/>
  <c r="M401" i="2"/>
  <c r="N401" i="2" s="1"/>
  <c r="Q401" i="2" s="1"/>
  <c r="V401" i="2" s="1"/>
  <c r="L244" i="3" s="1"/>
  <c r="M403" i="2"/>
  <c r="N403" i="2" s="1"/>
  <c r="Q403" i="2" s="1"/>
  <c r="V403" i="2" s="1"/>
  <c r="L300" i="3" s="1"/>
  <c r="M487" i="2"/>
  <c r="N487" i="2" s="1"/>
  <c r="Q487" i="2" s="1"/>
  <c r="V487" i="2" s="1"/>
  <c r="M171" i="2"/>
  <c r="N171" i="2" s="1"/>
  <c r="Q171" i="2" s="1"/>
  <c r="V171" i="2" s="1"/>
  <c r="L781" i="3" s="1"/>
  <c r="M235" i="2"/>
  <c r="N235" i="2" s="1"/>
  <c r="Q235" i="2" s="1"/>
  <c r="V235" i="2" s="1"/>
  <c r="L267" i="3" s="1"/>
  <c r="M299" i="2"/>
  <c r="N299" i="2" s="1"/>
  <c r="Q299" i="2" s="1"/>
  <c r="V299" i="2" s="1"/>
  <c r="L204" i="3" s="1"/>
  <c r="M309" i="2"/>
  <c r="N309" i="2" s="1"/>
  <c r="Q309" i="2" s="1"/>
  <c r="V309" i="2" s="1"/>
  <c r="L236" i="3" s="1"/>
  <c r="M340" i="2"/>
  <c r="N340" i="2" s="1"/>
  <c r="Q340" i="2" s="1"/>
  <c r="V340" i="2" s="1"/>
  <c r="L295" i="3" s="1"/>
  <c r="M344" i="2"/>
  <c r="N344" i="2" s="1"/>
  <c r="Q344" i="2" s="1"/>
  <c r="V344" i="2" s="1"/>
  <c r="L80" i="3" s="1"/>
  <c r="M183" i="2"/>
  <c r="N183" i="2" s="1"/>
  <c r="Q183" i="2" s="1"/>
  <c r="V183" i="2" s="1"/>
  <c r="L670" i="3" s="1"/>
  <c r="M247" i="2"/>
  <c r="N247" i="2" s="1"/>
  <c r="Q247" i="2" s="1"/>
  <c r="V247" i="2" s="1"/>
  <c r="L99" i="3" s="1"/>
  <c r="M279" i="2"/>
  <c r="N279" i="2" s="1"/>
  <c r="Q279" i="2" s="1"/>
  <c r="V279" i="2" s="1"/>
  <c r="L131" i="3" s="1"/>
  <c r="M311" i="2"/>
  <c r="N311" i="2" s="1"/>
  <c r="Q311" i="2" s="1"/>
  <c r="V311" i="2" s="1"/>
  <c r="L332" i="3" s="1"/>
  <c r="M342" i="2"/>
  <c r="N342" i="2" s="1"/>
  <c r="Q342" i="2" s="1"/>
  <c r="V342" i="2" s="1"/>
  <c r="L18" i="3" s="1"/>
  <c r="M412" i="2"/>
  <c r="N412" i="2" s="1"/>
  <c r="Q412" i="2" s="1"/>
  <c r="V412" i="2" s="1"/>
  <c r="L189" i="3" s="1"/>
  <c r="M155" i="2"/>
  <c r="N155" i="2" s="1"/>
  <c r="Q155" i="2" s="1"/>
  <c r="V155" i="2" s="1"/>
  <c r="L779" i="3" s="1"/>
  <c r="M195" i="2"/>
  <c r="N195" i="2" s="1"/>
  <c r="Q195" i="2" s="1"/>
  <c r="V195" i="2" s="1"/>
  <c r="L815" i="3" s="1"/>
  <c r="M316" i="2"/>
  <c r="N316" i="2" s="1"/>
  <c r="Q316" i="2" s="1"/>
  <c r="V316" i="2" s="1"/>
  <c r="L181" i="3" s="1"/>
  <c r="M318" i="2"/>
  <c r="N318" i="2" s="1"/>
  <c r="Q318" i="2" s="1"/>
  <c r="V318" i="2" s="1"/>
  <c r="L237" i="3" s="1"/>
  <c r="M333" i="2"/>
  <c r="N333" i="2" s="1"/>
  <c r="Q333" i="2" s="1"/>
  <c r="V333" i="2" s="1"/>
  <c r="L79" i="3" s="1"/>
  <c r="M346" i="2"/>
  <c r="N346" i="2" s="1"/>
  <c r="Q346" i="2" s="1"/>
  <c r="V346" i="2" s="1"/>
  <c r="L138" i="3" s="1"/>
  <c r="M207" i="2"/>
  <c r="N207" i="2" s="1"/>
  <c r="Q207" i="2" s="1"/>
  <c r="V207" i="2" s="1"/>
  <c r="L763" i="3" s="1"/>
  <c r="M267" i="2"/>
  <c r="N267" i="2" s="1"/>
  <c r="Q267" i="2" s="1"/>
  <c r="V267" i="2" s="1"/>
  <c r="L271" i="3" s="1"/>
  <c r="M335" i="2"/>
  <c r="N335" i="2" s="1"/>
  <c r="Q335" i="2" s="1"/>
  <c r="V335" i="2" s="1"/>
  <c r="L137" i="3" s="1"/>
  <c r="M361" i="2"/>
  <c r="N361" i="2" s="1"/>
  <c r="Q361" i="2" s="1"/>
  <c r="V361" i="2" s="1"/>
  <c r="L281" i="3" s="1"/>
  <c r="M372" i="2"/>
  <c r="N372" i="2" s="1"/>
  <c r="Q372" i="2" s="1"/>
  <c r="V372" i="2" s="1"/>
  <c r="L211" i="3" s="1"/>
  <c r="M378" i="2"/>
  <c r="N378" i="2" s="1"/>
  <c r="Q378" i="2" s="1"/>
  <c r="V378" i="2" s="1"/>
  <c r="L21" i="3" s="1"/>
  <c r="M219" i="2"/>
  <c r="N219" i="2" s="1"/>
  <c r="Q219" i="2" s="1"/>
  <c r="V219" i="2" s="1"/>
  <c r="L706" i="3" s="1"/>
  <c r="M374" i="2"/>
  <c r="N374" i="2" s="1"/>
  <c r="Q374" i="2" s="1"/>
  <c r="V374" i="2" s="1"/>
  <c r="L282" i="3" s="1"/>
  <c r="M494" i="2"/>
  <c r="N494" i="2" s="1"/>
  <c r="Q494" i="2" s="1"/>
  <c r="V494" i="2" s="1"/>
  <c r="L29" i="3" s="1"/>
  <c r="M255" i="2"/>
  <c r="N255" i="2" s="1"/>
  <c r="Q255" i="2" s="1"/>
  <c r="V255" i="2" s="1"/>
  <c r="L100" i="3" s="1"/>
  <c r="M287" i="2"/>
  <c r="N287" i="2" s="1"/>
  <c r="Q287" i="2" s="1"/>
  <c r="V287" i="2" s="1"/>
  <c r="L104" i="3" s="1"/>
  <c r="M320" i="2"/>
  <c r="N320" i="2" s="1"/>
  <c r="Q320" i="2" s="1"/>
  <c r="V320" i="2" s="1"/>
  <c r="L333" i="3" s="1"/>
  <c r="M365" i="2"/>
  <c r="N365" i="2" s="1"/>
  <c r="Q365" i="2" s="1"/>
  <c r="V365" i="2" s="1"/>
  <c r="L45" i="3" s="1"/>
  <c r="M384" i="2"/>
  <c r="N384" i="2" s="1"/>
  <c r="Q384" i="2" s="1"/>
  <c r="V384" i="2" s="1"/>
  <c r="L157" i="3" s="1"/>
  <c r="M398" i="2"/>
  <c r="N398" i="2" s="1"/>
  <c r="Q398" i="2" s="1"/>
  <c r="V398" i="2" s="1"/>
  <c r="L158" i="3" s="1"/>
  <c r="M545" i="2"/>
  <c r="N545" i="2" s="1"/>
  <c r="Q545" i="2" s="1"/>
  <c r="V545" i="2" s="1"/>
  <c r="M243" i="2"/>
  <c r="N243" i="2" s="1"/>
  <c r="Q243" i="2" s="1"/>
  <c r="V243" i="2" s="1"/>
  <c r="L324" i="3" s="1"/>
  <c r="M303" i="2"/>
  <c r="N303" i="2" s="1"/>
  <c r="Q303" i="2" s="1"/>
  <c r="V303" i="2" s="1"/>
  <c r="L14" i="3" s="1"/>
  <c r="M324" i="2"/>
  <c r="N324" i="2" s="1"/>
  <c r="Q324" i="2" s="1"/>
  <c r="V324" i="2" s="1"/>
  <c r="L136" i="3" s="1"/>
  <c r="M328" i="2"/>
  <c r="N328" i="2" s="1"/>
  <c r="Q328" i="2" s="1"/>
  <c r="V328" i="2" s="1"/>
  <c r="L278" i="3" s="1"/>
  <c r="M367" i="2"/>
  <c r="N367" i="2" s="1"/>
  <c r="Q367" i="2" s="1"/>
  <c r="V367" i="2" s="1"/>
  <c r="L82" i="3" s="1"/>
  <c r="M400" i="2"/>
  <c r="N400" i="2" s="1"/>
  <c r="Q400" i="2" s="1"/>
  <c r="V400" i="2" s="1"/>
  <c r="L213" i="3" s="1"/>
  <c r="M481" i="2"/>
  <c r="N481" i="2" s="1"/>
  <c r="Q481" i="2" s="1"/>
  <c r="V481" i="2" s="1"/>
  <c r="L120" i="3" s="1"/>
  <c r="M191" i="2"/>
  <c r="N191" i="2" s="1"/>
  <c r="Q191" i="2" s="1"/>
  <c r="V191" i="2" s="1"/>
  <c r="L671" i="3" s="1"/>
  <c r="M275" i="2"/>
  <c r="N275" i="2" s="1"/>
  <c r="Q275" i="2" s="1"/>
  <c r="V275" i="2" s="1"/>
  <c r="L328" i="3" s="1"/>
  <c r="M308" i="2"/>
  <c r="N308" i="2" s="1"/>
  <c r="Q308" i="2" s="1"/>
  <c r="V308" i="2" s="1"/>
  <c r="L205" i="3" s="1"/>
  <c r="M326" i="2"/>
  <c r="N326" i="2" s="1"/>
  <c r="Q326" i="2" s="1"/>
  <c r="V326" i="2" s="1"/>
  <c r="L207" i="3" s="1"/>
  <c r="M483" i="2"/>
  <c r="N483" i="2" s="1"/>
  <c r="Q483" i="2" s="1"/>
  <c r="V483" i="2" s="1"/>
  <c r="L164" i="3" s="1"/>
  <c r="M473" i="2"/>
  <c r="N473" i="2" s="1"/>
  <c r="Q473" i="2" s="1"/>
  <c r="V473" i="2" s="1"/>
  <c r="L5" i="3" s="1"/>
  <c r="M336" i="2"/>
  <c r="N336" i="2" s="1"/>
  <c r="Q336" i="2" s="1"/>
  <c r="V336" i="2" s="1"/>
  <c r="L183" i="3" s="1"/>
  <c r="M352" i="2"/>
  <c r="N352" i="2" s="1"/>
  <c r="Q352" i="2" s="1"/>
  <c r="V352" i="2" s="1"/>
  <c r="L336" i="3" s="1"/>
  <c r="M368" i="2"/>
  <c r="N368" i="2" s="1"/>
  <c r="Q368" i="2" s="1"/>
  <c r="V368" i="2" s="1"/>
  <c r="L112" i="3" s="1"/>
  <c r="M417" i="2"/>
  <c r="N417" i="2" s="1"/>
  <c r="Q417" i="2" s="1"/>
  <c r="V417" i="2" s="1"/>
  <c r="L341" i="3" s="1"/>
  <c r="M454" i="2"/>
  <c r="N454" i="2" s="1"/>
  <c r="Q454" i="2" s="1"/>
  <c r="V454" i="2" s="1"/>
  <c r="L288" i="3" s="1"/>
  <c r="M568" i="2"/>
  <c r="N568" i="2" s="1"/>
  <c r="Q568" i="2" s="1"/>
  <c r="V568" i="2" s="1"/>
  <c r="L125" i="3" s="1"/>
  <c r="M462" i="2"/>
  <c r="N462" i="2" s="1"/>
  <c r="Q462" i="2" s="1"/>
  <c r="V462" i="2" s="1"/>
  <c r="L147" i="3" s="1"/>
  <c r="M510" i="2"/>
  <c r="N510" i="2" s="1"/>
  <c r="Q510" i="2" s="1"/>
  <c r="V510" i="2" s="1"/>
  <c r="L347" i="3" s="1"/>
  <c r="M522" i="2"/>
  <c r="N522" i="2" s="1"/>
  <c r="Q522" i="2" s="1"/>
  <c r="V522" i="2" s="1"/>
  <c r="L292" i="3" s="1"/>
  <c r="M389" i="2"/>
  <c r="N389" i="2" s="1"/>
  <c r="Q389" i="2" s="1"/>
  <c r="V389" i="2" s="1"/>
  <c r="L299" i="3" s="1"/>
  <c r="M429" i="2"/>
  <c r="N429" i="2" s="1"/>
  <c r="Q429" i="2" s="1"/>
  <c r="V429" i="2" s="1"/>
  <c r="L302" i="3" s="1"/>
  <c r="M470" i="2"/>
  <c r="N470" i="2" s="1"/>
  <c r="Q470" i="2" s="1"/>
  <c r="V470" i="2" s="1"/>
  <c r="L305" i="3" s="1"/>
  <c r="M438" i="2"/>
  <c r="N438" i="2" s="1"/>
  <c r="Q438" i="2" s="1"/>
  <c r="V438" i="2" s="1"/>
  <c r="L191" i="3" s="1"/>
  <c r="M676" i="2"/>
  <c r="N676" i="2" s="1"/>
  <c r="Q676" i="2" s="1"/>
  <c r="V676" i="2" s="1"/>
  <c r="L375" i="3" s="1"/>
  <c r="M332" i="2"/>
  <c r="N332" i="2" s="1"/>
  <c r="Q332" i="2" s="1"/>
  <c r="V332" i="2" s="1"/>
  <c r="L42" i="3" s="1"/>
  <c r="M348" i="2"/>
  <c r="N348" i="2" s="1"/>
  <c r="Q348" i="2" s="1"/>
  <c r="V348" i="2" s="1"/>
  <c r="L209" i="3" s="1"/>
  <c r="M364" i="2"/>
  <c r="N364" i="2" s="1"/>
  <c r="Q364" i="2" s="1"/>
  <c r="V364" i="2" s="1"/>
  <c r="L20" i="3" s="1"/>
  <c r="M380" i="2"/>
  <c r="N380" i="2" s="1"/>
  <c r="Q380" i="2" s="1"/>
  <c r="V380" i="2" s="1"/>
  <c r="L63" i="3" s="1"/>
  <c r="M386" i="2"/>
  <c r="N386" i="2" s="1"/>
  <c r="Q386" i="2" s="1"/>
  <c r="V386" i="2" s="1"/>
  <c r="L212" i="3" s="1"/>
  <c r="M411" i="2"/>
  <c r="N411" i="2" s="1"/>
  <c r="Q411" i="2" s="1"/>
  <c r="V411" i="2" s="1"/>
  <c r="L159" i="3" s="1"/>
  <c r="M408" i="2"/>
  <c r="N408" i="2" s="1"/>
  <c r="Q408" i="2" s="1"/>
  <c r="V408" i="2" s="1"/>
  <c r="L85" i="3" s="1"/>
  <c r="M431" i="2"/>
  <c r="N431" i="2" s="1"/>
  <c r="Q431" i="2" s="1"/>
  <c r="V431" i="2" s="1"/>
  <c r="L25" i="3" s="1"/>
  <c r="M474" i="2"/>
  <c r="N474" i="2" s="1"/>
  <c r="Q474" i="2" s="1"/>
  <c r="V474" i="2" s="1"/>
  <c r="L28" i="3" s="1"/>
  <c r="M405" i="2"/>
  <c r="N405" i="2" s="1"/>
  <c r="Q405" i="2" s="1"/>
  <c r="V405" i="2" s="1"/>
  <c r="L23" i="3" s="1"/>
  <c r="M413" i="2"/>
  <c r="N413" i="2" s="1"/>
  <c r="Q413" i="2" s="1"/>
  <c r="V413" i="2" s="1"/>
  <c r="L214" i="3" s="1"/>
  <c r="M465" i="2"/>
  <c r="N465" i="2" s="1"/>
  <c r="Q465" i="2" s="1"/>
  <c r="V465" i="2" s="1"/>
  <c r="L218" i="3" s="1"/>
  <c r="M376" i="2"/>
  <c r="N376" i="2" s="1"/>
  <c r="Q376" i="2" s="1"/>
  <c r="V376" i="2" s="1"/>
  <c r="L338" i="3" s="1"/>
  <c r="M435" i="2"/>
  <c r="N435" i="2" s="1"/>
  <c r="Q435" i="2" s="1"/>
  <c r="V435" i="2" s="1"/>
  <c r="L117" i="3" s="1"/>
  <c r="M538" i="2"/>
  <c r="N538" i="2" s="1"/>
  <c r="Q538" i="2" s="1"/>
  <c r="V538" i="2" s="1"/>
  <c r="L32" i="3" s="1"/>
  <c r="M396" i="2"/>
  <c r="N396" i="2" s="1"/>
  <c r="Q396" i="2" s="1"/>
  <c r="V396" i="2" s="1"/>
  <c r="L114" i="3" s="1"/>
  <c r="M501" i="2"/>
  <c r="N501" i="2" s="1"/>
  <c r="Q501" i="2" s="1"/>
  <c r="V501" i="2" s="1"/>
  <c r="L165" i="3" s="1"/>
  <c r="M507" i="2"/>
  <c r="N507" i="2" s="1"/>
  <c r="Q507" i="2" s="1"/>
  <c r="V507" i="2" s="1"/>
  <c r="L291" i="3" s="1"/>
  <c r="M511" i="2"/>
  <c r="N511" i="2" s="1"/>
  <c r="Q511" i="2" s="1"/>
  <c r="V511" i="2" s="1"/>
  <c r="L30" i="3" s="1"/>
  <c r="M385" i="2"/>
  <c r="N385" i="2" s="1"/>
  <c r="Q385" i="2" s="1"/>
  <c r="V385" i="2" s="1"/>
  <c r="L187" i="3" s="1"/>
  <c r="M519" i="2"/>
  <c r="N519" i="2" s="1"/>
  <c r="Q519" i="2" s="1"/>
  <c r="V519" i="2" s="1"/>
  <c r="L252" i="3" s="1"/>
  <c r="M574" i="2"/>
  <c r="N574" i="2" s="1"/>
  <c r="Q574" i="2" s="1"/>
  <c r="V574" i="2" s="1"/>
  <c r="M691" i="2"/>
  <c r="N691" i="2" s="1"/>
  <c r="Q691" i="2" s="1"/>
  <c r="V691" i="2" s="1"/>
  <c r="L577" i="3" s="1"/>
  <c r="M529" i="2"/>
  <c r="N529" i="2" s="1"/>
  <c r="Q529" i="2" s="1"/>
  <c r="V529" i="2" s="1"/>
  <c r="L197" i="3" s="1"/>
  <c r="M555" i="2"/>
  <c r="N555" i="2" s="1"/>
  <c r="Q555" i="2" s="1"/>
  <c r="V555" i="2" s="1"/>
  <c r="L169" i="3" s="1"/>
  <c r="M626" i="2"/>
  <c r="N626" i="2" s="1"/>
  <c r="Q626" i="2" s="1"/>
  <c r="V626" i="2" s="1"/>
  <c r="L507" i="3" s="1"/>
  <c r="M517" i="2"/>
  <c r="N517" i="2" s="1"/>
  <c r="Q517" i="2" s="1"/>
  <c r="V517" i="2" s="1"/>
  <c r="L196" i="3" s="1"/>
  <c r="M578" i="2"/>
  <c r="N578" i="2" s="1"/>
  <c r="Q578" i="2" s="1"/>
  <c r="V578" i="2" s="1"/>
  <c r="L352" i="3" s="1"/>
  <c r="M445" i="2"/>
  <c r="N445" i="2" s="1"/>
  <c r="Q445" i="2" s="1"/>
  <c r="V445" i="2" s="1"/>
  <c r="L51" i="3" s="1"/>
  <c r="M594" i="2"/>
  <c r="N594" i="2" s="1"/>
  <c r="Q594" i="2" s="1"/>
  <c r="V594" i="2" s="1"/>
  <c r="L36" i="3" s="1"/>
  <c r="M397" i="2"/>
  <c r="N397" i="2" s="1"/>
  <c r="Q397" i="2" s="1"/>
  <c r="V397" i="2" s="1"/>
  <c r="L142" i="3" s="1"/>
  <c r="M475" i="2"/>
  <c r="N475" i="2" s="1"/>
  <c r="Q475" i="2" s="1"/>
  <c r="V475" i="2" s="1"/>
  <c r="L53" i="3" s="1"/>
  <c r="M533" i="2"/>
  <c r="N533" i="2" s="1"/>
  <c r="Q533" i="2" s="1"/>
  <c r="V533" i="2" s="1"/>
  <c r="M546" i="2"/>
  <c r="N546" i="2" s="1"/>
  <c r="Q546" i="2" s="1"/>
  <c r="V546" i="2" s="1"/>
  <c r="M526" i="2"/>
  <c r="N526" i="2" s="1"/>
  <c r="Q526" i="2" s="1"/>
  <c r="V526" i="2" s="1"/>
  <c r="L31" i="3" s="1"/>
  <c r="M582" i="2"/>
  <c r="N582" i="2" s="1"/>
  <c r="Q582" i="2" s="1"/>
  <c r="V582" i="2" s="1"/>
  <c r="L95" i="3" s="1"/>
  <c r="M490" i="2"/>
  <c r="N490" i="2" s="1"/>
  <c r="Q490" i="2" s="1"/>
  <c r="V490" i="2" s="1"/>
  <c r="L306" i="3" s="1"/>
  <c r="M584" i="2"/>
  <c r="N584" i="2" s="1"/>
  <c r="Q584" i="2" s="1"/>
  <c r="V584" i="2" s="1"/>
  <c r="L155" i="3" s="1"/>
  <c r="M618" i="2"/>
  <c r="N618" i="2" s="1"/>
  <c r="Q618" i="2" s="1"/>
  <c r="V618" i="2" s="1"/>
  <c r="L506" i="3" s="1"/>
  <c r="M453" i="2"/>
  <c r="N453" i="2" s="1"/>
  <c r="Q453" i="2" s="1"/>
  <c r="V453" i="2" s="1"/>
  <c r="L248" i="3" s="1"/>
  <c r="M556" i="2"/>
  <c r="N556" i="2" s="1"/>
  <c r="Q556" i="2" s="1"/>
  <c r="V556" i="2" s="1"/>
  <c r="L199" i="3" s="1"/>
  <c r="M558" i="2"/>
  <c r="N558" i="2" s="1"/>
  <c r="Q558" i="2" s="1"/>
  <c r="V558" i="2" s="1"/>
  <c r="L255" i="3" s="1"/>
  <c r="M575" i="2"/>
  <c r="N575" i="2" s="1"/>
  <c r="Q575" i="2" s="1"/>
  <c r="V575" i="2" s="1"/>
  <c r="M616" i="2"/>
  <c r="N616" i="2" s="1"/>
  <c r="Q616" i="2" s="1"/>
  <c r="V616" i="2" s="1"/>
  <c r="L423" i="3" s="1"/>
  <c r="M458" i="2"/>
  <c r="N458" i="2" s="1"/>
  <c r="Q458" i="2" s="1"/>
  <c r="V458" i="2" s="1"/>
  <c r="L52" i="3" s="1"/>
  <c r="M482" i="2"/>
  <c r="N482" i="2" s="1"/>
  <c r="Q482" i="2" s="1"/>
  <c r="V482" i="2" s="1"/>
  <c r="L148" i="3" s="1"/>
  <c r="M495" i="2"/>
  <c r="N495" i="2" s="1"/>
  <c r="Q495" i="2" s="1"/>
  <c r="V495" i="2" s="1"/>
  <c r="L54" i="3" s="1"/>
  <c r="M502" i="2"/>
  <c r="N502" i="2" s="1"/>
  <c r="Q502" i="2" s="1"/>
  <c r="V502" i="2" s="1"/>
  <c r="L195" i="3" s="1"/>
  <c r="M509" i="2"/>
  <c r="N509" i="2" s="1"/>
  <c r="Q509" i="2" s="1"/>
  <c r="V509" i="2" s="1"/>
  <c r="L316" i="3" s="1"/>
  <c r="M567" i="2"/>
  <c r="N567" i="2" s="1"/>
  <c r="Q567" i="2" s="1"/>
  <c r="V567" i="2" s="1"/>
  <c r="L94" i="3" s="1"/>
  <c r="M610" i="2"/>
  <c r="N610" i="2" s="1"/>
  <c r="Q610" i="2" s="1"/>
  <c r="V610" i="2" s="1"/>
  <c r="L536" i="3" s="1"/>
  <c r="M455" i="2"/>
  <c r="N455" i="2" s="1"/>
  <c r="Q455" i="2" s="1"/>
  <c r="V455" i="2" s="1"/>
  <c r="L304" i="3" s="1"/>
  <c r="M539" i="2"/>
  <c r="N539" i="2" s="1"/>
  <c r="Q539" i="2" s="1"/>
  <c r="V539" i="2" s="1"/>
  <c r="L123" i="3" s="1"/>
  <c r="M571" i="2"/>
  <c r="N571" i="2" s="1"/>
  <c r="Q571" i="2" s="1"/>
  <c r="V571" i="2" s="1"/>
  <c r="L200" i="3" s="1"/>
  <c r="M409" i="2"/>
  <c r="N409" i="2" s="1"/>
  <c r="Q409" i="2" s="1"/>
  <c r="V409" i="2" s="1"/>
  <c r="L115" i="3" s="1"/>
  <c r="M497" i="2"/>
  <c r="N497" i="2" s="1"/>
  <c r="Q497" i="2" s="1"/>
  <c r="V497" i="2" s="1"/>
  <c r="L91" i="3" s="1"/>
  <c r="M541" i="2"/>
  <c r="N541" i="2" s="1"/>
  <c r="Q541" i="2" s="1"/>
  <c r="V541" i="2" s="1"/>
  <c r="L168" i="3" s="1"/>
  <c r="M446" i="2"/>
  <c r="N446" i="2" s="1"/>
  <c r="Q446" i="2" s="1"/>
  <c r="V446" i="2" s="1"/>
  <c r="L68" i="3" s="1"/>
  <c r="M527" i="2"/>
  <c r="N527" i="2" s="1"/>
  <c r="Q527" i="2" s="1"/>
  <c r="V527" i="2" s="1"/>
  <c r="L151" i="3" s="1"/>
  <c r="M534" i="2"/>
  <c r="N534" i="2" s="1"/>
  <c r="Q534" i="2" s="1"/>
  <c r="V534" i="2" s="1"/>
  <c r="L293" i="3" s="1"/>
  <c r="M547" i="2"/>
  <c r="N547" i="2" s="1"/>
  <c r="Q547" i="2" s="1"/>
  <c r="V547" i="2" s="1"/>
  <c r="L310" i="3" s="1"/>
  <c r="M499" i="2"/>
  <c r="N499" i="2" s="1"/>
  <c r="Q499" i="2" s="1"/>
  <c r="V499" i="2" s="1"/>
  <c r="L121" i="3" s="1"/>
  <c r="M559" i="2"/>
  <c r="N559" i="2" s="1"/>
  <c r="Q559" i="2" s="1"/>
  <c r="V559" i="2" s="1"/>
  <c r="M608" i="2"/>
  <c r="N608" i="2" s="1"/>
  <c r="Q608" i="2" s="1"/>
  <c r="V608" i="2" s="1"/>
  <c r="L401" i="3" s="1"/>
  <c r="M672" i="2"/>
  <c r="N672" i="2" s="1"/>
  <c r="Q672" i="2" s="1"/>
  <c r="V672" i="2" s="1"/>
  <c r="L544" i="3" s="1"/>
  <c r="M628" i="2"/>
  <c r="N628" i="2" s="1"/>
  <c r="Q628" i="2" s="1"/>
  <c r="V628" i="2" s="1"/>
  <c r="L569" i="3" s="1"/>
  <c r="M648" i="2"/>
  <c r="N648" i="2" s="1"/>
  <c r="Q648" i="2" s="1"/>
  <c r="V648" i="2" s="1"/>
  <c r="L572" i="3" s="1"/>
  <c r="M624" i="2"/>
  <c r="N624" i="2" s="1"/>
  <c r="Q624" i="2" s="1"/>
  <c r="V624" i="2" s="1"/>
  <c r="L424" i="3" s="1"/>
  <c r="M634" i="2"/>
  <c r="N634" i="2" s="1"/>
  <c r="Q634" i="2" s="1"/>
  <c r="V634" i="2" s="1"/>
  <c r="L539" i="3" s="1"/>
  <c r="M632" i="2"/>
  <c r="N632" i="2" s="1"/>
  <c r="Q632" i="2" s="1"/>
  <c r="V632" i="2" s="1"/>
  <c r="L460" i="3" s="1"/>
  <c r="M638" i="2"/>
  <c r="N638" i="2" s="1"/>
  <c r="Q638" i="2" s="1"/>
  <c r="V638" i="2" s="1"/>
  <c r="L399" i="3" s="1"/>
  <c r="M642" i="2"/>
  <c r="N642" i="2" s="1"/>
  <c r="Q642" i="2" s="1"/>
  <c r="V642" i="2" s="1"/>
  <c r="L571" i="3" s="1"/>
  <c r="M664" i="2"/>
  <c r="N664" i="2" s="1"/>
  <c r="Q664" i="2" s="1"/>
  <c r="V664" i="2" s="1"/>
  <c r="L574" i="3" s="1"/>
  <c r="M679" i="2"/>
  <c r="N679" i="2" s="1"/>
  <c r="Q679" i="2" s="1"/>
  <c r="V679" i="2" s="1"/>
  <c r="L466" i="3" s="1"/>
  <c r="M842" i="2"/>
  <c r="N842" i="2" s="1"/>
  <c r="Q842" i="2" s="1"/>
  <c r="V842" i="2" s="1"/>
  <c r="L390" i="3" s="1"/>
  <c r="M552" i="2"/>
  <c r="N552" i="2" s="1"/>
  <c r="Q552" i="2" s="1"/>
  <c r="V552" i="2" s="1"/>
  <c r="L93" i="3" s="1"/>
  <c r="M746" i="2"/>
  <c r="N746" i="2" s="1"/>
  <c r="Q746" i="2" s="1"/>
  <c r="V746" i="2" s="1"/>
  <c r="L582" i="3" s="1"/>
  <c r="M560" i="2"/>
  <c r="N560" i="2" s="1"/>
  <c r="Q560" i="2" s="1"/>
  <c r="V560" i="2" s="1"/>
  <c r="M563" i="2"/>
  <c r="N563" i="2" s="1"/>
  <c r="Q563" i="2" s="1"/>
  <c r="V563" i="2" s="1"/>
  <c r="L351" i="3" s="1"/>
  <c r="M647" i="2"/>
  <c r="N647" i="2" s="1"/>
  <c r="Q647" i="2" s="1"/>
  <c r="V647" i="2" s="1"/>
  <c r="L541" i="3" s="1"/>
  <c r="M686" i="2"/>
  <c r="N686" i="2" s="1"/>
  <c r="Q686" i="2" s="1"/>
  <c r="V686" i="2" s="1"/>
  <c r="L407" i="3" s="1"/>
  <c r="M699" i="2"/>
  <c r="N699" i="2" s="1"/>
  <c r="Q699" i="2" s="1"/>
  <c r="V699" i="2" s="1"/>
  <c r="L516" i="3" s="1"/>
  <c r="M653" i="2"/>
  <c r="N653" i="2" s="1"/>
  <c r="Q653" i="2" s="1"/>
  <c r="V653" i="2" s="1"/>
  <c r="L463" i="3" s="1"/>
  <c r="M669" i="2"/>
  <c r="N669" i="2" s="1"/>
  <c r="Q669" i="2" s="1"/>
  <c r="V669" i="2" s="1"/>
  <c r="L426" i="3" s="1"/>
  <c r="M600" i="2"/>
  <c r="N600" i="2" s="1"/>
  <c r="Q600" i="2" s="1"/>
  <c r="V600" i="2" s="1"/>
  <c r="L400" i="3" s="1"/>
  <c r="M661" i="2"/>
  <c r="N661" i="2" s="1"/>
  <c r="Q661" i="2" s="1"/>
  <c r="V661" i="2" s="1"/>
  <c r="L464" i="3" s="1"/>
  <c r="M695" i="2"/>
  <c r="N695" i="2" s="1"/>
  <c r="Q695" i="2" s="1"/>
  <c r="V695" i="2" s="1"/>
  <c r="L408" i="3" s="1"/>
  <c r="M810" i="2"/>
  <c r="N810" i="2" s="1"/>
  <c r="Q810" i="2" s="1"/>
  <c r="V810" i="2" s="1"/>
  <c r="L436" i="3" s="1"/>
  <c r="M786" i="2"/>
  <c r="N786" i="2" s="1"/>
  <c r="Q786" i="2" s="1"/>
  <c r="V786" i="2" s="1"/>
  <c r="L416" i="3" s="1"/>
  <c r="M803" i="2"/>
  <c r="N803" i="2" s="1"/>
  <c r="Q803" i="2" s="1"/>
  <c r="V803" i="2" s="1"/>
  <c r="L556" i="3" s="1"/>
  <c r="M651" i="2"/>
  <c r="N651" i="2" s="1"/>
  <c r="Q651" i="2" s="1"/>
  <c r="V651" i="2" s="1"/>
  <c r="L372" i="3" s="1"/>
  <c r="M689" i="2"/>
  <c r="N689" i="2" s="1"/>
  <c r="Q689" i="2" s="1"/>
  <c r="V689" i="2" s="1"/>
  <c r="L515" i="3" s="1"/>
  <c r="M706" i="2"/>
  <c r="N706" i="2" s="1"/>
  <c r="Q706" i="2" s="1"/>
  <c r="V706" i="2" s="1"/>
  <c r="L409" i="3" s="1"/>
  <c r="M755" i="2"/>
  <c r="N755" i="2" s="1"/>
  <c r="Q755" i="2" s="1"/>
  <c r="V755" i="2" s="1"/>
  <c r="L491" i="3" s="1"/>
  <c r="J263" i="3"/>
  <c r="K263" i="3" s="1"/>
  <c r="J295" i="3"/>
  <c r="K295" i="3" s="1"/>
  <c r="J311" i="3"/>
  <c r="K311" i="3" s="1"/>
  <c r="M730" i="2"/>
  <c r="N730" i="2" s="1"/>
  <c r="Q730" i="2" s="1"/>
  <c r="V730" i="2" s="1"/>
  <c r="L471" i="3" s="1"/>
  <c r="M742" i="2"/>
  <c r="N742" i="2" s="1"/>
  <c r="Q742" i="2" s="1"/>
  <c r="V742" i="2" s="1"/>
  <c r="L472" i="3" s="1"/>
  <c r="M716" i="2"/>
  <c r="N716" i="2" s="1"/>
  <c r="M770" i="2"/>
  <c r="N770" i="2" s="1"/>
  <c r="Q770" i="2" s="1"/>
  <c r="V770" i="2" s="1"/>
  <c r="L584" i="3" s="1"/>
  <c r="M819" i="2"/>
  <c r="N819" i="2" s="1"/>
  <c r="Q819" i="2" s="1"/>
  <c r="V819" i="2" s="1"/>
  <c r="L362" i="3" s="1"/>
  <c r="M851" i="2"/>
  <c r="N851" i="2" s="1"/>
  <c r="Q851" i="2" s="1"/>
  <c r="V851" i="2" s="1"/>
  <c r="L642" i="3" s="1"/>
  <c r="M712" i="2"/>
  <c r="N712" i="2" s="1"/>
  <c r="Q712" i="2" s="1"/>
  <c r="V712" i="2" s="1"/>
  <c r="L599" i="3" s="1"/>
  <c r="M728" i="2"/>
  <c r="N728" i="2" s="1"/>
  <c r="Q728" i="2" s="1"/>
  <c r="V728" i="2" s="1"/>
  <c r="L431" i="3" s="1"/>
  <c r="M751" i="2"/>
  <c r="N751" i="2" s="1"/>
  <c r="Q751" i="2" s="1"/>
  <c r="V751" i="2" s="1"/>
  <c r="L413" i="3" s="1"/>
  <c r="M787" i="2"/>
  <c r="N787" i="2" s="1"/>
  <c r="Q787" i="2" s="1"/>
  <c r="V787" i="2" s="1"/>
  <c r="L448" i="3" s="1"/>
  <c r="M834" i="2"/>
  <c r="N834" i="2" s="1"/>
  <c r="Q834" i="2" s="1"/>
  <c r="V834" i="2" s="1"/>
  <c r="L452" i="3" s="1"/>
  <c r="M681" i="2"/>
  <c r="N681" i="2" s="1"/>
  <c r="Q681" i="2" s="1"/>
  <c r="V681" i="2" s="1"/>
  <c r="L545" i="3" s="1"/>
  <c r="M726" i="2"/>
  <c r="N726" i="2" s="1"/>
  <c r="Q726" i="2" s="1"/>
  <c r="V726" i="2" s="1"/>
  <c r="L380" i="3" s="1"/>
  <c r="M815" i="2"/>
  <c r="N815" i="2" s="1"/>
  <c r="Q815" i="2" s="1"/>
  <c r="V815" i="2" s="1"/>
  <c r="L557" i="3" s="1"/>
  <c r="M867" i="2"/>
  <c r="N867" i="2" s="1"/>
  <c r="Q867" i="2" s="1"/>
  <c r="V867" i="2" s="1"/>
  <c r="L613" i="3" s="1"/>
  <c r="M671" i="2"/>
  <c r="N671" i="2" s="1"/>
  <c r="Q671" i="2" s="1"/>
  <c r="V671" i="2" s="1"/>
  <c r="L513" i="3" s="1"/>
  <c r="M802" i="2"/>
  <c r="N802" i="2" s="1"/>
  <c r="Q802" i="2" s="1"/>
  <c r="V802" i="2" s="1"/>
  <c r="L525" i="3" s="1"/>
  <c r="M692" i="2"/>
  <c r="N692" i="2" s="1"/>
  <c r="Q692" i="2" s="1"/>
  <c r="V692" i="2" s="1"/>
  <c r="L597" i="3" s="1"/>
  <c r="M660" i="2"/>
  <c r="N660" i="2" s="1"/>
  <c r="Q660" i="2" s="1"/>
  <c r="V660" i="2" s="1"/>
  <c r="L404" i="3" s="1"/>
  <c r="M665" i="2"/>
  <c r="N665" i="2" s="1"/>
  <c r="Q665" i="2" s="1"/>
  <c r="V665" i="2" s="1"/>
  <c r="L594" i="3" s="1"/>
  <c r="M683" i="2"/>
  <c r="N683" i="2" s="1"/>
  <c r="M762" i="2"/>
  <c r="N762" i="2" s="1"/>
  <c r="Q762" i="2" s="1"/>
  <c r="V762" i="2" s="1"/>
  <c r="L383" i="3" s="1"/>
  <c r="M694" i="2"/>
  <c r="N694" i="2" s="1"/>
  <c r="Q694" i="2" s="1"/>
  <c r="V694" i="2" s="1"/>
  <c r="L377" i="3" s="1"/>
  <c r="M649" i="2"/>
  <c r="N649" i="2" s="1"/>
  <c r="Q649" i="2" s="1"/>
  <c r="V649" i="2" s="1"/>
  <c r="L592" i="3" s="1"/>
  <c r="M700" i="2"/>
  <c r="N700" i="2" s="1"/>
  <c r="Q700" i="2" s="1"/>
  <c r="V700" i="2" s="1"/>
  <c r="L547" i="3" s="1"/>
  <c r="M771" i="2"/>
  <c r="N771" i="2" s="1"/>
  <c r="Q771" i="2" s="1"/>
  <c r="V771" i="2" s="1"/>
  <c r="L604" i="3" s="1"/>
  <c r="M794" i="2"/>
  <c r="N794" i="2" s="1"/>
  <c r="Q794" i="2" s="1"/>
  <c r="V794" i="2" s="1"/>
  <c r="L637" i="3" s="1"/>
  <c r="M719" i="2"/>
  <c r="N719" i="2" s="1"/>
  <c r="Q719" i="2" s="1"/>
  <c r="V719" i="2" s="1"/>
  <c r="L488" i="3" s="1"/>
  <c r="M754" i="2"/>
  <c r="N754" i="2" s="1"/>
  <c r="Q754" i="2" s="1"/>
  <c r="V754" i="2" s="1"/>
  <c r="L473" i="3" s="1"/>
  <c r="M667" i="2"/>
  <c r="N667" i="2" s="1"/>
  <c r="Q667" i="2" s="1"/>
  <c r="V667" i="2" s="1"/>
  <c r="L374" i="3" s="1"/>
  <c r="M723" i="2"/>
  <c r="N723" i="2" s="1"/>
  <c r="Q723" i="2" s="1"/>
  <c r="V723" i="2" s="1"/>
  <c r="L600" i="3" s="1"/>
  <c r="M850" i="2"/>
  <c r="N850" i="2" s="1"/>
  <c r="Q850" i="2" s="1"/>
  <c r="V850" i="2" s="1"/>
  <c r="L611" i="3" s="1"/>
  <c r="M806" i="2"/>
  <c r="N806" i="2" s="1"/>
  <c r="Q806" i="2" s="1"/>
  <c r="V806" i="2" s="1"/>
  <c r="L638" i="3" s="1"/>
  <c r="M774" i="2"/>
  <c r="N774" i="2" s="1"/>
  <c r="Q774" i="2" s="1"/>
  <c r="V774" i="2" s="1"/>
  <c r="L384" i="3" s="1"/>
  <c r="M886" i="2"/>
  <c r="N886" i="2" s="1"/>
  <c r="Q886" i="2" s="1"/>
  <c r="V886" i="2" s="1"/>
  <c r="L646" i="3" s="1"/>
  <c r="M822" i="2"/>
  <c r="N822" i="2" s="1"/>
  <c r="Q822" i="2" s="1"/>
  <c r="V822" i="2" s="1"/>
  <c r="L437" i="3" s="1"/>
  <c r="M863" i="2"/>
  <c r="N863" i="2" s="1"/>
  <c r="Q863" i="2" s="1"/>
  <c r="V863" i="2" s="1"/>
  <c r="L483" i="3" s="1"/>
  <c r="J327" i="3"/>
  <c r="K327" i="3" s="1"/>
  <c r="M758" i="2"/>
  <c r="N758" i="2" s="1"/>
  <c r="Q758" i="2" s="1"/>
  <c r="V758" i="2" s="1"/>
  <c r="L583" i="3" s="1"/>
  <c r="M831" i="2"/>
  <c r="N831" i="2" s="1"/>
  <c r="Q831" i="2" s="1"/>
  <c r="V831" i="2" s="1"/>
  <c r="L363" i="3" s="1"/>
  <c r="M707" i="2"/>
  <c r="N707" i="2" s="1"/>
  <c r="Q707" i="2" s="1"/>
  <c r="V707" i="2" s="1"/>
  <c r="L469" i="3" s="1"/>
  <c r="M724" i="2"/>
  <c r="N724" i="2" s="1"/>
  <c r="Q724" i="2" s="1"/>
  <c r="V724" i="2" s="1"/>
  <c r="L631" i="3" s="1"/>
  <c r="M838" i="2"/>
  <c r="N838" i="2" s="1"/>
  <c r="Q838" i="2" s="1"/>
  <c r="V838" i="2" s="1"/>
  <c r="L559" i="3" s="1"/>
  <c r="M854" i="2"/>
  <c r="N854" i="2" s="1"/>
  <c r="Q854" i="2" s="1"/>
  <c r="V854" i="2" s="1"/>
  <c r="L482" i="3" s="1"/>
  <c r="M783" i="2"/>
  <c r="N783" i="2" s="1"/>
  <c r="Q783" i="2" s="1"/>
  <c r="V783" i="2" s="1"/>
  <c r="L636" i="3" s="1"/>
  <c r="M847" i="2"/>
  <c r="N847" i="2" s="1"/>
  <c r="Q847" i="2" s="1"/>
  <c r="V847" i="2" s="1"/>
  <c r="L529" i="3" s="1"/>
  <c r="M858" i="2"/>
  <c r="N858" i="2" s="1"/>
  <c r="Q858" i="2" s="1"/>
  <c r="V858" i="2" s="1"/>
  <c r="L612" i="3" s="1"/>
  <c r="M866" i="2"/>
  <c r="N866" i="2" s="1"/>
  <c r="Q866" i="2" s="1"/>
  <c r="V866" i="2" s="1"/>
  <c r="L562" i="3" s="1"/>
  <c r="M767" i="2"/>
  <c r="N767" i="2" s="1"/>
  <c r="Q767" i="2" s="1"/>
  <c r="V767" i="2" s="1"/>
  <c r="L492" i="3" s="1"/>
  <c r="M731" i="2"/>
  <c r="N731" i="2" s="1"/>
  <c r="Q731" i="2" s="1"/>
  <c r="V731" i="2" s="1"/>
  <c r="L489" i="3" s="1"/>
  <c r="M790" i="2"/>
  <c r="N790" i="2" s="1"/>
  <c r="Q790" i="2" s="1"/>
  <c r="V790" i="2" s="1"/>
  <c r="L524" i="3" s="1"/>
  <c r="M870" i="2"/>
  <c r="N870" i="2" s="1"/>
  <c r="Q870" i="2" s="1"/>
  <c r="V870" i="2" s="1"/>
  <c r="L439" i="3" s="1"/>
  <c r="M690" i="2"/>
  <c r="N690" i="2" s="1"/>
  <c r="Q690" i="2" s="1"/>
  <c r="V690" i="2" s="1"/>
  <c r="L546" i="3" s="1"/>
  <c r="M714" i="2"/>
  <c r="N714" i="2" s="1"/>
  <c r="Q714" i="2" s="1"/>
  <c r="V714" i="2" s="1"/>
  <c r="L379" i="3" s="1"/>
  <c r="M799" i="2"/>
  <c r="N799" i="2" s="1"/>
  <c r="Q799" i="2" s="1"/>
  <c r="V799" i="2" s="1"/>
  <c r="L449" i="3" s="1"/>
  <c r="M874" i="2"/>
  <c r="N874" i="2" s="1"/>
  <c r="Q874" i="2" s="1"/>
  <c r="V874" i="2" s="1"/>
  <c r="L532" i="3" s="1"/>
  <c r="J197" i="3"/>
  <c r="K197" i="3" s="1"/>
  <c r="J275" i="3"/>
  <c r="K275" i="3" s="1"/>
  <c r="J291" i="3"/>
  <c r="K291" i="3" s="1"/>
  <c r="J307" i="3"/>
  <c r="K307" i="3" s="1"/>
  <c r="J233" i="3"/>
  <c r="K233" i="3" s="1"/>
  <c r="J357" i="3"/>
  <c r="K357" i="3" s="1"/>
  <c r="J310" i="3"/>
  <c r="K310" i="3" s="1"/>
  <c r="J201" i="3"/>
  <c r="K201" i="3" s="1"/>
  <c r="J266" i="3"/>
  <c r="K266" i="3" s="1"/>
  <c r="J282" i="3"/>
  <c r="K282" i="3" s="1"/>
  <c r="J298" i="3"/>
  <c r="K298" i="3" s="1"/>
  <c r="J299" i="3"/>
  <c r="K299" i="3" s="1"/>
  <c r="J193" i="3"/>
  <c r="K193" i="3" s="1"/>
  <c r="J286" i="3"/>
  <c r="K286" i="3" s="1"/>
  <c r="J303" i="3"/>
  <c r="K303" i="3" s="1"/>
  <c r="J229" i="3"/>
  <c r="K229" i="3" s="1"/>
  <c r="J243" i="3"/>
  <c r="K243" i="3" s="1"/>
  <c r="J306" i="3"/>
  <c r="K306" i="3" s="1"/>
  <c r="J265" i="3"/>
  <c r="K265" i="3" s="1"/>
  <c r="J297" i="3"/>
  <c r="K297" i="3" s="1"/>
  <c r="J319" i="3"/>
  <c r="K319" i="3" s="1"/>
  <c r="J326" i="3"/>
  <c r="K326" i="3" s="1"/>
  <c r="J389" i="3"/>
  <c r="K389" i="3" s="1"/>
  <c r="J422" i="3"/>
  <c r="K422" i="3" s="1"/>
  <c r="J498" i="3"/>
  <c r="K498" i="3" s="1"/>
  <c r="J536" i="3"/>
  <c r="K536" i="3" s="1"/>
  <c r="J192" i="3"/>
  <c r="K192" i="3" s="1"/>
  <c r="J224" i="3"/>
  <c r="K224" i="3" s="1"/>
  <c r="J256" i="3"/>
  <c r="K256" i="3" s="1"/>
  <c r="J288" i="3"/>
  <c r="K288" i="3" s="1"/>
  <c r="J370" i="3"/>
  <c r="K370" i="3" s="1"/>
  <c r="J399" i="3"/>
  <c r="K399" i="3" s="1"/>
  <c r="J446" i="3"/>
  <c r="K446" i="3" s="1"/>
  <c r="J459" i="3"/>
  <c r="K459" i="3" s="1"/>
  <c r="J486" i="3"/>
  <c r="K486" i="3" s="1"/>
  <c r="J537" i="3"/>
  <c r="K537" i="3" s="1"/>
  <c r="J565" i="3"/>
  <c r="K565" i="3" s="1"/>
  <c r="J805" i="3"/>
  <c r="K805" i="3" s="1"/>
  <c r="J261" i="3"/>
  <c r="K261" i="3" s="1"/>
  <c r="J293" i="3"/>
  <c r="K293" i="3" s="1"/>
  <c r="J308" i="3"/>
  <c r="K308" i="3" s="1"/>
  <c r="J320" i="3"/>
  <c r="K320" i="3" s="1"/>
  <c r="J333" i="3"/>
  <c r="K333" i="3" s="1"/>
  <c r="J340" i="3"/>
  <c r="K340" i="3" s="1"/>
  <c r="J390" i="3"/>
  <c r="K390" i="3" s="1"/>
  <c r="J447" i="3"/>
  <c r="K447" i="3" s="1"/>
  <c r="J538" i="3"/>
  <c r="K538" i="3" s="1"/>
  <c r="J637" i="3"/>
  <c r="K637" i="3" s="1"/>
  <c r="J188" i="3"/>
  <c r="K188" i="3" s="1"/>
  <c r="J220" i="3"/>
  <c r="K220" i="3" s="1"/>
  <c r="J252" i="3"/>
  <c r="K252" i="3" s="1"/>
  <c r="J284" i="3"/>
  <c r="K284" i="3" s="1"/>
  <c r="J381" i="3"/>
  <c r="K381" i="3" s="1"/>
  <c r="J435" i="3"/>
  <c r="K435" i="3" s="1"/>
  <c r="J461" i="3"/>
  <c r="K461" i="3" s="1"/>
  <c r="J474" i="3"/>
  <c r="K474" i="3" s="1"/>
  <c r="J581" i="3"/>
  <c r="K581" i="3" s="1"/>
  <c r="J711" i="3"/>
  <c r="K711" i="3" s="1"/>
  <c r="J727" i="3"/>
  <c r="K727" i="3" s="1"/>
  <c r="J225" i="3"/>
  <c r="K225" i="3" s="1"/>
  <c r="J257" i="3"/>
  <c r="K257" i="3" s="1"/>
  <c r="J289" i="3"/>
  <c r="K289" i="3" s="1"/>
  <c r="J309" i="3"/>
  <c r="K309" i="3" s="1"/>
  <c r="J334" i="3"/>
  <c r="K334" i="3" s="1"/>
  <c r="J413" i="3"/>
  <c r="K413" i="3" s="1"/>
  <c r="J553" i="3"/>
  <c r="K553" i="3" s="1"/>
  <c r="J216" i="3"/>
  <c r="K216" i="3" s="1"/>
  <c r="J248" i="3"/>
  <c r="K248" i="3" s="1"/>
  <c r="J280" i="3"/>
  <c r="K280" i="3" s="1"/>
  <c r="J373" i="3"/>
  <c r="K373" i="3" s="1"/>
  <c r="J382" i="3"/>
  <c r="K382" i="3" s="1"/>
  <c r="J414" i="3"/>
  <c r="K414" i="3" s="1"/>
  <c r="J515" i="3"/>
  <c r="K515" i="3" s="1"/>
  <c r="J610" i="3"/>
  <c r="K610" i="3" s="1"/>
  <c r="J793" i="3"/>
  <c r="K793" i="3" s="1"/>
  <c r="J189" i="3"/>
  <c r="K189" i="3" s="1"/>
  <c r="J221" i="3"/>
  <c r="K221" i="3" s="1"/>
  <c r="J253" i="3"/>
  <c r="K253" i="3" s="1"/>
  <c r="J285" i="3"/>
  <c r="K285" i="3" s="1"/>
  <c r="J335" i="3"/>
  <c r="K335" i="3" s="1"/>
  <c r="J342" i="3"/>
  <c r="K342" i="3" s="1"/>
  <c r="J415" i="3"/>
  <c r="K415" i="3" s="1"/>
  <c r="J426" i="3"/>
  <c r="K426" i="3" s="1"/>
  <c r="J450" i="3"/>
  <c r="K450" i="3" s="1"/>
  <c r="J516" i="3"/>
  <c r="K516" i="3" s="1"/>
  <c r="J212" i="3"/>
  <c r="K212" i="3" s="1"/>
  <c r="J244" i="3"/>
  <c r="K244" i="3" s="1"/>
  <c r="J276" i="3"/>
  <c r="K276" i="3" s="1"/>
  <c r="J304" i="3"/>
  <c r="K304" i="3" s="1"/>
  <c r="J349" i="3"/>
  <c r="K349" i="3" s="1"/>
  <c r="J383" i="3"/>
  <c r="K383" i="3" s="1"/>
  <c r="J464" i="3"/>
  <c r="K464" i="3" s="1"/>
  <c r="J477" i="3"/>
  <c r="K477" i="3" s="1"/>
  <c r="J503" i="3"/>
  <c r="K503" i="3" s="1"/>
  <c r="J584" i="3"/>
  <c r="K584" i="3" s="1"/>
  <c r="J671" i="3"/>
  <c r="K671" i="3" s="1"/>
  <c r="J715" i="3"/>
  <c r="K715" i="3" s="1"/>
  <c r="J779" i="3"/>
  <c r="K779" i="3" s="1"/>
  <c r="J217" i="3"/>
  <c r="K217" i="3" s="1"/>
  <c r="J249" i="3"/>
  <c r="K249" i="3" s="1"/>
  <c r="J281" i="3"/>
  <c r="K281" i="3" s="1"/>
  <c r="J343" i="3"/>
  <c r="K343" i="3" s="1"/>
  <c r="J350" i="3"/>
  <c r="K350" i="3" s="1"/>
  <c r="J365" i="3"/>
  <c r="K365" i="3" s="1"/>
  <c r="J452" i="3"/>
  <c r="K452" i="3" s="1"/>
  <c r="J465" i="3"/>
  <c r="K465" i="3" s="1"/>
  <c r="J557" i="3"/>
  <c r="K557" i="3" s="1"/>
  <c r="J571" i="3"/>
  <c r="K571" i="3" s="1"/>
  <c r="J208" i="3"/>
  <c r="K208" i="3" s="1"/>
  <c r="J240" i="3"/>
  <c r="K240" i="3" s="1"/>
  <c r="J272" i="3"/>
  <c r="K272" i="3" s="1"/>
  <c r="J305" i="3"/>
  <c r="K305" i="3" s="1"/>
  <c r="J336" i="3"/>
  <c r="K336" i="3" s="1"/>
  <c r="J351" i="3"/>
  <c r="K351" i="3" s="1"/>
  <c r="J417" i="3"/>
  <c r="K417" i="3" s="1"/>
  <c r="J466" i="3"/>
  <c r="K466" i="3" s="1"/>
  <c r="J213" i="3"/>
  <c r="K213" i="3" s="1"/>
  <c r="J245" i="3"/>
  <c r="K245" i="3" s="1"/>
  <c r="J277" i="3"/>
  <c r="K277" i="3" s="1"/>
  <c r="J300" i="3"/>
  <c r="K300" i="3" s="1"/>
  <c r="J344" i="3"/>
  <c r="K344" i="3" s="1"/>
  <c r="J406" i="3"/>
  <c r="K406" i="3" s="1"/>
  <c r="J440" i="3"/>
  <c r="K440" i="3" s="1"/>
  <c r="J453" i="3"/>
  <c r="K453" i="3" s="1"/>
  <c r="J467" i="3"/>
  <c r="K467" i="3" s="1"/>
  <c r="J505" i="3"/>
  <c r="K505" i="3" s="1"/>
  <c r="J573" i="3"/>
  <c r="K573" i="3" s="1"/>
  <c r="J204" i="3"/>
  <c r="K204" i="3" s="1"/>
  <c r="J236" i="3"/>
  <c r="K236" i="3" s="1"/>
  <c r="J268" i="3"/>
  <c r="K268" i="3" s="1"/>
  <c r="J317" i="3"/>
  <c r="K317" i="3" s="1"/>
  <c r="J352" i="3"/>
  <c r="K352" i="3" s="1"/>
  <c r="J359" i="3"/>
  <c r="K359" i="3" s="1"/>
  <c r="J366" i="3"/>
  <c r="K366" i="3" s="1"/>
  <c r="J468" i="3"/>
  <c r="K468" i="3" s="1"/>
  <c r="J481" i="3"/>
  <c r="K481" i="3" s="1"/>
  <c r="J601" i="3"/>
  <c r="K601" i="3" s="1"/>
  <c r="J767" i="3"/>
  <c r="K767" i="3" s="1"/>
  <c r="J209" i="3"/>
  <c r="K209" i="3" s="1"/>
  <c r="J241" i="3"/>
  <c r="K241" i="3" s="1"/>
  <c r="J273" i="3"/>
  <c r="K273" i="3" s="1"/>
  <c r="J312" i="3"/>
  <c r="K312" i="3" s="1"/>
  <c r="J367" i="3"/>
  <c r="K367" i="3" s="1"/>
  <c r="J407" i="3"/>
  <c r="K407" i="3" s="1"/>
  <c r="J442" i="3"/>
  <c r="K442" i="3" s="1"/>
  <c r="J469" i="3"/>
  <c r="K469" i="3" s="1"/>
  <c r="J617" i="3"/>
  <c r="K617" i="3" s="1"/>
  <c r="J200" i="3"/>
  <c r="K200" i="3" s="1"/>
  <c r="J232" i="3"/>
  <c r="K232" i="3" s="1"/>
  <c r="J264" i="3"/>
  <c r="K264" i="3" s="1"/>
  <c r="J296" i="3"/>
  <c r="K296" i="3" s="1"/>
  <c r="J301" i="3"/>
  <c r="K301" i="3" s="1"/>
  <c r="J318" i="3"/>
  <c r="K318" i="3" s="1"/>
  <c r="J360" i="3"/>
  <c r="K360" i="3" s="1"/>
  <c r="J368" i="3"/>
  <c r="K368" i="3" s="1"/>
  <c r="J431" i="3"/>
  <c r="K431" i="3" s="1"/>
  <c r="J456" i="3"/>
  <c r="K456" i="3" s="1"/>
  <c r="J470" i="3"/>
  <c r="K470" i="3" s="1"/>
  <c r="J482" i="3"/>
  <c r="K482" i="3" s="1"/>
  <c r="J647" i="3"/>
  <c r="K647" i="3" s="1"/>
  <c r="J205" i="3"/>
  <c r="K205" i="3" s="1"/>
  <c r="J237" i="3"/>
  <c r="K237" i="3" s="1"/>
  <c r="J269" i="3"/>
  <c r="K269" i="3" s="1"/>
  <c r="J325" i="3"/>
  <c r="K325" i="3" s="1"/>
  <c r="J387" i="3"/>
  <c r="K387" i="3" s="1"/>
  <c r="J397" i="3"/>
  <c r="K397" i="3" s="1"/>
  <c r="J443" i="3"/>
  <c r="K443" i="3" s="1"/>
  <c r="J196" i="3"/>
  <c r="K196" i="3" s="1"/>
  <c r="J228" i="3"/>
  <c r="K228" i="3" s="1"/>
  <c r="J260" i="3"/>
  <c r="K260" i="3" s="1"/>
  <c r="J292" i="3"/>
  <c r="K292" i="3" s="1"/>
  <c r="J398" i="3"/>
  <c r="K398" i="3" s="1"/>
  <c r="J457" i="3"/>
  <c r="K457" i="3" s="1"/>
  <c r="J739" i="3"/>
  <c r="K739" i="3" s="1"/>
  <c r="J356" i="3"/>
  <c r="K356" i="3" s="1"/>
  <c r="J420" i="3"/>
  <c r="K420" i="3" s="1"/>
  <c r="J488" i="3"/>
  <c r="K488" i="3" s="1"/>
  <c r="J511" i="3"/>
  <c r="K511" i="3" s="1"/>
  <c r="J523" i="3"/>
  <c r="K523" i="3" s="1"/>
  <c r="J545" i="3"/>
  <c r="K545" i="3" s="1"/>
  <c r="J567" i="3"/>
  <c r="K567" i="3" s="1"/>
  <c r="J575" i="3"/>
  <c r="K575" i="3" s="1"/>
  <c r="J660" i="3"/>
  <c r="K660" i="3" s="1"/>
  <c r="J681" i="3"/>
  <c r="K681" i="3" s="1"/>
  <c r="J728" i="3"/>
  <c r="K728" i="3" s="1"/>
  <c r="J416" i="3"/>
  <c r="K416" i="3" s="1"/>
  <c r="J506" i="3"/>
  <c r="K506" i="3" s="1"/>
  <c r="J530" i="3"/>
  <c r="K530" i="3" s="1"/>
  <c r="J611" i="3"/>
  <c r="K611" i="3" s="1"/>
  <c r="J629" i="3"/>
  <c r="K629" i="3" s="1"/>
  <c r="J682" i="3"/>
  <c r="K682" i="3" s="1"/>
  <c r="J754" i="3"/>
  <c r="K754" i="3" s="1"/>
  <c r="J348" i="3"/>
  <c r="K348" i="3" s="1"/>
  <c r="J412" i="3"/>
  <c r="K412" i="3" s="1"/>
  <c r="J458" i="3"/>
  <c r="K458" i="3" s="1"/>
  <c r="J489" i="3"/>
  <c r="K489" i="3" s="1"/>
  <c r="J494" i="3"/>
  <c r="K494" i="3" s="1"/>
  <c r="J524" i="3"/>
  <c r="K524" i="3" s="1"/>
  <c r="J576" i="3"/>
  <c r="K576" i="3" s="1"/>
  <c r="J620" i="3"/>
  <c r="K620" i="3" s="1"/>
  <c r="J651" i="3"/>
  <c r="K651" i="3" s="1"/>
  <c r="J662" i="3"/>
  <c r="K662" i="3" s="1"/>
  <c r="J683" i="3"/>
  <c r="K683" i="3" s="1"/>
  <c r="J741" i="3"/>
  <c r="K741" i="3" s="1"/>
  <c r="J755" i="3"/>
  <c r="K755" i="3" s="1"/>
  <c r="J408" i="3"/>
  <c r="K408" i="3" s="1"/>
  <c r="J483" i="3"/>
  <c r="K483" i="3" s="1"/>
  <c r="J531" i="3"/>
  <c r="K531" i="3" s="1"/>
  <c r="J555" i="3"/>
  <c r="K555" i="3" s="1"/>
  <c r="J621" i="3"/>
  <c r="K621" i="3" s="1"/>
  <c r="J695" i="3"/>
  <c r="K695" i="3" s="1"/>
  <c r="J742" i="3"/>
  <c r="K742" i="3" s="1"/>
  <c r="J840" i="3"/>
  <c r="K840" i="3" s="1"/>
  <c r="J404" i="3"/>
  <c r="K404" i="3" s="1"/>
  <c r="J449" i="3"/>
  <c r="K449" i="3" s="1"/>
  <c r="J532" i="3"/>
  <c r="K532" i="3" s="1"/>
  <c r="J539" i="3"/>
  <c r="K539" i="3" s="1"/>
  <c r="J757" i="3"/>
  <c r="K757" i="3" s="1"/>
  <c r="J400" i="3"/>
  <c r="K400" i="3" s="1"/>
  <c r="J495" i="3"/>
  <c r="K495" i="3" s="1"/>
  <c r="J513" i="3"/>
  <c r="K513" i="3" s="1"/>
  <c r="J525" i="3"/>
  <c r="K525" i="3" s="1"/>
  <c r="J540" i="3"/>
  <c r="K540" i="3" s="1"/>
  <c r="J653" i="3"/>
  <c r="K653" i="3" s="1"/>
  <c r="J664" i="3"/>
  <c r="K664" i="3" s="1"/>
  <c r="J685" i="3"/>
  <c r="K685" i="3" s="1"/>
  <c r="J332" i="3"/>
  <c r="K332" i="3" s="1"/>
  <c r="J396" i="3"/>
  <c r="K396" i="3" s="1"/>
  <c r="J665" i="3"/>
  <c r="K665" i="3" s="1"/>
  <c r="J745" i="3"/>
  <c r="K745" i="3" s="1"/>
  <c r="J773" i="3"/>
  <c r="K773" i="3" s="1"/>
  <c r="J786" i="3"/>
  <c r="K786" i="3" s="1"/>
  <c r="J813" i="3"/>
  <c r="K813" i="3" s="1"/>
  <c r="J328" i="3"/>
  <c r="K328" i="3" s="1"/>
  <c r="J392" i="3"/>
  <c r="K392" i="3" s="1"/>
  <c r="J496" i="3"/>
  <c r="K496" i="3" s="1"/>
  <c r="J508" i="3"/>
  <c r="K508" i="3" s="1"/>
  <c r="J514" i="3"/>
  <c r="K514" i="3" s="1"/>
  <c r="J541" i="3"/>
  <c r="K541" i="3" s="1"/>
  <c r="J548" i="3"/>
  <c r="K548" i="3" s="1"/>
  <c r="J570" i="3"/>
  <c r="K570" i="3" s="1"/>
  <c r="J675" i="3"/>
  <c r="K675" i="3" s="1"/>
  <c r="J787" i="3"/>
  <c r="K787" i="3" s="1"/>
  <c r="J830" i="3"/>
  <c r="K830" i="3" s="1"/>
  <c r="J324" i="3"/>
  <c r="K324" i="3" s="1"/>
  <c r="J388" i="3"/>
  <c r="K388" i="3" s="1"/>
  <c r="J441" i="3"/>
  <c r="K441" i="3" s="1"/>
  <c r="J549" i="3"/>
  <c r="K549" i="3" s="1"/>
  <c r="J606" i="3"/>
  <c r="K606" i="3" s="1"/>
  <c r="J624" i="3"/>
  <c r="K624" i="3" s="1"/>
  <c r="J644" i="3"/>
  <c r="K644" i="3" s="1"/>
  <c r="J676" i="3"/>
  <c r="K676" i="3" s="1"/>
  <c r="J698" i="3"/>
  <c r="K698" i="3" s="1"/>
  <c r="J709" i="3"/>
  <c r="K709" i="3" s="1"/>
  <c r="J747" i="3"/>
  <c r="K747" i="3" s="1"/>
  <c r="J384" i="3"/>
  <c r="K384" i="3" s="1"/>
  <c r="J475" i="3"/>
  <c r="K475" i="3" s="1"/>
  <c r="J480" i="3"/>
  <c r="K480" i="3" s="1"/>
  <c r="J497" i="3"/>
  <c r="K497" i="3" s="1"/>
  <c r="J634" i="3"/>
  <c r="K634" i="3" s="1"/>
  <c r="J656" i="3"/>
  <c r="K656" i="3" s="1"/>
  <c r="J816" i="3"/>
  <c r="K816" i="3" s="1"/>
  <c r="J316" i="3"/>
  <c r="K316" i="3" s="1"/>
  <c r="J380" i="3"/>
  <c r="K380" i="3" s="1"/>
  <c r="J432" i="3"/>
  <c r="K432" i="3" s="1"/>
  <c r="J550" i="3"/>
  <c r="K550" i="3" s="1"/>
  <c r="J558" i="3"/>
  <c r="K558" i="3" s="1"/>
  <c r="J667" i="3"/>
  <c r="K667" i="3" s="1"/>
  <c r="J776" i="3"/>
  <c r="K776" i="3" s="1"/>
  <c r="J376" i="3"/>
  <c r="K376" i="3" s="1"/>
  <c r="J572" i="3"/>
  <c r="K572" i="3" s="1"/>
  <c r="J589" i="3"/>
  <c r="K589" i="3" s="1"/>
  <c r="J598" i="3"/>
  <c r="K598" i="3" s="1"/>
  <c r="J678" i="3"/>
  <c r="K678" i="3" s="1"/>
  <c r="J690" i="3"/>
  <c r="K690" i="3" s="1"/>
  <c r="J724" i="3"/>
  <c r="K724" i="3" s="1"/>
  <c r="J372" i="3"/>
  <c r="K372" i="3" s="1"/>
  <c r="J428" i="3"/>
  <c r="K428" i="3" s="1"/>
  <c r="J535" i="3"/>
  <c r="K535" i="3" s="1"/>
  <c r="J543" i="3"/>
  <c r="K543" i="3" s="1"/>
  <c r="J551" i="3"/>
  <c r="K551" i="3" s="1"/>
  <c r="J712" i="3"/>
  <c r="K712" i="3" s="1"/>
  <c r="J764" i="3"/>
  <c r="K764" i="3" s="1"/>
  <c r="J850" i="3"/>
  <c r="K850" i="3" s="1"/>
  <c r="J364" i="3"/>
  <c r="K364" i="3" s="1"/>
  <c r="J424" i="3"/>
  <c r="K424" i="3" s="1"/>
  <c r="J522" i="3"/>
  <c r="K522" i="3" s="1"/>
  <c r="J552" i="3"/>
  <c r="K552" i="3" s="1"/>
  <c r="J574" i="3"/>
  <c r="K574" i="3" s="1"/>
  <c r="J600" i="3"/>
  <c r="K600" i="3" s="1"/>
  <c r="J648" i="3"/>
  <c r="K648" i="3" s="1"/>
  <c r="J702" i="3"/>
  <c r="K702" i="3" s="1"/>
  <c r="J714" i="3"/>
  <c r="K714" i="3" s="1"/>
  <c r="J821" i="3"/>
  <c r="K821" i="3" s="1"/>
  <c r="J737" i="3"/>
  <c r="K737" i="3" s="1"/>
  <c r="J761" i="3"/>
  <c r="K761" i="3" s="1"/>
  <c r="J781" i="3"/>
  <c r="K781" i="3" s="1"/>
  <c r="J818" i="3"/>
  <c r="K818" i="3" s="1"/>
  <c r="J828" i="3"/>
  <c r="K828" i="3" s="1"/>
  <c r="J837" i="3"/>
  <c r="K837" i="3" s="1"/>
  <c r="J857" i="3"/>
  <c r="K857" i="3" s="1"/>
  <c r="J609" i="3"/>
  <c r="K609" i="3" s="1"/>
  <c r="J703" i="3"/>
  <c r="K703" i="3" s="1"/>
  <c r="J723" i="3"/>
  <c r="K723" i="3" s="1"/>
  <c r="J771" i="3"/>
  <c r="K771" i="3" s="1"/>
  <c r="J790" i="3"/>
  <c r="K790" i="3" s="1"/>
  <c r="J809" i="3"/>
  <c r="K809" i="3" s="1"/>
  <c r="J626" i="3"/>
  <c r="K626" i="3" s="1"/>
  <c r="J659" i="3"/>
  <c r="K659" i="3" s="1"/>
  <c r="J710" i="3"/>
  <c r="K710" i="3" s="1"/>
  <c r="J717" i="3"/>
  <c r="K717" i="3" s="1"/>
  <c r="J762" i="3"/>
  <c r="K762" i="3" s="1"/>
  <c r="J772" i="3"/>
  <c r="K772" i="3" s="1"/>
  <c r="J791" i="3"/>
  <c r="K791" i="3" s="1"/>
  <c r="J810" i="3"/>
  <c r="K810" i="3" s="1"/>
  <c r="J838" i="3"/>
  <c r="K838" i="3" s="1"/>
  <c r="J569" i="3"/>
  <c r="K569" i="3" s="1"/>
  <c r="J599" i="3"/>
  <c r="K599" i="3" s="1"/>
  <c r="J643" i="3"/>
  <c r="K643" i="3" s="1"/>
  <c r="J677" i="3"/>
  <c r="K677" i="3" s="1"/>
  <c r="J697" i="3"/>
  <c r="K697" i="3" s="1"/>
  <c r="J746" i="3"/>
  <c r="K746" i="3" s="1"/>
  <c r="J801" i="3"/>
  <c r="K801" i="3" s="1"/>
  <c r="J811" i="3"/>
  <c r="K811" i="3" s="1"/>
  <c r="J820" i="3"/>
  <c r="K820" i="3" s="1"/>
  <c r="J792" i="3"/>
  <c r="K792" i="3" s="1"/>
  <c r="J860" i="3"/>
  <c r="K860" i="3" s="1"/>
  <c r="J616" i="3"/>
  <c r="K616" i="3" s="1"/>
  <c r="J691" i="3"/>
  <c r="K691" i="3" s="1"/>
  <c r="J725" i="3"/>
  <c r="K725" i="3" s="1"/>
  <c r="J740" i="3"/>
  <c r="K740" i="3" s="1"/>
  <c r="J774" i="3"/>
  <c r="K774" i="3" s="1"/>
  <c r="J784" i="3"/>
  <c r="K784" i="3" s="1"/>
  <c r="J803" i="3"/>
  <c r="K803" i="3" s="1"/>
  <c r="J595" i="3"/>
  <c r="K595" i="3" s="1"/>
  <c r="J633" i="3"/>
  <c r="K633" i="3" s="1"/>
  <c r="J639" i="3"/>
  <c r="K639" i="3" s="1"/>
  <c r="J661" i="3"/>
  <c r="K661" i="3" s="1"/>
  <c r="J673" i="3"/>
  <c r="K673" i="3" s="1"/>
  <c r="J756" i="3"/>
  <c r="K756" i="3" s="1"/>
  <c r="J650" i="3"/>
  <c r="K650" i="3" s="1"/>
  <c r="J692" i="3"/>
  <c r="K692" i="3" s="1"/>
  <c r="J726" i="3"/>
  <c r="K726" i="3" s="1"/>
  <c r="J734" i="3"/>
  <c r="K734" i="3" s="1"/>
  <c r="J775" i="3"/>
  <c r="K775" i="3" s="1"/>
  <c r="J804" i="3"/>
  <c r="K804" i="3" s="1"/>
  <c r="J822" i="3"/>
  <c r="K822" i="3" s="1"/>
  <c r="J833" i="3"/>
  <c r="K833" i="3" s="1"/>
  <c r="J842" i="3"/>
  <c r="K842" i="3" s="1"/>
  <c r="J852" i="3"/>
  <c r="K852" i="3" s="1"/>
  <c r="J612" i="3"/>
  <c r="K612" i="3" s="1"/>
  <c r="J680" i="3"/>
  <c r="K680" i="3" s="1"/>
  <c r="J693" i="3"/>
  <c r="K693" i="3" s="1"/>
  <c r="J700" i="3"/>
  <c r="K700" i="3" s="1"/>
  <c r="J720" i="3"/>
  <c r="K720" i="3" s="1"/>
  <c r="J735" i="3"/>
  <c r="K735" i="3" s="1"/>
  <c r="J586" i="3"/>
  <c r="K586" i="3" s="1"/>
  <c r="J646" i="3"/>
  <c r="K646" i="3" s="1"/>
  <c r="J663" i="3"/>
  <c r="K663" i="3" s="1"/>
  <c r="J707" i="3"/>
  <c r="K707" i="3" s="1"/>
  <c r="J758" i="3"/>
  <c r="K758" i="3" s="1"/>
  <c r="J769" i="3"/>
  <c r="K769" i="3" s="1"/>
  <c r="J778" i="3"/>
  <c r="K778" i="3" s="1"/>
  <c r="J825" i="3"/>
  <c r="K825" i="3" s="1"/>
  <c r="J845" i="3"/>
  <c r="K845" i="3" s="1"/>
  <c r="J613" i="3"/>
  <c r="K613" i="3" s="1"/>
  <c r="J619" i="3"/>
  <c r="K619" i="3" s="1"/>
  <c r="J694" i="3"/>
  <c r="K694" i="3" s="1"/>
  <c r="J729" i="3"/>
  <c r="K729" i="3" s="1"/>
  <c r="J759" i="3"/>
  <c r="K759" i="3" s="1"/>
  <c r="J798" i="3"/>
  <c r="K798" i="3" s="1"/>
  <c r="J592" i="3"/>
  <c r="K592" i="3" s="1"/>
  <c r="J630" i="3"/>
  <c r="K630" i="3" s="1"/>
  <c r="J670" i="3"/>
  <c r="K670" i="3" s="1"/>
  <c r="J688" i="3"/>
  <c r="K688" i="3" s="1"/>
  <c r="J708" i="3"/>
  <c r="K708" i="3" s="1"/>
  <c r="J788" i="3"/>
  <c r="K788" i="3" s="1"/>
  <c r="J799" i="3"/>
  <c r="K799" i="3" s="1"/>
  <c r="J826" i="3"/>
  <c r="K826" i="3" s="1"/>
  <c r="J582" i="3"/>
  <c r="K582" i="3" s="1"/>
  <c r="J636" i="3"/>
  <c r="K636" i="3" s="1"/>
  <c r="J744" i="3"/>
  <c r="K744" i="3" s="1"/>
  <c r="J752" i="3"/>
  <c r="K752" i="3" s="1"/>
  <c r="J808" i="3"/>
  <c r="K808" i="3" s="1"/>
  <c r="J875" i="3"/>
  <c r="K875" i="3" s="1"/>
  <c r="J876" i="3"/>
  <c r="K876" i="3" s="1"/>
  <c r="J877" i="3"/>
  <c r="K877" i="3" s="1"/>
  <c r="J878" i="3"/>
  <c r="K878" i="3" s="1"/>
  <c r="J872" i="3"/>
  <c r="K872" i="3" s="1"/>
  <c r="J868" i="3"/>
  <c r="K868" i="3" s="1"/>
  <c r="V727" i="2" l="1"/>
  <c r="L411" i="3" s="1"/>
  <c r="Q857" i="2"/>
  <c r="V857" i="2" s="1"/>
  <c r="L561" i="3" s="1"/>
  <c r="Q652" i="2"/>
  <c r="Q722" i="2"/>
  <c r="V741" i="2"/>
  <c r="L444" i="3" s="1"/>
  <c r="Q752" i="2"/>
  <c r="V752" i="2" s="1"/>
  <c r="L433" i="3" s="1"/>
  <c r="V646" i="2"/>
  <c r="L510" i="3" s="1"/>
  <c r="Q812" i="2"/>
  <c r="Q619" i="2"/>
  <c r="V619" i="2" s="1"/>
  <c r="L537" i="3" s="1"/>
  <c r="V884" i="2"/>
  <c r="L564" i="3" s="1"/>
  <c r="V611" i="2"/>
  <c r="L567" i="3" s="1"/>
  <c r="V880" i="2"/>
  <c r="L457" i="3" s="1"/>
  <c r="Q447" i="2"/>
  <c r="Q339" i="2"/>
  <c r="V339" i="2" s="1"/>
  <c r="L279" i="3" s="1"/>
  <c r="V169" i="2"/>
  <c r="L728" i="3" s="1"/>
  <c r="Q331" i="2"/>
  <c r="V58" i="2"/>
  <c r="L744" i="3" s="1"/>
  <c r="Q190" i="2"/>
  <c r="V190" i="2" s="1"/>
  <c r="L872" i="3" s="1"/>
  <c r="Q37" i="2"/>
  <c r="Q73" i="2"/>
  <c r="V73" i="2" s="1"/>
  <c r="L716" i="3" s="1"/>
  <c r="V189" i="2"/>
  <c r="L845" i="3" s="1"/>
  <c r="Q194" i="2"/>
  <c r="Q26" i="2"/>
  <c r="V26" i="2" s="1"/>
  <c r="L824" i="3" s="1"/>
  <c r="Q334" i="2"/>
  <c r="V334" i="2" s="1"/>
  <c r="L109" i="3" s="1"/>
  <c r="Q65" i="2"/>
  <c r="V820" i="2"/>
  <c r="L388" i="3" s="1"/>
  <c r="Q875" i="2"/>
  <c r="Q630" i="2"/>
  <c r="V630" i="2" s="1"/>
  <c r="L369" i="3" s="1"/>
  <c r="V599" i="2"/>
  <c r="L396" i="3" s="1"/>
  <c r="Q591" i="2"/>
  <c r="V591" i="2" s="1"/>
  <c r="L313" i="3" s="1"/>
  <c r="Q713" i="2"/>
  <c r="V778" i="2"/>
  <c r="L493" i="3" s="1"/>
  <c r="Q644" i="2"/>
  <c r="Q737" i="2"/>
  <c r="V737" i="2" s="1"/>
  <c r="L355" i="3" s="1"/>
  <c r="Q698" i="2"/>
  <c r="V749" i="2"/>
  <c r="L356" i="3" s="1"/>
  <c r="Q805" i="2"/>
  <c r="V805" i="2" s="1"/>
  <c r="L607" i="3" s="1"/>
  <c r="V199" i="2"/>
  <c r="L732" i="3" s="1"/>
  <c r="Q237" i="2"/>
  <c r="V237" i="2" s="1"/>
  <c r="L58" i="3" s="1"/>
  <c r="Q80" i="2"/>
  <c r="V80" i="2" s="1"/>
  <c r="L680" i="3" s="1"/>
  <c r="V792" i="2"/>
  <c r="L586" i="3" s="1"/>
  <c r="Q860" i="2"/>
  <c r="V860" i="2" s="1"/>
  <c r="L392" i="3" s="1"/>
  <c r="Q293" i="2"/>
  <c r="Q768" i="2"/>
  <c r="V768" i="2" s="1"/>
  <c r="L522" i="3" s="1"/>
  <c r="Q789" i="2"/>
  <c r="Q167" i="2"/>
  <c r="V167" i="2" s="1"/>
  <c r="L668" i="3" s="1"/>
  <c r="Q814" i="2"/>
  <c r="Q123" i="2"/>
  <c r="V123" i="2" s="1"/>
  <c r="L752" i="3" s="1"/>
  <c r="Q2" i="2"/>
  <c r="V2" i="2" s="1"/>
  <c r="L790" i="3" s="1"/>
  <c r="Q76" i="2"/>
  <c r="V76" i="2" s="1"/>
  <c r="L800" i="3" s="1"/>
  <c r="V564" i="2"/>
  <c r="L34" i="3" s="1"/>
  <c r="V565" i="2"/>
  <c r="L56" i="3" s="1"/>
  <c r="Q229" i="2"/>
  <c r="V569" i="2"/>
  <c r="L154" i="3" s="1"/>
  <c r="V581" i="2"/>
  <c r="L74" i="3" s="1"/>
  <c r="V814" i="2"/>
  <c r="L526" i="3" s="1"/>
  <c r="V184" i="2"/>
  <c r="L704" i="3" s="1"/>
  <c r="Q166" i="2"/>
  <c r="V166" i="2" s="1"/>
  <c r="L869" i="3" s="1"/>
  <c r="V265" i="2"/>
  <c r="L175" i="3" s="1"/>
  <c r="Q93" i="2"/>
  <c r="Q131" i="2"/>
  <c r="V131" i="2" s="1"/>
  <c r="L753" i="3" s="1"/>
  <c r="Q133" i="2"/>
  <c r="V133" i="2" s="1"/>
  <c r="L807" i="3" s="1"/>
  <c r="Q67" i="2"/>
  <c r="V67" i="2" s="1"/>
  <c r="L768" i="3" s="1"/>
  <c r="Q218" i="2"/>
  <c r="V218" i="2" s="1"/>
  <c r="L675" i="3" s="1"/>
  <c r="V37" i="2"/>
  <c r="L694" i="3" s="1"/>
  <c r="Q179" i="2"/>
  <c r="V179" i="2" s="1"/>
  <c r="L782" i="3" s="1"/>
  <c r="Q212" i="2"/>
  <c r="V212" i="2" s="1"/>
  <c r="L705" i="3" s="1"/>
  <c r="Q38" i="2"/>
  <c r="V38" i="2" s="1"/>
  <c r="L711" i="3" s="1"/>
  <c r="Q209" i="2"/>
  <c r="V209" i="2" s="1"/>
  <c r="L817" i="3" s="1"/>
  <c r="V194" i="2"/>
  <c r="L784" i="3" s="1"/>
  <c r="V103" i="2"/>
  <c r="L834" i="3" s="1"/>
  <c r="Q192" i="2"/>
  <c r="V192" i="2" s="1"/>
  <c r="L731" i="3" s="1"/>
  <c r="Q90" i="2"/>
  <c r="V90" i="2" s="1"/>
  <c r="L696" i="3" s="1"/>
  <c r="Q104" i="2"/>
  <c r="V104" i="2" s="1"/>
  <c r="L861" i="3" s="1"/>
  <c r="Q74" i="2"/>
  <c r="V74" i="2" s="1"/>
  <c r="L746" i="3" s="1"/>
  <c r="Q286" i="2"/>
  <c r="V286" i="2" s="1"/>
  <c r="L37" i="3" s="1"/>
  <c r="Q743" i="2"/>
  <c r="V743" i="2" s="1"/>
  <c r="L490" i="3" s="1"/>
  <c r="Q873" i="2"/>
  <c r="Q631" i="2"/>
  <c r="V631" i="2" s="1"/>
  <c r="L425" i="3" s="1"/>
  <c r="V732" i="2"/>
  <c r="L519" i="3" s="1"/>
  <c r="V859" i="2"/>
  <c r="L643" i="3" s="1"/>
  <c r="V811" i="2"/>
  <c r="L450" i="3" s="1"/>
  <c r="Q745" i="2"/>
  <c r="V745" i="2" s="1"/>
  <c r="L551" i="3" s="1"/>
  <c r="V696" i="2"/>
  <c r="L429" i="3" s="1"/>
  <c r="V784" i="2"/>
  <c r="L359" i="3" s="1"/>
  <c r="V769" i="2"/>
  <c r="L553" i="3" s="1"/>
  <c r="V687" i="2"/>
  <c r="L428" i="3" s="1"/>
  <c r="V788" i="2"/>
  <c r="L476" i="3" s="1"/>
  <c r="Q791" i="2"/>
  <c r="V791" i="2" s="1"/>
  <c r="L555" i="3" s="1"/>
  <c r="V807" i="2"/>
  <c r="L361" i="3" s="1"/>
  <c r="Q86" i="2"/>
  <c r="V86" i="2" s="1"/>
  <c r="L832" i="3" s="1"/>
  <c r="Q202" i="2"/>
  <c r="V202" i="2" s="1"/>
  <c r="L816" i="3" s="1"/>
  <c r="Q118" i="2"/>
  <c r="V118" i="2" s="1"/>
  <c r="L836" i="3" s="1"/>
  <c r="Q91" i="2"/>
  <c r="V91" i="2" s="1"/>
  <c r="L718" i="3" s="1"/>
  <c r="Q330" i="2"/>
  <c r="V330" i="2" s="1"/>
  <c r="L334" i="3" s="1"/>
  <c r="V64" i="2"/>
  <c r="L678" i="3" s="1"/>
  <c r="V844" i="2"/>
  <c r="L453" i="3" s="1"/>
  <c r="Q95" i="2"/>
  <c r="V95" i="2" s="1"/>
  <c r="L833" i="3" s="1"/>
  <c r="Q840" i="2"/>
  <c r="V840" i="2" s="1"/>
  <c r="L610" i="3" s="1"/>
  <c r="V84" i="2"/>
  <c r="L770" i="3" s="1"/>
  <c r="Q92" i="2"/>
  <c r="V92" i="2" s="1"/>
  <c r="L748" i="3" s="1"/>
  <c r="V137" i="2"/>
  <c r="L699" i="3" s="1"/>
  <c r="V823" i="2"/>
  <c r="L451" i="3" s="1"/>
  <c r="Q201" i="2"/>
  <c r="V201" i="2" s="1"/>
  <c r="L785" i="3" s="1"/>
  <c r="Q34" i="2"/>
  <c r="V34" i="2" s="1"/>
  <c r="L825" i="3" s="1"/>
  <c r="Q198" i="2"/>
  <c r="V198" i="2" s="1"/>
  <c r="L672" i="3" s="1"/>
  <c r="V182" i="2"/>
  <c r="L871" i="3" s="1"/>
  <c r="Q89" i="2"/>
  <c r="V89" i="2" s="1"/>
  <c r="L681" i="3" s="1"/>
  <c r="Q101" i="2"/>
  <c r="V101" i="2" s="1"/>
  <c r="L772" i="3" s="1"/>
  <c r="V45" i="2"/>
  <c r="L712" i="3" s="1"/>
  <c r="Q50" i="2"/>
  <c r="V50" i="2" s="1"/>
  <c r="L653" i="3" s="1"/>
  <c r="V173" i="2"/>
  <c r="L843" i="3" s="1"/>
  <c r="Q99" i="2"/>
  <c r="V99" i="2" s="1"/>
  <c r="L719" i="3" s="1"/>
  <c r="Q119" i="2"/>
  <c r="V119" i="2" s="1"/>
  <c r="L863" i="3" s="1"/>
  <c r="V161" i="2"/>
  <c r="L727" i="3" s="1"/>
  <c r="Q135" i="2"/>
  <c r="V135" i="2" s="1"/>
  <c r="L865" i="3" s="1"/>
  <c r="V93" i="2"/>
  <c r="L771" i="3" s="1"/>
  <c r="V829" i="2"/>
  <c r="L609" i="3" s="1"/>
  <c r="Q709" i="2"/>
  <c r="V709" i="2" s="1"/>
  <c r="L517" i="3" s="1"/>
  <c r="Q775" i="2"/>
  <c r="V775" i="2" s="1"/>
  <c r="L415" i="3" s="1"/>
  <c r="V684" i="2"/>
  <c r="L627" i="3" s="1"/>
  <c r="Q230" i="2"/>
  <c r="V230" i="2" s="1"/>
  <c r="L820" i="3" s="1"/>
  <c r="V666" i="2"/>
  <c r="L625" i="3" s="1"/>
  <c r="Q125" i="2"/>
  <c r="V125" i="2" s="1"/>
  <c r="L806" i="3" s="1"/>
  <c r="Q175" i="2"/>
  <c r="V175" i="2" s="1"/>
  <c r="L669" i="3" s="1"/>
  <c r="Q41" i="2"/>
  <c r="V41" i="2" s="1"/>
  <c r="L826" i="3" s="1"/>
  <c r="V878" i="2"/>
  <c r="L394" i="3" s="1"/>
  <c r="Q295" i="2"/>
  <c r="V295" i="2" s="1"/>
  <c r="L38" i="3" s="1"/>
  <c r="Q25" i="2"/>
  <c r="V682" i="2"/>
  <c r="L576" i="3" s="1"/>
  <c r="V134" i="2"/>
  <c r="L838" i="3" s="1"/>
  <c r="Q46" i="2"/>
  <c r="V46" i="2" s="1"/>
  <c r="L742" i="3" s="1"/>
  <c r="Q170" i="2"/>
  <c r="V170" i="2" s="1"/>
  <c r="L758" i="3" s="1"/>
  <c r="Q150" i="2"/>
  <c r="V150" i="2" s="1"/>
  <c r="L840" i="3" s="1"/>
  <c r="V138" i="2"/>
  <c r="L724" i="3" s="1"/>
  <c r="V115" i="2"/>
  <c r="L751" i="3" s="1"/>
  <c r="Q872" i="2"/>
  <c r="V872" i="2" s="1"/>
  <c r="L484" i="3" s="1"/>
  <c r="V245" i="2"/>
  <c r="L59" i="3" s="1"/>
  <c r="Q81" i="2"/>
  <c r="V81" i="2" s="1"/>
  <c r="L695" i="3" s="1"/>
  <c r="Q82" i="2"/>
  <c r="V82" i="2" s="1"/>
  <c r="L717" i="3" s="1"/>
  <c r="Q22" i="2"/>
  <c r="V22" i="2" s="1"/>
  <c r="L692" i="3" s="1"/>
  <c r="V62" i="2"/>
  <c r="L856" i="3" s="1"/>
  <c r="Q205" i="2"/>
  <c r="V205" i="2" s="1"/>
  <c r="L673" i="3" s="1"/>
  <c r="Q337" i="2"/>
  <c r="V337" i="2" s="1"/>
  <c r="L208" i="3" s="1"/>
  <c r="Q800" i="2"/>
  <c r="V800" i="2" s="1"/>
  <c r="L477" i="3" s="1"/>
  <c r="Q777" i="2"/>
  <c r="V777" i="2" s="1"/>
  <c r="L475" i="3" s="1"/>
  <c r="Q885" i="2"/>
  <c r="V885" i="2" s="1"/>
  <c r="L615" i="3" s="1"/>
  <c r="Q849" i="2"/>
  <c r="V849" i="2" s="1"/>
  <c r="L591" i="3" s="1"/>
  <c r="Q882" i="2"/>
  <c r="V882" i="2" s="1"/>
  <c r="L503" i="3" s="1"/>
  <c r="Q720" i="2"/>
  <c r="V720" i="2" s="1"/>
  <c r="L518" i="3" s="1"/>
  <c r="Q877" i="2"/>
  <c r="V877" i="2" s="1"/>
  <c r="L645" i="3" s="1"/>
  <c r="Q704" i="2"/>
  <c r="V704" i="2" s="1"/>
  <c r="L365" i="3" s="1"/>
  <c r="Q876" i="2"/>
  <c r="V876" i="2" s="1"/>
  <c r="L614" i="3" s="1"/>
  <c r="V627" i="2"/>
  <c r="L538" i="3" s="1"/>
  <c r="Q637" i="2"/>
  <c r="V637" i="2" s="1"/>
  <c r="L370" i="3" s="1"/>
  <c r="V827" i="2"/>
  <c r="L558" i="3" s="1"/>
  <c r="Q607" i="2"/>
  <c r="V607" i="2" s="1"/>
  <c r="L397" i="3" s="1"/>
  <c r="Q620" i="2"/>
  <c r="V620" i="2" s="1"/>
  <c r="L568" i="3" s="1"/>
  <c r="V793" i="2"/>
  <c r="L606" i="3" s="1"/>
  <c r="V655" i="2"/>
  <c r="L542" i="3" s="1"/>
  <c r="Q796" i="2"/>
  <c r="V796" i="2" s="1"/>
  <c r="L386" i="3" s="1"/>
  <c r="Q816" i="2"/>
  <c r="V816" i="2" s="1"/>
  <c r="L588" i="3" s="1"/>
  <c r="Q274" i="2"/>
  <c r="V274" i="2" s="1"/>
  <c r="L272" i="3" s="1"/>
  <c r="V703" i="2"/>
  <c r="L629" i="3" s="1"/>
  <c r="Q663" i="2"/>
  <c r="V663" i="2" s="1"/>
  <c r="L543" i="3" s="1"/>
  <c r="Q881" i="2"/>
  <c r="V881" i="2" s="1"/>
  <c r="L485" i="3" s="1"/>
  <c r="Q110" i="2"/>
  <c r="V110" i="2" s="1"/>
  <c r="L804" i="3" s="1"/>
  <c r="Q297" i="2"/>
  <c r="V297" i="2" s="1"/>
  <c r="L133" i="3" s="1"/>
  <c r="Q797" i="2"/>
  <c r="V797" i="2" s="1"/>
  <c r="L417" i="3" s="1"/>
  <c r="V873" i="2"/>
  <c r="L502" i="3" s="1"/>
  <c r="Q818" i="2"/>
  <c r="V818" i="2" s="1"/>
  <c r="L639" i="3" s="1"/>
  <c r="Q721" i="2"/>
  <c r="V721" i="2" s="1"/>
  <c r="L549" i="3" s="1"/>
  <c r="Q832" i="2"/>
  <c r="V832" i="2" s="1"/>
  <c r="L389" i="3" s="1"/>
  <c r="Q765" i="2"/>
  <c r="V765" i="2" s="1"/>
  <c r="L446" i="3" s="1"/>
  <c r="Q817" i="2"/>
  <c r="V817" i="2" s="1"/>
  <c r="L608" i="3" s="1"/>
  <c r="Q629" i="2"/>
  <c r="V629" i="2" s="1"/>
  <c r="L620" i="3" s="1"/>
  <c r="V875" i="2"/>
  <c r="L563" i="3" s="1"/>
  <c r="V830" i="2"/>
  <c r="L640" i="3" s="1"/>
  <c r="Q633" i="2"/>
  <c r="V633" i="2" s="1"/>
  <c r="L508" i="3" s="1"/>
  <c r="Q855" i="2"/>
  <c r="V855" i="2" s="1"/>
  <c r="L500" i="3" s="1"/>
  <c r="Q668" i="2"/>
  <c r="V668" i="2" s="1"/>
  <c r="L405" i="3" s="1"/>
  <c r="Q718" i="2"/>
  <c r="V718" i="2" s="1"/>
  <c r="L470" i="3" s="1"/>
  <c r="Q779" i="2"/>
  <c r="V779" i="2" s="1"/>
  <c r="L523" i="3" s="1"/>
  <c r="V853" i="2"/>
  <c r="L454" i="3" s="1"/>
  <c r="Q836" i="2"/>
  <c r="V836" i="2" s="1"/>
  <c r="L498" i="3" s="1"/>
  <c r="Q621" i="2"/>
  <c r="V621" i="2" s="1"/>
  <c r="L619" i="3" s="1"/>
  <c r="Q871" i="2"/>
  <c r="V871" i="2" s="1"/>
  <c r="L456" i="3" s="1"/>
  <c r="V750" i="2"/>
  <c r="L382" i="3" s="1"/>
  <c r="V652" i="2"/>
  <c r="L403" i="3" s="1"/>
  <c r="V641" i="2"/>
  <c r="L540" i="3" s="1"/>
  <c r="V756" i="2"/>
  <c r="L521" i="3" s="1"/>
  <c r="V379" i="2"/>
  <c r="L46" i="3" s="1"/>
  <c r="V603" i="2"/>
  <c r="L535" i="3" s="1"/>
  <c r="V789" i="2"/>
  <c r="L494" i="3" s="1"/>
  <c r="V65" i="2"/>
  <c r="L715" i="3" s="1"/>
  <c r="Q141" i="2"/>
  <c r="V141" i="2" s="1"/>
  <c r="L808" i="3" s="1"/>
  <c r="Q148" i="2"/>
  <c r="V148" i="2" s="1"/>
  <c r="L778" i="3" s="1"/>
  <c r="Q250" i="2"/>
  <c r="V250" i="2" s="1"/>
  <c r="L269" i="3" s="1"/>
  <c r="Q145" i="2"/>
  <c r="V145" i="2" s="1"/>
  <c r="L700" i="3" s="1"/>
  <c r="V105" i="2"/>
  <c r="L660" i="3" s="1"/>
  <c r="V846" i="2"/>
  <c r="L499" i="3" s="1"/>
  <c r="V447" i="2"/>
  <c r="L88" i="3" s="1"/>
  <c r="Q662" i="2"/>
  <c r="V662" i="2" s="1"/>
  <c r="L512" i="3" s="1"/>
  <c r="V246" i="2"/>
  <c r="L77" i="3" s="1"/>
  <c r="Q677" i="2"/>
  <c r="V677" i="2" s="1"/>
  <c r="L406" i="3" s="1"/>
  <c r="V644" i="2"/>
  <c r="L371" i="3" s="1"/>
  <c r="L266" i="3"/>
  <c r="Q683" i="2"/>
  <c r="V683" i="2" s="1"/>
  <c r="L596" i="3" s="1"/>
  <c r="Q738" i="2"/>
  <c r="V738" i="2" s="1"/>
  <c r="L381" i="3" s="1"/>
  <c r="Q883" i="2"/>
  <c r="V883" i="2" s="1"/>
  <c r="L533" i="3" s="1"/>
  <c r="Q678" i="2"/>
  <c r="V678" i="2" s="1"/>
  <c r="L427" i="3" s="1"/>
  <c r="Q158" i="2"/>
  <c r="V158" i="2" s="1"/>
  <c r="L868" i="3" s="1"/>
  <c r="Q716" i="2"/>
  <c r="V716" i="2" s="1"/>
  <c r="L430" i="3" s="1"/>
  <c r="V715" i="2"/>
  <c r="L410" i="3" s="1"/>
  <c r="Q85" i="2"/>
  <c r="V85" i="2" s="1"/>
  <c r="L801" i="3" s="1"/>
  <c r="Q53" i="2"/>
  <c r="V53" i="2" s="1"/>
  <c r="L797" i="3" s="1"/>
  <c r="Q18" i="2"/>
  <c r="V18" i="2" s="1"/>
  <c r="L850" i="3" s="1"/>
  <c r="V70" i="2"/>
  <c r="L857" i="3" s="1"/>
  <c r="V864" i="2"/>
  <c r="L501" i="3" s="1"/>
  <c r="Q261" i="2"/>
  <c r="V261" i="2" s="1"/>
  <c r="L2" i="3" s="1"/>
  <c r="V698" i="2"/>
  <c r="L486" i="3" s="1"/>
  <c r="V795" i="2"/>
  <c r="L360" i="3" s="1"/>
  <c r="Q377" i="2"/>
  <c r="V377" i="2" s="1"/>
  <c r="L3" i="3" s="1"/>
  <c r="V229" i="2"/>
  <c r="L789" i="3" s="1"/>
  <c r="Q159" i="2"/>
  <c r="V159" i="2" s="1"/>
  <c r="L667" i="3" s="1"/>
  <c r="Q625" i="2"/>
  <c r="V625" i="2" s="1"/>
  <c r="L459" i="3" s="1"/>
  <c r="V293" i="2"/>
  <c r="L330" i="3" s="1"/>
  <c r="Q210" i="2"/>
  <c r="V210" i="2" s="1"/>
  <c r="L875" i="3" s="1"/>
  <c r="V680" i="2"/>
  <c r="L514" i="3" s="1"/>
  <c r="Q729" i="2"/>
  <c r="V729" i="2" s="1"/>
  <c r="L443" i="3" s="1"/>
  <c r="Q130" i="2"/>
  <c r="V130" i="2" s="1"/>
  <c r="L723" i="3" s="1"/>
  <c r="V203" i="2"/>
  <c r="L847" i="3" s="1"/>
  <c r="V697" i="2"/>
  <c r="L468" i="3" s="1"/>
  <c r="Q636" i="2"/>
  <c r="V636" i="2" s="1"/>
  <c r="L621" i="3" s="1"/>
  <c r="Q13" i="2"/>
  <c r="V13" i="2" s="1"/>
  <c r="L685" i="3" s="1"/>
  <c r="Q120" i="2"/>
  <c r="V120" i="2" s="1"/>
  <c r="L662" i="3" s="1"/>
  <c r="Q106" i="2"/>
  <c r="V106" i="2" s="1"/>
  <c r="L683" i="3" s="1"/>
  <c r="V675" i="2"/>
  <c r="L626" i="3" s="1"/>
  <c r="Q129" i="2"/>
  <c r="V129" i="2" s="1"/>
  <c r="L698" i="3" s="1"/>
  <c r="Q132" i="2"/>
  <c r="V132" i="2" s="1"/>
  <c r="L776" i="3" s="1"/>
  <c r="Q343" i="2"/>
  <c r="V343" i="2" s="1"/>
  <c r="L43" i="3" s="1"/>
  <c r="Q57" i="2"/>
  <c r="V57" i="2" s="1"/>
  <c r="L714" i="3" s="1"/>
  <c r="V845" i="2"/>
  <c r="L481" i="3" s="1"/>
  <c r="Q826" i="2"/>
  <c r="V826" i="2" s="1"/>
  <c r="L527" i="3" s="1"/>
  <c r="Q835" i="2"/>
  <c r="V835" i="2" s="1"/>
  <c r="L480" i="3" s="1"/>
  <c r="Q702" i="2"/>
  <c r="V702" i="2" s="1"/>
  <c r="L598" i="3" s="1"/>
  <c r="V804" i="2"/>
  <c r="L587" i="3" s="1"/>
  <c r="V9" i="2"/>
  <c r="L791" i="3" s="1"/>
  <c r="Q157" i="2"/>
  <c r="V157" i="2" s="1"/>
  <c r="L841" i="3" s="1"/>
  <c r="Q68" i="2"/>
  <c r="V68" i="2" s="1"/>
  <c r="L799" i="3" s="1"/>
  <c r="Q185" i="2"/>
  <c r="V185" i="2" s="1"/>
  <c r="L730" i="3" s="1"/>
  <c r="Q162" i="2"/>
  <c r="V162" i="2" s="1"/>
  <c r="L757" i="3" s="1"/>
  <c r="Q780" i="2"/>
  <c r="V780" i="2" s="1"/>
  <c r="L554" i="3" s="1"/>
  <c r="Q888" i="2"/>
  <c r="V888" i="2" s="1"/>
  <c r="L441" i="3" s="1"/>
  <c r="V798" i="2"/>
  <c r="L435" i="3" s="1"/>
  <c r="V705" i="2"/>
  <c r="L378" i="3" s="1"/>
  <c r="Q645" i="2"/>
  <c r="V645" i="2" s="1"/>
  <c r="L462" i="3" s="1"/>
  <c r="V763" i="2"/>
  <c r="L414" i="3" s="1"/>
  <c r="Q879" i="2"/>
  <c r="V879" i="2" s="1"/>
  <c r="L440" i="3" s="1"/>
  <c r="V122" i="2"/>
  <c r="L722" i="3" s="1"/>
  <c r="Q154" i="2"/>
  <c r="V154" i="2" s="1"/>
  <c r="L756" i="3" s="1"/>
  <c r="Q848" i="2"/>
  <c r="V848" i="2" s="1"/>
  <c r="L560" i="3" s="1"/>
  <c r="V153" i="2"/>
  <c r="L726" i="3" s="1"/>
  <c r="Q477" i="2"/>
  <c r="V477" i="2" s="1"/>
  <c r="L75" i="3" s="1"/>
  <c r="Q146" i="2"/>
  <c r="V146" i="2" s="1"/>
  <c r="L725" i="3" s="1"/>
  <c r="Q124" i="2"/>
  <c r="V124" i="2" s="1"/>
  <c r="L775" i="3" s="1"/>
  <c r="Q140" i="2"/>
  <c r="V140" i="2" s="1"/>
  <c r="L777" i="3" s="1"/>
  <c r="V331" i="2"/>
  <c r="L17" i="3" s="1"/>
  <c r="Q63" i="2"/>
  <c r="V63" i="2" s="1"/>
  <c r="L655" i="3" s="1"/>
  <c r="Q112" i="2"/>
  <c r="V112" i="2" s="1"/>
  <c r="L862" i="3" s="1"/>
  <c r="V25" i="2"/>
  <c r="L793" i="3" s="1"/>
  <c r="Q21" i="2"/>
  <c r="V21" i="2" s="1"/>
  <c r="L690" i="3" s="1"/>
  <c r="Q390" i="2"/>
  <c r="V390" i="2" s="1"/>
  <c r="L339" i="3" s="1"/>
  <c r="Q59" i="2"/>
  <c r="V59" i="2" s="1"/>
  <c r="L767" i="3" s="1"/>
  <c r="Q193" i="2"/>
  <c r="V193" i="2" s="1"/>
  <c r="L761" i="3" s="1"/>
  <c r="Q88" i="2"/>
  <c r="V88" i="2" s="1"/>
  <c r="L658" i="3" s="1"/>
  <c r="Q753" i="2"/>
  <c r="V753" i="2" s="1"/>
  <c r="L445" i="3" s="1"/>
  <c r="V252" i="2"/>
  <c r="L8" i="3" s="1"/>
  <c r="Q75" i="2"/>
  <c r="V75" i="2" s="1"/>
  <c r="L769" i="3" s="1"/>
  <c r="Q5" i="2"/>
  <c r="V5" i="2" s="1"/>
  <c r="L684" i="3" s="1"/>
  <c r="Q269" i="2"/>
  <c r="V269" i="2" s="1"/>
  <c r="L10" i="3" s="1"/>
  <c r="V54" i="2"/>
  <c r="L828" i="3" s="1"/>
  <c r="Q240" i="2"/>
  <c r="V240" i="2" s="1"/>
  <c r="L172" i="3" s="1"/>
  <c r="V42" i="2"/>
  <c r="L853" i="3" s="1"/>
  <c r="V78" i="2"/>
  <c r="L858" i="3" s="1"/>
  <c r="Q231" i="2"/>
  <c r="V231" i="2" s="1"/>
  <c r="L878" i="3" s="1"/>
  <c r="Q635" i="2"/>
  <c r="V635" i="2" s="1"/>
  <c r="L570" i="3" s="1"/>
  <c r="V782" i="2"/>
  <c r="L605" i="3" s="1"/>
  <c r="V172" i="2"/>
  <c r="L812" i="3" s="1"/>
  <c r="Q30" i="2"/>
  <c r="V30" i="2" s="1"/>
  <c r="L693" i="3" s="1"/>
  <c r="Q17" i="2"/>
  <c r="V17" i="2" s="1"/>
  <c r="L823" i="3" s="1"/>
  <c r="V747" i="2"/>
  <c r="L602" i="3" s="1"/>
  <c r="Q126" i="2"/>
  <c r="V126" i="2" s="1"/>
  <c r="L837" i="3" s="1"/>
  <c r="Q121" i="2"/>
  <c r="V121" i="2" s="1"/>
  <c r="L697" i="3" s="1"/>
  <c r="Q49" i="2"/>
  <c r="V49" i="2" s="1"/>
  <c r="L854" i="3" s="1"/>
  <c r="V760" i="2"/>
  <c r="L634" i="3" s="1"/>
  <c r="Q263" i="2"/>
  <c r="V263" i="2" s="1"/>
  <c r="L101" i="3" s="1"/>
  <c r="Q96" i="2"/>
  <c r="V96" i="2" s="1"/>
  <c r="L860" i="3" s="1"/>
  <c r="Q14" i="2"/>
  <c r="V14" i="2" s="1"/>
  <c r="L689" i="3" s="1"/>
  <c r="Q29" i="2"/>
  <c r="V29" i="2" s="1"/>
  <c r="L650" i="3" s="1"/>
  <c r="V10" i="2"/>
  <c r="L822" i="3" s="1"/>
  <c r="Q33" i="2"/>
  <c r="V33" i="2" s="1"/>
  <c r="L794" i="3" s="1"/>
  <c r="Q278" i="2"/>
  <c r="V278" i="2" s="1"/>
  <c r="L103" i="3" s="1"/>
  <c r="V214" i="2"/>
  <c r="L764" i="3" s="1"/>
  <c r="Q254" i="2"/>
  <c r="V254" i="2" s="1"/>
  <c r="L78" i="3" s="1"/>
  <c r="V722" i="2"/>
  <c r="L580" i="3" s="1"/>
  <c r="V658" i="2"/>
  <c r="L624" i="3" s="1"/>
  <c r="V833" i="2"/>
  <c r="L420" i="3" s="1"/>
  <c r="L259" i="3"/>
  <c r="V776" i="2"/>
  <c r="L447" i="3" s="1"/>
  <c r="V812" i="2"/>
  <c r="L478" i="3" s="1"/>
  <c r="V843" i="2"/>
  <c r="L421" i="3" s="1"/>
  <c r="V69" i="2"/>
  <c r="L830" i="3" s="1"/>
  <c r="Q77" i="2"/>
  <c r="V77" i="2" s="1"/>
  <c r="L831" i="3" s="1"/>
  <c r="Q178" i="2"/>
  <c r="V178" i="2" s="1"/>
  <c r="L759" i="3" s="1"/>
  <c r="V856" i="2"/>
  <c r="L530" i="3" s="1"/>
  <c r="Q862" i="2"/>
  <c r="V862" i="2" s="1"/>
  <c r="L455" i="3" s="1"/>
  <c r="V824" i="2"/>
  <c r="L479" i="3" s="1"/>
  <c r="L265" i="3"/>
  <c r="V713" i="2"/>
  <c r="L630" i="3" s="1"/>
  <c r="Q673" i="2"/>
  <c r="V673" i="2" s="1"/>
  <c r="L575" i="3" s="1"/>
  <c r="V837" i="2"/>
  <c r="L528" i="3" s="1"/>
  <c r="V813" i="2"/>
  <c r="L496" i="3" s="1"/>
  <c r="L264" i="3"/>
  <c r="L260" i="3"/>
  <c r="L258" i="3"/>
  <c r="L261" i="3"/>
  <c r="L262" i="3"/>
  <c r="L263" i="3"/>
</calcChain>
</file>

<file path=xl/sharedStrings.xml><?xml version="1.0" encoding="utf-8"?>
<sst xmlns="http://schemas.openxmlformats.org/spreadsheetml/2006/main" count="47022" uniqueCount="219">
  <si>
    <t>raw_lookup_key</t>
  </si>
  <si>
    <t>scenario</t>
  </si>
  <si>
    <t>source_file</t>
  </si>
  <si>
    <t>variable_name</t>
  </si>
  <si>
    <t>region</t>
  </si>
  <si>
    <t>technology</t>
  </si>
  <si>
    <t>fuel</t>
  </si>
  <si>
    <t>emission</t>
  </si>
  <si>
    <t>timeslice</t>
  </si>
  <si>
    <t>mode</t>
  </si>
  <si>
    <t>storage</t>
  </si>
  <si>
    <t>season</t>
  </si>
  <si>
    <t>daytype</t>
  </si>
  <si>
    <t>bracket</t>
  </si>
  <si>
    <t>year</t>
  </si>
  <si>
    <t>value_pj_per_year</t>
  </si>
  <si>
    <t>PD</t>
  </si>
  <si>
    <t>simulation_328_results_filtered_PD.xlsx</t>
  </si>
  <si>
    <t>AccumulatedNewCapacity</t>
  </si>
  <si>
    <t>RE1</t>
  </si>
  <si>
    <t>PWRBGS</t>
  </si>
  <si>
    <t>PWRCOA</t>
  </si>
  <si>
    <t>PWRDSL</t>
  </si>
  <si>
    <t>PWRFOL</t>
  </si>
  <si>
    <t>PWRHYDDAM</t>
  </si>
  <si>
    <t>PWRHYDROR</t>
  </si>
  <si>
    <t>PWRHYDROR_NDC</t>
  </si>
  <si>
    <t>PWRJET</t>
  </si>
  <si>
    <t>PWRLPG</t>
  </si>
  <si>
    <t>PWRNGS_CC</t>
  </si>
  <si>
    <t>PWRNGS_CS</t>
  </si>
  <si>
    <t>PWRSOLRTP</t>
  </si>
  <si>
    <t>PWRSOLRTP_ZNI</t>
  </si>
  <si>
    <t>PWRSOLUGE</t>
  </si>
  <si>
    <t>PWRSOLUPE</t>
  </si>
  <si>
    <t>PWRSTD</t>
  </si>
  <si>
    <t>PWRWNDONS</t>
  </si>
  <si>
    <t>NewCapacity</t>
  </si>
  <si>
    <t>TotalCapacityAnnual</t>
  </si>
  <si>
    <t>CN</t>
  </si>
  <si>
    <t>simulation_327_results_filtered_CN.xlsx</t>
  </si>
  <si>
    <t>PWRSOLUGE_BAT</t>
  </si>
  <si>
    <t>PWRWNDOFS_FIX</t>
  </si>
  <si>
    <t>PWRWNDOFS_FLO</t>
  </si>
  <si>
    <t>PA</t>
  </si>
  <si>
    <t>simulation_332_results_filtered_PA.xlsx</t>
  </si>
  <si>
    <t>PWRGEO</t>
  </si>
  <si>
    <t>PWRNUC</t>
  </si>
  <si>
    <t>factor_lookup_key</t>
  </si>
  <si>
    <t>mapping_lookup_key</t>
  </si>
  <si>
    <t>employment_variable</t>
  </si>
  <si>
    <t>factor_type</t>
  </si>
  <si>
    <t>job_type</t>
  </si>
  <si>
    <t>capacity_mw</t>
  </si>
  <si>
    <t>employment_technology</t>
  </si>
  <si>
    <t>component_multiplier</t>
  </si>
  <si>
    <t>component_capacity_mw</t>
  </si>
  <si>
    <t>factor_value</t>
  </si>
  <si>
    <t>factor_unit</t>
  </si>
  <si>
    <t>factor_source</t>
  </si>
  <si>
    <t>default_source</t>
  </si>
  <si>
    <t>employment_fte</t>
  </si>
  <si>
    <t>mapping_note</t>
  </si>
  <si>
    <t>EmploymentOMDirect</t>
  </si>
  <si>
    <t>O&amp;M</t>
  </si>
  <si>
    <t>Direct</t>
  </si>
  <si>
    <t>Utility-scale solar PV</t>
  </si>
  <si>
    <t>Small-scale solar parks mapped to the available utility-scale solar PV factor.</t>
  </si>
  <si>
    <t>Onshore wind</t>
  </si>
  <si>
    <t>EmploymentConstructionManufacturingDirect</t>
  </si>
  <si>
    <t>Construction&amp;Manufacturing</t>
  </si>
  <si>
    <t>Rooftop solar PV</t>
  </si>
  <si>
    <t>Hydro (large)</t>
  </si>
  <si>
    <t>Isolated-area rooftop solar mapped to the available rooftop solar factor.</t>
  </si>
  <si>
    <t>Offshore wind (fixed)</t>
  </si>
  <si>
    <t>Hydro (small)</t>
  </si>
  <si>
    <t>Very small run-of-river mapped to the available small hydro factor.</t>
  </si>
  <si>
    <t>One MW of the hybrid technology is treated as one MW of utility-scale solar PV.</t>
  </si>
  <si>
    <t>Battery storage (grid)</t>
  </si>
  <si>
    <t>One MW of the hybrid technology is treated as 0.6 MW of grid battery storage.</t>
  </si>
  <si>
    <t>Offshore wind (floating)</t>
  </si>
  <si>
    <t>Nuclear</t>
  </si>
  <si>
    <t>Geothermal</t>
  </si>
  <si>
    <t>capacity_pj_per_year</t>
  </si>
  <si>
    <t>Biomass power</t>
  </si>
  <si>
    <t>Biogas technology mapped to the available biomass power factor.</t>
  </si>
  <si>
    <t>Coal power</t>
  </si>
  <si>
    <t>PWRCSP</t>
  </si>
  <si>
    <t>Solar thermal (CSP)</t>
  </si>
  <si>
    <t>Oil and diesel</t>
  </si>
  <si>
    <t>PWRFOIL</t>
  </si>
  <si>
    <t>Model CSV spelling for fuel-oil power.</t>
  </si>
  <si>
    <t>PWROIL</t>
  </si>
  <si>
    <t>Documentation spelling for liquid-fuel power.</t>
  </si>
  <si>
    <t>Gas CCGT/OCGT</t>
  </si>
  <si>
    <t>Distributed diesel plants in isolated areas.</t>
  </si>
  <si>
    <t>Source</t>
  </si>
  <si>
    <t>Technology</t>
  </si>
  <si>
    <t>Factor_Type</t>
  </si>
  <si>
    <t>Job_Type</t>
  </si>
  <si>
    <t>Unit</t>
  </si>
  <si>
    <t>Year</t>
  </si>
  <si>
    <t>Value</t>
  </si>
  <si>
    <t>Value_Numeric</t>
  </si>
  <si>
    <t>Method_Applied</t>
  </si>
  <si>
    <t>Mapped_Rutovitz_Tech</t>
  </si>
  <si>
    <t>Rutovitz_2030_Factor</t>
  </si>
  <si>
    <t>Mapped_Catalogue_Tech</t>
  </si>
  <si>
    <t>Learning_Rate</t>
  </si>
  <si>
    <t>Projection_Input</t>
  </si>
  <si>
    <t>Base_Year</t>
  </si>
  <si>
    <t>Projected_Year</t>
  </si>
  <si>
    <t>Projected_Value</t>
  </si>
  <si>
    <t>Interpolation_Method</t>
  </si>
  <si>
    <t>Default_Source</t>
  </si>
  <si>
    <t>Default_Source_Note</t>
  </si>
  <si>
    <t>Rutovitz 2025</t>
  </si>
  <si>
    <t>job-yr/MW</t>
  </si>
  <si>
    <t>Linear interpolation</t>
  </si>
  <si>
    <t>Utility-scale Lithium-ion</t>
  </si>
  <si>
    <t>Construction + Manufacturing; Rutovitz 2025 total manufacturing factor used without local-share scaling</t>
  </si>
  <si>
    <t>Linear interpolation between known datapoints</t>
  </si>
  <si>
    <t>job/MW</t>
  </si>
  <si>
    <t>OPEX 2050/2030=0.8009507801593532</t>
  </si>
  <si>
    <t>CAPEX/OPEX ratio projection</t>
  </si>
  <si>
    <t>Known datapoint</t>
  </si>
  <si>
    <t>Linear interpolation to 2050; held constant after 2050</t>
  </si>
  <si>
    <t>I-JEDI</t>
  </si>
  <si>
    <t>Geothermal large</t>
  </si>
  <si>
    <t>CAPEX 2050/2030=0.9229247031680952</t>
  </si>
  <si>
    <t>OPEX 2050/2030=0.9231678486997636</t>
  </si>
  <si>
    <t>Rutovitz 2015</t>
  </si>
  <si>
    <t>Hydro-large</t>
  </si>
  <si>
    <t>Large Hydro reservoir</t>
  </si>
  <si>
    <t>Construction + Manufacturing; full regional manufacturing assumed by Rutovitz 2015 method</t>
  </si>
  <si>
    <t>OPEX 2050/2030=0.994535519125683</t>
  </si>
  <si>
    <t>Rutovitz Table 9 decline to 2030</t>
  </si>
  <si>
    <t>Rutovitz Table 9 Latin America 2030</t>
  </si>
  <si>
    <t>Hydro-small</t>
  </si>
  <si>
    <t>Small RoR hydro power</t>
  </si>
  <si>
    <t>OPEX 2050/2030=0.993975903614458</t>
  </si>
  <si>
    <t>Nuclear PWR</t>
  </si>
  <si>
    <t>OPEX 2050/2030=0.9416666666666668</t>
  </si>
  <si>
    <t>French QBIS 2023</t>
  </si>
  <si>
    <t>Wind Offshore fixed bottom</t>
  </si>
  <si>
    <t>CAPEX 2050/2030=0.7005449997448997</t>
  </si>
  <si>
    <t>OPEX 2050/2030=0.6975308641975309</t>
  </si>
  <si>
    <t>Wind offshore floating</t>
  </si>
  <si>
    <t>CAPEX 2050/2030=0.5229712702987412</t>
  </si>
  <si>
    <t>OPEX 2050/2030=0.5207373271889401</t>
  </si>
  <si>
    <t>CAPEX/OPEX ratio projection with constant bridge</t>
  </si>
  <si>
    <t>Wind Onshore</t>
  </si>
  <si>
    <t>CAPEX 2050/2030=0.9469531187817524</t>
  </si>
  <si>
    <t>CAPEX 2030/2024=0.94902649104247</t>
  </si>
  <si>
    <t>OPEX 2050/2030=0.946153846153846</t>
  </si>
  <si>
    <t>OPEX 2030/2024=0.9489051094890508</t>
  </si>
  <si>
    <t>JEDI-US</t>
  </si>
  <si>
    <t>Residential PV (rooftop)</t>
  </si>
  <si>
    <t>CAPEX 2050/2030=0.6714972458666703</t>
  </si>
  <si>
    <t>CAPEX 2030/2024=0.6897748795362156</t>
  </si>
  <si>
    <t>OPEX 2050/2030=0.8424657534246576</t>
  </si>
  <si>
    <t>OPEX 2030/2024=0.8588235294117647</t>
  </si>
  <si>
    <t>Utility scale PV(tracking)</t>
  </si>
  <si>
    <t>CAPEX 2050/2030=0.6719044761324922</t>
  </si>
  <si>
    <t>CAPEX 2030/2024=0.6901613393937807</t>
  </si>
  <si>
    <t>OPEX 2050/2030=0.8571428571428571</t>
  </si>
  <si>
    <t>OPEX 2030/2024=0.8513513513513513</t>
  </si>
  <si>
    <t>_merge</t>
  </si>
  <si>
    <t>issue</t>
  </si>
  <si>
    <t>Row Labels</t>
  </si>
  <si>
    <t>Grand Total</t>
  </si>
  <si>
    <t>Column Labels</t>
  </si>
  <si>
    <t>Sum of capacity_mw</t>
  </si>
  <si>
    <t>Sum of employment_fte</t>
  </si>
  <si>
    <t>Employment workbook methodology and row accounting</t>
  </si>
  <si>
    <t>Purpose</t>
  </si>
  <si>
    <t>This workbook concatenates OSeMOSYS results for scenarios PD, CN, and PA and applies direct employment factors for post-processing charts.</t>
  </si>
  <si>
    <t>Source sheets</t>
  </si>
  <si>
    <t>RawResultsLong contains the concatenated model outputs. FactorInputs contains direct employment factors used. TechnologyMapping contains model-to-factor technology mapping. EmploymentResults contains component-level formulas. EmploymentAggregated contains model-technology-level formulas for pivot charts.</t>
  </si>
  <si>
    <t>Capacity variables used</t>
  </si>
  <si>
    <t>Used for Construction&amp;Manufacturing direct employment. Factor unit is FTE-year/MW.</t>
  </si>
  <si>
    <t>Used for O&amp;M direct employment. Factor unit is FTE/MW and represents annual sustained jobs from cumulative new capacity.</t>
  </si>
  <si>
    <t>Not used for employment calculations because it includes residual 2024 capacity. It remains in RawResultsLong for capacity review charts.</t>
  </si>
  <si>
    <t>Filters applied</t>
  </si>
  <si>
    <t>Years</t>
  </si>
  <si>
    <t>Employment calculations keep years &gt;= 2025 only.</t>
  </si>
  <si>
    <t>Blank/zero rows</t>
  </si>
  <si>
    <t>Rows with blank or zero capacity values are not expanded into EmploymentResults.</t>
  </si>
  <si>
    <t>Employment type</t>
  </si>
  <si>
    <t>Only Job_Type = Direct is included. Indirect and induced factors are excluded for now.</t>
  </si>
  <si>
    <t>Technology matching</t>
  </si>
  <si>
    <t>Only mapped technologies with matching direct factors for the year and factor type are included. Diagnostics is empty when no mapping/factor gaps were found.</t>
  </si>
  <si>
    <t>Unit conversion</t>
  </si>
  <si>
    <t>Formula</t>
  </si>
  <si>
    <t>capacity_mw = value_pj_per_year * 1000 / 31.5576</t>
  </si>
  <si>
    <t>Basis</t>
  </si>
  <si>
    <t>1 GW = 31.5576 PJ/year, so PJ/year is converted to MW before multiplying by employment factors.</t>
  </si>
  <si>
    <t>PWRSOLUGE_BAT treatment</t>
  </si>
  <si>
    <t>1.0 MW of Utility-scale solar PV per 1 MW of PWRSOLUGE_BAT.</t>
  </si>
  <si>
    <t>0.6 MW of Battery storage (grid) per 1 MW of PWRSOLUGE_BAT.</t>
  </si>
  <si>
    <t>Aggregation</t>
  </si>
  <si>
    <t>EmploymentResults shows these two components separately. EmploymentAggregated sums them back to one PWRSOLUGE_BAT row per scenario, region, year, and employment variable.</t>
  </si>
  <si>
    <t>Row accounting</t>
  </si>
  <si>
    <t>RawResultsLong total rows</t>
  </si>
  <si>
    <t>5,814 rows = 3 variables x 3 scenarios x 34 years x exported model rows.</t>
  </si>
  <si>
    <t>Rows per variable</t>
  </si>
  <si>
    <t>AccumulatedNewCapacity: 1,938; NewCapacity: 1,938; TotalCapacityAnnual: 1,938.</t>
  </si>
  <si>
    <t>TotalCapacityAnnual excluded from employment</t>
  </si>
  <si>
    <t>1,938 rows excluded because this variable includes residual capacity and is not used for employment factors.</t>
  </si>
  <si>
    <t>Eligible model capacity rows</t>
  </si>
  <si>
    <t>877 rows = 276 nonblank NewCapacity rows from 2025 onward + 601 nonblank AccumulatedNewCapacity rows from 2025 onward.</t>
  </si>
  <si>
    <t>EmploymentAggregated rows</t>
  </si>
  <si>
    <t>877 rows, matching the eligible model capacity rows.</t>
  </si>
  <si>
    <t>EmploymentResults rows</t>
  </si>
  <si>
    <t>887 rows. This is 10 rows higher because 10 eligible PWRSOLUGE_BAT rows are split into two component rows each.</t>
  </si>
  <si>
    <t>Diagnostics rows</t>
  </si>
  <si>
    <t>0 rows in the generated workbook, meaning all eligible mapped technologies found matching direct employment factors.</t>
  </si>
  <si>
    <t>Formula audit</t>
  </si>
  <si>
    <t>EmploymentResults and EmploymentAggregated contain formulas referencing RawResultsLong, TechnologyMapping, and FactorInputs so reviewers can trace and recalculate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</si>
</sst>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[employment_results_PD_CN_PA.xlsx]Pivot_EmploymentFTE!PivotTable5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Pivot_EmploymentFTE!$B$4:$B$5</c:f>
              <c:strCache>
                <c:ptCount val="1"/>
                <c:pt idx="0">
                  <c:v>PWRHYDDAM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Pivot_EmploymentFTE!$B$6:$B$37</c:f>
              <c:numCache>
                <c:formatCode>General</c:formatCode>
                <c:ptCount val="31"/>
                <c:pt idx="3">
                  <c:v>13862.851758940096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1-47D3-AF0B-477F98C777EE}"/>
            </c:ext>
          </c:extLst>
        </c:ser>
        <c:ser>
          <c:idx val="1"/>
          <c:order val="1"/>
          <c:tx>
            <c:strRef>
              <c:f>Pivot_EmploymentFTE!$C$4:$C$5</c:f>
              <c:strCache>
                <c:ptCount val="1"/>
                <c:pt idx="0">
                  <c:v>PWRHYDROR_NDC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Pivot_EmploymentFTE!$C$6:$C$37</c:f>
              <c:numCache>
                <c:formatCode>General</c:formatCode>
                <c:ptCount val="31"/>
                <c:pt idx="15">
                  <c:v>28299.810359476825</c:v>
                </c:pt>
                <c:pt idx="16">
                  <c:v>24958.107743388842</c:v>
                </c:pt>
                <c:pt idx="22">
                  <c:v>28249.272447289335</c:v>
                </c:pt>
                <c:pt idx="23">
                  <c:v>28242.052745548266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1-47D3-AF0B-477F98C777EE}"/>
            </c:ext>
          </c:extLst>
        </c:ser>
        <c:ser>
          <c:idx val="2"/>
          <c:order val="2"/>
          <c:tx>
            <c:strRef>
              <c:f>Pivot_EmploymentFTE!$D$4:$D$5</c:f>
              <c:strCache>
                <c:ptCount val="1"/>
                <c:pt idx="0">
                  <c:v>PWRSOLRTP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Pivot_EmploymentFTE!$D$6:$D$37</c:f>
              <c:numCache>
                <c:formatCode>General</c:formatCode>
                <c:ptCount val="31"/>
                <c:pt idx="1">
                  <c:v>2748.2611921399916</c:v>
                </c:pt>
                <c:pt idx="2">
                  <c:v>3706.1016353047889</c:v>
                </c:pt>
                <c:pt idx="3">
                  <c:v>3828.6378737340383</c:v>
                </c:pt>
                <c:pt idx="4">
                  <c:v>3905.6305971694042</c:v>
                </c:pt>
                <c:pt idx="5">
                  <c:v>3690.375167351478</c:v>
                </c:pt>
                <c:pt idx="6">
                  <c:v>3535.5068041642548</c:v>
                </c:pt>
                <c:pt idx="7">
                  <c:v>3113.6356192848821</c:v>
                </c:pt>
                <c:pt idx="8">
                  <c:v>3085.9560259742184</c:v>
                </c:pt>
                <c:pt idx="9">
                  <c:v>2543.0757867102061</c:v>
                </c:pt>
                <c:pt idx="10">
                  <c:v>2206.4239597035989</c:v>
                </c:pt>
                <c:pt idx="11">
                  <c:v>2201.8615487720358</c:v>
                </c:pt>
                <c:pt idx="12">
                  <c:v>1831.5258486392659</c:v>
                </c:pt>
                <c:pt idx="13">
                  <c:v>1363.6469446053247</c:v>
                </c:pt>
                <c:pt idx="14">
                  <c:v>1045.9636533102771</c:v>
                </c:pt>
                <c:pt idx="15">
                  <c:v>836.66019250485783</c:v>
                </c:pt>
                <c:pt idx="16">
                  <c:v>688.24737574076607</c:v>
                </c:pt>
                <c:pt idx="17">
                  <c:v>751.95524368513838</c:v>
                </c:pt>
                <c:pt idx="18">
                  <c:v>487.47176010920981</c:v>
                </c:pt>
                <c:pt idx="19">
                  <c:v>438.04021709924706</c:v>
                </c:pt>
                <c:pt idx="20">
                  <c:v>404.11204882845021</c:v>
                </c:pt>
                <c:pt idx="21">
                  <c:v>381.77693721315939</c:v>
                </c:pt>
                <c:pt idx="22">
                  <c:v>373.27075502545824</c:v>
                </c:pt>
                <c:pt idx="23">
                  <c:v>182.38228641887849</c:v>
                </c:pt>
                <c:pt idx="24">
                  <c:v>178.12919532502787</c:v>
                </c:pt>
                <c:pt idx="25">
                  <c:v>173.87610423117727</c:v>
                </c:pt>
                <c:pt idx="26">
                  <c:v>173.87610423117727</c:v>
                </c:pt>
                <c:pt idx="27">
                  <c:v>173.87610423117727</c:v>
                </c:pt>
                <c:pt idx="28">
                  <c:v>173.87610423117727</c:v>
                </c:pt>
                <c:pt idx="29">
                  <c:v>173.87610423117727</c:v>
                </c:pt>
                <c:pt idx="30">
                  <c:v>173.87610423117727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81-47D3-AF0B-477F98C777EE}"/>
            </c:ext>
          </c:extLst>
        </c:ser>
        <c:ser>
          <c:idx val="3"/>
          <c:order val="3"/>
          <c:tx>
            <c:strRef>
              <c:f>Pivot_EmploymentFTE!$E$4:$E$5</c:f>
              <c:strCache>
                <c:ptCount val="1"/>
                <c:pt idx="0">
                  <c:v>PWRSOLRTP_ZNI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Pivot_EmploymentFTE!$E$6:$E$37</c:f>
              <c:numCache>
                <c:formatCode>General</c:formatCode>
                <c:ptCount val="31"/>
                <c:pt idx="6">
                  <c:v>114.91185816921863</c:v>
                </c:pt>
                <c:pt idx="7">
                  <c:v>7.6484736191444931</c:v>
                </c:pt>
                <c:pt idx="8">
                  <c:v>7.5794707018456062</c:v>
                </c:pt>
                <c:pt idx="9">
                  <c:v>7.493911966956067</c:v>
                </c:pt>
                <c:pt idx="10">
                  <c:v>7.4268768576649</c:v>
                </c:pt>
                <c:pt idx="11">
                  <c:v>7.4304026326586605</c:v>
                </c:pt>
                <c:pt idx="12">
                  <c:v>7.4236419435105603</c:v>
                </c:pt>
                <c:pt idx="13">
                  <c:v>7.4237705730701586</c:v>
                </c:pt>
                <c:pt idx="14">
                  <c:v>7.4217379570838027</c:v>
                </c:pt>
                <c:pt idx="15">
                  <c:v>7.4189560085716275</c:v>
                </c:pt>
                <c:pt idx="16">
                  <c:v>7.4159774596466175</c:v>
                </c:pt>
                <c:pt idx="17">
                  <c:v>7.4044244584057353</c:v>
                </c:pt>
                <c:pt idx="18">
                  <c:v>7.3888237618331845</c:v>
                </c:pt>
                <c:pt idx="19">
                  <c:v>7.3644226756570168</c:v>
                </c:pt>
                <c:pt idx="20">
                  <c:v>8.6689238686564174</c:v>
                </c:pt>
                <c:pt idx="21">
                  <c:v>7.172893757115304</c:v>
                </c:pt>
                <c:pt idx="22">
                  <c:v>6.1475266780567308</c:v>
                </c:pt>
                <c:pt idx="23">
                  <c:v>8.1074245285165496</c:v>
                </c:pt>
                <c:pt idx="24">
                  <c:v>6.3008047008625798</c:v>
                </c:pt>
                <c:pt idx="28">
                  <c:v>3.0209519037381978</c:v>
                </c:pt>
                <c:pt idx="29">
                  <c:v>3.086102160658788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81-47D3-AF0B-477F98C777EE}"/>
            </c:ext>
          </c:extLst>
        </c:ser>
        <c:ser>
          <c:idx val="4"/>
          <c:order val="4"/>
          <c:tx>
            <c:strRef>
              <c:f>Pivot_EmploymentFTE!$F$4:$F$5</c:f>
              <c:strCache>
                <c:ptCount val="1"/>
                <c:pt idx="0">
                  <c:v>PWRSOLUGE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Pivot_EmploymentFTE!$F$6:$F$37</c:f>
              <c:numCache>
                <c:formatCode>General</c:formatCode>
                <c:ptCount val="31"/>
                <c:pt idx="0">
                  <c:v>2012.5687818907716</c:v>
                </c:pt>
                <c:pt idx="1">
                  <c:v>15804.570695439714</c:v>
                </c:pt>
                <c:pt idx="2">
                  <c:v>19491.576256281118</c:v>
                </c:pt>
                <c:pt idx="5">
                  <c:v>1719.0497071337441</c:v>
                </c:pt>
                <c:pt idx="14">
                  <c:v>8792.5795564451582</c:v>
                </c:pt>
                <c:pt idx="15">
                  <c:v>8623.3543405191267</c:v>
                </c:pt>
                <c:pt idx="16">
                  <c:v>8454.1291245930952</c:v>
                </c:pt>
                <c:pt idx="17">
                  <c:v>8284.9039086670655</c:v>
                </c:pt>
                <c:pt idx="18">
                  <c:v>591.33340184297037</c:v>
                </c:pt>
                <c:pt idx="19">
                  <c:v>1250.7011819982899</c:v>
                </c:pt>
                <c:pt idx="20">
                  <c:v>6142.3050439473564</c:v>
                </c:pt>
                <c:pt idx="21">
                  <c:v>7608.0030449479527</c:v>
                </c:pt>
                <c:pt idx="22">
                  <c:v>7438.7778290219212</c:v>
                </c:pt>
                <c:pt idx="23">
                  <c:v>7269.5526130958906</c:v>
                </c:pt>
                <c:pt idx="27">
                  <c:v>6931.1021812438312</c:v>
                </c:pt>
                <c:pt idx="28">
                  <c:v>6595.9979556219014</c:v>
                </c:pt>
                <c:pt idx="29">
                  <c:v>1522.9252602010056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81-47D3-AF0B-477F98C777EE}"/>
            </c:ext>
          </c:extLst>
        </c:ser>
        <c:ser>
          <c:idx val="5"/>
          <c:order val="5"/>
          <c:tx>
            <c:strRef>
              <c:f>Pivot_EmploymentFTE!$G$4:$G$5</c:f>
              <c:strCache>
                <c:ptCount val="1"/>
                <c:pt idx="0">
                  <c:v>PWRSOLUGE_BAT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Pivot_EmploymentFTE!$G$6:$G$37</c:f>
              <c:numCache>
                <c:formatCode>General</c:formatCode>
                <c:ptCount val="31"/>
                <c:pt idx="22">
                  <c:v>5046.6605302741946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81-47D3-AF0B-477F98C777EE}"/>
            </c:ext>
          </c:extLst>
        </c:ser>
        <c:ser>
          <c:idx val="6"/>
          <c:order val="6"/>
          <c:tx>
            <c:strRef>
              <c:f>Pivot_EmploymentFTE!$H$4:$H$5</c:f>
              <c:strCache>
                <c:ptCount val="1"/>
                <c:pt idx="0">
                  <c:v>PWRSOLUPE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Pivot_EmploymentFTE!$H$6:$H$37</c:f>
              <c:numCache>
                <c:formatCode>General</c:formatCode>
                <c:ptCount val="31"/>
                <c:pt idx="0">
                  <c:v>1591.1576660582311</c:v>
                </c:pt>
                <c:pt idx="1">
                  <c:v>953.18804267747294</c:v>
                </c:pt>
                <c:pt idx="2">
                  <c:v>926.16561044964271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81-47D3-AF0B-477F98C777EE}"/>
            </c:ext>
          </c:extLst>
        </c:ser>
        <c:ser>
          <c:idx val="7"/>
          <c:order val="7"/>
          <c:tx>
            <c:strRef>
              <c:f>Pivot_EmploymentFTE!$I$4:$I$5</c:f>
              <c:strCache>
                <c:ptCount val="1"/>
                <c:pt idx="0">
                  <c:v>PWRWNDOFS_FIX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Pivot_EmploymentFTE!$I$6:$I$37</c:f>
              <c:numCache>
                <c:formatCode>General</c:formatCode>
                <c:ptCount val="31"/>
                <c:pt idx="11">
                  <c:v>1799.067821179714</c:v>
                </c:pt>
                <c:pt idx="12">
                  <c:v>3135.3924648073421</c:v>
                </c:pt>
                <c:pt idx="13">
                  <c:v>6305.6352781857559</c:v>
                </c:pt>
                <c:pt idx="14">
                  <c:v>6198.3746896716766</c:v>
                </c:pt>
                <c:pt idx="15">
                  <c:v>6091.1141011575974</c:v>
                </c:pt>
                <c:pt idx="16">
                  <c:v>5983.8535126435181</c:v>
                </c:pt>
                <c:pt idx="17">
                  <c:v>5876.5929241294389</c:v>
                </c:pt>
                <c:pt idx="18">
                  <c:v>5769.3323356003684</c:v>
                </c:pt>
                <c:pt idx="19">
                  <c:v>1067.8179006969883</c:v>
                </c:pt>
                <c:pt idx="20">
                  <c:v>5554.8111585722108</c:v>
                </c:pt>
                <c:pt idx="21">
                  <c:v>5447.5505700581316</c:v>
                </c:pt>
                <c:pt idx="22">
                  <c:v>5340.2899815440524</c:v>
                </c:pt>
                <c:pt idx="23">
                  <c:v>5233.029393029974</c:v>
                </c:pt>
                <c:pt idx="24">
                  <c:v>3861.7466609432913</c:v>
                </c:pt>
                <c:pt idx="27">
                  <c:v>1241.8130357187842</c:v>
                </c:pt>
                <c:pt idx="28">
                  <c:v>2374.9099539288241</c:v>
                </c:pt>
                <c:pt idx="29">
                  <c:v>2245.7810893735573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81-47D3-AF0B-477F98C777EE}"/>
            </c:ext>
          </c:extLst>
        </c:ser>
        <c:ser>
          <c:idx val="8"/>
          <c:order val="8"/>
          <c:tx>
            <c:strRef>
              <c:f>Pivot_EmploymentFTE!$J$4:$J$5</c:f>
              <c:strCache>
                <c:ptCount val="1"/>
                <c:pt idx="0">
                  <c:v>PWRWNDOFS_FLO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Pivot_EmploymentFTE!$J$6:$J$37</c:f>
              <c:numCache>
                <c:formatCode>General</c:formatCode>
                <c:ptCount val="31"/>
                <c:pt idx="22">
                  <c:v>632.62434210369827</c:v>
                </c:pt>
                <c:pt idx="23">
                  <c:v>1295.7413925374262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81-47D3-AF0B-477F98C777EE}"/>
            </c:ext>
          </c:extLst>
        </c:ser>
        <c:ser>
          <c:idx val="9"/>
          <c:order val="9"/>
          <c:tx>
            <c:strRef>
              <c:f>Pivot_EmploymentFTE!$K$4:$K$5</c:f>
              <c:strCache>
                <c:ptCount val="1"/>
                <c:pt idx="0">
                  <c:v>PWRWNDONS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Pivot_EmploymentFTE!$A$6:$A$37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Pivot_EmploymentFTE!$K$6:$K$37</c:f>
              <c:numCache>
                <c:formatCode>General</c:formatCode>
                <c:ptCount val="31"/>
                <c:pt idx="0">
                  <c:v>34.978894298950074</c:v>
                </c:pt>
                <c:pt idx="1">
                  <c:v>3191.044180690576</c:v>
                </c:pt>
                <c:pt idx="2">
                  <c:v>3893.9582329152408</c:v>
                </c:pt>
                <c:pt idx="3">
                  <c:v>1419.7743781904835</c:v>
                </c:pt>
                <c:pt idx="4">
                  <c:v>2088.9435063594824</c:v>
                </c:pt>
                <c:pt idx="5">
                  <c:v>2048.6156367230715</c:v>
                </c:pt>
                <c:pt idx="6">
                  <c:v>2043.1820032059472</c:v>
                </c:pt>
                <c:pt idx="7">
                  <c:v>2037.748369688823</c:v>
                </c:pt>
                <c:pt idx="8">
                  <c:v>2032.314736171699</c:v>
                </c:pt>
                <c:pt idx="9">
                  <c:v>2026.8811026545745</c:v>
                </c:pt>
                <c:pt idx="10">
                  <c:v>10173.902102648166</c:v>
                </c:pt>
                <c:pt idx="11">
                  <c:v>10146.554740765705</c:v>
                </c:pt>
                <c:pt idx="12">
                  <c:v>10119.207378883242</c:v>
                </c:pt>
                <c:pt idx="13">
                  <c:v>10091.860017000779</c:v>
                </c:pt>
                <c:pt idx="14">
                  <c:v>10064.512655118317</c:v>
                </c:pt>
                <c:pt idx="15">
                  <c:v>10037.165293235854</c:v>
                </c:pt>
                <c:pt idx="16">
                  <c:v>10009.817931353393</c:v>
                </c:pt>
                <c:pt idx="17">
                  <c:v>9982.4705694709282</c:v>
                </c:pt>
                <c:pt idx="18">
                  <c:v>9955.1232075884673</c:v>
                </c:pt>
                <c:pt idx="19">
                  <c:v>9927.7758457060045</c:v>
                </c:pt>
                <c:pt idx="20">
                  <c:v>9900.4284838235417</c:v>
                </c:pt>
                <c:pt idx="21">
                  <c:v>9873.0811219410789</c:v>
                </c:pt>
                <c:pt idx="22">
                  <c:v>9845.7337600586161</c:v>
                </c:pt>
                <c:pt idx="23">
                  <c:v>9818.3863981761551</c:v>
                </c:pt>
                <c:pt idx="24">
                  <c:v>9791.0390362936905</c:v>
                </c:pt>
                <c:pt idx="26">
                  <c:v>9763.6916744112277</c:v>
                </c:pt>
                <c:pt idx="27">
                  <c:v>9763.6916744112277</c:v>
                </c:pt>
                <c:pt idx="28">
                  <c:v>9763.6916744112277</c:v>
                </c:pt>
                <c:pt idx="29">
                  <c:v>9763.6916744112277</c:v>
                </c:pt>
                <c:pt idx="30">
                  <c:v>2360.7773483352757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81-47D3-AF0B-477F98C77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21461535"/>
        <c:axId val="1021465375"/>
      </c:barChart>
      <c:catAx>
        <c:axId val="10214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65375"/>
        <c:crosses val="autoZero"/>
        <c:auto val="1"/>
        <c:lblAlgn val="ctr"/>
        <c:lblOffset val="100"/>
        <c:noMultiLvlLbl val="0"/>
      </c:catAx>
      <c:valAx>
        <c:axId val="10214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[employment_results_PD_CN_PA.xlsx]Pivot_CapacityMW!PivotTable5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Pivot_CapacityMW!$B$4:$B$5</c:f>
              <c:strCache>
                <c:ptCount val="1"/>
                <c:pt idx="0">
                  <c:v>PWRHYDDAM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Pivot_CapacityMW!$B$6:$B$37</c:f>
              <c:numCache>
                <c:formatCode>General</c:formatCode>
                <c:ptCount val="31"/>
                <c:pt idx="3">
                  <c:v>1199.0772428828554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D-4679-A92F-1ADDB6DE23F2}"/>
            </c:ext>
          </c:extLst>
        </c:ser>
        <c:ser>
          <c:idx val="1"/>
          <c:order val="1"/>
          <c:tx>
            <c:strRef>
              <c:f>Pivot_CapacityMW!$C$4:$C$5</c:f>
              <c:strCache>
                <c:ptCount val="1"/>
                <c:pt idx="0">
                  <c:v>PWRHYDROR_NDC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Pivot_CapacityMW!$C$6:$C$37</c:f>
              <c:numCache>
                <c:formatCode>General</c:formatCode>
                <c:ptCount val="31"/>
                <c:pt idx="15">
                  <c:v>993.10467209166723</c:v>
                </c:pt>
                <c:pt idx="16">
                  <c:v>876.06022744155064</c:v>
                </c:pt>
                <c:pt idx="22">
                  <c:v>993.10467209166723</c:v>
                </c:pt>
                <c:pt idx="23">
                  <c:v>993.10467209166723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D-4679-A92F-1ADDB6DE23F2}"/>
            </c:ext>
          </c:extLst>
        </c:ser>
        <c:ser>
          <c:idx val="2"/>
          <c:order val="2"/>
          <c:tx>
            <c:strRef>
              <c:f>Pivot_CapacityMW!$D$4:$D$5</c:f>
              <c:strCache>
                <c:ptCount val="1"/>
                <c:pt idx="0">
                  <c:v>PWRSOLRTP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Pivot_CapacityMW!$D$6:$D$37</c:f>
              <c:numCache>
                <c:formatCode>General</c:formatCode>
                <c:ptCount val="31"/>
                <c:pt idx="1">
                  <c:v>328.60547063148022</c:v>
                </c:pt>
                <c:pt idx="2">
                  <c:v>470.25122316018962</c:v>
                </c:pt>
                <c:pt idx="3">
                  <c:v>517.46647400309269</c:v>
                </c:pt>
                <c:pt idx="4">
                  <c:v>564.68172484599586</c:v>
                </c:pt>
                <c:pt idx="5">
                  <c:v>573.55438943392403</c:v>
                </c:pt>
                <c:pt idx="6">
                  <c:v>558.66098816133035</c:v>
                </c:pt>
                <c:pt idx="7">
                  <c:v>500.35490658351711</c:v>
                </c:pt>
                <c:pt idx="8">
                  <c:v>504.4743579993409</c:v>
                </c:pt>
                <c:pt idx="9">
                  <c:v>423.03597231728645</c:v>
                </c:pt>
                <c:pt idx="10">
                  <c:v>373.60255532740132</c:v>
                </c:pt>
                <c:pt idx="11">
                  <c:v>379.62329201206683</c:v>
                </c:pt>
                <c:pt idx="12">
                  <c:v>321.63409131239382</c:v>
                </c:pt>
                <c:pt idx="13">
                  <c:v>243.9982761680229</c:v>
                </c:pt>
                <c:pt idx="14">
                  <c:v>190.76228864045427</c:v>
                </c:pt>
                <c:pt idx="15">
                  <c:v>155.58851116688214</c:v>
                </c:pt>
                <c:pt idx="16">
                  <c:v>130.55492179379928</c:v>
                </c:pt>
                <c:pt idx="17">
                  <c:v>145.55781131096407</c:v>
                </c:pt>
                <c:pt idx="18">
                  <c:v>96.33178695464801</c:v>
                </c:pt>
                <c:pt idx="19">
                  <c:v>88.409765001140769</c:v>
                </c:pt>
                <c:pt idx="20">
                  <c:v>83.339670950896135</c:v>
                </c:pt>
                <c:pt idx="21">
                  <c:v>80.487743047633529</c:v>
                </c:pt>
                <c:pt idx="22">
                  <c:v>80.487743047633529</c:v>
                </c:pt>
                <c:pt idx="23">
                  <c:v>40.243871523816765</c:v>
                </c:pt>
                <c:pt idx="24">
                  <c:v>40.243871523816765</c:v>
                </c:pt>
                <c:pt idx="25">
                  <c:v>40.243871523816765</c:v>
                </c:pt>
                <c:pt idx="26">
                  <c:v>40.243871523816765</c:v>
                </c:pt>
                <c:pt idx="27">
                  <c:v>40.243871523816765</c:v>
                </c:pt>
                <c:pt idx="28">
                  <c:v>40.243871523816765</c:v>
                </c:pt>
                <c:pt idx="29">
                  <c:v>40.243871523816765</c:v>
                </c:pt>
                <c:pt idx="30">
                  <c:v>40.243871523816765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D-4679-A92F-1ADDB6DE23F2}"/>
            </c:ext>
          </c:extLst>
        </c:ser>
        <c:ser>
          <c:idx val="3"/>
          <c:order val="3"/>
          <c:tx>
            <c:strRef>
              <c:f>Pivot_CapacityMW!$E$4:$E$5</c:f>
              <c:strCache>
                <c:ptCount val="1"/>
                <c:pt idx="0">
                  <c:v>PWRSOLRTP_ZNI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Pivot_CapacityMW!$E$6:$E$37</c:f>
              <c:numCache>
                <c:formatCode>General</c:formatCode>
                <c:ptCount val="31"/>
                <c:pt idx="6">
                  <c:v>18.157728380173648</c:v>
                </c:pt>
                <c:pt idx="7">
                  <c:v>1.229094143036713</c:v>
                </c:pt>
                <c:pt idx="8">
                  <c:v>1.2390483156937637</c:v>
                </c:pt>
                <c:pt idx="9">
                  <c:v>1.2465984505725094</c:v>
                </c:pt>
                <c:pt idx="10">
                  <c:v>1.2575553124877632</c:v>
                </c:pt>
                <c:pt idx="11">
                  <c:v>1.2810768733202709</c:v>
                </c:pt>
                <c:pt idx="12">
                  <c:v>1.3036651011524265</c:v>
                </c:pt>
                <c:pt idx="13">
                  <c:v>1.3283403227367456</c:v>
                </c:pt>
                <c:pt idx="14">
                  <c:v>1.3535725776917156</c:v>
                </c:pt>
                <c:pt idx="15">
                  <c:v>1.3796572732000179</c:v>
                </c:pt>
                <c:pt idx="16">
                  <c:v>1.4067505251678865</c:v>
                </c:pt>
                <c:pt idx="17">
                  <c:v>1.4332925094065814</c:v>
                </c:pt>
                <c:pt idx="18">
                  <c:v>1.4601432425765406</c:v>
                </c:pt>
                <c:pt idx="19">
                  <c:v>1.4863632440771803</c:v>
                </c:pt>
                <c:pt idx="20">
                  <c:v>1.7877845137423494</c:v>
                </c:pt>
                <c:pt idx="21">
                  <c:v>1.5122181917142044</c:v>
                </c:pt>
                <c:pt idx="22">
                  <c:v>1.3255808042292394</c:v>
                </c:pt>
                <c:pt idx="23">
                  <c:v>1.7889574559083274</c:v>
                </c:pt>
                <c:pt idx="24">
                  <c:v>1.4235104717982576</c:v>
                </c:pt>
                <c:pt idx="28">
                  <c:v>0.69920361300498035</c:v>
                </c:pt>
                <c:pt idx="29">
                  <c:v>0.71428273259331632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D-4679-A92F-1ADDB6DE23F2}"/>
            </c:ext>
          </c:extLst>
        </c:ser>
        <c:ser>
          <c:idx val="4"/>
          <c:order val="4"/>
          <c:tx>
            <c:strRef>
              <c:f>Pivot_CapacityMW!$F$4:$F$5</c:f>
              <c:strCache>
                <c:ptCount val="1"/>
                <c:pt idx="0">
                  <c:v>PWRSOLUGE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Pivot_CapacityMW!$F$6:$F$37</c:f>
              <c:numCache>
                <c:formatCode>General</c:formatCode>
                <c:ptCount val="31"/>
                <c:pt idx="0">
                  <c:v>212.85420944558521</c:v>
                </c:pt>
                <c:pt idx="1">
                  <c:v>1767.7891854893908</c:v>
                </c:pt>
                <c:pt idx="2">
                  <c:v>2313.4154688569474</c:v>
                </c:pt>
                <c:pt idx="5">
                  <c:v>249.82888432580424</c:v>
                </c:pt>
                <c:pt idx="14">
                  <c:v>1499.1634344817096</c:v>
                </c:pt>
                <c:pt idx="15">
                  <c:v>1499.1634344817096</c:v>
                </c:pt>
                <c:pt idx="16">
                  <c:v>1499.1634344817096</c:v>
                </c:pt>
                <c:pt idx="17">
                  <c:v>1499.1634344817096</c:v>
                </c:pt>
                <c:pt idx="18">
                  <c:v>109.23367560418374</c:v>
                </c:pt>
                <c:pt idx="19">
                  <c:v>235.95500621572955</c:v>
                </c:pt>
                <c:pt idx="20">
                  <c:v>1184.0103975916534</c:v>
                </c:pt>
                <c:pt idx="21">
                  <c:v>1499.1634344817096</c:v>
                </c:pt>
                <c:pt idx="22">
                  <c:v>1499.1634344817096</c:v>
                </c:pt>
                <c:pt idx="23">
                  <c:v>1499.1634344817096</c:v>
                </c:pt>
                <c:pt idx="27">
                  <c:v>1499.1634344817096</c:v>
                </c:pt>
                <c:pt idx="28">
                  <c:v>1426.6820327282946</c:v>
                </c:pt>
                <c:pt idx="29">
                  <c:v>329.40127036652217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CD-4679-A92F-1ADDB6DE23F2}"/>
            </c:ext>
          </c:extLst>
        </c:ser>
        <c:ser>
          <c:idx val="5"/>
          <c:order val="5"/>
          <c:tx>
            <c:strRef>
              <c:f>Pivot_CapacityMW!$G$4:$G$5</c:f>
              <c:strCache>
                <c:ptCount val="1"/>
                <c:pt idx="0">
                  <c:v>PWRSOLUGE_BAT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Pivot_CapacityMW!$G$6:$G$37</c:f>
              <c:numCache>
                <c:formatCode>General</c:formatCode>
                <c:ptCount val="31"/>
                <c:pt idx="22">
                  <c:v>971.87689144619719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CD-4679-A92F-1ADDB6DE23F2}"/>
            </c:ext>
          </c:extLst>
        </c:ser>
        <c:ser>
          <c:idx val="6"/>
          <c:order val="6"/>
          <c:tx>
            <c:strRef>
              <c:f>Pivot_CapacityMW!$H$4:$H$5</c:f>
              <c:strCache>
                <c:ptCount val="1"/>
                <c:pt idx="0">
                  <c:v>PWRSOLUPE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Pivot_CapacityMW!$H$6:$H$37</c:f>
              <c:numCache>
                <c:formatCode>General</c:formatCode>
                <c:ptCount val="31"/>
                <c:pt idx="0">
                  <c:v>168.28473648186039</c:v>
                </c:pt>
                <c:pt idx="1">
                  <c:v>106.61697467487936</c:v>
                </c:pt>
                <c:pt idx="2">
                  <c:v>109.92470910335386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CD-4679-A92F-1ADDB6DE23F2}"/>
            </c:ext>
          </c:extLst>
        </c:ser>
        <c:ser>
          <c:idx val="7"/>
          <c:order val="7"/>
          <c:tx>
            <c:strRef>
              <c:f>Pivot_CapacityMW!$I$4:$I$5</c:f>
              <c:strCache>
                <c:ptCount val="1"/>
                <c:pt idx="0">
                  <c:v>PWRWNDOFS_FIX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Pivot_CapacityMW!$I$6:$I$37</c:f>
              <c:numCache>
                <c:formatCode>General</c:formatCode>
                <c:ptCount val="31"/>
                <c:pt idx="11">
                  <c:v>413.6552109117477</c:v>
                </c:pt>
                <c:pt idx="12">
                  <c:v>732.97085025139711</c:v>
                </c:pt>
                <c:pt idx="13">
                  <c:v>1499.1634344817096</c:v>
                </c:pt>
                <c:pt idx="14">
                  <c:v>1499.1634344817096</c:v>
                </c:pt>
                <c:pt idx="15">
                  <c:v>1499.1634344817096</c:v>
                </c:pt>
                <c:pt idx="16">
                  <c:v>1499.1634344817096</c:v>
                </c:pt>
                <c:pt idx="17">
                  <c:v>1499.1634344817096</c:v>
                </c:pt>
                <c:pt idx="18">
                  <c:v>1499.1634344817096</c:v>
                </c:pt>
                <c:pt idx="19">
                  <c:v>282.72929466740464</c:v>
                </c:pt>
                <c:pt idx="20">
                  <c:v>1499.1634344817096</c:v>
                </c:pt>
                <c:pt idx="21">
                  <c:v>1499.1634344817096</c:v>
                </c:pt>
                <c:pt idx="22">
                  <c:v>1499.1634344817096</c:v>
                </c:pt>
                <c:pt idx="23">
                  <c:v>1499.1634344817096</c:v>
                </c:pt>
                <c:pt idx="24">
                  <c:v>1129.4675214836836</c:v>
                </c:pt>
                <c:pt idx="27">
                  <c:v>370.96296658074817</c:v>
                </c:pt>
                <c:pt idx="28">
                  <c:v>709.44950369412368</c:v>
                </c:pt>
                <c:pt idx="29">
                  <c:v>670.87523744888426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CD-4679-A92F-1ADDB6DE23F2}"/>
            </c:ext>
          </c:extLst>
        </c:ser>
        <c:ser>
          <c:idx val="8"/>
          <c:order val="8"/>
          <c:tx>
            <c:strRef>
              <c:f>Pivot_CapacityMW!$J$4:$J$5</c:f>
              <c:strCache>
                <c:ptCount val="1"/>
                <c:pt idx="0">
                  <c:v>PWRWNDOFS_FLO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Pivot_CapacityMW!$J$6:$J$37</c:f>
              <c:numCache>
                <c:formatCode>General</c:formatCode>
                <c:ptCount val="31"/>
                <c:pt idx="22">
                  <c:v>73.547320246191489</c:v>
                </c:pt>
                <c:pt idx="23">
                  <c:v>156.93565955927593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CD-4679-A92F-1ADDB6DE23F2}"/>
            </c:ext>
          </c:extLst>
        </c:ser>
        <c:ser>
          <c:idx val="9"/>
          <c:order val="9"/>
          <c:tx>
            <c:strRef>
              <c:f>Pivot_CapacityMW!$K$4:$K$5</c:f>
              <c:strCache>
                <c:ptCount val="1"/>
                <c:pt idx="0">
                  <c:v>PWRWNDONS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Pivot_CapacityMW!$A$6:$A$37</c:f>
              <c:strCach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strCache>
            </c:strRef>
          </c:cat>
          <c:val>
            <c:numRef>
              <c:f>Pivot_CapacityMW!$K$6:$K$37</c:f>
              <c:numCache>
                <c:formatCode>General</c:formatCode>
                <c:ptCount val="31"/>
                <c:pt idx="0">
                  <c:v>4.8680290733678859</c:v>
                </c:pt>
                <c:pt idx="1">
                  <c:v>447.93720593929419</c:v>
                </c:pt>
                <c:pt idx="2">
                  <c:v>551.37272796410377</c:v>
                </c:pt>
                <c:pt idx="3">
                  <c:v>202.80376200978529</c:v>
                </c:pt>
                <c:pt idx="4">
                  <c:v>301.03683423327504</c:v>
                </c:pt>
                <c:pt idx="5">
                  <c:v>297.86802545187214</c:v>
                </c:pt>
                <c:pt idx="6">
                  <c:v>297.86802545187214</c:v>
                </c:pt>
                <c:pt idx="7">
                  <c:v>297.86802545187214</c:v>
                </c:pt>
                <c:pt idx="8">
                  <c:v>297.86802545187214</c:v>
                </c:pt>
                <c:pt idx="9">
                  <c:v>297.86802545187214</c:v>
                </c:pt>
                <c:pt idx="10">
                  <c:v>1499.1634344817096</c:v>
                </c:pt>
                <c:pt idx="11">
                  <c:v>1499.1634344817096</c:v>
                </c:pt>
                <c:pt idx="12">
                  <c:v>1499.1634344817096</c:v>
                </c:pt>
                <c:pt idx="13">
                  <c:v>1499.1634344817096</c:v>
                </c:pt>
                <c:pt idx="14">
                  <c:v>1499.1634344817096</c:v>
                </c:pt>
                <c:pt idx="15">
                  <c:v>1499.1634344817096</c:v>
                </c:pt>
                <c:pt idx="16">
                  <c:v>1499.1634344817096</c:v>
                </c:pt>
                <c:pt idx="17">
                  <c:v>1499.1634344817096</c:v>
                </c:pt>
                <c:pt idx="18">
                  <c:v>1499.1634344817096</c:v>
                </c:pt>
                <c:pt idx="19">
                  <c:v>1499.1634344817096</c:v>
                </c:pt>
                <c:pt idx="20">
                  <c:v>1499.1634344817096</c:v>
                </c:pt>
                <c:pt idx="21">
                  <c:v>1499.1634344817096</c:v>
                </c:pt>
                <c:pt idx="22">
                  <c:v>1499.1634344817096</c:v>
                </c:pt>
                <c:pt idx="23">
                  <c:v>1499.1634344817096</c:v>
                </c:pt>
                <c:pt idx="24">
                  <c:v>1499.1634344817096</c:v>
                </c:pt>
                <c:pt idx="26">
                  <c:v>1499.1634344817096</c:v>
                </c:pt>
                <c:pt idx="27">
                  <c:v>1499.1634344817096</c:v>
                </c:pt>
                <c:pt idx="28">
                  <c:v>1499.1634344817096</c:v>
                </c:pt>
                <c:pt idx="29">
                  <c:v>1499.1634344817096</c:v>
                </c:pt>
                <c:pt idx="30">
                  <c:v>362.48492840597163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CD-4679-A92F-1ADDB6DE2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21461535"/>
        <c:axId val="1021465375"/>
      </c:barChart>
      <c:catAx>
        <c:axId val="10214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65375"/>
        <c:crosses val="autoZero"/>
        <c:auto val="1"/>
        <c:lblAlgn val="ctr"/>
        <c:lblOffset val="100"/>
        <c:noMultiLvlLbl val="0"/>
      </c:catAx>
      <c:valAx>
        <c:axId val="10214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297467</xdr:colOff>
      <xdr:row>4</xdr:row>
      <xdr:rowOff>160225</xdr:rowOff>
    </xdr:from>
    <xdr:to>
      <xdr:col>23</xdr:col>
      <xdr:colOff>185937</xdr:colOff>
      <xdr:row>36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75123-25CC-436D-9D28-B4CF6F2E2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360219</xdr:colOff>
      <xdr:row>3</xdr:row>
      <xdr:rowOff>52648</xdr:rowOff>
    </xdr:from>
    <xdr:to>
      <xdr:col>23</xdr:col>
      <xdr:colOff>248689</xdr:colOff>
      <xdr:row>18</xdr:row>
      <xdr:rowOff>52647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FCC8D-0940-1B67-0A32-631902DCB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Michele Lovat Arranz" refreshedDate="46216.667030555553" createdVersion="8" refreshedVersion="8" minRefreshableVersion="3" recordCount="877" xr:uid="{C3BC4FCC-A895-48F8-8A28-88EE915900A3}">
  <cacheSource type="worksheet">
    <worksheetSource name="tblEmploymentAggregated"/>
  </cacheSource>
  <cacheFields count="12">
    <cacheField name="raw_lookup_key" numFmtId="0">
      <sharedItems/>
    </cacheField>
    <cacheField name="scenario" numFmtId="0">
      <sharedItems count="3">
        <s v="CN"/>
        <s v="PA"/>
        <s v="PD"/>
      </sharedItems>
    </cacheField>
    <cacheField name="region" numFmtId="0">
      <sharedItems/>
    </cacheField>
    <cacheField name="technology" numFmtId="0">
      <sharedItems count="12">
        <s v="PWRHYDDAM"/>
        <s v="PWRHYDROR_NDC"/>
        <s v="PWRSOLRTP"/>
        <s v="PWRSOLRTP_ZNI"/>
        <s v="PWRSOLUGE"/>
        <s v="PWRSOLUGE_BAT"/>
        <s v="PWRSOLUPE"/>
        <s v="PWRWNDOFS_FIX"/>
        <s v="PWRWNDOFS_FLO"/>
        <s v="PWRWNDONS"/>
        <s v="PWRGEO"/>
        <s v="PWRNUC"/>
      </sharedItems>
    </cacheField>
    <cacheField name="year" numFmtId="0">
      <sharedItems containsSemiMixedTypes="0" containsString="0" containsNumber="1" containsInteger="1" minValue="2025" maxValue="2055" count="31">
        <n v="2028"/>
        <n v="2040"/>
        <n v="2041"/>
        <n v="2047"/>
        <n v="2048"/>
        <n v="2026"/>
        <n v="2027"/>
        <n v="2029"/>
        <n v="2030"/>
        <n v="2031"/>
        <n v="2032"/>
        <n v="2033"/>
        <n v="2034"/>
        <n v="2035"/>
        <n v="2036"/>
        <n v="2037"/>
        <n v="2038"/>
        <n v="2039"/>
        <n v="2042"/>
        <n v="2043"/>
        <n v="2044"/>
        <n v="2045"/>
        <n v="2046"/>
        <n v="2049"/>
        <n v="2050"/>
        <n v="2051"/>
        <n v="2052"/>
        <n v="2053"/>
        <n v="2054"/>
        <n v="2055"/>
        <n v="2025"/>
      </sharedItems>
    </cacheField>
    <cacheField name="variable_name" numFmtId="0">
      <sharedItems count="2">
        <s v="NewCapacity"/>
        <s v="AccumulatedNewCapacity"/>
      </sharedItems>
    </cacheField>
    <cacheField name="employment_variable" numFmtId="0">
      <sharedItems/>
    </cacheField>
    <cacheField name="factor_type" numFmtId="0">
      <sharedItems count="2">
        <s v="Construction&amp;Manufacturing"/>
        <s v="O&amp;M"/>
      </sharedItems>
    </cacheField>
    <cacheField name="job_type" numFmtId="0">
      <sharedItems/>
    </cacheField>
    <cacheField name="capacity_pj_per_year" numFmtId="0">
      <sharedItems containsSemiMixedTypes="0" containsString="0" containsNumber="1" minValue="2.2065187937765969E-2" maxValue="1004.764977546814"/>
    </cacheField>
    <cacheField name="capacity_mw" numFmtId="0">
      <sharedItems containsSemiMixedTypes="0" containsString="0" containsNumber="1" minValue="0.69920361300498035" maxValue="31839.080840964263" count="383">
        <n v="1199.0772428828554"/>
        <n v="993.10467209166723"/>
        <n v="876.06022744155064"/>
        <n v="328.60547063148022"/>
        <n v="470.25122316018962"/>
        <n v="517.46647400309269"/>
        <n v="564.68172484599586"/>
        <n v="573.55438943392403"/>
        <n v="558.66098816133035"/>
        <n v="500.35490658351711"/>
        <n v="504.4743579993409"/>
        <n v="423.03597231728645"/>
        <n v="373.60255532740132"/>
        <n v="379.62329201206683"/>
        <n v="321.63409131239382"/>
        <n v="243.9982761680229"/>
        <n v="190.76228864045427"/>
        <n v="155.58851116688214"/>
        <n v="130.55492179379928"/>
        <n v="145.55781131096407"/>
        <n v="96.33178695464801"/>
        <n v="88.409765001140769"/>
        <n v="83.339670950896135"/>
        <n v="80.487743047633529"/>
        <n v="40.243871523816765"/>
        <n v="18.157728380173648"/>
        <n v="1.229094143036713"/>
        <n v="1.2390483156937637"/>
        <n v="1.2465984505725094"/>
        <n v="1.2575553124877632"/>
        <n v="1.2810768733202709"/>
        <n v="1.3036651011524265"/>
        <n v="1.3283403227367456"/>
        <n v="1.3535725776917156"/>
        <n v="1.3796572732000179"/>
        <n v="1.4067505251678865"/>
        <n v="1.4332925094065814"/>
        <n v="1.4601432425765406"/>
        <n v="1.4863632440771803"/>
        <n v="1.7877845137423494"/>
        <n v="1.5122181917142044"/>
        <n v="1.3255808042292394"/>
        <n v="1.7889574559083274"/>
        <n v="1.4235104717982576"/>
        <n v="0.69920361300498035"/>
        <n v="0.71428273259331632"/>
        <n v="212.85420944558521"/>
        <n v="1767.7891854893908"/>
        <n v="2313.4154688569474"/>
        <n v="249.82888432580424"/>
        <n v="1499.1634344817096"/>
        <n v="109.23367560418374"/>
        <n v="235.95500621572955"/>
        <n v="1184.0103975916534"/>
        <n v="1426.6820327282946"/>
        <n v="329.40127036652217"/>
        <n v="971.87689144619719"/>
        <n v="168.28473648186039"/>
        <n v="106.61697467487936"/>
        <n v="109.92470910335386"/>
        <n v="413.6552109117477"/>
        <n v="732.97085025139711"/>
        <n v="282.72929466740464"/>
        <n v="1129.4675214836836"/>
        <n v="370.96296658074817"/>
        <n v="709.44950369412368"/>
        <n v="670.87523744888426"/>
        <n v="73.547320246191489"/>
        <n v="156.93565955927593"/>
        <n v="4.8680290733678859"/>
        <n v="447.93720593929419"/>
        <n v="551.37272796410377"/>
        <n v="202.80376200978529"/>
        <n v="301.03683423327504"/>
        <n v="297.86802545187214"/>
        <n v="362.48492840597163"/>
        <n v="1869.1648995332177"/>
        <n v="2862.2695716248854"/>
        <n v="3855.3742437165529"/>
        <n v="798.85669379166984"/>
        <n v="1316.3231677947626"/>
        <n v="1881.0048926407585"/>
        <n v="2454.5592820746829"/>
        <n v="3013.2202702360128"/>
        <n v="3513.57517681953"/>
        <n v="4018.0495348188706"/>
        <n v="4441.0855071361575"/>
        <n v="4814.6880624635587"/>
        <n v="5194.3113544756252"/>
        <n v="5515.9454457880192"/>
        <n v="5759.9437219560423"/>
        <n v="5950.7060105964965"/>
        <n v="6106.2945217633787"/>
        <n v="6236.8494435571774"/>
        <n v="6382.4072548681424"/>
        <n v="6478.7390418227906"/>
        <n v="6567.1488068239314"/>
        <n v="6650.4884777748275"/>
        <n v="6730.9762208224611"/>
        <n v="6811.463963870091"/>
        <n v="6851.7078353939114"/>
        <n v="6891.9517069177282"/>
        <n v="6932.195578441545"/>
        <n v="6643.833979333881"/>
        <n v="6213.8266276975082"/>
        <n v="5736.6040252182329"/>
        <n v="5212.1661718960531"/>
        <n v="4678.8556539859464"/>
        <n v="19.386822523210359"/>
        <n v="20.625870838904124"/>
        <n v="21.872469289476633"/>
        <n v="23.130024601964394"/>
        <n v="24.411101475284667"/>
        <n v="25.714766576437093"/>
        <n v="27.043106899173839"/>
        <n v="28.396679476865557"/>
        <n v="29.776336750065571"/>
        <n v="31.183087275233458"/>
        <n v="32.61637978464006"/>
        <n v="34.076523027216581"/>
        <n v="35.562886271293756"/>
        <n v="37.350670785036122"/>
        <n v="38.862888976750327"/>
        <n v="40.188469780979538"/>
        <n v="41.977427236887884"/>
        <n v="43.400937708686143"/>
        <n v="44.100141321691126"/>
        <n v="44.814424054284416"/>
        <n v="1980.643394934976"/>
        <n v="4294.0588637919227"/>
        <n v="4543.8877481177278"/>
        <n v="6043.0511825994372"/>
        <n v="7542.2146170811466"/>
        <n v="9041.378051562855"/>
        <n v="10540.541486044565"/>
        <n v="10649.775161648749"/>
        <n v="10885.730167864484"/>
        <n v="12069.740565456133"/>
        <n v="13568.903999937844"/>
        <n v="15068.067434419554"/>
        <n v="16567.230868901264"/>
        <n v="16354.376659455678"/>
        <n v="14586.587473966287"/>
        <n v="13772.33543959105"/>
        <n v="15199.017472319343"/>
        <n v="15528.418742685863"/>
        <n v="15278.589858360059"/>
        <n v="274.90171115673979"/>
        <n v="384.82642026009364"/>
        <n v="216.54168377823322"/>
        <n v="109.92470910335383"/>
        <n v="1146.6260611631449"/>
        <n v="2645.7894956448545"/>
        <n v="4144.9529301265648"/>
        <n v="5644.116364608275"/>
        <n v="7143.2797990899844"/>
        <n v="8642.4432335716938"/>
        <n v="10141.606668053404"/>
        <n v="10424.335962720808"/>
        <n v="11923.499397202519"/>
        <n v="13422.662831684229"/>
        <n v="14921.826266165937"/>
        <n v="16420.989700647642"/>
        <n v="17550.457222131332"/>
        <n v="17921.42018871208"/>
        <n v="18630.869692406202"/>
        <n v="19301.744929855086"/>
        <n v="230.48297980546738"/>
        <n v="452.80523501266185"/>
        <n v="1004.1779629767657"/>
        <n v="1206.9817249865507"/>
        <n v="1508.0185592198259"/>
        <n v="1805.8865846716981"/>
        <n v="2103.7546101235703"/>
        <n v="2401.6226355754425"/>
        <n v="2699.4906610273151"/>
        <n v="2997.3586864791869"/>
        <n v="4496.5221209608972"/>
        <n v="5995.6855554426065"/>
        <n v="7494.8489899243168"/>
        <n v="8994.0124244060244"/>
        <n v="10493.175858887735"/>
        <n v="11992.339293369445"/>
        <n v="13491.502727851155"/>
        <n v="14990.666162332865"/>
        <n v="16489.829596814576"/>
        <n v="17988.993031296282"/>
        <n v="19488.156465777993"/>
        <n v="20987.319900259699"/>
        <n v="22486.483334741406"/>
        <n v="23985.646769223113"/>
        <n v="25484.810203704823"/>
        <n v="26983.973638186533"/>
        <n v="28483.13707266824"/>
        <n v="29982.30050714995"/>
        <n v="31481.463941631653"/>
        <n v="31839.080840964263"/>
        <n v="99.944228965447309"/>
        <n v="301.41709128704338"/>
        <n v="281.70589503243269"/>
        <n v="396.85461910404047"/>
        <n v="437.04242863356336"/>
        <n v="452.11285720713454"/>
        <n v="442.06590482475377"/>
        <n v="411.92504767761176"/>
        <n v="366.71376195689817"/>
        <n v="321.50247623618463"/>
        <n v="281.31466670666157"/>
        <n v="236.10338098594812"/>
        <n v="195.915571456425"/>
        <n v="160.75123811809235"/>
        <n v="130.61038097095002"/>
        <n v="110.51647620618849"/>
        <n v="95.446047632617308"/>
        <n v="82.385009535522315"/>
        <n v="72.338057153141548"/>
        <n v="66.309885723713066"/>
        <n v="62.291104770760761"/>
        <n v="60.281714294284605"/>
        <n v="55.517529850178718"/>
        <n v="99.931553730321696"/>
        <n v="548.62422997946612"/>
        <n v="200.8624229979466"/>
        <n v="299.79466119096514"/>
        <n v="990.90244763543797"/>
        <n v="45.348889492534887"/>
        <n v="814.32795357676787"/>
        <n v="828.84916314184693"/>
        <n v="1314.8612558554446"/>
        <n v="770.0152341242125"/>
        <n v="199.88845793089462"/>
        <n v="299.8326868963419"/>
        <n v="399.77691586178923"/>
        <n v="499.72114482723651"/>
        <n v="599.66537379268379"/>
        <n v="699.60960275813113"/>
        <n v="799.55383172357847"/>
        <n v="899.49806068902581"/>
        <n v="999.44228965447303"/>
        <n v="678.56051413647333"/>
        <n v="1115.6029427700364"/>
        <n v="1567.7157999771709"/>
        <n v="2009.7817048019249"/>
        <n v="2421.7067524795366"/>
        <n v="2788.4205144364346"/>
        <n v="3109.9229906726187"/>
        <n v="3391.2376573792812"/>
        <n v="3627.3410383652304"/>
        <n v="3823.256609821653"/>
        <n v="3984.0078479397448"/>
        <n v="4114.6182289106964"/>
        <n v="4225.134705116885"/>
        <n v="4320.5807527495026"/>
        <n v="4402.9657622850254"/>
        <n v="4475.3038194381661"/>
        <n v="4541.613705161878"/>
        <n v="4603.9048099326401"/>
        <n v="4664.186524226925"/>
        <n v="4724.4682385212091"/>
        <n v="4784.7499528154931"/>
        <n v="4845.0316671097771"/>
        <n v="4905.3133814040611"/>
        <n v="4965.5950956983443"/>
        <n v="4744.1709149602002"/>
        <n v="4407.598010150442"/>
        <n v="4030.8372958111645"/>
        <n v="3639.0061528983128"/>
        <n v="3257.2219623678452"/>
        <n v="4331.0335386721417"/>
        <n v="111.03505970035744"/>
        <n v="166.55258955053617"/>
        <n v="222.07011940071487"/>
        <n v="277.58764925089361"/>
        <n v="333.10517910107234"/>
        <n v="388.62270895125101"/>
        <n v="444.14023880142975"/>
        <n v="499.65776865160848"/>
        <n v="599.58932238193029"/>
        <n v="699.52087611225181"/>
        <n v="799.45242984257357"/>
        <n v="899.38398357289532"/>
        <n v="999.31553730321696"/>
        <n v="1099.2470910335392"/>
        <n v="1199.1786447638606"/>
        <n v="1299.1101984941822"/>
        <n v="1399.0417522245036"/>
        <n v="1498.973305954825"/>
        <n v="553.4922590528339"/>
        <n v="754.35468205078053"/>
        <n v="1054.1493432417458"/>
        <n v="2045.0517908771842"/>
        <n v="3544.2152253588929"/>
        <n v="5043.3786598406023"/>
        <n v="5088.7275493331372"/>
        <n v="5903.0555029099041"/>
        <n v="7402.2189373916171"/>
        <n v="8901.3823718733238"/>
        <n v="10400.545806355034"/>
        <n v="11229.394969496881"/>
        <n v="12728.55840397859"/>
        <n v="14227.7218384603"/>
        <n v="15542.583094315743"/>
        <n v="17041.746528797456"/>
        <n v="18540.909963279162"/>
        <n v="20040.073397760869"/>
        <n v="20805.220602811714"/>
        <n v="251.56503788528912"/>
        <n v="341.59638100094622"/>
        <n v="361.69028576570776"/>
        <n v="356.6668095745174"/>
        <n v="336.57290480975581"/>
        <n v="306.43204766261346"/>
        <n v="271.2677143242808"/>
        <n v="200.93904764761544"/>
        <n v="165.77471430928273"/>
        <n v="135.6338571621404"/>
        <n v="90.422571441426939"/>
        <n v="75.35214286785579"/>
        <n v="65.305190485474995"/>
        <n v="58.272323817808484"/>
        <n v="52.244152388380009"/>
        <n v="48.225371435427697"/>
        <n v="46.215980958951533"/>
        <n v="45.211285720713455"/>
        <n v="22.167345940903559"/>
        <n v="1.153595110574946"/>
        <n v="1.1641016936765574"/>
        <n v="1.1880491929098103"/>
        <n v="1.2118640430713046"/>
        <n v="1.238484008250629"/>
        <n v="1485.228495860003"/>
        <n v="1187.0949865819903"/>
        <n v="589.44792972859602"/>
        <n v="601.46005307169969"/>
        <n v="1292.1517156827842"/>
        <n v="593.16141888623542"/>
        <n v="954.85170465194312"/>
        <n v="1311.5185142264606"/>
        <n v="1648.0914190362164"/>
        <n v="1954.5234666988297"/>
        <n v="2225.7911810231103"/>
        <n v="2461.894562009059"/>
        <n v="2662.8336096566741"/>
        <n v="2828.608323965957"/>
        <n v="2964.2421811280974"/>
        <n v="3074.758657334286"/>
        <n v="3165.181228775713"/>
        <n v="3240.5333716435689"/>
        <n v="3305.8385621290436"/>
        <n v="3364.1108859468522"/>
        <n v="3416.3550383352308"/>
        <n v="3464.5804097706605"/>
        <n v="3510.7963907296116"/>
        <n v="3556.0076764503251"/>
        <n v="3601.2189621710395"/>
        <n v="3646.4302478917502"/>
        <n v="3691.6415336124642"/>
        <n v="3736.8528193331776"/>
        <n v="3782.0641050538916"/>
        <n v="3575.7103528893167"/>
        <n v="3279.3252576090831"/>
        <n v="2962.8462575640883"/>
        <n v="2651.3907337102846"/>
        <n v="2360.0291146212421"/>
        <n v="23.320941051478503"/>
        <n v="24.485042745155059"/>
        <n v="25.673091938064868"/>
        <n v="26.884955981136173"/>
        <n v="28.123439989386799"/>
        <n v="2553.3127777234558"/>
        <n v="4038.5412735834598"/>
        <n v="5225.63626016545"/>
        <n v="6724.7996946471594"/>
        <n v="8223.9631291288697"/>
        <n v="8813.4110588574622"/>
        <n v="9414.8711119291602"/>
        <n v="10914.03454641087"/>
        <n v="12413.197980892579"/>
        <n v="13912.361415374293"/>
        <n v="15411.524849856003"/>
        <n v="16910.688284337713"/>
        <n v="18409.85171881942"/>
        <n v="19697.135405428839"/>
      </sharedItems>
    </cacheField>
    <cacheField name="employment_fte" numFmtId="0">
      <sharedItems containsSemiMixedTypes="0" containsString="0" containsNumber="1" minValue="0.14355355807600428" maxValue="28299.8103594768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7">
  <r>
    <s v="CN|NewCapacity|RE1|PWRHYDDAM|2028"/>
    <x v="0"/>
    <s v="RE1"/>
    <x v="0"/>
    <x v="0"/>
    <x v="0"/>
    <s v="EmploymentConstructionManufacturingDirect"/>
    <x v="0"/>
    <s v="Direct"/>
    <n v="37.840000000000003"/>
    <x v="0"/>
    <n v="13862.851758940096"/>
  </r>
  <r>
    <s v="CN|NewCapacity|RE1|PWRHYDROR_NDC|2040"/>
    <x v="0"/>
    <s v="RE1"/>
    <x v="1"/>
    <x v="1"/>
    <x v="0"/>
    <s v="EmploymentConstructionManufacturingDirect"/>
    <x v="0"/>
    <s v="Direct"/>
    <n v="31.34"/>
    <x v="1"/>
    <n v="28299.810359476825"/>
  </r>
  <r>
    <s v="CN|NewCapacity|RE1|PWRHYDROR_NDC|2041"/>
    <x v="0"/>
    <s v="RE1"/>
    <x v="1"/>
    <x v="2"/>
    <x v="0"/>
    <s v="EmploymentConstructionManufacturingDirect"/>
    <x v="0"/>
    <s v="Direct"/>
    <n v="27.646358233509481"/>
    <x v="2"/>
    <n v="24958.107743388842"/>
  </r>
  <r>
    <s v="CN|NewCapacity|RE1|PWRHYDROR_NDC|2047"/>
    <x v="0"/>
    <s v="RE1"/>
    <x v="1"/>
    <x v="3"/>
    <x v="0"/>
    <s v="EmploymentConstructionManufacturingDirect"/>
    <x v="0"/>
    <s v="Direct"/>
    <n v="31.34"/>
    <x v="1"/>
    <n v="28249.272447289335"/>
  </r>
  <r>
    <s v="CN|NewCapacity|RE1|PWRHYDROR_NDC|2048"/>
    <x v="0"/>
    <s v="RE1"/>
    <x v="1"/>
    <x v="4"/>
    <x v="0"/>
    <s v="EmploymentConstructionManufacturingDirect"/>
    <x v="0"/>
    <s v="Direct"/>
    <n v="31.34"/>
    <x v="1"/>
    <n v="28242.052745548266"/>
  </r>
  <r>
    <s v="CN|NewCapacity|RE1|PWRSOLRTP|2026"/>
    <x v="0"/>
    <s v="RE1"/>
    <x v="2"/>
    <x v="5"/>
    <x v="0"/>
    <s v="EmploymentConstructionManufacturingDirect"/>
    <x v="0"/>
    <s v="Direct"/>
    <n v="10.37"/>
    <x v="3"/>
    <n v="2748.2611921399916"/>
  </r>
  <r>
    <s v="CN|NewCapacity|RE1|PWRSOLRTP|2027"/>
    <x v="0"/>
    <s v="RE1"/>
    <x v="2"/>
    <x v="6"/>
    <x v="0"/>
    <s v="EmploymentConstructionManufacturingDirect"/>
    <x v="0"/>
    <s v="Direct"/>
    <n v="14.84"/>
    <x v="4"/>
    <n v="3706.1016353047889"/>
  </r>
  <r>
    <s v="CN|NewCapacity|RE1|PWRSOLRTP|2028"/>
    <x v="0"/>
    <s v="RE1"/>
    <x v="2"/>
    <x v="0"/>
    <x v="0"/>
    <s v="EmploymentConstructionManufacturingDirect"/>
    <x v="0"/>
    <s v="Direct"/>
    <n v="16.329999999999998"/>
    <x v="5"/>
    <n v="3828.6378737340383"/>
  </r>
  <r>
    <s v="CN|NewCapacity|RE1|PWRSOLRTP|2029"/>
    <x v="0"/>
    <s v="RE1"/>
    <x v="2"/>
    <x v="7"/>
    <x v="0"/>
    <s v="EmploymentConstructionManufacturingDirect"/>
    <x v="0"/>
    <s v="Direct"/>
    <n v="17.82"/>
    <x v="6"/>
    <n v="3905.6305971694042"/>
  </r>
  <r>
    <s v="CN|NewCapacity|RE1|PWRSOLRTP|2030"/>
    <x v="0"/>
    <s v="RE1"/>
    <x v="2"/>
    <x v="8"/>
    <x v="0"/>
    <s v="EmploymentConstructionManufacturingDirect"/>
    <x v="0"/>
    <s v="Direct"/>
    <n v="18.100000000000001"/>
    <x v="7"/>
    <n v="3690.375167351478"/>
  </r>
  <r>
    <s v="CN|NewCapacity|RE1|PWRSOLRTP|2031"/>
    <x v="0"/>
    <s v="RE1"/>
    <x v="2"/>
    <x v="9"/>
    <x v="0"/>
    <s v="EmploymentConstructionManufacturingDirect"/>
    <x v="0"/>
    <s v="Direct"/>
    <n v="17.63"/>
    <x v="8"/>
    <n v="3535.5068041642548"/>
  </r>
  <r>
    <s v="CN|NewCapacity|RE1|PWRSOLRTP|2032"/>
    <x v="0"/>
    <s v="RE1"/>
    <x v="2"/>
    <x v="10"/>
    <x v="0"/>
    <s v="EmploymentConstructionManufacturingDirect"/>
    <x v="0"/>
    <s v="Direct"/>
    <n v="15.79"/>
    <x v="9"/>
    <n v="3113.6356192848821"/>
  </r>
  <r>
    <s v="CN|NewCapacity|RE1|PWRSOLRTP|2033"/>
    <x v="0"/>
    <s v="RE1"/>
    <x v="2"/>
    <x v="11"/>
    <x v="0"/>
    <s v="EmploymentConstructionManufacturingDirect"/>
    <x v="0"/>
    <s v="Direct"/>
    <n v="15.92"/>
    <x v="10"/>
    <n v="3085.9560259742184"/>
  </r>
  <r>
    <s v="CN|NewCapacity|RE1|PWRSOLRTP|2034"/>
    <x v="0"/>
    <s v="RE1"/>
    <x v="2"/>
    <x v="12"/>
    <x v="0"/>
    <s v="EmploymentConstructionManufacturingDirect"/>
    <x v="0"/>
    <s v="Direct"/>
    <n v="13.35"/>
    <x v="11"/>
    <n v="2543.0757867102061"/>
  </r>
  <r>
    <s v="CN|NewCapacity|RE1|PWRSOLRTP|2035"/>
    <x v="0"/>
    <s v="RE1"/>
    <x v="2"/>
    <x v="13"/>
    <x v="0"/>
    <s v="EmploymentConstructionManufacturingDirect"/>
    <x v="0"/>
    <s v="Direct"/>
    <n v="11.79"/>
    <x v="12"/>
    <n v="2206.4239597035989"/>
  </r>
  <r>
    <s v="CN|NewCapacity|RE1|PWRSOLRTP|2036"/>
    <x v="0"/>
    <s v="RE1"/>
    <x v="2"/>
    <x v="14"/>
    <x v="0"/>
    <s v="EmploymentConstructionManufacturingDirect"/>
    <x v="0"/>
    <s v="Direct"/>
    <n v="11.98"/>
    <x v="13"/>
    <n v="2201.8615487720358"/>
  </r>
  <r>
    <s v="CN|NewCapacity|RE1|PWRSOLRTP|2037"/>
    <x v="0"/>
    <s v="RE1"/>
    <x v="2"/>
    <x v="15"/>
    <x v="0"/>
    <s v="EmploymentConstructionManufacturingDirect"/>
    <x v="0"/>
    <s v="Direct"/>
    <n v="10.15"/>
    <x v="14"/>
    <n v="1831.5258486392659"/>
  </r>
  <r>
    <s v="CN|NewCapacity|RE1|PWRSOLRTP|2038"/>
    <x v="0"/>
    <s v="RE1"/>
    <x v="2"/>
    <x v="16"/>
    <x v="0"/>
    <s v="EmploymentConstructionManufacturingDirect"/>
    <x v="0"/>
    <s v="Direct"/>
    <n v="7.7"/>
    <x v="15"/>
    <n v="1363.6469446053247"/>
  </r>
  <r>
    <s v="CN|NewCapacity|RE1|PWRSOLRTP|2039"/>
    <x v="0"/>
    <s v="RE1"/>
    <x v="2"/>
    <x v="17"/>
    <x v="0"/>
    <s v="EmploymentConstructionManufacturingDirect"/>
    <x v="0"/>
    <s v="Direct"/>
    <n v="6.02"/>
    <x v="16"/>
    <n v="1045.9636533102771"/>
  </r>
  <r>
    <s v="CN|NewCapacity|RE1|PWRSOLRTP|2040"/>
    <x v="0"/>
    <s v="RE1"/>
    <x v="2"/>
    <x v="1"/>
    <x v="0"/>
    <s v="EmploymentConstructionManufacturingDirect"/>
    <x v="0"/>
    <s v="Direct"/>
    <n v="4.91"/>
    <x v="17"/>
    <n v="836.66019250485783"/>
  </r>
  <r>
    <s v="CN|NewCapacity|RE1|PWRSOLRTP|2041"/>
    <x v="0"/>
    <s v="RE1"/>
    <x v="2"/>
    <x v="2"/>
    <x v="0"/>
    <s v="EmploymentConstructionManufacturingDirect"/>
    <x v="0"/>
    <s v="Direct"/>
    <n v="4.12"/>
    <x v="18"/>
    <n v="688.24737574076607"/>
  </r>
  <r>
    <s v="CN|NewCapacity|RE1|PWRSOLRTP|2042"/>
    <x v="0"/>
    <s v="RE1"/>
    <x v="2"/>
    <x v="18"/>
    <x v="0"/>
    <s v="EmploymentConstructionManufacturingDirect"/>
    <x v="0"/>
    <s v="Direct"/>
    <n v="4.5934551862268798"/>
    <x v="19"/>
    <n v="751.95524368513838"/>
  </r>
  <r>
    <s v="CN|NewCapacity|RE1|PWRSOLRTP|2043"/>
    <x v="0"/>
    <s v="RE1"/>
    <x v="2"/>
    <x v="19"/>
    <x v="0"/>
    <s v="EmploymentConstructionManufacturingDirect"/>
    <x v="0"/>
    <s v="Direct"/>
    <n v="3.04"/>
    <x v="20"/>
    <n v="487.47176010920981"/>
  </r>
  <r>
    <s v="CN|NewCapacity|RE1|PWRSOLRTP|2044"/>
    <x v="0"/>
    <s v="RE1"/>
    <x v="2"/>
    <x v="20"/>
    <x v="0"/>
    <s v="EmploymentConstructionManufacturingDirect"/>
    <x v="0"/>
    <s v="Direct"/>
    <n v="2.79"/>
    <x v="21"/>
    <n v="438.04021709924706"/>
  </r>
  <r>
    <s v="CN|NewCapacity|RE1|PWRSOLRTP|2045"/>
    <x v="0"/>
    <s v="RE1"/>
    <x v="2"/>
    <x v="21"/>
    <x v="0"/>
    <s v="EmploymentConstructionManufacturingDirect"/>
    <x v="0"/>
    <s v="Direct"/>
    <n v="2.63"/>
    <x v="22"/>
    <n v="404.11204882845021"/>
  </r>
  <r>
    <s v="CN|NewCapacity|RE1|PWRSOLRTP|2046"/>
    <x v="0"/>
    <s v="RE1"/>
    <x v="2"/>
    <x v="22"/>
    <x v="0"/>
    <s v="EmploymentConstructionManufacturingDirect"/>
    <x v="0"/>
    <s v="Direct"/>
    <n v="2.54"/>
    <x v="23"/>
    <n v="381.77693721315939"/>
  </r>
  <r>
    <s v="CN|NewCapacity|RE1|PWRSOLRTP|2047"/>
    <x v="0"/>
    <s v="RE1"/>
    <x v="2"/>
    <x v="3"/>
    <x v="0"/>
    <s v="EmploymentConstructionManufacturingDirect"/>
    <x v="0"/>
    <s v="Direct"/>
    <n v="2.54"/>
    <x v="23"/>
    <n v="373.27075502545824"/>
  </r>
  <r>
    <s v="CN|NewCapacity|RE1|PWRSOLRTP|2048"/>
    <x v="0"/>
    <s v="RE1"/>
    <x v="2"/>
    <x v="4"/>
    <x v="0"/>
    <s v="EmploymentConstructionManufacturingDirect"/>
    <x v="0"/>
    <s v="Direct"/>
    <n v="1.27"/>
    <x v="24"/>
    <n v="182.38228641887849"/>
  </r>
  <r>
    <s v="CN|NewCapacity|RE1|PWRSOLRTP|2049"/>
    <x v="0"/>
    <s v="RE1"/>
    <x v="2"/>
    <x v="23"/>
    <x v="0"/>
    <s v="EmploymentConstructionManufacturingDirect"/>
    <x v="0"/>
    <s v="Direct"/>
    <n v="1.27"/>
    <x v="24"/>
    <n v="178.12919532502787"/>
  </r>
  <r>
    <s v="CN|NewCapacity|RE1|PWRSOLRTP|2050"/>
    <x v="0"/>
    <s v="RE1"/>
    <x v="2"/>
    <x v="24"/>
    <x v="0"/>
    <s v="EmploymentConstructionManufacturingDirect"/>
    <x v="0"/>
    <s v="Direct"/>
    <n v="1.27"/>
    <x v="24"/>
    <n v="173.87610423117727"/>
  </r>
  <r>
    <s v="CN|NewCapacity|RE1|PWRSOLRTP|2051"/>
    <x v="0"/>
    <s v="RE1"/>
    <x v="2"/>
    <x v="25"/>
    <x v="0"/>
    <s v="EmploymentConstructionManufacturingDirect"/>
    <x v="0"/>
    <s v="Direct"/>
    <n v="1.27"/>
    <x v="24"/>
    <n v="173.87610423117727"/>
  </r>
  <r>
    <s v="CN|NewCapacity|RE1|PWRSOLRTP|2052"/>
    <x v="0"/>
    <s v="RE1"/>
    <x v="2"/>
    <x v="26"/>
    <x v="0"/>
    <s v="EmploymentConstructionManufacturingDirect"/>
    <x v="0"/>
    <s v="Direct"/>
    <n v="1.27"/>
    <x v="24"/>
    <n v="173.87610423117727"/>
  </r>
  <r>
    <s v="CN|NewCapacity|RE1|PWRSOLRTP|2053"/>
    <x v="0"/>
    <s v="RE1"/>
    <x v="2"/>
    <x v="27"/>
    <x v="0"/>
    <s v="EmploymentConstructionManufacturingDirect"/>
    <x v="0"/>
    <s v="Direct"/>
    <n v="1.27"/>
    <x v="24"/>
    <n v="173.87610423117727"/>
  </r>
  <r>
    <s v="CN|NewCapacity|RE1|PWRSOLRTP|2054"/>
    <x v="0"/>
    <s v="RE1"/>
    <x v="2"/>
    <x v="28"/>
    <x v="0"/>
    <s v="EmploymentConstructionManufacturingDirect"/>
    <x v="0"/>
    <s v="Direct"/>
    <n v="1.27"/>
    <x v="24"/>
    <n v="173.87610423117727"/>
  </r>
  <r>
    <s v="CN|NewCapacity|RE1|PWRSOLRTP|2055"/>
    <x v="0"/>
    <s v="RE1"/>
    <x v="2"/>
    <x v="29"/>
    <x v="0"/>
    <s v="EmploymentConstructionManufacturingDirect"/>
    <x v="0"/>
    <s v="Direct"/>
    <n v="1.27"/>
    <x v="24"/>
    <n v="173.87610423117727"/>
  </r>
  <r>
    <s v="CN|NewCapacity|RE1|PWRSOLRTP_ZNI|2031"/>
    <x v="0"/>
    <s v="RE1"/>
    <x v="3"/>
    <x v="9"/>
    <x v="0"/>
    <s v="EmploymentConstructionManufacturingDirect"/>
    <x v="0"/>
    <s v="Direct"/>
    <n v="0.57301432913016792"/>
    <x v="25"/>
    <n v="114.91185816921863"/>
  </r>
  <r>
    <s v="CN|NewCapacity|RE1|PWRSOLRTP_ZNI|2032"/>
    <x v="0"/>
    <s v="RE1"/>
    <x v="3"/>
    <x v="10"/>
    <x v="0"/>
    <s v="EmploymentConstructionManufacturingDirect"/>
    <x v="0"/>
    <s v="Direct"/>
    <n v="3.878726132829538E-2"/>
    <x v="26"/>
    <n v="7.6484736191444931"/>
  </r>
  <r>
    <s v="CN|NewCapacity|RE1|PWRSOLRTP_ZNI|2033"/>
    <x v="0"/>
    <s v="RE1"/>
    <x v="3"/>
    <x v="11"/>
    <x v="0"/>
    <s v="EmploymentConstructionManufacturingDirect"/>
    <x v="0"/>
    <s v="Direct"/>
    <n v="3.9101391127337522E-2"/>
    <x v="27"/>
    <n v="7.5794707018456062"/>
  </r>
  <r>
    <s v="CN|NewCapacity|RE1|PWRSOLRTP_ZNI|2034"/>
    <x v="0"/>
    <s v="RE1"/>
    <x v="3"/>
    <x v="12"/>
    <x v="0"/>
    <s v="EmploymentConstructionManufacturingDirect"/>
    <x v="0"/>
    <s v="Direct"/>
    <n v="3.9339655263787021E-2"/>
    <x v="28"/>
    <n v="7.493911966956067"/>
  </r>
  <r>
    <s v="CN|NewCapacity|RE1|PWRSOLRTP_ZNI|2035"/>
    <x v="0"/>
    <s v="RE1"/>
    <x v="3"/>
    <x v="13"/>
    <x v="0"/>
    <s v="EmploymentConstructionManufacturingDirect"/>
    <x v="0"/>
    <s v="Direct"/>
    <n v="3.9685427529363833E-2"/>
    <x v="29"/>
    <n v="7.4268768576649"/>
  </r>
  <r>
    <s v="CN|NewCapacity|RE1|PWRSOLRTP_ZNI|2036"/>
    <x v="0"/>
    <s v="RE1"/>
    <x v="3"/>
    <x v="14"/>
    <x v="0"/>
    <s v="EmploymentConstructionManufacturingDirect"/>
    <x v="0"/>
    <s v="Direct"/>
    <n v="4.0427711537491778E-2"/>
    <x v="30"/>
    <n v="7.4304026326586605"/>
  </r>
  <r>
    <s v="CN|NewCapacity|RE1|PWRSOLRTP_ZNI|2037"/>
    <x v="0"/>
    <s v="RE1"/>
    <x v="3"/>
    <x v="15"/>
    <x v="0"/>
    <s v="EmploymentConstructionManufacturingDirect"/>
    <x v="0"/>
    <s v="Direct"/>
    <n v="4.1140541796127812E-2"/>
    <x v="31"/>
    <n v="7.4236419435105603"/>
  </r>
  <r>
    <s v="CN|NewCapacity|RE1|PWRSOLRTP_ZNI|2038"/>
    <x v="0"/>
    <s v="RE1"/>
    <x v="3"/>
    <x v="16"/>
    <x v="0"/>
    <s v="EmploymentConstructionManufacturingDirect"/>
    <x v="0"/>
    <s v="Direct"/>
    <n v="4.1919232568797128E-2"/>
    <x v="32"/>
    <n v="7.4237705730701586"/>
  </r>
  <r>
    <s v="CN|NewCapacity|RE1|PWRSOLRTP_ZNI|2039"/>
    <x v="0"/>
    <s v="RE1"/>
    <x v="3"/>
    <x v="17"/>
    <x v="0"/>
    <s v="EmploymentConstructionManufacturingDirect"/>
    <x v="0"/>
    <s v="Direct"/>
    <n v="4.2715501977764088E-2"/>
    <x v="33"/>
    <n v="7.4217379570838027"/>
  </r>
  <r>
    <s v="CN|NewCapacity|RE1|PWRSOLRTP_ZNI|2040"/>
    <x v="0"/>
    <s v="RE1"/>
    <x v="3"/>
    <x v="1"/>
    <x v="0"/>
    <s v="EmploymentConstructionManufacturingDirect"/>
    <x v="0"/>
    <s v="Direct"/>
    <n v="4.353867236473688E-2"/>
    <x v="34"/>
    <n v="7.4189560085716275"/>
  </r>
  <r>
    <s v="CN|NewCapacity|RE1|PWRSOLRTP_ZNI|2041"/>
    <x v="0"/>
    <s v="RE1"/>
    <x v="3"/>
    <x v="2"/>
    <x v="0"/>
    <s v="EmploymentConstructionManufacturingDirect"/>
    <x v="0"/>
    <s v="Direct"/>
    <n v="4.439367037303809E-2"/>
    <x v="35"/>
    <n v="7.4159774596466175"/>
  </r>
  <r>
    <s v="CN|NewCapacity|RE1|PWRSOLRTP_ZNI|2042"/>
    <x v="0"/>
    <s v="RE1"/>
    <x v="3"/>
    <x v="18"/>
    <x v="0"/>
    <s v="EmploymentConstructionManufacturingDirect"/>
    <x v="0"/>
    <s v="Direct"/>
    <n v="4.5231271694849133E-2"/>
    <x v="36"/>
    <n v="7.4044244584057353"/>
  </r>
  <r>
    <s v="CN|NewCapacity|RE1|PWRSOLRTP_ZNI|2043"/>
    <x v="0"/>
    <s v="RE1"/>
    <x v="3"/>
    <x v="19"/>
    <x v="0"/>
    <s v="EmploymentConstructionManufacturingDirect"/>
    <x v="0"/>
    <s v="Direct"/>
    <n v="4.607861639193344E-2"/>
    <x v="37"/>
    <n v="7.3888237618331845"/>
  </r>
  <r>
    <s v="CN|NewCapacity|RE1|PWRSOLRTP_ZNI|2044"/>
    <x v="0"/>
    <s v="RE1"/>
    <x v="3"/>
    <x v="20"/>
    <x v="0"/>
    <s v="EmploymentConstructionManufacturingDirect"/>
    <x v="0"/>
    <s v="Direct"/>
    <n v="4.6906056711290028E-2"/>
    <x v="38"/>
    <n v="7.3644226756570168"/>
  </r>
  <r>
    <s v="CN|NewCapacity|RE1|PWRSOLRTP_ZNI|2045"/>
    <x v="0"/>
    <s v="RE1"/>
    <x v="3"/>
    <x v="21"/>
    <x v="0"/>
    <s v="EmploymentConstructionManufacturingDirect"/>
    <x v="0"/>
    <s v="Direct"/>
    <n v="5.6418188570875563E-2"/>
    <x v="39"/>
    <n v="8.6689238686564174"/>
  </r>
  <r>
    <s v="CN|NewCapacity|RE1|PWRSOLRTP_ZNI|2046"/>
    <x v="0"/>
    <s v="RE1"/>
    <x v="3"/>
    <x v="22"/>
    <x v="0"/>
    <s v="EmploymentConstructionManufacturingDirect"/>
    <x v="0"/>
    <s v="Direct"/>
    <n v="4.7721976806840177E-2"/>
    <x v="40"/>
    <n v="7.172893757115304"/>
  </r>
  <r>
    <s v="CN|NewCapacity|RE1|PWRSOLRTP_ZNI|2047"/>
    <x v="0"/>
    <s v="RE1"/>
    <x v="3"/>
    <x v="3"/>
    <x v="0"/>
    <s v="EmploymentConstructionManufacturingDirect"/>
    <x v="0"/>
    <s v="Direct"/>
    <n v="4.1832148787544647E-2"/>
    <x v="41"/>
    <n v="6.1475266780567308"/>
  </r>
  <r>
    <s v="CN|NewCapacity|RE1|PWRSOLRTP_ZNI|2048"/>
    <x v="0"/>
    <s v="RE1"/>
    <x v="3"/>
    <x v="4"/>
    <x v="0"/>
    <s v="EmploymentConstructionManufacturingDirect"/>
    <x v="0"/>
    <s v="Direct"/>
    <n v="5.6455203810572632E-2"/>
    <x v="42"/>
    <n v="8.1074245285165496"/>
  </r>
  <r>
    <s v="CN|NewCapacity|RE1|PWRSOLRTP_ZNI|2049"/>
    <x v="0"/>
    <s v="RE1"/>
    <x v="3"/>
    <x v="23"/>
    <x v="0"/>
    <s v="EmploymentConstructionManufacturingDirect"/>
    <x v="0"/>
    <s v="Direct"/>
    <n v="4.4922574064820697E-2"/>
    <x v="43"/>
    <n v="6.3008047008625798"/>
  </r>
  <r>
    <s v="CN|NewCapacity|RE1|PWRSOLRTP_ZNI|2053"/>
    <x v="0"/>
    <s v="RE1"/>
    <x v="3"/>
    <x v="27"/>
    <x v="0"/>
    <s v="EmploymentConstructionManufacturingDirect"/>
    <x v="0"/>
    <s v="Direct"/>
    <n v="2.2065187937765969E-2"/>
    <x v="44"/>
    <n v="3.0209519037381978"/>
  </r>
  <r>
    <s v="CN|NewCapacity|RE1|PWRSOLRTP_ZNI|2054"/>
    <x v="0"/>
    <s v="RE1"/>
    <x v="3"/>
    <x v="28"/>
    <x v="0"/>
    <s v="EmploymentConstructionManufacturingDirect"/>
    <x v="0"/>
    <s v="Direct"/>
    <n v="2.2541048762086839E-2"/>
    <x v="45"/>
    <n v="3.086102160658788"/>
  </r>
  <r>
    <s v="CN|NewCapacity|RE1|PWRSOLUGE|2025"/>
    <x v="0"/>
    <s v="RE1"/>
    <x v="4"/>
    <x v="30"/>
    <x v="0"/>
    <s v="EmploymentConstructionManufacturingDirect"/>
    <x v="0"/>
    <s v="Direct"/>
    <n v="6.717168"/>
    <x v="46"/>
    <n v="2012.5687818907716"/>
  </r>
  <r>
    <s v="CN|NewCapacity|RE1|PWRSOLUGE|2026"/>
    <x v="0"/>
    <s v="RE1"/>
    <x v="4"/>
    <x v="5"/>
    <x v="0"/>
    <s v="EmploymentConstructionManufacturingDirect"/>
    <x v="0"/>
    <s v="Direct"/>
    <n v="55.787184000000003"/>
    <x v="47"/>
    <n v="15804.570695439714"/>
  </r>
  <r>
    <s v="CN|NewCapacity|RE1|PWRSOLUGE|2027"/>
    <x v="0"/>
    <s v="RE1"/>
    <x v="4"/>
    <x v="6"/>
    <x v="0"/>
    <s v="EmploymentConstructionManufacturingDirect"/>
    <x v="0"/>
    <s v="Direct"/>
    <n v="73.005840000000006"/>
    <x v="48"/>
    <n v="19491.576256281118"/>
  </r>
  <r>
    <s v="CN|NewCapacity|RE1|PWRSOLUGE|2030"/>
    <x v="0"/>
    <s v="RE1"/>
    <x v="4"/>
    <x v="8"/>
    <x v="0"/>
    <s v="EmploymentConstructionManufacturingDirect"/>
    <x v="0"/>
    <s v="Direct"/>
    <n v="7.8840000000000003"/>
    <x v="49"/>
    <n v="1719.0497071337441"/>
  </r>
  <r>
    <s v="CN|NewCapacity|RE1|PWRSOLUGE|2039"/>
    <x v="0"/>
    <s v="RE1"/>
    <x v="4"/>
    <x v="17"/>
    <x v="0"/>
    <s v="EmploymentConstructionManufacturingDirect"/>
    <x v="0"/>
    <s v="Direct"/>
    <n v="47.31"/>
    <x v="50"/>
    <n v="8792.5795564451582"/>
  </r>
  <r>
    <s v="CN|NewCapacity|RE1|PWRSOLUGE|2040"/>
    <x v="0"/>
    <s v="RE1"/>
    <x v="4"/>
    <x v="1"/>
    <x v="0"/>
    <s v="EmploymentConstructionManufacturingDirect"/>
    <x v="0"/>
    <s v="Direct"/>
    <n v="47.31"/>
    <x v="50"/>
    <n v="8623.3543405191267"/>
  </r>
  <r>
    <s v="CN|NewCapacity|RE1|PWRSOLUGE|2041"/>
    <x v="0"/>
    <s v="RE1"/>
    <x v="4"/>
    <x v="2"/>
    <x v="0"/>
    <s v="EmploymentConstructionManufacturingDirect"/>
    <x v="0"/>
    <s v="Direct"/>
    <n v="47.31"/>
    <x v="50"/>
    <n v="8454.1291245930952"/>
  </r>
  <r>
    <s v="CN|NewCapacity|RE1|PWRSOLUGE|2042"/>
    <x v="0"/>
    <s v="RE1"/>
    <x v="4"/>
    <x v="18"/>
    <x v="0"/>
    <s v="EmploymentConstructionManufacturingDirect"/>
    <x v="0"/>
    <s v="Direct"/>
    <n v="47.31"/>
    <x v="50"/>
    <n v="8284.9039086670655"/>
  </r>
  <r>
    <s v="CN|NewCapacity|RE1|PWRSOLUGE|2043"/>
    <x v="0"/>
    <s v="RE1"/>
    <x v="4"/>
    <x v="19"/>
    <x v="0"/>
    <s v="EmploymentConstructionManufacturingDirect"/>
    <x v="0"/>
    <s v="Direct"/>
    <n v="3.4471526412465892"/>
    <x v="51"/>
    <n v="591.33340184297037"/>
  </r>
  <r>
    <s v="CN|NewCapacity|RE1|PWRSOLUGE|2044"/>
    <x v="0"/>
    <s v="RE1"/>
    <x v="4"/>
    <x v="20"/>
    <x v="0"/>
    <s v="EmploymentConstructionManufacturingDirect"/>
    <x v="0"/>
    <s v="Direct"/>
    <n v="7.446173704153507"/>
    <x v="52"/>
    <n v="1250.7011819982899"/>
  </r>
  <r>
    <s v="CN|NewCapacity|RE1|PWRSOLUGE|2045"/>
    <x v="0"/>
    <s v="RE1"/>
    <x v="4"/>
    <x v="21"/>
    <x v="0"/>
    <s v="EmploymentConstructionManufacturingDirect"/>
    <x v="0"/>
    <s v="Direct"/>
    <n v="37.364526523038357"/>
    <x v="53"/>
    <n v="6142.3050439473564"/>
  </r>
  <r>
    <s v="CN|NewCapacity|RE1|PWRSOLUGE|2046"/>
    <x v="0"/>
    <s v="RE1"/>
    <x v="4"/>
    <x v="22"/>
    <x v="0"/>
    <s v="EmploymentConstructionManufacturingDirect"/>
    <x v="0"/>
    <s v="Direct"/>
    <n v="47.31"/>
    <x v="50"/>
    <n v="7608.0030449479527"/>
  </r>
  <r>
    <s v="CN|NewCapacity|RE1|PWRSOLUGE|2047"/>
    <x v="0"/>
    <s v="RE1"/>
    <x v="4"/>
    <x v="3"/>
    <x v="0"/>
    <s v="EmploymentConstructionManufacturingDirect"/>
    <x v="0"/>
    <s v="Direct"/>
    <n v="47.31"/>
    <x v="50"/>
    <n v="7438.7778290219212"/>
  </r>
  <r>
    <s v="CN|NewCapacity|RE1|PWRSOLUGE|2048"/>
    <x v="0"/>
    <s v="RE1"/>
    <x v="4"/>
    <x v="4"/>
    <x v="0"/>
    <s v="EmploymentConstructionManufacturingDirect"/>
    <x v="0"/>
    <s v="Direct"/>
    <n v="47.31"/>
    <x v="50"/>
    <n v="7269.5526130958906"/>
  </r>
  <r>
    <s v="CN|NewCapacity|RE1|PWRSOLUGE|2052"/>
    <x v="0"/>
    <s v="RE1"/>
    <x v="4"/>
    <x v="26"/>
    <x v="0"/>
    <s v="EmploymentConstructionManufacturingDirect"/>
    <x v="0"/>
    <s v="Direct"/>
    <n v="47.31"/>
    <x v="50"/>
    <n v="6931.1021812438312"/>
  </r>
  <r>
    <s v="CN|NewCapacity|RE1|PWRSOLUGE|2053"/>
    <x v="0"/>
    <s v="RE1"/>
    <x v="4"/>
    <x v="27"/>
    <x v="0"/>
    <s v="EmploymentConstructionManufacturingDirect"/>
    <x v="0"/>
    <s v="Direct"/>
    <n v="45.022660916026432"/>
    <x v="54"/>
    <n v="6595.9979556219014"/>
  </r>
  <r>
    <s v="CN|NewCapacity|RE1|PWRSOLUGE|2054"/>
    <x v="0"/>
    <s v="RE1"/>
    <x v="4"/>
    <x v="28"/>
    <x v="0"/>
    <s v="EmploymentConstructionManufacturingDirect"/>
    <x v="0"/>
    <s v="Direct"/>
    <n v="10.395113529718561"/>
    <x v="55"/>
    <n v="1522.9252602010056"/>
  </r>
  <r>
    <s v="CN|NewCapacity|RE1|PWRSOLUGE_BAT|2047"/>
    <x v="0"/>
    <s v="RE1"/>
    <x v="5"/>
    <x v="3"/>
    <x v="0"/>
    <s v="EmploymentConstructionManufacturingDirect"/>
    <x v="0"/>
    <s v="Direct"/>
    <n v="30.670102189502511"/>
    <x v="56"/>
    <n v="5046.6605302741946"/>
  </r>
  <r>
    <s v="CN|NewCapacity|RE1|PWRSOLUPE|2025"/>
    <x v="0"/>
    <s v="RE1"/>
    <x v="6"/>
    <x v="30"/>
    <x v="0"/>
    <s v="EmploymentConstructionManufacturingDirect"/>
    <x v="0"/>
    <s v="Direct"/>
    <n v="5.3106623999999574"/>
    <x v="57"/>
    <n v="1591.1576660582311"/>
  </r>
  <r>
    <s v="CN|NewCapacity|RE1|PWRSOLUPE|2026"/>
    <x v="0"/>
    <s v="RE1"/>
    <x v="6"/>
    <x v="5"/>
    <x v="0"/>
    <s v="EmploymentConstructionManufacturingDirect"/>
    <x v="0"/>
    <s v="Direct"/>
    <n v="3.364575839999973"/>
    <x v="58"/>
    <n v="953.18804267747294"/>
  </r>
  <r>
    <s v="CN|NewCapacity|RE1|PWRSOLUPE|2027"/>
    <x v="0"/>
    <s v="RE1"/>
    <x v="6"/>
    <x v="6"/>
    <x v="0"/>
    <s v="EmploymentConstructionManufacturingDirect"/>
    <x v="0"/>
    <s v="Direct"/>
    <n v="3.46896"/>
    <x v="59"/>
    <n v="926.16561044964271"/>
  </r>
  <r>
    <s v="CN|NewCapacity|RE1|PWRWNDOFS_FIX|2036"/>
    <x v="0"/>
    <s v="RE1"/>
    <x v="7"/>
    <x v="14"/>
    <x v="0"/>
    <s v="EmploymentConstructionManufacturingDirect"/>
    <x v="0"/>
    <s v="Direct"/>
    <n v="13.05396568386857"/>
    <x v="60"/>
    <n v="1799.067821179714"/>
  </r>
  <r>
    <s v="CN|NewCapacity|RE1|PWRWNDOFS_FIX|2037"/>
    <x v="0"/>
    <s v="RE1"/>
    <x v="7"/>
    <x v="15"/>
    <x v="0"/>
    <s v="EmploymentConstructionManufacturingDirect"/>
    <x v="0"/>
    <s v="Direct"/>
    <n v="23.130800903893491"/>
    <x v="61"/>
    <n v="3135.3924648073421"/>
  </r>
  <r>
    <s v="CN|NewCapacity|RE1|PWRWNDOFS_FIX|2038"/>
    <x v="0"/>
    <s v="RE1"/>
    <x v="7"/>
    <x v="16"/>
    <x v="0"/>
    <s v="EmploymentConstructionManufacturingDirect"/>
    <x v="0"/>
    <s v="Direct"/>
    <n v="47.31"/>
    <x v="50"/>
    <n v="6305.6352781857559"/>
  </r>
  <r>
    <s v="CN|NewCapacity|RE1|PWRWNDOFS_FIX|2039"/>
    <x v="0"/>
    <s v="RE1"/>
    <x v="7"/>
    <x v="17"/>
    <x v="0"/>
    <s v="EmploymentConstructionManufacturingDirect"/>
    <x v="0"/>
    <s v="Direct"/>
    <n v="47.31"/>
    <x v="50"/>
    <n v="6198.3746896716766"/>
  </r>
  <r>
    <s v="CN|NewCapacity|RE1|PWRWNDOFS_FIX|2040"/>
    <x v="0"/>
    <s v="RE1"/>
    <x v="7"/>
    <x v="1"/>
    <x v="0"/>
    <s v="EmploymentConstructionManufacturingDirect"/>
    <x v="0"/>
    <s v="Direct"/>
    <n v="47.31"/>
    <x v="50"/>
    <n v="6091.1141011575974"/>
  </r>
  <r>
    <s v="CN|NewCapacity|RE1|PWRWNDOFS_FIX|2041"/>
    <x v="0"/>
    <s v="RE1"/>
    <x v="7"/>
    <x v="2"/>
    <x v="0"/>
    <s v="EmploymentConstructionManufacturingDirect"/>
    <x v="0"/>
    <s v="Direct"/>
    <n v="47.31"/>
    <x v="50"/>
    <n v="5983.8535126435181"/>
  </r>
  <r>
    <s v="CN|NewCapacity|RE1|PWRWNDOFS_FIX|2042"/>
    <x v="0"/>
    <s v="RE1"/>
    <x v="7"/>
    <x v="18"/>
    <x v="0"/>
    <s v="EmploymentConstructionManufacturingDirect"/>
    <x v="0"/>
    <s v="Direct"/>
    <n v="47.31"/>
    <x v="50"/>
    <n v="5876.5929241294389"/>
  </r>
  <r>
    <s v="CN|NewCapacity|RE1|PWRWNDOFS_FIX|2043"/>
    <x v="0"/>
    <s v="RE1"/>
    <x v="7"/>
    <x v="19"/>
    <x v="0"/>
    <s v="EmploymentConstructionManufacturingDirect"/>
    <x v="0"/>
    <s v="Direct"/>
    <n v="47.31"/>
    <x v="50"/>
    <n v="5769.3323356003684"/>
  </r>
  <r>
    <s v="CN|NewCapacity|RE1|PWRWNDOFS_FIX|2044"/>
    <x v="0"/>
    <s v="RE1"/>
    <x v="7"/>
    <x v="20"/>
    <x v="0"/>
    <s v="EmploymentConstructionManufacturingDirect"/>
    <x v="0"/>
    <s v="Direct"/>
    <n v="8.9222579893960887"/>
    <x v="62"/>
    <n v="1067.8179006969883"/>
  </r>
  <r>
    <s v="CN|NewCapacity|RE1|PWRWNDOFS_FIX|2045"/>
    <x v="0"/>
    <s v="RE1"/>
    <x v="7"/>
    <x v="21"/>
    <x v="0"/>
    <s v="EmploymentConstructionManufacturingDirect"/>
    <x v="0"/>
    <s v="Direct"/>
    <n v="47.31"/>
    <x v="50"/>
    <n v="5554.8111585722108"/>
  </r>
  <r>
    <s v="CN|NewCapacity|RE1|PWRWNDOFS_FIX|2046"/>
    <x v="0"/>
    <s v="RE1"/>
    <x v="7"/>
    <x v="22"/>
    <x v="0"/>
    <s v="EmploymentConstructionManufacturingDirect"/>
    <x v="0"/>
    <s v="Direct"/>
    <n v="47.31"/>
    <x v="50"/>
    <n v="5447.5505700581316"/>
  </r>
  <r>
    <s v="CN|NewCapacity|RE1|PWRWNDOFS_FIX|2047"/>
    <x v="0"/>
    <s v="RE1"/>
    <x v="7"/>
    <x v="3"/>
    <x v="0"/>
    <s v="EmploymentConstructionManufacturingDirect"/>
    <x v="0"/>
    <s v="Direct"/>
    <n v="47.31"/>
    <x v="50"/>
    <n v="5340.2899815440524"/>
  </r>
  <r>
    <s v="CN|NewCapacity|RE1|PWRWNDOFS_FIX|2048"/>
    <x v="0"/>
    <s v="RE1"/>
    <x v="7"/>
    <x v="4"/>
    <x v="0"/>
    <s v="EmploymentConstructionManufacturingDirect"/>
    <x v="0"/>
    <s v="Direct"/>
    <n v="47.31"/>
    <x v="50"/>
    <n v="5233.029393029974"/>
  </r>
  <r>
    <s v="CN|NewCapacity|RE1|PWRWNDOFS_FIX|2049"/>
    <x v="0"/>
    <s v="RE1"/>
    <x v="7"/>
    <x v="23"/>
    <x v="0"/>
    <s v="EmploymentConstructionManufacturingDirect"/>
    <x v="0"/>
    <s v="Direct"/>
    <n v="35.643284255973491"/>
    <x v="63"/>
    <n v="3861.7466609432913"/>
  </r>
  <r>
    <s v="CN|NewCapacity|RE1|PWRWNDOFS_FIX|2052"/>
    <x v="0"/>
    <s v="RE1"/>
    <x v="7"/>
    <x v="26"/>
    <x v="0"/>
    <s v="EmploymentConstructionManufacturingDirect"/>
    <x v="0"/>
    <s v="Direct"/>
    <n v="11.70670091416862"/>
    <x v="64"/>
    <n v="1241.8130357187842"/>
  </r>
  <r>
    <s v="CN|NewCapacity|RE1|PWRWNDOFS_FIX|2053"/>
    <x v="0"/>
    <s v="RE1"/>
    <x v="7"/>
    <x v="27"/>
    <x v="0"/>
    <s v="EmploymentConstructionManufacturingDirect"/>
    <x v="0"/>
    <s v="Direct"/>
    <n v="22.388523657777679"/>
    <x v="65"/>
    <n v="2374.9099539288241"/>
  </r>
  <r>
    <s v="CN|NewCapacity|RE1|PWRWNDOFS_FIX|2054"/>
    <x v="0"/>
    <s v="RE1"/>
    <x v="7"/>
    <x v="28"/>
    <x v="0"/>
    <s v="EmploymentConstructionManufacturingDirect"/>
    <x v="0"/>
    <s v="Direct"/>
    <n v="21.17121239331691"/>
    <x v="66"/>
    <n v="2245.7810893735573"/>
  </r>
  <r>
    <s v="CN|NewCapacity|RE1|PWRWNDOFS_FLO|2047"/>
    <x v="0"/>
    <s v="RE1"/>
    <x v="8"/>
    <x v="3"/>
    <x v="0"/>
    <s v="EmploymentConstructionManufacturingDirect"/>
    <x v="0"/>
    <s v="Direct"/>
    <n v="2.3209769134012128"/>
    <x v="67"/>
    <n v="632.62434210369827"/>
  </r>
  <r>
    <s v="CN|NewCapacity|RE1|PWRWNDOFS_FLO|2048"/>
    <x v="0"/>
    <s v="RE1"/>
    <x v="8"/>
    <x v="4"/>
    <x v="0"/>
    <s v="EmploymentConstructionManufacturingDirect"/>
    <x v="0"/>
    <s v="Direct"/>
    <n v="4.9525127701078064"/>
    <x v="68"/>
    <n v="1295.7413925374262"/>
  </r>
  <r>
    <s v="CN|NewCapacity|RE1|PWRWNDONS|2025"/>
    <x v="0"/>
    <s v="RE1"/>
    <x v="9"/>
    <x v="30"/>
    <x v="0"/>
    <s v="EmploymentConstructionManufacturingDirect"/>
    <x v="0"/>
    <s v="Direct"/>
    <n v="0.15362331428571441"/>
    <x v="69"/>
    <n v="34.978894298950074"/>
  </r>
  <r>
    <s v="CN|NewCapacity|RE1|PWRWNDONS|2026"/>
    <x v="0"/>
    <s v="RE1"/>
    <x v="9"/>
    <x v="5"/>
    <x v="0"/>
    <s v="EmploymentConstructionManufacturingDirect"/>
    <x v="0"/>
    <s v="Direct"/>
    <n v="14.13582317014987"/>
    <x v="70"/>
    <n v="3191.044180690576"/>
  </r>
  <r>
    <s v="CN|NewCapacity|RE1|PWRWNDONS|2027"/>
    <x v="0"/>
    <s v="RE1"/>
    <x v="9"/>
    <x v="6"/>
    <x v="0"/>
    <s v="EmploymentConstructionManufacturingDirect"/>
    <x v="0"/>
    <s v="Direct"/>
    <n v="17.399999999999999"/>
    <x v="71"/>
    <n v="3893.9582329152408"/>
  </r>
  <r>
    <s v="CN|NewCapacity|RE1|PWRWNDONS|2028"/>
    <x v="0"/>
    <s v="RE1"/>
    <x v="9"/>
    <x v="0"/>
    <x v="0"/>
    <s v="EmploymentConstructionManufacturingDirect"/>
    <x v="0"/>
    <s v="Direct"/>
    <n v="6.4"/>
    <x v="72"/>
    <n v="1419.7743781904835"/>
  </r>
  <r>
    <s v="CN|NewCapacity|RE1|PWRWNDONS|2029"/>
    <x v="0"/>
    <s v="RE1"/>
    <x v="9"/>
    <x v="7"/>
    <x v="0"/>
    <s v="EmploymentConstructionManufacturingDirect"/>
    <x v="0"/>
    <s v="Direct"/>
    <n v="9.5"/>
    <x v="73"/>
    <n v="2088.9435063594824"/>
  </r>
  <r>
    <s v="CN|NewCapacity|RE1|PWRWNDONS|2030"/>
    <x v="0"/>
    <s v="RE1"/>
    <x v="9"/>
    <x v="8"/>
    <x v="0"/>
    <s v="EmploymentConstructionManufacturingDirect"/>
    <x v="0"/>
    <s v="Direct"/>
    <n v="9.4"/>
    <x v="74"/>
    <n v="2048.6156367230715"/>
  </r>
  <r>
    <s v="CN|NewCapacity|RE1|PWRWNDONS|2031"/>
    <x v="0"/>
    <s v="RE1"/>
    <x v="9"/>
    <x v="9"/>
    <x v="0"/>
    <s v="EmploymentConstructionManufacturingDirect"/>
    <x v="0"/>
    <s v="Direct"/>
    <n v="9.4"/>
    <x v="74"/>
    <n v="2043.1820032059472"/>
  </r>
  <r>
    <s v="CN|NewCapacity|RE1|PWRWNDONS|2032"/>
    <x v="0"/>
    <s v="RE1"/>
    <x v="9"/>
    <x v="10"/>
    <x v="0"/>
    <s v="EmploymentConstructionManufacturingDirect"/>
    <x v="0"/>
    <s v="Direct"/>
    <n v="9.4"/>
    <x v="74"/>
    <n v="2037.748369688823"/>
  </r>
  <r>
    <s v="CN|NewCapacity|RE1|PWRWNDONS|2033"/>
    <x v="0"/>
    <s v="RE1"/>
    <x v="9"/>
    <x v="11"/>
    <x v="0"/>
    <s v="EmploymentConstructionManufacturingDirect"/>
    <x v="0"/>
    <s v="Direct"/>
    <n v="9.4"/>
    <x v="74"/>
    <n v="2032.314736171699"/>
  </r>
  <r>
    <s v="CN|NewCapacity|RE1|PWRWNDONS|2034"/>
    <x v="0"/>
    <s v="RE1"/>
    <x v="9"/>
    <x v="12"/>
    <x v="0"/>
    <s v="EmploymentConstructionManufacturingDirect"/>
    <x v="0"/>
    <s v="Direct"/>
    <n v="9.4"/>
    <x v="74"/>
    <n v="2026.8811026545745"/>
  </r>
  <r>
    <s v="CN|NewCapacity|RE1|PWRWNDONS|2035"/>
    <x v="0"/>
    <s v="RE1"/>
    <x v="9"/>
    <x v="13"/>
    <x v="0"/>
    <s v="EmploymentConstructionManufacturingDirect"/>
    <x v="0"/>
    <s v="Direct"/>
    <n v="47.31"/>
    <x v="50"/>
    <n v="10173.902102648166"/>
  </r>
  <r>
    <s v="CN|NewCapacity|RE1|PWRWNDONS|2036"/>
    <x v="0"/>
    <s v="RE1"/>
    <x v="9"/>
    <x v="14"/>
    <x v="0"/>
    <s v="EmploymentConstructionManufacturingDirect"/>
    <x v="0"/>
    <s v="Direct"/>
    <n v="47.31"/>
    <x v="50"/>
    <n v="10146.554740765705"/>
  </r>
  <r>
    <s v="CN|NewCapacity|RE1|PWRWNDONS|2037"/>
    <x v="0"/>
    <s v="RE1"/>
    <x v="9"/>
    <x v="15"/>
    <x v="0"/>
    <s v="EmploymentConstructionManufacturingDirect"/>
    <x v="0"/>
    <s v="Direct"/>
    <n v="47.31"/>
    <x v="50"/>
    <n v="10119.207378883242"/>
  </r>
  <r>
    <s v="CN|NewCapacity|RE1|PWRWNDONS|2038"/>
    <x v="0"/>
    <s v="RE1"/>
    <x v="9"/>
    <x v="16"/>
    <x v="0"/>
    <s v="EmploymentConstructionManufacturingDirect"/>
    <x v="0"/>
    <s v="Direct"/>
    <n v="47.31"/>
    <x v="50"/>
    <n v="10091.860017000779"/>
  </r>
  <r>
    <s v="CN|NewCapacity|RE1|PWRWNDONS|2039"/>
    <x v="0"/>
    <s v="RE1"/>
    <x v="9"/>
    <x v="17"/>
    <x v="0"/>
    <s v="EmploymentConstructionManufacturingDirect"/>
    <x v="0"/>
    <s v="Direct"/>
    <n v="47.31"/>
    <x v="50"/>
    <n v="10064.512655118317"/>
  </r>
  <r>
    <s v="CN|NewCapacity|RE1|PWRWNDONS|2040"/>
    <x v="0"/>
    <s v="RE1"/>
    <x v="9"/>
    <x v="1"/>
    <x v="0"/>
    <s v="EmploymentConstructionManufacturingDirect"/>
    <x v="0"/>
    <s v="Direct"/>
    <n v="47.31"/>
    <x v="50"/>
    <n v="10037.165293235854"/>
  </r>
  <r>
    <s v="CN|NewCapacity|RE1|PWRWNDONS|2041"/>
    <x v="0"/>
    <s v="RE1"/>
    <x v="9"/>
    <x v="2"/>
    <x v="0"/>
    <s v="EmploymentConstructionManufacturingDirect"/>
    <x v="0"/>
    <s v="Direct"/>
    <n v="47.31"/>
    <x v="50"/>
    <n v="10009.817931353393"/>
  </r>
  <r>
    <s v="CN|NewCapacity|RE1|PWRWNDONS|2042"/>
    <x v="0"/>
    <s v="RE1"/>
    <x v="9"/>
    <x v="18"/>
    <x v="0"/>
    <s v="EmploymentConstructionManufacturingDirect"/>
    <x v="0"/>
    <s v="Direct"/>
    <n v="47.31"/>
    <x v="50"/>
    <n v="9982.4705694709282"/>
  </r>
  <r>
    <s v="CN|NewCapacity|RE1|PWRWNDONS|2043"/>
    <x v="0"/>
    <s v="RE1"/>
    <x v="9"/>
    <x v="19"/>
    <x v="0"/>
    <s v="EmploymentConstructionManufacturingDirect"/>
    <x v="0"/>
    <s v="Direct"/>
    <n v="47.31"/>
    <x v="50"/>
    <n v="9955.1232075884673"/>
  </r>
  <r>
    <s v="CN|NewCapacity|RE1|PWRWNDONS|2044"/>
    <x v="0"/>
    <s v="RE1"/>
    <x v="9"/>
    <x v="20"/>
    <x v="0"/>
    <s v="EmploymentConstructionManufacturingDirect"/>
    <x v="0"/>
    <s v="Direct"/>
    <n v="47.31"/>
    <x v="50"/>
    <n v="9927.7758457060045"/>
  </r>
  <r>
    <s v="CN|NewCapacity|RE1|PWRWNDONS|2045"/>
    <x v="0"/>
    <s v="RE1"/>
    <x v="9"/>
    <x v="21"/>
    <x v="0"/>
    <s v="EmploymentConstructionManufacturingDirect"/>
    <x v="0"/>
    <s v="Direct"/>
    <n v="47.31"/>
    <x v="50"/>
    <n v="9900.4284838235417"/>
  </r>
  <r>
    <s v="CN|NewCapacity|RE1|PWRWNDONS|2046"/>
    <x v="0"/>
    <s v="RE1"/>
    <x v="9"/>
    <x v="22"/>
    <x v="0"/>
    <s v="EmploymentConstructionManufacturingDirect"/>
    <x v="0"/>
    <s v="Direct"/>
    <n v="47.31"/>
    <x v="50"/>
    <n v="9873.0811219410789"/>
  </r>
  <r>
    <s v="CN|NewCapacity|RE1|PWRWNDONS|2047"/>
    <x v="0"/>
    <s v="RE1"/>
    <x v="9"/>
    <x v="3"/>
    <x v="0"/>
    <s v="EmploymentConstructionManufacturingDirect"/>
    <x v="0"/>
    <s v="Direct"/>
    <n v="47.31"/>
    <x v="50"/>
    <n v="9845.7337600586161"/>
  </r>
  <r>
    <s v="CN|NewCapacity|RE1|PWRWNDONS|2048"/>
    <x v="0"/>
    <s v="RE1"/>
    <x v="9"/>
    <x v="4"/>
    <x v="0"/>
    <s v="EmploymentConstructionManufacturingDirect"/>
    <x v="0"/>
    <s v="Direct"/>
    <n v="47.31"/>
    <x v="50"/>
    <n v="9818.3863981761551"/>
  </r>
  <r>
    <s v="CN|NewCapacity|RE1|PWRWNDONS|2049"/>
    <x v="0"/>
    <s v="RE1"/>
    <x v="9"/>
    <x v="23"/>
    <x v="0"/>
    <s v="EmploymentConstructionManufacturingDirect"/>
    <x v="0"/>
    <s v="Direct"/>
    <n v="47.31"/>
    <x v="50"/>
    <n v="9791.0390362936905"/>
  </r>
  <r>
    <s v="CN|NewCapacity|RE1|PWRWNDONS|2051"/>
    <x v="0"/>
    <s v="RE1"/>
    <x v="9"/>
    <x v="25"/>
    <x v="0"/>
    <s v="EmploymentConstructionManufacturingDirect"/>
    <x v="0"/>
    <s v="Direct"/>
    <n v="47.31"/>
    <x v="50"/>
    <n v="9763.6916744112277"/>
  </r>
  <r>
    <s v="CN|NewCapacity|RE1|PWRWNDONS|2052"/>
    <x v="0"/>
    <s v="RE1"/>
    <x v="9"/>
    <x v="26"/>
    <x v="0"/>
    <s v="EmploymentConstructionManufacturingDirect"/>
    <x v="0"/>
    <s v="Direct"/>
    <n v="47.31"/>
    <x v="50"/>
    <n v="9763.6916744112277"/>
  </r>
  <r>
    <s v="CN|NewCapacity|RE1|PWRWNDONS|2053"/>
    <x v="0"/>
    <s v="RE1"/>
    <x v="9"/>
    <x v="27"/>
    <x v="0"/>
    <s v="EmploymentConstructionManufacturingDirect"/>
    <x v="0"/>
    <s v="Direct"/>
    <n v="47.31"/>
    <x v="50"/>
    <n v="9763.6916744112277"/>
  </r>
  <r>
    <s v="CN|NewCapacity|RE1|PWRWNDONS|2054"/>
    <x v="0"/>
    <s v="RE1"/>
    <x v="9"/>
    <x v="28"/>
    <x v="0"/>
    <s v="EmploymentConstructionManufacturingDirect"/>
    <x v="0"/>
    <s v="Direct"/>
    <n v="47.31"/>
    <x v="50"/>
    <n v="9763.6916744112277"/>
  </r>
  <r>
    <s v="CN|NewCapacity|RE1|PWRWNDONS|2055"/>
    <x v="0"/>
    <s v="RE1"/>
    <x v="9"/>
    <x v="29"/>
    <x v="0"/>
    <s v="EmploymentConstructionManufacturingDirect"/>
    <x v="0"/>
    <s v="Direct"/>
    <n v="11.439154376664289"/>
    <x v="75"/>
    <n v="2360.7773483352757"/>
  </r>
  <r>
    <s v="CN|AccumulatedNewCapacity|RE1|PWRHYDDAM|2028"/>
    <x v="0"/>
    <s v="RE1"/>
    <x v="0"/>
    <x v="0"/>
    <x v="1"/>
    <s v="EmploymentOMDirect"/>
    <x v="1"/>
    <s v="Direct"/>
    <n v="37.840000000000003"/>
    <x v="0"/>
    <n v="763.09275737064911"/>
  </r>
  <r>
    <s v="CN|AccumulatedNewCapacity|RE1|PWRHYDDAM|2029"/>
    <x v="0"/>
    <s v="RE1"/>
    <x v="0"/>
    <x v="7"/>
    <x v="1"/>
    <s v="EmploymentOMDirect"/>
    <x v="1"/>
    <s v="Direct"/>
    <n v="37.840000000000003"/>
    <x v="0"/>
    <n v="766.45017365072124"/>
  </r>
  <r>
    <s v="CN|AccumulatedNewCapacity|RE1|PWRHYDDAM|2030"/>
    <x v="0"/>
    <s v="RE1"/>
    <x v="0"/>
    <x v="8"/>
    <x v="1"/>
    <s v="EmploymentOMDirect"/>
    <x v="1"/>
    <s v="Direct"/>
    <n v="37.840000000000003"/>
    <x v="0"/>
    <n v="769.80758993079326"/>
  </r>
  <r>
    <s v="CN|AccumulatedNewCapacity|RE1|PWRHYDDAM|2031"/>
    <x v="0"/>
    <s v="RE1"/>
    <x v="0"/>
    <x v="9"/>
    <x v="1"/>
    <s v="EmploymentOMDirect"/>
    <x v="1"/>
    <s v="Direct"/>
    <n v="37.840000000000003"/>
    <x v="0"/>
    <n v="769.59725998826775"/>
  </r>
  <r>
    <s v="CN|AccumulatedNewCapacity|RE1|PWRHYDDAM|2032"/>
    <x v="0"/>
    <s v="RE1"/>
    <x v="0"/>
    <x v="10"/>
    <x v="1"/>
    <s v="EmploymentOMDirect"/>
    <x v="1"/>
    <s v="Direct"/>
    <n v="37.840000000000003"/>
    <x v="0"/>
    <n v="769.38693004574236"/>
  </r>
  <r>
    <s v="CN|AccumulatedNewCapacity|RE1|PWRHYDDAM|2033"/>
    <x v="0"/>
    <s v="RE1"/>
    <x v="0"/>
    <x v="11"/>
    <x v="1"/>
    <s v="EmploymentOMDirect"/>
    <x v="1"/>
    <s v="Direct"/>
    <n v="37.840000000000003"/>
    <x v="0"/>
    <n v="769.17660010321697"/>
  </r>
  <r>
    <s v="CN|AccumulatedNewCapacity|RE1|PWRHYDDAM|2034"/>
    <x v="0"/>
    <s v="RE1"/>
    <x v="0"/>
    <x v="12"/>
    <x v="1"/>
    <s v="EmploymentOMDirect"/>
    <x v="1"/>
    <s v="Direct"/>
    <n v="37.840000000000003"/>
    <x v="0"/>
    <n v="768.96627016069158"/>
  </r>
  <r>
    <s v="CN|AccumulatedNewCapacity|RE1|PWRHYDDAM|2035"/>
    <x v="0"/>
    <s v="RE1"/>
    <x v="0"/>
    <x v="13"/>
    <x v="1"/>
    <s v="EmploymentOMDirect"/>
    <x v="1"/>
    <s v="Direct"/>
    <n v="37.840000000000003"/>
    <x v="0"/>
    <n v="768.75594021816619"/>
  </r>
  <r>
    <s v="CN|AccumulatedNewCapacity|RE1|PWRHYDDAM|2036"/>
    <x v="0"/>
    <s v="RE1"/>
    <x v="0"/>
    <x v="14"/>
    <x v="1"/>
    <s v="EmploymentOMDirect"/>
    <x v="1"/>
    <s v="Direct"/>
    <n v="37.840000000000003"/>
    <x v="0"/>
    <n v="768.54561027564068"/>
  </r>
  <r>
    <s v="CN|AccumulatedNewCapacity|RE1|PWRHYDDAM|2037"/>
    <x v="0"/>
    <s v="RE1"/>
    <x v="0"/>
    <x v="15"/>
    <x v="1"/>
    <s v="EmploymentOMDirect"/>
    <x v="1"/>
    <s v="Direct"/>
    <n v="37.840000000000003"/>
    <x v="0"/>
    <n v="768.33528033311529"/>
  </r>
  <r>
    <s v="CN|AccumulatedNewCapacity|RE1|PWRHYDDAM|2038"/>
    <x v="0"/>
    <s v="RE1"/>
    <x v="0"/>
    <x v="16"/>
    <x v="1"/>
    <s v="EmploymentOMDirect"/>
    <x v="1"/>
    <s v="Direct"/>
    <n v="37.840000000000003"/>
    <x v="0"/>
    <n v="768.12495038939073"/>
  </r>
  <r>
    <s v="CN|AccumulatedNewCapacity|RE1|PWRHYDDAM|2039"/>
    <x v="0"/>
    <s v="RE1"/>
    <x v="0"/>
    <x v="17"/>
    <x v="1"/>
    <s v="EmploymentOMDirect"/>
    <x v="1"/>
    <s v="Direct"/>
    <n v="37.840000000000003"/>
    <x v="0"/>
    <n v="767.91462044686546"/>
  </r>
  <r>
    <s v="CN|AccumulatedNewCapacity|RE1|PWRHYDDAM|2040"/>
    <x v="0"/>
    <s v="RE1"/>
    <x v="0"/>
    <x v="1"/>
    <x v="1"/>
    <s v="EmploymentOMDirect"/>
    <x v="1"/>
    <s v="Direct"/>
    <n v="37.840000000000003"/>
    <x v="0"/>
    <n v="767.70429050433995"/>
  </r>
  <r>
    <s v="CN|AccumulatedNewCapacity|RE1|PWRHYDDAM|2041"/>
    <x v="0"/>
    <s v="RE1"/>
    <x v="0"/>
    <x v="2"/>
    <x v="1"/>
    <s v="EmploymentOMDirect"/>
    <x v="1"/>
    <s v="Direct"/>
    <n v="37.840000000000003"/>
    <x v="0"/>
    <n v="767.49396056181456"/>
  </r>
  <r>
    <s v="CN|AccumulatedNewCapacity|RE1|PWRHYDDAM|2042"/>
    <x v="0"/>
    <s v="RE1"/>
    <x v="0"/>
    <x v="18"/>
    <x v="1"/>
    <s v="EmploymentOMDirect"/>
    <x v="1"/>
    <s v="Direct"/>
    <n v="37.840000000000003"/>
    <x v="0"/>
    <n v="767.28363061928906"/>
  </r>
  <r>
    <s v="CN|AccumulatedNewCapacity|RE1|PWRHYDDAM|2043"/>
    <x v="0"/>
    <s v="RE1"/>
    <x v="0"/>
    <x v="19"/>
    <x v="1"/>
    <s v="EmploymentOMDirect"/>
    <x v="1"/>
    <s v="Direct"/>
    <n v="37.840000000000003"/>
    <x v="0"/>
    <n v="767.07330067676378"/>
  </r>
  <r>
    <s v="CN|AccumulatedNewCapacity|RE1|PWRHYDDAM|2044"/>
    <x v="0"/>
    <s v="RE1"/>
    <x v="0"/>
    <x v="20"/>
    <x v="1"/>
    <s v="EmploymentOMDirect"/>
    <x v="1"/>
    <s v="Direct"/>
    <n v="37.840000000000003"/>
    <x v="0"/>
    <n v="766.86297073423839"/>
  </r>
  <r>
    <s v="CN|AccumulatedNewCapacity|RE1|PWRHYDDAM|2045"/>
    <x v="0"/>
    <s v="RE1"/>
    <x v="0"/>
    <x v="21"/>
    <x v="1"/>
    <s v="EmploymentOMDirect"/>
    <x v="1"/>
    <s v="Direct"/>
    <n v="37.840000000000003"/>
    <x v="0"/>
    <n v="766.65264079171288"/>
  </r>
  <r>
    <s v="CN|AccumulatedNewCapacity|RE1|PWRHYDDAM|2046"/>
    <x v="0"/>
    <s v="RE1"/>
    <x v="0"/>
    <x v="22"/>
    <x v="1"/>
    <s v="EmploymentOMDirect"/>
    <x v="1"/>
    <s v="Direct"/>
    <n v="37.840000000000003"/>
    <x v="0"/>
    <n v="766.44231084918749"/>
  </r>
  <r>
    <s v="CN|AccumulatedNewCapacity|RE1|PWRHYDDAM|2047"/>
    <x v="0"/>
    <s v="RE1"/>
    <x v="0"/>
    <x v="3"/>
    <x v="1"/>
    <s v="EmploymentOMDirect"/>
    <x v="1"/>
    <s v="Direct"/>
    <n v="37.840000000000003"/>
    <x v="0"/>
    <n v="766.2319809066621"/>
  </r>
  <r>
    <s v="CN|AccumulatedNewCapacity|RE1|PWRHYDDAM|2048"/>
    <x v="0"/>
    <s v="RE1"/>
    <x v="0"/>
    <x v="4"/>
    <x v="1"/>
    <s v="EmploymentOMDirect"/>
    <x v="1"/>
    <s v="Direct"/>
    <n v="37.840000000000003"/>
    <x v="0"/>
    <n v="766.02165096413671"/>
  </r>
  <r>
    <s v="CN|AccumulatedNewCapacity|RE1|PWRHYDDAM|2049"/>
    <x v="0"/>
    <s v="RE1"/>
    <x v="0"/>
    <x v="23"/>
    <x v="1"/>
    <s v="EmploymentOMDirect"/>
    <x v="1"/>
    <s v="Direct"/>
    <n v="37.840000000000003"/>
    <x v="0"/>
    <n v="765.81132102161121"/>
  </r>
  <r>
    <s v="CN|AccumulatedNewCapacity|RE1|PWRHYDDAM|2050"/>
    <x v="0"/>
    <s v="RE1"/>
    <x v="0"/>
    <x v="24"/>
    <x v="1"/>
    <s v="EmploymentOMDirect"/>
    <x v="1"/>
    <s v="Direct"/>
    <n v="37.840000000000003"/>
    <x v="0"/>
    <n v="765.60099107908582"/>
  </r>
  <r>
    <s v="CN|AccumulatedNewCapacity|RE1|PWRHYDDAM|2051"/>
    <x v="0"/>
    <s v="RE1"/>
    <x v="0"/>
    <x v="25"/>
    <x v="1"/>
    <s v="EmploymentOMDirect"/>
    <x v="1"/>
    <s v="Direct"/>
    <n v="37.840000000000003"/>
    <x v="0"/>
    <n v="765.60099107908582"/>
  </r>
  <r>
    <s v="CN|AccumulatedNewCapacity|RE1|PWRHYDDAM|2052"/>
    <x v="0"/>
    <s v="RE1"/>
    <x v="0"/>
    <x v="26"/>
    <x v="1"/>
    <s v="EmploymentOMDirect"/>
    <x v="1"/>
    <s v="Direct"/>
    <n v="37.840000000000003"/>
    <x v="0"/>
    <n v="765.60099107908582"/>
  </r>
  <r>
    <s v="CN|AccumulatedNewCapacity|RE1|PWRHYDDAM|2053"/>
    <x v="0"/>
    <s v="RE1"/>
    <x v="0"/>
    <x v="27"/>
    <x v="1"/>
    <s v="EmploymentOMDirect"/>
    <x v="1"/>
    <s v="Direct"/>
    <n v="37.840000000000003"/>
    <x v="0"/>
    <n v="765.60099107908582"/>
  </r>
  <r>
    <s v="CN|AccumulatedNewCapacity|RE1|PWRHYDDAM|2054"/>
    <x v="0"/>
    <s v="RE1"/>
    <x v="0"/>
    <x v="28"/>
    <x v="1"/>
    <s v="EmploymentOMDirect"/>
    <x v="1"/>
    <s v="Direct"/>
    <n v="37.840000000000003"/>
    <x v="0"/>
    <n v="765.60099107908582"/>
  </r>
  <r>
    <s v="CN|AccumulatedNewCapacity|RE1|PWRHYDDAM|2055"/>
    <x v="0"/>
    <s v="RE1"/>
    <x v="0"/>
    <x v="29"/>
    <x v="1"/>
    <s v="EmploymentOMDirect"/>
    <x v="1"/>
    <s v="Direct"/>
    <n v="37.840000000000003"/>
    <x v="0"/>
    <n v="765.60099107908582"/>
  </r>
  <r>
    <s v="CN|AccumulatedNewCapacity|RE1|PWRHYDROR_NDC|2040"/>
    <x v="0"/>
    <s v="RE1"/>
    <x v="1"/>
    <x v="1"/>
    <x v="1"/>
    <s v="EmploymentOMDirect"/>
    <x v="1"/>
    <s v="Direct"/>
    <n v="31.34"/>
    <x v="1"/>
    <n v="5191.1645192879751"/>
  </r>
  <r>
    <s v="CN|AccumulatedNewCapacity|RE1|PWRHYDROR_NDC|2041"/>
    <x v="0"/>
    <s v="RE1"/>
    <x v="1"/>
    <x v="2"/>
    <x v="1"/>
    <s v="EmploymentOMDirect"/>
    <x v="1"/>
    <s v="Direct"/>
    <n v="58.986358233509478"/>
    <x v="76"/>
    <n v="9767.5615841450326"/>
  </r>
  <r>
    <s v="CN|AccumulatedNewCapacity|RE1|PWRHYDROR_NDC|2042"/>
    <x v="0"/>
    <s v="RE1"/>
    <x v="1"/>
    <x v="18"/>
    <x v="1"/>
    <s v="EmploymentOMDirect"/>
    <x v="1"/>
    <s v="Direct"/>
    <n v="58.986358233509478"/>
    <x v="76"/>
    <n v="9764.6097674028788"/>
  </r>
  <r>
    <s v="CN|AccumulatedNewCapacity|RE1|PWRHYDROR_NDC|2043"/>
    <x v="0"/>
    <s v="RE1"/>
    <x v="1"/>
    <x v="19"/>
    <x v="1"/>
    <s v="EmploymentOMDirect"/>
    <x v="1"/>
    <s v="Direct"/>
    <n v="58.986358233509478"/>
    <x v="76"/>
    <n v="9761.657950660725"/>
  </r>
  <r>
    <s v="CN|AccumulatedNewCapacity|RE1|PWRHYDROR_NDC|2044"/>
    <x v="0"/>
    <s v="RE1"/>
    <x v="1"/>
    <x v="20"/>
    <x v="1"/>
    <s v="EmploymentOMDirect"/>
    <x v="1"/>
    <s v="Direct"/>
    <n v="58.986358233509478"/>
    <x v="76"/>
    <n v="9758.7061339372613"/>
  </r>
  <r>
    <s v="CN|AccumulatedNewCapacity|RE1|PWRHYDROR_NDC|2045"/>
    <x v="0"/>
    <s v="RE1"/>
    <x v="1"/>
    <x v="21"/>
    <x v="1"/>
    <s v="EmploymentOMDirect"/>
    <x v="1"/>
    <s v="Direct"/>
    <n v="58.986358233509478"/>
    <x v="76"/>
    <n v="9755.7543171951056"/>
  </r>
  <r>
    <s v="CN|AccumulatedNewCapacity|RE1|PWRHYDROR_NDC|2046"/>
    <x v="0"/>
    <s v="RE1"/>
    <x v="1"/>
    <x v="22"/>
    <x v="1"/>
    <s v="EmploymentOMDirect"/>
    <x v="1"/>
    <s v="Direct"/>
    <n v="58.986358233509478"/>
    <x v="76"/>
    <n v="9752.8025004529518"/>
  </r>
  <r>
    <s v="CN|AccumulatedNewCapacity|RE1|PWRHYDROR_NDC|2047"/>
    <x v="0"/>
    <s v="RE1"/>
    <x v="1"/>
    <x v="3"/>
    <x v="1"/>
    <s v="EmploymentOMDirect"/>
    <x v="1"/>
    <s v="Direct"/>
    <n v="90.326358233509481"/>
    <x v="77"/>
    <n v="14930.036909445806"/>
  </r>
  <r>
    <s v="CN|AccumulatedNewCapacity|RE1|PWRHYDROR_NDC|2048"/>
    <x v="0"/>
    <s v="RE1"/>
    <x v="1"/>
    <x v="4"/>
    <x v="1"/>
    <s v="EmploymentOMDirect"/>
    <x v="1"/>
    <s v="Direct"/>
    <n v="121.6663582335095"/>
    <x v="78"/>
    <n v="20104.134663173521"/>
  </r>
  <r>
    <s v="CN|AccumulatedNewCapacity|RE1|PWRHYDROR_NDC|2049"/>
    <x v="0"/>
    <s v="RE1"/>
    <x v="1"/>
    <x v="23"/>
    <x v="1"/>
    <s v="EmploymentOMDirect"/>
    <x v="1"/>
    <s v="Direct"/>
    <n v="121.6663582335095"/>
    <x v="78"/>
    <n v="20098.046191127683"/>
  </r>
  <r>
    <s v="CN|AccumulatedNewCapacity|RE1|PWRHYDROR_NDC|2050"/>
    <x v="0"/>
    <s v="RE1"/>
    <x v="1"/>
    <x v="24"/>
    <x v="1"/>
    <s v="EmploymentOMDirect"/>
    <x v="1"/>
    <s v="Direct"/>
    <n v="121.6663582335095"/>
    <x v="78"/>
    <n v="20091.957719081842"/>
  </r>
  <r>
    <s v="CN|AccumulatedNewCapacity|RE1|PWRHYDROR_NDC|2051"/>
    <x v="0"/>
    <s v="RE1"/>
    <x v="1"/>
    <x v="25"/>
    <x v="1"/>
    <s v="EmploymentOMDirect"/>
    <x v="1"/>
    <s v="Direct"/>
    <n v="121.6663582335095"/>
    <x v="78"/>
    <n v="20091.957719081842"/>
  </r>
  <r>
    <s v="CN|AccumulatedNewCapacity|RE1|PWRHYDROR_NDC|2052"/>
    <x v="0"/>
    <s v="RE1"/>
    <x v="1"/>
    <x v="26"/>
    <x v="1"/>
    <s v="EmploymentOMDirect"/>
    <x v="1"/>
    <s v="Direct"/>
    <n v="121.6663582335095"/>
    <x v="78"/>
    <n v="20091.957719081842"/>
  </r>
  <r>
    <s v="CN|AccumulatedNewCapacity|RE1|PWRHYDROR_NDC|2053"/>
    <x v="0"/>
    <s v="RE1"/>
    <x v="1"/>
    <x v="27"/>
    <x v="1"/>
    <s v="EmploymentOMDirect"/>
    <x v="1"/>
    <s v="Direct"/>
    <n v="121.6663582335095"/>
    <x v="78"/>
    <n v="20091.957719081842"/>
  </r>
  <r>
    <s v="CN|AccumulatedNewCapacity|RE1|PWRHYDROR_NDC|2054"/>
    <x v="0"/>
    <s v="RE1"/>
    <x v="1"/>
    <x v="28"/>
    <x v="1"/>
    <s v="EmploymentOMDirect"/>
    <x v="1"/>
    <s v="Direct"/>
    <n v="121.6663582335095"/>
    <x v="78"/>
    <n v="20091.957719081842"/>
  </r>
  <r>
    <s v="CN|AccumulatedNewCapacity|RE1|PWRHYDROR_NDC|2055"/>
    <x v="0"/>
    <s v="RE1"/>
    <x v="1"/>
    <x v="29"/>
    <x v="1"/>
    <s v="EmploymentOMDirect"/>
    <x v="1"/>
    <s v="Direct"/>
    <n v="121.6663582335095"/>
    <x v="78"/>
    <n v="20091.957719081842"/>
  </r>
  <r>
    <s v="CN|AccumulatedNewCapacity|RE1|PWRSOLRTP|2026"/>
    <x v="0"/>
    <s v="RE1"/>
    <x v="2"/>
    <x v="5"/>
    <x v="1"/>
    <s v="EmploymentOMDirect"/>
    <x v="1"/>
    <s v="Direct"/>
    <n v="10.37"/>
    <x v="3"/>
    <n v="93.94250513341224"/>
  </r>
  <r>
    <s v="CN|AccumulatedNewCapacity|RE1|PWRSOLRTP|2027"/>
    <x v="0"/>
    <s v="RE1"/>
    <x v="2"/>
    <x v="6"/>
    <x v="1"/>
    <s v="EmploymentOMDirect"/>
    <x v="1"/>
    <s v="Direct"/>
    <n v="25.21"/>
    <x v="79"/>
    <n v="222.74004285739474"/>
  </r>
  <r>
    <s v="CN|AccumulatedNewCapacity|RE1|PWRSOLRTP|2028"/>
    <x v="0"/>
    <s v="RE1"/>
    <x v="2"/>
    <x v="0"/>
    <x v="1"/>
    <s v="EmploymentOMDirect"/>
    <x v="1"/>
    <s v="Direct"/>
    <n v="41.54"/>
    <x v="80"/>
    <n v="357.73017854140625"/>
  </r>
  <r>
    <s v="CN|AccumulatedNewCapacity|RE1|PWRSOLRTP|2029"/>
    <x v="0"/>
    <s v="RE1"/>
    <x v="2"/>
    <x v="7"/>
    <x v="1"/>
    <s v="EmploymentOMDirect"/>
    <x v="1"/>
    <s v="Direct"/>
    <n v="59.36"/>
    <x v="81"/>
    <n v="497.91305981678204"/>
  </r>
  <r>
    <s v="CN|AccumulatedNewCapacity|RE1|PWRSOLRTP|2030"/>
    <x v="0"/>
    <s v="RE1"/>
    <x v="2"/>
    <x v="8"/>
    <x v="1"/>
    <s v="EmploymentOMDirect"/>
    <x v="1"/>
    <s v="Direct"/>
    <n v="77.460000000000008"/>
    <x v="82"/>
    <n v="632.40997973569108"/>
  </r>
  <r>
    <s v="CN|AccumulatedNewCapacity|RE1|PWRSOLRTP|2031"/>
    <x v="0"/>
    <s v="RE1"/>
    <x v="2"/>
    <x v="9"/>
    <x v="1"/>
    <s v="EmploymentOMDirect"/>
    <x v="1"/>
    <s v="Direct"/>
    <n v="95.09"/>
    <x v="83"/>
    <n v="770.23227554821369"/>
  </r>
  <r>
    <s v="CN|AccumulatedNewCapacity|RE1|PWRSOLRTP|2032"/>
    <x v="0"/>
    <s v="RE1"/>
    <x v="2"/>
    <x v="10"/>
    <x v="1"/>
    <s v="EmploymentOMDirect"/>
    <x v="1"/>
    <s v="Direct"/>
    <n v="110.88"/>
    <x v="84"/>
    <n v="891.00132866246861"/>
  </r>
  <r>
    <s v="CN|AccumulatedNewCapacity|RE1|PWRSOLRTP|2033"/>
    <x v="0"/>
    <s v="RE1"/>
    <x v="2"/>
    <x v="11"/>
    <x v="1"/>
    <s v="EmploymentOMDirect"/>
    <x v="1"/>
    <s v="Direct"/>
    <n v="126.8"/>
    <x v="85"/>
    <n v="1010.7758138602808"/>
  </r>
  <r>
    <s v="CN|AccumulatedNewCapacity|RE1|PWRSOLRTP|2034"/>
    <x v="0"/>
    <s v="RE1"/>
    <x v="2"/>
    <x v="12"/>
    <x v="1"/>
    <s v="EmploymentOMDirect"/>
    <x v="1"/>
    <s v="Direct"/>
    <n v="140.15"/>
    <x v="86"/>
    <n v="1108.181454193752"/>
  </r>
  <r>
    <s v="CN|AccumulatedNewCapacity|RE1|PWRSOLRTP|2035"/>
    <x v="0"/>
    <s v="RE1"/>
    <x v="2"/>
    <x v="13"/>
    <x v="1"/>
    <s v="EmploymentOMDirect"/>
    <x v="1"/>
    <s v="Direct"/>
    <n v="151.94"/>
    <x v="87"/>
    <n v="1191.6352954597307"/>
  </r>
  <r>
    <s v="CN|AccumulatedNewCapacity|RE1|PWRSOLRTP|2036"/>
    <x v="0"/>
    <s v="RE1"/>
    <x v="2"/>
    <x v="14"/>
    <x v="1"/>
    <s v="EmploymentOMDirect"/>
    <x v="1"/>
    <s v="Direct"/>
    <n v="163.92"/>
    <x v="88"/>
    <n v="1275.0506636588714"/>
  </r>
  <r>
    <s v="CN|AccumulatedNewCapacity|RE1|PWRSOLRTP|2037"/>
    <x v="0"/>
    <s v="RE1"/>
    <x v="2"/>
    <x v="15"/>
    <x v="1"/>
    <s v="EmploymentOMDirect"/>
    <x v="1"/>
    <s v="Direct"/>
    <n v="174.07"/>
    <x v="89"/>
    <n v="1342.80824867249"/>
  </r>
  <r>
    <s v="CN|AccumulatedNewCapacity|RE1|PWRSOLRTP|2038"/>
    <x v="0"/>
    <s v="RE1"/>
    <x v="2"/>
    <x v="16"/>
    <x v="1"/>
    <s v="EmploymentOMDirect"/>
    <x v="1"/>
    <s v="Direct"/>
    <n v="181.77"/>
    <x v="90"/>
    <n v="1390.5181785246541"/>
  </r>
  <r>
    <s v="CN|AccumulatedNewCapacity|RE1|PWRSOLRTP|2039"/>
    <x v="0"/>
    <s v="RE1"/>
    <x v="2"/>
    <x v="17"/>
    <x v="1"/>
    <s v="EmploymentOMDirect"/>
    <x v="1"/>
    <s v="Direct"/>
    <n v="187.79"/>
    <x v="91"/>
    <n v="1424.4940064767407"/>
  </r>
  <r>
    <s v="CN|AccumulatedNewCapacity|RE1|PWRSOLRTP|2040"/>
    <x v="0"/>
    <s v="RE1"/>
    <x v="2"/>
    <x v="1"/>
    <x v="1"/>
    <s v="EmploymentOMDirect"/>
    <x v="1"/>
    <s v="Direct"/>
    <n v="192.7"/>
    <x v="92"/>
    <n v="1449.3469644274344"/>
  </r>
  <r>
    <s v="CN|AccumulatedNewCapacity|RE1|PWRSOLRTP|2041"/>
    <x v="0"/>
    <s v="RE1"/>
    <x v="2"/>
    <x v="2"/>
    <x v="1"/>
    <s v="EmploymentOMDirect"/>
    <x v="1"/>
    <s v="Direct"/>
    <n v="196.82"/>
    <x v="93"/>
    <n v="1467.6774234691432"/>
  </r>
  <r>
    <s v="CN|AccumulatedNewCapacity|RE1|PWRSOLRTP|2042"/>
    <x v="0"/>
    <s v="RE1"/>
    <x v="2"/>
    <x v="18"/>
    <x v="1"/>
    <s v="EmploymentOMDirect"/>
    <x v="1"/>
    <s v="Direct"/>
    <n v="201.41345518622691"/>
    <x v="94"/>
    <n v="1488.9780689882748"/>
  </r>
  <r>
    <s v="CN|AccumulatedNewCapacity|RE1|PWRSOLRTP|2043"/>
    <x v="0"/>
    <s v="RE1"/>
    <x v="2"/>
    <x v="19"/>
    <x v="1"/>
    <s v="EmploymentOMDirect"/>
    <x v="1"/>
    <s v="Direct"/>
    <n v="204.4534551862269"/>
    <x v="95"/>
    <n v="1498.3036789933781"/>
  </r>
  <r>
    <s v="CN|AccumulatedNewCapacity|RE1|PWRSOLRTP|2044"/>
    <x v="0"/>
    <s v="RE1"/>
    <x v="2"/>
    <x v="20"/>
    <x v="1"/>
    <s v="EmploymentOMDirect"/>
    <x v="1"/>
    <s v="Direct"/>
    <n v="207.2434551862269"/>
    <x v="96"/>
    <n v="1505.4222882489566"/>
  </r>
  <r>
    <s v="CN|AccumulatedNewCapacity|RE1|PWRSOLRTP|2045"/>
    <x v="0"/>
    <s v="RE1"/>
    <x v="2"/>
    <x v="21"/>
    <x v="1"/>
    <s v="EmploymentOMDirect"/>
    <x v="1"/>
    <s v="Direct"/>
    <n v="209.87345518622689"/>
    <x v="97"/>
    <n v="1511.0301026712893"/>
  </r>
  <r>
    <s v="CN|AccumulatedNewCapacity|RE1|PWRSOLRTP|2046"/>
    <x v="0"/>
    <s v="RE1"/>
    <x v="2"/>
    <x v="22"/>
    <x v="1"/>
    <s v="EmploymentOMDirect"/>
    <x v="1"/>
    <s v="Direct"/>
    <n v="212.41345518622691"/>
    <x v="98"/>
    <n v="1515.6574690165562"/>
  </r>
  <r>
    <s v="CN|AccumulatedNewCapacity|RE1|PWRSOLRTP|2047"/>
    <x v="0"/>
    <s v="RE1"/>
    <x v="2"/>
    <x v="3"/>
    <x v="1"/>
    <s v="EmploymentOMDirect"/>
    <x v="1"/>
    <s v="Direct"/>
    <n v="214.95345518622679"/>
    <x v="99"/>
    <n v="1519.9581498232753"/>
  </r>
  <r>
    <s v="CN|AccumulatedNewCapacity|RE1|PWRSOLRTP|2048"/>
    <x v="0"/>
    <s v="RE1"/>
    <x v="2"/>
    <x v="4"/>
    <x v="1"/>
    <s v="EmploymentOMDirect"/>
    <x v="1"/>
    <s v="Direct"/>
    <n v="216.22345518622689"/>
    <x v="100"/>
    <n v="1515.0335148980157"/>
  </r>
  <r>
    <s v="CN|AccumulatedNewCapacity|RE1|PWRSOLRTP|2049"/>
    <x v="0"/>
    <s v="RE1"/>
    <x v="2"/>
    <x v="23"/>
    <x v="1"/>
    <s v="EmploymentOMDirect"/>
    <x v="1"/>
    <s v="Direct"/>
    <n v="217.4934551862269"/>
    <x v="101"/>
    <n v="1509.9455372000762"/>
  </r>
  <r>
    <s v="CN|AccumulatedNewCapacity|RE1|PWRSOLRTP|2050"/>
    <x v="0"/>
    <s v="RE1"/>
    <x v="2"/>
    <x v="24"/>
    <x v="1"/>
    <s v="EmploymentOMDirect"/>
    <x v="1"/>
    <s v="Direct"/>
    <n v="218.76345518622691"/>
    <x v="102"/>
    <n v="1504.6942167294574"/>
  </r>
  <r>
    <s v="CN|AccumulatedNewCapacity|RE1|PWRSOLRTP|2051"/>
    <x v="0"/>
    <s v="RE1"/>
    <x v="2"/>
    <x v="25"/>
    <x v="1"/>
    <s v="EmploymentOMDirect"/>
    <x v="1"/>
    <s v="Direct"/>
    <n v="209.66345518622691"/>
    <x v="103"/>
    <n v="1442.1027872762068"/>
  </r>
  <r>
    <s v="CN|AccumulatedNewCapacity|RE1|PWRSOLRTP|2052"/>
    <x v="0"/>
    <s v="RE1"/>
    <x v="2"/>
    <x v="26"/>
    <x v="1"/>
    <s v="EmploymentOMDirect"/>
    <x v="1"/>
    <s v="Direct"/>
    <n v="196.09345518622689"/>
    <x v="104"/>
    <n v="1348.7658974211945"/>
  </r>
  <r>
    <s v="CN|AccumulatedNewCapacity|RE1|PWRSOLRTP|2053"/>
    <x v="0"/>
    <s v="RE1"/>
    <x v="2"/>
    <x v="27"/>
    <x v="1"/>
    <s v="EmploymentOMDirect"/>
    <x v="1"/>
    <s v="Direct"/>
    <n v="181.03345518622689"/>
    <x v="105"/>
    <n v="1245.1805207655955"/>
  </r>
  <r>
    <s v="CN|AccumulatedNewCapacity|RE1|PWRSOLRTP|2054"/>
    <x v="0"/>
    <s v="RE1"/>
    <x v="2"/>
    <x v="28"/>
    <x v="1"/>
    <s v="EmploymentOMDirect"/>
    <x v="1"/>
    <s v="Direct"/>
    <n v="164.48345518622691"/>
    <x v="106"/>
    <n v="1131.3466573094088"/>
  </r>
  <r>
    <s v="CN|AccumulatedNewCapacity|RE1|PWRSOLRTP|2055"/>
    <x v="0"/>
    <s v="RE1"/>
    <x v="2"/>
    <x v="29"/>
    <x v="1"/>
    <s v="EmploymentOMDirect"/>
    <x v="1"/>
    <s v="Direct"/>
    <n v="147.65345518622689"/>
    <x v="107"/>
    <n v="1015.5869037161995"/>
  </r>
  <r>
    <s v="CN|AccumulatedNewCapacity|RE1|PWRSOLRTP_ZNI|2031"/>
    <x v="0"/>
    <s v="RE1"/>
    <x v="3"/>
    <x v="9"/>
    <x v="1"/>
    <s v="EmploymentOMDirect"/>
    <x v="1"/>
    <s v="Direct"/>
    <n v="0.57301432913016792"/>
    <x v="25"/>
    <n v="4.6414358044764148"/>
  </r>
  <r>
    <s v="CN|AccumulatedNewCapacity|RE1|PWRSOLRTP_ZNI|2032"/>
    <x v="0"/>
    <s v="RE1"/>
    <x v="3"/>
    <x v="10"/>
    <x v="1"/>
    <s v="EmploymentOMDirect"/>
    <x v="1"/>
    <s v="Direct"/>
    <n v="0.61180159045846327"/>
    <x v="108"/>
    <n v="4.9162701116188874"/>
  </r>
  <r>
    <s v="CN|AccumulatedNewCapacity|RE1|PWRSOLRTP_ZNI|2033"/>
    <x v="0"/>
    <s v="RE1"/>
    <x v="3"/>
    <x v="11"/>
    <x v="1"/>
    <s v="EmploymentOMDirect"/>
    <x v="1"/>
    <s v="Direct"/>
    <n v="0.65090298158580084"/>
    <x v="109"/>
    <n v="5.1886198024958299"/>
  </r>
  <r>
    <s v="CN|AccumulatedNewCapacity|RE1|PWRSOLRTP_ZNI|2034"/>
    <x v="0"/>
    <s v="RE1"/>
    <x v="3"/>
    <x v="12"/>
    <x v="1"/>
    <s v="EmploymentOMDirect"/>
    <x v="1"/>
    <s v="Direct"/>
    <n v="0.69024263684958787"/>
    <x v="110"/>
    <n v="5.4578243956511319"/>
  </r>
  <r>
    <s v="CN|AccumulatedNewCapacity|RE1|PWRSOLRTP_ZNI|2035"/>
    <x v="0"/>
    <s v="RE1"/>
    <x v="3"/>
    <x v="13"/>
    <x v="1"/>
    <s v="EmploymentOMDirect"/>
    <x v="1"/>
    <s v="Direct"/>
    <n v="0.72992806437895164"/>
    <x v="111"/>
    <n v="5.7246810889861877"/>
  </r>
  <r>
    <s v="CN|AccumulatedNewCapacity|RE1|PWRSOLRTP_ZNI|2036"/>
    <x v="0"/>
    <s v="RE1"/>
    <x v="3"/>
    <x v="14"/>
    <x v="1"/>
    <s v="EmploymentOMDirect"/>
    <x v="1"/>
    <s v="Direct"/>
    <n v="0.77035577591644344"/>
    <x v="112"/>
    <n v="5.9922074386024038"/>
  </r>
  <r>
    <s v="CN|AccumulatedNewCapacity|RE1|PWRSOLRTP_ZNI|2037"/>
    <x v="0"/>
    <s v="RE1"/>
    <x v="3"/>
    <x v="15"/>
    <x v="1"/>
    <s v="EmploymentOMDirect"/>
    <x v="1"/>
    <s v="Direct"/>
    <n v="0.81149631771257125"/>
    <x v="113"/>
    <n v="6.2600330280449947"/>
  </r>
  <r>
    <s v="CN|AccumulatedNewCapacity|RE1|PWRSOLRTP_ZNI|2038"/>
    <x v="0"/>
    <s v="RE1"/>
    <x v="3"/>
    <x v="16"/>
    <x v="1"/>
    <s v="EmploymentOMDirect"/>
    <x v="1"/>
    <s v="Direct"/>
    <n v="0.8534155502813684"/>
    <x v="114"/>
    <n v="6.5285241596625605"/>
  </r>
  <r>
    <s v="CN|AccumulatedNewCapacity|RE1|PWRSOLRTP_ZNI|2039"/>
    <x v="0"/>
    <s v="RE1"/>
    <x v="3"/>
    <x v="17"/>
    <x v="1"/>
    <s v="EmploymentOMDirect"/>
    <x v="1"/>
    <s v="Direct"/>
    <n v="0.89613105225913248"/>
    <x v="115"/>
    <n v="6.797663948883482"/>
  </r>
  <r>
    <s v="CN|AccumulatedNewCapacity|RE1|PWRSOLRTP_ZNI|2040"/>
    <x v="0"/>
    <s v="RE1"/>
    <x v="3"/>
    <x v="1"/>
    <x v="1"/>
    <s v="EmploymentOMDirect"/>
    <x v="1"/>
    <s v="Direct"/>
    <n v="0.93966972462386933"/>
    <x v="116"/>
    <n v="7.0675011050750802"/>
  </r>
  <r>
    <s v="CN|AccumulatedNewCapacity|RE1|PWRSOLRTP_ZNI|2041"/>
    <x v="0"/>
    <s v="RE1"/>
    <x v="3"/>
    <x v="2"/>
    <x v="1"/>
    <s v="EmploymentOMDirect"/>
    <x v="1"/>
    <s v="Direct"/>
    <n v="0.98406339499690743"/>
    <x v="117"/>
    <n v="7.3381141555703637"/>
  </r>
  <r>
    <s v="CN|AccumulatedNewCapacity|RE1|PWRSOLRTP_ZNI|2042"/>
    <x v="0"/>
    <s v="RE1"/>
    <x v="3"/>
    <x v="18"/>
    <x v="1"/>
    <s v="EmploymentOMDirect"/>
    <x v="1"/>
    <s v="Direct"/>
    <n v="1.0292946666917571"/>
    <x v="118"/>
    <n v="7.6092095426970507"/>
  </r>
  <r>
    <s v="CN|AccumulatedNewCapacity|RE1|PWRSOLRTP_ZNI|2043"/>
    <x v="0"/>
    <s v="RE1"/>
    <x v="3"/>
    <x v="19"/>
    <x v="1"/>
    <s v="EmploymentOMDirect"/>
    <x v="1"/>
    <s v="Direct"/>
    <n v="1.07537328308369"/>
    <x v="119"/>
    <n v="7.8806970753704428"/>
  </r>
  <r>
    <s v="CN|AccumulatedNewCapacity|RE1|PWRSOLRTP_ZNI|2044"/>
    <x v="0"/>
    <s v="RE1"/>
    <x v="3"/>
    <x v="20"/>
    <x v="1"/>
    <s v="EmploymentOMDirect"/>
    <x v="1"/>
    <s v="Direct"/>
    <n v="1.12227933979498"/>
    <x v="120"/>
    <n v="8.1522686940850093"/>
  </r>
  <r>
    <s v="CN|AccumulatedNewCapacity|RE1|PWRSOLRTP_ZNI|2045"/>
    <x v="0"/>
    <s v="RE1"/>
    <x v="3"/>
    <x v="21"/>
    <x v="1"/>
    <s v="EmploymentOMDirect"/>
    <x v="1"/>
    <s v="Direct"/>
    <n v="1.1786975283658561"/>
    <x v="121"/>
    <n v="8.4862921121905508"/>
  </r>
  <r>
    <s v="CN|AccumulatedNewCapacity|RE1|PWRSOLRTP_ZNI|2046"/>
    <x v="0"/>
    <s v="RE1"/>
    <x v="3"/>
    <x v="22"/>
    <x v="1"/>
    <s v="EmploymentOMDirect"/>
    <x v="1"/>
    <s v="Direct"/>
    <n v="1.226419505172696"/>
    <x v="122"/>
    <n v="8.7510081766379297"/>
  </r>
  <r>
    <s v="CN|AccumulatedNewCapacity|RE1|PWRSOLRTP_ZNI|2047"/>
    <x v="0"/>
    <s v="RE1"/>
    <x v="3"/>
    <x v="3"/>
    <x v="1"/>
    <s v="EmploymentOMDirect"/>
    <x v="1"/>
    <s v="Direct"/>
    <n v="1.26825165396024"/>
    <x v="123"/>
    <n v="8.9679388302627867"/>
  </r>
  <r>
    <s v="CN|AccumulatedNewCapacity|RE1|PWRSOLRTP_ZNI|2048"/>
    <x v="0"/>
    <s v="RE1"/>
    <x v="3"/>
    <x v="4"/>
    <x v="1"/>
    <s v="EmploymentOMDirect"/>
    <x v="1"/>
    <s v="Direct"/>
    <n v="1.324706857770813"/>
    <x v="124"/>
    <n v="9.2819499402110281"/>
  </r>
  <r>
    <s v="CN|AccumulatedNewCapacity|RE1|PWRSOLRTP_ZNI|2049"/>
    <x v="0"/>
    <s v="RE1"/>
    <x v="3"/>
    <x v="23"/>
    <x v="1"/>
    <s v="EmploymentOMDirect"/>
    <x v="1"/>
    <s v="Direct"/>
    <n v="1.3696294318356339"/>
    <x v="125"/>
    <n v="9.5086348527008671"/>
  </r>
  <r>
    <s v="CN|AccumulatedNewCapacity|RE1|PWRSOLRTP_ZNI|2050"/>
    <x v="0"/>
    <s v="RE1"/>
    <x v="3"/>
    <x v="24"/>
    <x v="1"/>
    <s v="EmploymentOMDirect"/>
    <x v="1"/>
    <s v="Direct"/>
    <n v="1.3696294318356339"/>
    <x v="125"/>
    <n v="9.4205564791028262"/>
  </r>
  <r>
    <s v="CN|AccumulatedNewCapacity|RE1|PWRSOLRTP_ZNI|2051"/>
    <x v="0"/>
    <s v="RE1"/>
    <x v="3"/>
    <x v="25"/>
    <x v="1"/>
    <s v="EmploymentOMDirect"/>
    <x v="1"/>
    <s v="Direct"/>
    <n v="1.3696294318356339"/>
    <x v="125"/>
    <n v="9.4205564791028262"/>
  </r>
  <r>
    <s v="CN|AccumulatedNewCapacity|RE1|PWRSOLRTP_ZNI|2052"/>
    <x v="0"/>
    <s v="RE1"/>
    <x v="3"/>
    <x v="26"/>
    <x v="1"/>
    <s v="EmploymentOMDirect"/>
    <x v="1"/>
    <s v="Direct"/>
    <n v="1.3696294318356339"/>
    <x v="125"/>
    <n v="9.4205564791028262"/>
  </r>
  <r>
    <s v="CN|AccumulatedNewCapacity|RE1|PWRSOLRTP_ZNI|2053"/>
    <x v="0"/>
    <s v="RE1"/>
    <x v="3"/>
    <x v="27"/>
    <x v="1"/>
    <s v="EmploymentOMDirect"/>
    <x v="1"/>
    <s v="Direct"/>
    <n v="1.3916946197733999"/>
    <x v="126"/>
    <n v="9.5723247927489155"/>
  </r>
  <r>
    <s v="CN|AccumulatedNewCapacity|RE1|PWRSOLRTP_ZNI|2054"/>
    <x v="0"/>
    <s v="RE1"/>
    <x v="3"/>
    <x v="28"/>
    <x v="1"/>
    <s v="EmploymentOMDirect"/>
    <x v="1"/>
    <s v="Direct"/>
    <n v="1.414235668535486"/>
    <x v="127"/>
    <n v="9.727366162352693"/>
  </r>
  <r>
    <s v="CN|AccumulatedNewCapacity|RE1|PWRSOLRTP_ZNI|2055"/>
    <x v="0"/>
    <s v="RE1"/>
    <x v="3"/>
    <x v="29"/>
    <x v="1"/>
    <s v="EmploymentOMDirect"/>
    <x v="1"/>
    <s v="Direct"/>
    <n v="1.414235668535486"/>
    <x v="127"/>
    <n v="9.727366162352693"/>
  </r>
  <r>
    <s v="CN|AccumulatedNewCapacity|RE1|PWRSOLUGE|2025"/>
    <x v="0"/>
    <s v="RE1"/>
    <x v="4"/>
    <x v="30"/>
    <x v="1"/>
    <s v="EmploymentOMDirect"/>
    <x v="1"/>
    <s v="Direct"/>
    <n v="6.717168"/>
    <x v="46"/>
    <n v="20.031546654450047"/>
  </r>
  <r>
    <s v="CN|AccumulatedNewCapacity|RE1|PWRSOLUGE|2026"/>
    <x v="0"/>
    <s v="RE1"/>
    <x v="4"/>
    <x v="5"/>
    <x v="1"/>
    <s v="EmploymentOMDirect"/>
    <x v="1"/>
    <s v="Direct"/>
    <n v="62.504351999999997"/>
    <x v="128"/>
    <n v="181.66157876568639"/>
  </r>
  <r>
    <s v="CN|AccumulatedNewCapacity|RE1|PWRSOLUGE|2027"/>
    <x v="0"/>
    <s v="RE1"/>
    <x v="4"/>
    <x v="6"/>
    <x v="1"/>
    <s v="EmploymentOMDirect"/>
    <x v="1"/>
    <s v="Direct"/>
    <n v="135.51019199999999"/>
    <x v="129"/>
    <n v="383.57841357269865"/>
  </r>
  <r>
    <s v="CN|AccumulatedNewCapacity|RE1|PWRSOLUGE|2028"/>
    <x v="0"/>
    <s v="RE1"/>
    <x v="4"/>
    <x v="0"/>
    <x v="1"/>
    <s v="EmploymentOMDirect"/>
    <x v="1"/>
    <s v="Direct"/>
    <n v="135.51019199999999"/>
    <x v="129"/>
    <n v="373.31232464481485"/>
  </r>
  <r>
    <s v="CN|AccumulatedNewCapacity|RE1|PWRSOLUGE|2029"/>
    <x v="0"/>
    <s v="RE1"/>
    <x v="4"/>
    <x v="7"/>
    <x v="1"/>
    <s v="EmploymentOMDirect"/>
    <x v="1"/>
    <s v="Direct"/>
    <n v="135.51019199999999"/>
    <x v="129"/>
    <n v="363.0462357173605"/>
  </r>
  <r>
    <s v="CN|AccumulatedNewCapacity|RE1|PWRSOLUGE|2030"/>
    <x v="0"/>
    <s v="RE1"/>
    <x v="4"/>
    <x v="8"/>
    <x v="1"/>
    <s v="EmploymentOMDirect"/>
    <x v="1"/>
    <s v="Direct"/>
    <n v="143.394192"/>
    <x v="130"/>
    <n v="373.30494006324204"/>
  </r>
  <r>
    <s v="CN|AccumulatedNewCapacity|RE1|PWRSOLUGE|2031"/>
    <x v="0"/>
    <s v="RE1"/>
    <x v="4"/>
    <x v="9"/>
    <x v="1"/>
    <s v="EmploymentOMDirect"/>
    <x v="1"/>
    <s v="Direct"/>
    <n v="143.394192"/>
    <x v="130"/>
    <n v="370.6384762057578"/>
  </r>
  <r>
    <s v="CN|AccumulatedNewCapacity|RE1|PWRSOLUGE|2032"/>
    <x v="0"/>
    <s v="RE1"/>
    <x v="4"/>
    <x v="10"/>
    <x v="1"/>
    <s v="EmploymentOMDirect"/>
    <x v="1"/>
    <s v="Direct"/>
    <n v="143.394192"/>
    <x v="130"/>
    <n v="367.97201234827355"/>
  </r>
  <r>
    <s v="CN|AccumulatedNewCapacity|RE1|PWRSOLUGE|2033"/>
    <x v="0"/>
    <s v="RE1"/>
    <x v="4"/>
    <x v="11"/>
    <x v="1"/>
    <s v="EmploymentOMDirect"/>
    <x v="1"/>
    <s v="Direct"/>
    <n v="143.394192"/>
    <x v="130"/>
    <n v="365.3055484903349"/>
  </r>
  <r>
    <s v="CN|AccumulatedNewCapacity|RE1|PWRSOLUGE|2034"/>
    <x v="0"/>
    <s v="RE1"/>
    <x v="4"/>
    <x v="12"/>
    <x v="1"/>
    <s v="EmploymentOMDirect"/>
    <x v="1"/>
    <s v="Direct"/>
    <n v="143.394192"/>
    <x v="130"/>
    <n v="362.63908463285071"/>
  </r>
  <r>
    <s v="CN|AccumulatedNewCapacity|RE1|PWRSOLUGE|2035"/>
    <x v="0"/>
    <s v="RE1"/>
    <x v="4"/>
    <x v="13"/>
    <x v="1"/>
    <s v="EmploymentOMDirect"/>
    <x v="1"/>
    <s v="Direct"/>
    <n v="143.394192"/>
    <x v="130"/>
    <n v="359.97262077536647"/>
  </r>
  <r>
    <s v="CN|AccumulatedNewCapacity|RE1|PWRSOLUGE|2036"/>
    <x v="0"/>
    <s v="RE1"/>
    <x v="4"/>
    <x v="14"/>
    <x v="1"/>
    <s v="EmploymentOMDirect"/>
    <x v="1"/>
    <s v="Direct"/>
    <n v="143.394192"/>
    <x v="130"/>
    <n v="357.30615691788222"/>
  </r>
  <r>
    <s v="CN|AccumulatedNewCapacity|RE1|PWRSOLUGE|2037"/>
    <x v="0"/>
    <s v="RE1"/>
    <x v="4"/>
    <x v="15"/>
    <x v="1"/>
    <s v="EmploymentOMDirect"/>
    <x v="1"/>
    <s v="Direct"/>
    <n v="143.394192"/>
    <x v="130"/>
    <n v="354.63969305994362"/>
  </r>
  <r>
    <s v="CN|AccumulatedNewCapacity|RE1|PWRSOLUGE|2038"/>
    <x v="0"/>
    <s v="RE1"/>
    <x v="4"/>
    <x v="16"/>
    <x v="1"/>
    <s v="EmploymentOMDirect"/>
    <x v="1"/>
    <s v="Direct"/>
    <n v="143.394192"/>
    <x v="130"/>
    <n v="351.97322920245938"/>
  </r>
  <r>
    <s v="CN|AccumulatedNewCapacity|RE1|PWRSOLUGE|2039"/>
    <x v="0"/>
    <s v="RE1"/>
    <x v="4"/>
    <x v="17"/>
    <x v="1"/>
    <s v="EmploymentOMDirect"/>
    <x v="1"/>
    <s v="Direct"/>
    <n v="190.70419200000001"/>
    <x v="131"/>
    <n v="464.55343494837695"/>
  </r>
  <r>
    <s v="CN|AccumulatedNewCapacity|RE1|PWRSOLUGE|2040"/>
    <x v="0"/>
    <s v="RE1"/>
    <x v="4"/>
    <x v="1"/>
    <x v="1"/>
    <s v="EmploymentOMDirect"/>
    <x v="1"/>
    <s v="Direct"/>
    <n v="238.01419200000001"/>
    <x v="132"/>
    <n v="575.37414955538452"/>
  </r>
  <r>
    <s v="CN|AccumulatedNewCapacity|RE1|PWRSOLUGE|2041"/>
    <x v="0"/>
    <s v="RE1"/>
    <x v="4"/>
    <x v="2"/>
    <x v="1"/>
    <s v="EmploymentOMDirect"/>
    <x v="1"/>
    <s v="Direct"/>
    <n v="285.32419199999998"/>
    <x v="133"/>
    <n v="684.43537302257801"/>
  </r>
  <r>
    <s v="CN|AccumulatedNewCapacity|RE1|PWRSOLUGE|2042"/>
    <x v="0"/>
    <s v="RE1"/>
    <x v="4"/>
    <x v="18"/>
    <x v="1"/>
    <s v="EmploymentOMDirect"/>
    <x v="1"/>
    <s v="Direct"/>
    <n v="332.63419199999998"/>
    <x v="134"/>
    <n v="791.73710535161581"/>
  </r>
  <r>
    <s v="CN|AccumulatedNewCapacity|RE1|PWRSOLUGE|2043"/>
    <x v="0"/>
    <s v="RE1"/>
    <x v="4"/>
    <x v="19"/>
    <x v="1"/>
    <s v="EmploymentOMDirect"/>
    <x v="1"/>
    <s v="Direct"/>
    <n v="336.08134464124657"/>
    <x v="135"/>
    <n v="793.69248340705849"/>
  </r>
  <r>
    <s v="CN|AccumulatedNewCapacity|RE1|PWRSOLUGE|2044"/>
    <x v="0"/>
    <s v="RE1"/>
    <x v="4"/>
    <x v="20"/>
    <x v="1"/>
    <s v="EmploymentOMDirect"/>
    <x v="1"/>
    <s v="Direct"/>
    <n v="343.52751834540021"/>
    <x v="136"/>
    <n v="804.88941756766519"/>
  </r>
  <r>
    <s v="CN|AccumulatedNewCapacity|RE1|PWRSOLUGE|2045"/>
    <x v="0"/>
    <s v="RE1"/>
    <x v="4"/>
    <x v="21"/>
    <x v="1"/>
    <s v="EmploymentOMDirect"/>
    <x v="1"/>
    <s v="Direct"/>
    <n v="380.89204486843852"/>
    <x v="137"/>
    <n v="885.35216901122112"/>
  </r>
  <r>
    <s v="CN|AccumulatedNewCapacity|RE1|PWRSOLUGE|2046"/>
    <x v="0"/>
    <s v="RE1"/>
    <x v="4"/>
    <x v="22"/>
    <x v="1"/>
    <s v="EmploymentOMDirect"/>
    <x v="1"/>
    <s v="Direct"/>
    <n v="428.20204486843852"/>
    <x v="138"/>
    <n v="987.35780227633813"/>
  </r>
  <r>
    <s v="CN|AccumulatedNewCapacity|RE1|PWRSOLUGE|2047"/>
    <x v="0"/>
    <s v="RE1"/>
    <x v="4"/>
    <x v="3"/>
    <x v="1"/>
    <s v="EmploymentOMDirect"/>
    <x v="1"/>
    <s v="Direct"/>
    <n v="475.51204486843852"/>
    <x v="139"/>
    <n v="1087.603944402545"/>
  </r>
  <r>
    <s v="CN|AccumulatedNewCapacity|RE1|PWRSOLUGE|2048"/>
    <x v="0"/>
    <s v="RE1"/>
    <x v="4"/>
    <x v="4"/>
    <x v="1"/>
    <s v="EmploymentOMDirect"/>
    <x v="1"/>
    <s v="Direct"/>
    <n v="522.82204486843852"/>
    <x v="140"/>
    <n v="1186.0905953898423"/>
  </r>
  <r>
    <s v="CN|AccumulatedNewCapacity|RE1|PWRSOLUGE|2049"/>
    <x v="0"/>
    <s v="RE1"/>
    <x v="4"/>
    <x v="23"/>
    <x v="1"/>
    <s v="EmploymentOMDirect"/>
    <x v="1"/>
    <s v="Direct"/>
    <n v="522.82204486843852"/>
    <x v="140"/>
    <n v="1176.3685413280205"/>
  </r>
  <r>
    <s v="CN|AccumulatedNewCapacity|RE1|PWRSOLUGE|2050"/>
    <x v="0"/>
    <s v="RE1"/>
    <x v="4"/>
    <x v="24"/>
    <x v="1"/>
    <s v="EmploymentOMDirect"/>
    <x v="1"/>
    <s v="Direct"/>
    <n v="516.10487686843851"/>
    <x v="141"/>
    <n v="1151.65752395136"/>
  </r>
  <r>
    <s v="CN|AccumulatedNewCapacity|RE1|PWRSOLUGE|2051"/>
    <x v="0"/>
    <s v="RE1"/>
    <x v="4"/>
    <x v="25"/>
    <x v="1"/>
    <s v="EmploymentOMDirect"/>
    <x v="1"/>
    <s v="Direct"/>
    <n v="460.31769286843848"/>
    <x v="142"/>
    <n v="1027.1717206326744"/>
  </r>
  <r>
    <s v="CN|AccumulatedNewCapacity|RE1|PWRSOLUGE|2052"/>
    <x v="0"/>
    <s v="RE1"/>
    <x v="4"/>
    <x v="26"/>
    <x v="1"/>
    <s v="EmploymentOMDirect"/>
    <x v="1"/>
    <s v="Direct"/>
    <n v="434.62185286843851"/>
    <x v="143"/>
    <n v="969.83297264445503"/>
  </r>
  <r>
    <s v="CN|AccumulatedNewCapacity|RE1|PWRSOLUGE|2053"/>
    <x v="0"/>
    <s v="RE1"/>
    <x v="4"/>
    <x v="27"/>
    <x v="1"/>
    <s v="EmploymentOMDirect"/>
    <x v="1"/>
    <s v="Direct"/>
    <n v="479.64451378446489"/>
    <x v="144"/>
    <n v="1070.2983790302001"/>
  </r>
  <r>
    <s v="CN|AccumulatedNewCapacity|RE1|PWRSOLUGE|2054"/>
    <x v="0"/>
    <s v="RE1"/>
    <x v="4"/>
    <x v="28"/>
    <x v="1"/>
    <s v="EmploymentOMDirect"/>
    <x v="1"/>
    <s v="Direct"/>
    <n v="490.03962731418341"/>
    <x v="145"/>
    <n v="1093.4944603799227"/>
  </r>
  <r>
    <s v="CN|AccumulatedNewCapacity|RE1|PWRSOLUGE|2055"/>
    <x v="0"/>
    <s v="RE1"/>
    <x v="4"/>
    <x v="29"/>
    <x v="1"/>
    <s v="EmploymentOMDirect"/>
    <x v="1"/>
    <s v="Direct"/>
    <n v="482.15562731418339"/>
    <x v="146"/>
    <n v="1075.9017804309847"/>
  </r>
  <r>
    <s v="CN|AccumulatedNewCapacity|RE1|PWRSOLUGE_BAT|2047"/>
    <x v="0"/>
    <s v="RE1"/>
    <x v="5"/>
    <x v="3"/>
    <x v="1"/>
    <s v="EmploymentOMDirect"/>
    <x v="1"/>
    <s v="Direct"/>
    <n v="30.670102189502511"/>
    <x v="56"/>
    <n v="80.64264857893636"/>
  </r>
  <r>
    <s v="CN|AccumulatedNewCapacity|RE1|PWRSOLUGE_BAT|2048"/>
    <x v="0"/>
    <s v="RE1"/>
    <x v="5"/>
    <x v="4"/>
    <x v="1"/>
    <s v="EmploymentOMDirect"/>
    <x v="1"/>
    <s v="Direct"/>
    <n v="30.670102189502511"/>
    <x v="56"/>
    <n v="79.946627296193384"/>
  </r>
  <r>
    <s v="CN|AccumulatedNewCapacity|RE1|PWRSOLUGE_BAT|2049"/>
    <x v="0"/>
    <s v="RE1"/>
    <x v="5"/>
    <x v="23"/>
    <x v="1"/>
    <s v="EmploymentOMDirect"/>
    <x v="1"/>
    <s v="Direct"/>
    <n v="30.670102189502511"/>
    <x v="56"/>
    <n v="79.250606013353206"/>
  </r>
  <r>
    <s v="CN|AccumulatedNewCapacity|RE1|PWRSOLUGE_BAT|2050"/>
    <x v="0"/>
    <s v="RE1"/>
    <x v="5"/>
    <x v="24"/>
    <x v="1"/>
    <s v="EmploymentOMDirect"/>
    <x v="1"/>
    <s v="Direct"/>
    <n v="30.670102189502511"/>
    <x v="56"/>
    <n v="78.554584730551895"/>
  </r>
  <r>
    <s v="CN|AccumulatedNewCapacity|RE1|PWRSOLUGE_BAT|2051"/>
    <x v="0"/>
    <s v="RE1"/>
    <x v="5"/>
    <x v="25"/>
    <x v="1"/>
    <s v="EmploymentOMDirect"/>
    <x v="1"/>
    <s v="Direct"/>
    <n v="30.670102189502511"/>
    <x v="56"/>
    <n v="78.554584730551895"/>
  </r>
  <r>
    <s v="CN|AccumulatedNewCapacity|RE1|PWRSOLUGE_BAT|2052"/>
    <x v="0"/>
    <s v="RE1"/>
    <x v="5"/>
    <x v="26"/>
    <x v="1"/>
    <s v="EmploymentOMDirect"/>
    <x v="1"/>
    <s v="Direct"/>
    <n v="30.670102189502511"/>
    <x v="56"/>
    <n v="78.554584730551895"/>
  </r>
  <r>
    <s v="CN|AccumulatedNewCapacity|RE1|PWRSOLUGE_BAT|2053"/>
    <x v="0"/>
    <s v="RE1"/>
    <x v="5"/>
    <x v="27"/>
    <x v="1"/>
    <s v="EmploymentOMDirect"/>
    <x v="1"/>
    <s v="Direct"/>
    <n v="30.670102189502511"/>
    <x v="56"/>
    <n v="78.554584730551895"/>
  </r>
  <r>
    <s v="CN|AccumulatedNewCapacity|RE1|PWRSOLUGE_BAT|2054"/>
    <x v="0"/>
    <s v="RE1"/>
    <x v="5"/>
    <x v="28"/>
    <x v="1"/>
    <s v="EmploymentOMDirect"/>
    <x v="1"/>
    <s v="Direct"/>
    <n v="30.670102189502511"/>
    <x v="56"/>
    <n v="78.554584730551895"/>
  </r>
  <r>
    <s v="CN|AccumulatedNewCapacity|RE1|PWRSOLUGE_BAT|2055"/>
    <x v="0"/>
    <s v="RE1"/>
    <x v="5"/>
    <x v="29"/>
    <x v="1"/>
    <s v="EmploymentOMDirect"/>
    <x v="1"/>
    <s v="Direct"/>
    <n v="30.670102189502511"/>
    <x v="56"/>
    <n v="78.554584730551895"/>
  </r>
  <r>
    <s v="CN|AccumulatedNewCapacity|RE1|PWRSOLUPE|2025"/>
    <x v="0"/>
    <s v="RE1"/>
    <x v="6"/>
    <x v="30"/>
    <x v="1"/>
    <s v="EmploymentOMDirect"/>
    <x v="1"/>
    <s v="Direct"/>
    <n v="5.3106623999999574"/>
    <x v="57"/>
    <n v="15.837147683612022"/>
  </r>
  <r>
    <s v="CN|AccumulatedNewCapacity|RE1|PWRSOLUPE|2026"/>
    <x v="0"/>
    <s v="RE1"/>
    <x v="6"/>
    <x v="5"/>
    <x v="1"/>
    <s v="EmploymentOMDirect"/>
    <x v="1"/>
    <s v="Direct"/>
    <n v="8.6752382399999313"/>
    <x v="147"/>
    <n v="25.213563926666133"/>
  </r>
  <r>
    <s v="CN|AccumulatedNewCapacity|RE1|PWRSOLUPE|2027"/>
    <x v="0"/>
    <s v="RE1"/>
    <x v="6"/>
    <x v="6"/>
    <x v="1"/>
    <s v="EmploymentOMDirect"/>
    <x v="1"/>
    <s v="Direct"/>
    <n v="12.14419823999993"/>
    <x v="148"/>
    <n v="34.375660061137935"/>
  </r>
  <r>
    <s v="CN|AccumulatedNewCapacity|RE1|PWRSOLUPE|2028"/>
    <x v="0"/>
    <s v="RE1"/>
    <x v="6"/>
    <x v="0"/>
    <x v="1"/>
    <s v="EmploymentOMDirect"/>
    <x v="1"/>
    <s v="Direct"/>
    <n v="12.14419823999993"/>
    <x v="148"/>
    <n v="33.455630229804733"/>
  </r>
  <r>
    <s v="CN|AccumulatedNewCapacity|RE1|PWRSOLUPE|2029"/>
    <x v="0"/>
    <s v="RE1"/>
    <x v="6"/>
    <x v="7"/>
    <x v="1"/>
    <s v="EmploymentOMDirect"/>
    <x v="1"/>
    <s v="Direct"/>
    <n v="12.14419823999993"/>
    <x v="148"/>
    <n v="32.535600398510027"/>
  </r>
  <r>
    <s v="CN|AccumulatedNewCapacity|RE1|PWRSOLUPE|2030"/>
    <x v="0"/>
    <s v="RE1"/>
    <x v="6"/>
    <x v="8"/>
    <x v="1"/>
    <s v="EmploymentOMDirect"/>
    <x v="1"/>
    <s v="Direct"/>
    <n v="12.14419823999993"/>
    <x v="148"/>
    <n v="31.615570567176832"/>
  </r>
  <r>
    <s v="CN|AccumulatedNewCapacity|RE1|PWRSOLUPE|2031"/>
    <x v="0"/>
    <s v="RE1"/>
    <x v="6"/>
    <x v="9"/>
    <x v="1"/>
    <s v="EmploymentOMDirect"/>
    <x v="1"/>
    <s v="Direct"/>
    <n v="12.14419823999993"/>
    <x v="148"/>
    <n v="31.389745063134914"/>
  </r>
  <r>
    <s v="CN|AccumulatedNewCapacity|RE1|PWRSOLUPE|2032"/>
    <x v="0"/>
    <s v="RE1"/>
    <x v="6"/>
    <x v="10"/>
    <x v="1"/>
    <s v="EmploymentOMDirect"/>
    <x v="1"/>
    <s v="Direct"/>
    <n v="12.14419823999993"/>
    <x v="148"/>
    <n v="31.163919559092996"/>
  </r>
  <r>
    <s v="CN|AccumulatedNewCapacity|RE1|PWRSOLUPE|2033"/>
    <x v="0"/>
    <s v="RE1"/>
    <x v="6"/>
    <x v="11"/>
    <x v="1"/>
    <s v="EmploymentOMDirect"/>
    <x v="1"/>
    <s v="Direct"/>
    <n v="12.14419823999993"/>
    <x v="148"/>
    <n v="30.938094055012591"/>
  </r>
  <r>
    <s v="CN|AccumulatedNewCapacity|RE1|PWRSOLUPE|2034"/>
    <x v="0"/>
    <s v="RE1"/>
    <x v="6"/>
    <x v="12"/>
    <x v="1"/>
    <s v="EmploymentOMDirect"/>
    <x v="1"/>
    <s v="Direct"/>
    <n v="12.14419823999993"/>
    <x v="148"/>
    <n v="30.712268550970681"/>
  </r>
  <r>
    <s v="CN|AccumulatedNewCapacity|RE1|PWRSOLUPE|2035"/>
    <x v="0"/>
    <s v="RE1"/>
    <x v="6"/>
    <x v="13"/>
    <x v="1"/>
    <s v="EmploymentOMDirect"/>
    <x v="1"/>
    <s v="Direct"/>
    <n v="12.14419823999993"/>
    <x v="148"/>
    <n v="30.486443046928759"/>
  </r>
  <r>
    <s v="CN|AccumulatedNewCapacity|RE1|PWRSOLUPE|2036"/>
    <x v="0"/>
    <s v="RE1"/>
    <x v="6"/>
    <x v="14"/>
    <x v="1"/>
    <s v="EmploymentOMDirect"/>
    <x v="1"/>
    <s v="Direct"/>
    <n v="12.14419823999993"/>
    <x v="148"/>
    <n v="30.260617542886841"/>
  </r>
  <r>
    <s v="CN|AccumulatedNewCapacity|RE1|PWRSOLUPE|2037"/>
    <x v="0"/>
    <s v="RE1"/>
    <x v="6"/>
    <x v="15"/>
    <x v="1"/>
    <s v="EmploymentOMDirect"/>
    <x v="1"/>
    <s v="Direct"/>
    <n v="12.14419823999993"/>
    <x v="148"/>
    <n v="30.034792038806444"/>
  </r>
  <r>
    <s v="CN|AccumulatedNewCapacity|RE1|PWRSOLUPE|2038"/>
    <x v="0"/>
    <s v="RE1"/>
    <x v="6"/>
    <x v="16"/>
    <x v="1"/>
    <s v="EmploymentOMDirect"/>
    <x v="1"/>
    <s v="Direct"/>
    <n v="12.14419823999993"/>
    <x v="148"/>
    <n v="29.808966534764526"/>
  </r>
  <r>
    <s v="CN|AccumulatedNewCapacity|RE1|PWRSOLUPE|2039"/>
    <x v="0"/>
    <s v="RE1"/>
    <x v="6"/>
    <x v="17"/>
    <x v="1"/>
    <s v="EmploymentOMDirect"/>
    <x v="1"/>
    <s v="Direct"/>
    <n v="12.14419823999993"/>
    <x v="148"/>
    <n v="29.583141030722608"/>
  </r>
  <r>
    <s v="CN|AccumulatedNewCapacity|RE1|PWRSOLUPE|2040"/>
    <x v="0"/>
    <s v="RE1"/>
    <x v="6"/>
    <x v="1"/>
    <x v="1"/>
    <s v="EmploymentOMDirect"/>
    <x v="1"/>
    <s v="Direct"/>
    <n v="12.14419823999993"/>
    <x v="148"/>
    <n v="29.35731552668069"/>
  </r>
  <r>
    <s v="CN|AccumulatedNewCapacity|RE1|PWRSOLUPE|2041"/>
    <x v="0"/>
    <s v="RE1"/>
    <x v="6"/>
    <x v="2"/>
    <x v="1"/>
    <s v="EmploymentOMDirect"/>
    <x v="1"/>
    <s v="Direct"/>
    <n v="12.14419823999993"/>
    <x v="148"/>
    <n v="29.131490022600293"/>
  </r>
  <r>
    <s v="CN|AccumulatedNewCapacity|RE1|PWRSOLUPE|2042"/>
    <x v="0"/>
    <s v="RE1"/>
    <x v="6"/>
    <x v="18"/>
    <x v="1"/>
    <s v="EmploymentOMDirect"/>
    <x v="1"/>
    <s v="Direct"/>
    <n v="12.14419823999993"/>
    <x v="148"/>
    <n v="28.905664518558375"/>
  </r>
  <r>
    <s v="CN|AccumulatedNewCapacity|RE1|PWRSOLUPE|2043"/>
    <x v="0"/>
    <s v="RE1"/>
    <x v="6"/>
    <x v="19"/>
    <x v="1"/>
    <s v="EmploymentOMDirect"/>
    <x v="1"/>
    <s v="Direct"/>
    <n v="12.14419823999993"/>
    <x v="148"/>
    <n v="28.679839014516457"/>
  </r>
  <r>
    <s v="CN|AccumulatedNewCapacity|RE1|PWRSOLUPE|2044"/>
    <x v="0"/>
    <s v="RE1"/>
    <x v="6"/>
    <x v="20"/>
    <x v="1"/>
    <s v="EmploymentOMDirect"/>
    <x v="1"/>
    <s v="Direct"/>
    <n v="12.14419823999993"/>
    <x v="148"/>
    <n v="28.454013510474542"/>
  </r>
  <r>
    <s v="CN|AccumulatedNewCapacity|RE1|PWRSOLUPE|2045"/>
    <x v="0"/>
    <s v="RE1"/>
    <x v="6"/>
    <x v="21"/>
    <x v="1"/>
    <s v="EmploymentOMDirect"/>
    <x v="1"/>
    <s v="Direct"/>
    <n v="12.14419823999993"/>
    <x v="148"/>
    <n v="28.228188006394138"/>
  </r>
  <r>
    <s v="CN|AccumulatedNewCapacity|RE1|PWRSOLUPE|2046"/>
    <x v="0"/>
    <s v="RE1"/>
    <x v="6"/>
    <x v="22"/>
    <x v="1"/>
    <s v="EmploymentOMDirect"/>
    <x v="1"/>
    <s v="Direct"/>
    <n v="12.14419823999993"/>
    <x v="148"/>
    <n v="28.00236250235222"/>
  </r>
  <r>
    <s v="CN|AccumulatedNewCapacity|RE1|PWRSOLUPE|2047"/>
    <x v="0"/>
    <s v="RE1"/>
    <x v="6"/>
    <x v="3"/>
    <x v="1"/>
    <s v="EmploymentOMDirect"/>
    <x v="1"/>
    <s v="Direct"/>
    <n v="12.14419823999993"/>
    <x v="148"/>
    <n v="27.776536998310302"/>
  </r>
  <r>
    <s v="CN|AccumulatedNewCapacity|RE1|PWRSOLUPE|2048"/>
    <x v="0"/>
    <s v="RE1"/>
    <x v="6"/>
    <x v="4"/>
    <x v="1"/>
    <s v="EmploymentOMDirect"/>
    <x v="1"/>
    <s v="Direct"/>
    <n v="12.14419823999993"/>
    <x v="148"/>
    <n v="27.550711494268388"/>
  </r>
  <r>
    <s v="CN|AccumulatedNewCapacity|RE1|PWRSOLUPE|2049"/>
    <x v="0"/>
    <s v="RE1"/>
    <x v="6"/>
    <x v="23"/>
    <x v="1"/>
    <s v="EmploymentOMDirect"/>
    <x v="1"/>
    <s v="Direct"/>
    <n v="12.14419823999993"/>
    <x v="148"/>
    <n v="27.324885990187987"/>
  </r>
  <r>
    <s v="CN|AccumulatedNewCapacity|RE1|PWRSOLUPE|2050"/>
    <x v="0"/>
    <s v="RE1"/>
    <x v="6"/>
    <x v="24"/>
    <x v="1"/>
    <s v="EmploymentOMDirect"/>
    <x v="1"/>
    <s v="Direct"/>
    <n v="6.833535839999973"/>
    <x v="149"/>
    <n v="15.248631272541488"/>
  </r>
  <r>
    <s v="CN|AccumulatedNewCapacity|RE1|PWRSOLUPE|2051"/>
    <x v="0"/>
    <s v="RE1"/>
    <x v="6"/>
    <x v="25"/>
    <x v="1"/>
    <s v="EmploymentOMDirect"/>
    <x v="1"/>
    <s v="Direct"/>
    <n v="3.4689599999999992"/>
    <x v="150"/>
    <n v="7.7407791775327421"/>
  </r>
  <r>
    <s v="CN|AccumulatedNewCapacity|RE1|PWRWNDOFS_FIX|2036"/>
    <x v="0"/>
    <s v="RE1"/>
    <x v="7"/>
    <x v="14"/>
    <x v="1"/>
    <s v="EmploymentOMDirect"/>
    <x v="1"/>
    <s v="Direct"/>
    <n v="13.05396568386857"/>
    <x v="60"/>
    <n v="29.65141551663093"/>
  </r>
  <r>
    <s v="CN|AccumulatedNewCapacity|RE1|PWRWNDOFS_FIX|2037"/>
    <x v="0"/>
    <s v="RE1"/>
    <x v="7"/>
    <x v="15"/>
    <x v="1"/>
    <s v="EmploymentOMDirect"/>
    <x v="1"/>
    <s v="Direct"/>
    <n v="36.184766587762063"/>
    <x v="151"/>
    <n v="80.824772772952841"/>
  </r>
  <r>
    <s v="CN|AccumulatedNewCapacity|RE1|PWRWNDOFS_FIX|2038"/>
    <x v="0"/>
    <s v="RE1"/>
    <x v="7"/>
    <x v="16"/>
    <x v="1"/>
    <s v="EmploymentOMDirect"/>
    <x v="1"/>
    <s v="Direct"/>
    <n v="83.494766587762058"/>
    <x v="152"/>
    <n v="183.34516494637589"/>
  </r>
  <r>
    <s v="CN|AccumulatedNewCapacity|RE1|PWRWNDOFS_FIX|2039"/>
    <x v="0"/>
    <s v="RE1"/>
    <x v="7"/>
    <x v="17"/>
    <x v="1"/>
    <s v="EmploymentOMDirect"/>
    <x v="1"/>
    <s v="Direct"/>
    <n v="130.80476658776209"/>
    <x v="153"/>
    <n v="282.29077773038495"/>
  </r>
  <r>
    <s v="CN|AccumulatedNewCapacity|RE1|PWRWNDOFS_FIX|2040"/>
    <x v="0"/>
    <s v="RE1"/>
    <x v="7"/>
    <x v="1"/>
    <x v="1"/>
    <s v="EmploymentOMDirect"/>
    <x v="1"/>
    <s v="Direct"/>
    <n v="178.11476658776209"/>
    <x v="154"/>
    <n v="377.66161112486532"/>
  </r>
  <r>
    <s v="CN|AccumulatedNewCapacity|RE1|PWRWNDOFS_FIX|2041"/>
    <x v="0"/>
    <s v="RE1"/>
    <x v="7"/>
    <x v="2"/>
    <x v="1"/>
    <s v="EmploymentOMDirect"/>
    <x v="1"/>
    <s v="Direct"/>
    <n v="225.42476658776209"/>
    <x v="155"/>
    <n v="469.45766512981709"/>
  </r>
  <r>
    <s v="CN|AccumulatedNewCapacity|RE1|PWRWNDOFS_FIX|2042"/>
    <x v="0"/>
    <s v="RE1"/>
    <x v="7"/>
    <x v="18"/>
    <x v="1"/>
    <s v="EmploymentOMDirect"/>
    <x v="1"/>
    <s v="Direct"/>
    <n v="272.73476658776212"/>
    <x v="156"/>
    <n v="557.67893974524009"/>
  </r>
  <r>
    <s v="CN|AccumulatedNewCapacity|RE1|PWRWNDOFS_FIX|2043"/>
    <x v="0"/>
    <s v="RE1"/>
    <x v="7"/>
    <x v="19"/>
    <x v="1"/>
    <s v="EmploymentOMDirect"/>
    <x v="1"/>
    <s v="Direct"/>
    <n v="320.04476658776213"/>
    <x v="157"/>
    <n v="642.32543497113443"/>
  </r>
  <r>
    <s v="CN|AccumulatedNewCapacity|RE1|PWRWNDOFS_FIX|2044"/>
    <x v="0"/>
    <s v="RE1"/>
    <x v="7"/>
    <x v="20"/>
    <x v="1"/>
    <s v="EmploymentOMDirect"/>
    <x v="1"/>
    <s v="Direct"/>
    <n v="328.96702457715821"/>
    <x v="158"/>
    <n v="647.80378514974711"/>
  </r>
  <r>
    <s v="CN|AccumulatedNewCapacity|RE1|PWRWNDOFS_FIX|2045"/>
    <x v="0"/>
    <s v="RE1"/>
    <x v="7"/>
    <x v="21"/>
    <x v="1"/>
    <s v="EmploymentOMDirect"/>
    <x v="1"/>
    <s v="Direct"/>
    <n v="376.27702457715822"/>
    <x v="159"/>
    <n v="726.75102500956098"/>
  </r>
  <r>
    <s v="CN|AccumulatedNewCapacity|RE1|PWRWNDOFS_FIX|2046"/>
    <x v="0"/>
    <s v="RE1"/>
    <x v="7"/>
    <x v="22"/>
    <x v="1"/>
    <s v="EmploymentOMDirect"/>
    <x v="1"/>
    <s v="Direct"/>
    <n v="423.58702457715822"/>
    <x v="160"/>
    <n v="802.12348547984618"/>
  </r>
  <r>
    <s v="CN|AccumulatedNewCapacity|RE1|PWRWNDOFS_FIX|2047"/>
    <x v="0"/>
    <s v="RE1"/>
    <x v="7"/>
    <x v="3"/>
    <x v="1"/>
    <s v="EmploymentOMDirect"/>
    <x v="1"/>
    <s v="Direct"/>
    <n v="470.89702457715822"/>
    <x v="161"/>
    <n v="873.9211665606025"/>
  </r>
  <r>
    <s v="CN|AccumulatedNewCapacity|RE1|PWRWNDOFS_FIX|2048"/>
    <x v="0"/>
    <s v="RE1"/>
    <x v="7"/>
    <x v="4"/>
    <x v="1"/>
    <s v="EmploymentOMDirect"/>
    <x v="1"/>
    <s v="Direct"/>
    <n v="518.20702457715811"/>
    <x v="162"/>
    <n v="942.14406825183016"/>
  </r>
  <r>
    <s v="CN|AccumulatedNewCapacity|RE1|PWRWNDOFS_FIX|2049"/>
    <x v="0"/>
    <s v="RE1"/>
    <x v="7"/>
    <x v="23"/>
    <x v="1"/>
    <s v="EmploymentOMDirect"/>
    <x v="1"/>
    <s v="Direct"/>
    <n v="553.85030883313163"/>
    <x v="163"/>
    <n v="986.02189047409991"/>
  </r>
  <r>
    <s v="CN|AccumulatedNewCapacity|RE1|PWRWNDOFS_FIX|2050"/>
    <x v="0"/>
    <s v="RE1"/>
    <x v="7"/>
    <x v="24"/>
    <x v="1"/>
    <s v="EmploymentOMDirect"/>
    <x v="1"/>
    <s v="Direct"/>
    <n v="553.85030883313163"/>
    <x v="163"/>
    <n v="965.09721631535149"/>
  </r>
  <r>
    <s v="CN|AccumulatedNewCapacity|RE1|PWRWNDOFS_FIX|2051"/>
    <x v="0"/>
    <s v="RE1"/>
    <x v="7"/>
    <x v="25"/>
    <x v="1"/>
    <s v="EmploymentOMDirect"/>
    <x v="1"/>
    <s v="Direct"/>
    <n v="553.85030883313163"/>
    <x v="163"/>
    <n v="965.09721631535149"/>
  </r>
  <r>
    <s v="CN|AccumulatedNewCapacity|RE1|PWRWNDOFS_FIX|2052"/>
    <x v="0"/>
    <s v="RE1"/>
    <x v="7"/>
    <x v="26"/>
    <x v="1"/>
    <s v="EmploymentOMDirect"/>
    <x v="1"/>
    <s v="Direct"/>
    <n v="565.5570097473003"/>
    <x v="164"/>
    <n v="985.49641856244182"/>
  </r>
  <r>
    <s v="CN|AccumulatedNewCapacity|RE1|PWRWNDOFS_FIX|2053"/>
    <x v="0"/>
    <s v="RE1"/>
    <x v="7"/>
    <x v="27"/>
    <x v="1"/>
    <s v="EmploymentOMDirect"/>
    <x v="1"/>
    <s v="Direct"/>
    <n v="587.94553340507798"/>
    <x v="165"/>
    <n v="1024.508948690039"/>
  </r>
  <r>
    <s v="CN|AccumulatedNewCapacity|RE1|PWRWNDOFS_FIX|2054"/>
    <x v="0"/>
    <s v="RE1"/>
    <x v="7"/>
    <x v="28"/>
    <x v="1"/>
    <s v="EmploymentOMDirect"/>
    <x v="1"/>
    <s v="Direct"/>
    <n v="609.11674579839485"/>
    <x v="166"/>
    <n v="1061.4002852496567"/>
  </r>
  <r>
    <s v="CN|AccumulatedNewCapacity|RE1|PWRWNDOFS_FIX|2055"/>
    <x v="0"/>
    <s v="RE1"/>
    <x v="7"/>
    <x v="29"/>
    <x v="1"/>
    <s v="EmploymentOMDirect"/>
    <x v="1"/>
    <s v="Direct"/>
    <n v="609.11674579839485"/>
    <x v="166"/>
    <n v="1061.4002852496567"/>
  </r>
  <r>
    <s v="CN|AccumulatedNewCapacity|RE1|PWRWNDOFS_FLO|2047"/>
    <x v="0"/>
    <s v="RE1"/>
    <x v="8"/>
    <x v="3"/>
    <x v="1"/>
    <s v="EmploymentOMDirect"/>
    <x v="1"/>
    <s v="Direct"/>
    <n v="2.3209769134012128"/>
    <x v="67"/>
    <n v="10.530403634562026"/>
  </r>
  <r>
    <s v="CN|AccumulatedNewCapacity|RE1|PWRWNDOFS_FLO|2048"/>
    <x v="0"/>
    <s v="RE1"/>
    <x v="8"/>
    <x v="4"/>
    <x v="1"/>
    <s v="EmploymentOMDirect"/>
    <x v="1"/>
    <s v="Direct"/>
    <n v="7.2734896835090179"/>
    <x v="167"/>
    <n v="31.665854790107637"/>
  </r>
  <r>
    <s v="CN|AccumulatedNewCapacity|RE1|PWRWNDOFS_FLO|2049"/>
    <x v="0"/>
    <s v="RE1"/>
    <x v="8"/>
    <x v="23"/>
    <x v="1"/>
    <s v="EmploymentOMDirect"/>
    <x v="1"/>
    <s v="Direct"/>
    <n v="7.2734896835090179"/>
    <x v="167"/>
    <n v="30.331475171622241"/>
  </r>
  <r>
    <s v="CN|AccumulatedNewCapacity|RE1|PWRWNDOFS_FLO|2050"/>
    <x v="0"/>
    <s v="RE1"/>
    <x v="8"/>
    <x v="24"/>
    <x v="1"/>
    <s v="EmploymentOMDirect"/>
    <x v="1"/>
    <s v="Direct"/>
    <n v="7.2734896835090179"/>
    <x v="167"/>
    <n v="28.997095553367327"/>
  </r>
  <r>
    <s v="CN|AccumulatedNewCapacity|RE1|PWRWNDOFS_FLO|2051"/>
    <x v="0"/>
    <s v="RE1"/>
    <x v="8"/>
    <x v="25"/>
    <x v="1"/>
    <s v="EmploymentOMDirect"/>
    <x v="1"/>
    <s v="Direct"/>
    <n v="7.2734896835090179"/>
    <x v="167"/>
    <n v="28.997095553367327"/>
  </r>
  <r>
    <s v="CN|AccumulatedNewCapacity|RE1|PWRWNDOFS_FLO|2052"/>
    <x v="0"/>
    <s v="RE1"/>
    <x v="8"/>
    <x v="26"/>
    <x v="1"/>
    <s v="EmploymentOMDirect"/>
    <x v="1"/>
    <s v="Direct"/>
    <n v="7.2734896835090179"/>
    <x v="167"/>
    <n v="28.997095553367327"/>
  </r>
  <r>
    <s v="CN|AccumulatedNewCapacity|RE1|PWRWNDOFS_FLO|2053"/>
    <x v="0"/>
    <s v="RE1"/>
    <x v="8"/>
    <x v="27"/>
    <x v="1"/>
    <s v="EmploymentOMDirect"/>
    <x v="1"/>
    <s v="Direct"/>
    <n v="7.2734896835090179"/>
    <x v="167"/>
    <n v="28.997095553367327"/>
  </r>
  <r>
    <s v="CN|AccumulatedNewCapacity|RE1|PWRWNDOFS_FLO|2054"/>
    <x v="0"/>
    <s v="RE1"/>
    <x v="8"/>
    <x v="28"/>
    <x v="1"/>
    <s v="EmploymentOMDirect"/>
    <x v="1"/>
    <s v="Direct"/>
    <n v="7.2734896835090179"/>
    <x v="167"/>
    <n v="28.997095553367327"/>
  </r>
  <r>
    <s v="CN|AccumulatedNewCapacity|RE1|PWRWNDOFS_FLO|2055"/>
    <x v="0"/>
    <s v="RE1"/>
    <x v="8"/>
    <x v="29"/>
    <x v="1"/>
    <s v="EmploymentOMDirect"/>
    <x v="1"/>
    <s v="Direct"/>
    <n v="7.2734896835090179"/>
    <x v="167"/>
    <n v="28.997095553367327"/>
  </r>
  <r>
    <s v="CN|AccumulatedNewCapacity|RE1|PWRWNDONS|2025"/>
    <x v="0"/>
    <s v="RE1"/>
    <x v="9"/>
    <x v="30"/>
    <x v="1"/>
    <s v="EmploymentOMDirect"/>
    <x v="1"/>
    <s v="Direct"/>
    <n v="0.15362331428571441"/>
    <x v="69"/>
    <n v="0.14479721513827704"/>
  </r>
  <r>
    <s v="CN|AccumulatedNewCapacity|RE1|PWRWNDONS|2026"/>
    <x v="0"/>
    <s v="RE1"/>
    <x v="9"/>
    <x v="5"/>
    <x v="1"/>
    <s v="EmploymentOMDirect"/>
    <x v="1"/>
    <s v="Direct"/>
    <n v="14.28944648443558"/>
    <x v="168"/>
    <n v="13.352796711326588"/>
  </r>
  <r>
    <s v="CN|AccumulatedNewCapacity|RE1|PWRWNDONS|2027"/>
    <x v="0"/>
    <s v="RE1"/>
    <x v="9"/>
    <x v="6"/>
    <x v="1"/>
    <s v="EmploymentOMDirect"/>
    <x v="1"/>
    <s v="Direct"/>
    <n v="31.689446484435582"/>
    <x v="169"/>
    <n v="29.35571344318997"/>
  </r>
  <r>
    <s v="CN|AccumulatedNewCapacity|RE1|PWRWNDONS|2028"/>
    <x v="0"/>
    <s v="RE1"/>
    <x v="9"/>
    <x v="0"/>
    <x v="1"/>
    <s v="EmploymentOMDirect"/>
    <x v="1"/>
    <s v="Direct"/>
    <n v="38.089446484435577"/>
    <x v="170"/>
    <n v="34.976039767881346"/>
  </r>
  <r>
    <s v="CN|AccumulatedNewCapacity|RE1|PWRWNDONS|2029"/>
    <x v="0"/>
    <s v="RE1"/>
    <x v="9"/>
    <x v="7"/>
    <x v="1"/>
    <s v="EmploymentOMDirect"/>
    <x v="1"/>
    <s v="Direct"/>
    <n v="47.589446484435577"/>
    <x v="171"/>
    <n v="43.314255697259753"/>
  </r>
  <r>
    <s v="CN|AccumulatedNewCapacity|RE1|PWRWNDONS|2030"/>
    <x v="0"/>
    <s v="RE1"/>
    <x v="9"/>
    <x v="8"/>
    <x v="1"/>
    <s v="EmploymentOMDirect"/>
    <x v="1"/>
    <s v="Direct"/>
    <n v="56.989446484435582"/>
    <x v="172"/>
    <n v="51.408450220632595"/>
  </r>
  <r>
    <s v="CN|AccumulatedNewCapacity|RE1|PWRWNDONS|2031"/>
    <x v="0"/>
    <s v="RE1"/>
    <x v="9"/>
    <x v="9"/>
    <x v="1"/>
    <s v="EmploymentOMDirect"/>
    <x v="1"/>
    <s v="Direct"/>
    <n v="66.389446484435581"/>
    <x v="173"/>
    <n v="59.726668292512073"/>
  </r>
  <r>
    <s v="CN|AccumulatedNewCapacity|RE1|PWRWNDONS|2032"/>
    <x v="0"/>
    <s v="RE1"/>
    <x v="9"/>
    <x v="10"/>
    <x v="1"/>
    <s v="EmploymentOMDirect"/>
    <x v="1"/>
    <s v="Direct"/>
    <n v="75.789446484435587"/>
    <x v="174"/>
    <n v="67.999227761930015"/>
  </r>
  <r>
    <s v="CN|AccumulatedNewCapacity|RE1|PWRWNDONS|2033"/>
    <x v="0"/>
    <s v="RE1"/>
    <x v="9"/>
    <x v="11"/>
    <x v="1"/>
    <s v="EmploymentOMDirect"/>
    <x v="1"/>
    <s v="Direct"/>
    <n v="85.189446484435592"/>
    <x v="175"/>
    <n v="76.226128629156392"/>
  </r>
  <r>
    <s v="CN|AccumulatedNewCapacity|RE1|PWRWNDONS|2034"/>
    <x v="0"/>
    <s v="RE1"/>
    <x v="9"/>
    <x v="12"/>
    <x v="1"/>
    <s v="EmploymentOMDirect"/>
    <x v="1"/>
    <s v="Direct"/>
    <n v="94.589446484435598"/>
    <x v="176"/>
    <n v="84.407370893681062"/>
  </r>
  <r>
    <s v="CN|AccumulatedNewCapacity|RE1|PWRWNDONS|2035"/>
    <x v="0"/>
    <s v="RE1"/>
    <x v="9"/>
    <x v="13"/>
    <x v="1"/>
    <s v="EmploymentOMDirect"/>
    <x v="1"/>
    <s v="Direct"/>
    <n v="141.8994464844356"/>
    <x v="177"/>
    <n v="126.28006467425381"/>
  </r>
  <r>
    <s v="CN|AccumulatedNewCapacity|RE1|PWRWNDONS|2036"/>
    <x v="0"/>
    <s v="RE1"/>
    <x v="9"/>
    <x v="14"/>
    <x v="1"/>
    <s v="EmploymentOMDirect"/>
    <x v="1"/>
    <s v="Direct"/>
    <n v="189.2094464844356"/>
    <x v="178"/>
    <n v="167.92295968069683"/>
  </r>
  <r>
    <s v="CN|AccumulatedNewCapacity|RE1|PWRWNDONS|2037"/>
    <x v="0"/>
    <s v="RE1"/>
    <x v="9"/>
    <x v="15"/>
    <x v="1"/>
    <s v="EmploymentOMDirect"/>
    <x v="1"/>
    <s v="Direct"/>
    <n v="236.5194464844356"/>
    <x v="179"/>
    <n v="209.33605591196098"/>
  </r>
  <r>
    <s v="CN|AccumulatedNewCapacity|RE1|PWRWNDONS|2038"/>
    <x v="0"/>
    <s v="RE1"/>
    <x v="9"/>
    <x v="16"/>
    <x v="1"/>
    <s v="EmploymentOMDirect"/>
    <x v="1"/>
    <s v="Direct"/>
    <n v="283.82944648443561"/>
    <x v="180"/>
    <n v="250.51935336849579"/>
  </r>
  <r>
    <s v="CN|AccumulatedNewCapacity|RE1|PWRWNDONS|2039"/>
    <x v="0"/>
    <s v="RE1"/>
    <x v="9"/>
    <x v="17"/>
    <x v="1"/>
    <s v="EmploymentOMDirect"/>
    <x v="1"/>
    <s v="Direct"/>
    <n v="331.13944648443561"/>
    <x v="181"/>
    <n v="291.47285205135069"/>
  </r>
  <r>
    <s v="CN|AccumulatedNewCapacity|RE1|PWRWNDONS|2040"/>
    <x v="0"/>
    <s v="RE1"/>
    <x v="9"/>
    <x v="1"/>
    <x v="1"/>
    <s v="EmploymentOMDirect"/>
    <x v="1"/>
    <s v="Direct"/>
    <n v="378.44944648443561"/>
    <x v="182"/>
    <n v="332.19655195857706"/>
  </r>
  <r>
    <s v="CN|AccumulatedNewCapacity|RE1|PWRWNDONS|2041"/>
    <x v="0"/>
    <s v="RE1"/>
    <x v="9"/>
    <x v="2"/>
    <x v="1"/>
    <s v="EmploymentOMDirect"/>
    <x v="1"/>
    <s v="Direct"/>
    <n v="425.75944648443561"/>
    <x v="183"/>
    <n v="372.69045309107406"/>
  </r>
  <r>
    <s v="CN|AccumulatedNewCapacity|RE1|PWRWNDONS|2042"/>
    <x v="0"/>
    <s v="RE1"/>
    <x v="9"/>
    <x v="18"/>
    <x v="1"/>
    <s v="EmploymentOMDirect"/>
    <x v="1"/>
    <s v="Direct"/>
    <n v="473.06944648443562"/>
    <x v="184"/>
    <n v="412.95455545034088"/>
  </r>
  <r>
    <s v="CN|AccumulatedNewCapacity|RE1|PWRWNDONS|2043"/>
    <x v="0"/>
    <s v="RE1"/>
    <x v="9"/>
    <x v="19"/>
    <x v="1"/>
    <s v="EmploymentOMDirect"/>
    <x v="1"/>
    <s v="Direct"/>
    <n v="520.37944648443568"/>
    <x v="185"/>
    <n v="452.98885903352931"/>
  </r>
  <r>
    <s v="CN|AccumulatedNewCapacity|RE1|PWRWNDONS|2044"/>
    <x v="0"/>
    <s v="RE1"/>
    <x v="9"/>
    <x v="20"/>
    <x v="1"/>
    <s v="EmploymentOMDirect"/>
    <x v="1"/>
    <s v="Direct"/>
    <n v="567.68944648443562"/>
    <x v="186"/>
    <n v="492.79336384198837"/>
  </r>
  <r>
    <s v="CN|AccumulatedNewCapacity|RE1|PWRWNDONS|2045"/>
    <x v="0"/>
    <s v="RE1"/>
    <x v="9"/>
    <x v="21"/>
    <x v="1"/>
    <s v="EmploymentOMDirect"/>
    <x v="1"/>
    <s v="Direct"/>
    <n v="614.99944648443557"/>
    <x v="187"/>
    <n v="532.36806987766715"/>
  </r>
  <r>
    <s v="CN|AccumulatedNewCapacity|RE1|PWRWNDONS|2046"/>
    <x v="0"/>
    <s v="RE1"/>
    <x v="9"/>
    <x v="22"/>
    <x v="1"/>
    <s v="EmploymentOMDirect"/>
    <x v="1"/>
    <s v="Direct"/>
    <n v="662.30944648443551"/>
    <x v="188"/>
    <n v="571.71297713681759"/>
  </r>
  <r>
    <s v="CN|AccumulatedNewCapacity|RE1|PWRWNDONS|2047"/>
    <x v="0"/>
    <s v="RE1"/>
    <x v="9"/>
    <x v="3"/>
    <x v="1"/>
    <s v="EmploymentOMDirect"/>
    <x v="1"/>
    <s v="Direct"/>
    <n v="709.61944648443546"/>
    <x v="189"/>
    <n v="610.82808562123887"/>
  </r>
  <r>
    <s v="CN|AccumulatedNewCapacity|RE1|PWRWNDONS|2048"/>
    <x v="0"/>
    <s v="RE1"/>
    <x v="9"/>
    <x v="4"/>
    <x v="1"/>
    <s v="EmploymentOMDirect"/>
    <x v="1"/>
    <s v="Direct"/>
    <n v="756.9294464844354"/>
    <x v="190"/>
    <n v="649.71339533332934"/>
  </r>
  <r>
    <s v="CN|AccumulatedNewCapacity|RE1|PWRWNDONS|2049"/>
    <x v="0"/>
    <s v="RE1"/>
    <x v="9"/>
    <x v="23"/>
    <x v="1"/>
    <s v="EmploymentOMDirect"/>
    <x v="1"/>
    <s v="Direct"/>
    <n v="804.23944648443535"/>
    <x v="191"/>
    <n v="688.36890626844206"/>
  </r>
  <r>
    <s v="CN|AccumulatedNewCapacity|RE1|PWRWNDONS|2050"/>
    <x v="0"/>
    <s v="RE1"/>
    <x v="9"/>
    <x v="24"/>
    <x v="1"/>
    <s v="EmploymentOMDirect"/>
    <x v="1"/>
    <s v="Direct"/>
    <n v="804.23944648443535"/>
    <x v="191"/>
    <n v="686.41569088701056"/>
  </r>
  <r>
    <s v="CN|AccumulatedNewCapacity|RE1|PWRWNDONS|2051"/>
    <x v="0"/>
    <s v="RE1"/>
    <x v="9"/>
    <x v="25"/>
    <x v="1"/>
    <s v="EmploymentOMDirect"/>
    <x v="1"/>
    <s v="Direct"/>
    <n v="851.54944648443529"/>
    <x v="192"/>
    <n v="726.79461842882563"/>
  </r>
  <r>
    <s v="CN|AccumulatedNewCapacity|RE1|PWRWNDONS|2052"/>
    <x v="0"/>
    <s v="RE1"/>
    <x v="9"/>
    <x v="26"/>
    <x v="1"/>
    <s v="EmploymentOMDirect"/>
    <x v="1"/>
    <s v="Direct"/>
    <n v="898.85944648443524"/>
    <x v="193"/>
    <n v="767.17354597064059"/>
  </r>
  <r>
    <s v="CN|AccumulatedNewCapacity|RE1|PWRWNDONS|2053"/>
    <x v="0"/>
    <s v="RE1"/>
    <x v="9"/>
    <x v="27"/>
    <x v="1"/>
    <s v="EmploymentOMDirect"/>
    <x v="1"/>
    <s v="Direct"/>
    <n v="946.16944648443518"/>
    <x v="194"/>
    <n v="807.55247351245566"/>
  </r>
  <r>
    <s v="CN|AccumulatedNewCapacity|RE1|PWRWNDONS|2054"/>
    <x v="0"/>
    <s v="RE1"/>
    <x v="9"/>
    <x v="28"/>
    <x v="1"/>
    <s v="EmploymentOMDirect"/>
    <x v="1"/>
    <s v="Direct"/>
    <n v="993.47944648443513"/>
    <x v="195"/>
    <n v="847.93140105427051"/>
  </r>
  <r>
    <s v="CN|AccumulatedNewCapacity|RE1|PWRWNDONS|2055"/>
    <x v="0"/>
    <s v="RE1"/>
    <x v="9"/>
    <x v="29"/>
    <x v="1"/>
    <s v="EmploymentOMDirect"/>
    <x v="1"/>
    <s v="Direct"/>
    <n v="1004.764977546814"/>
    <x v="196"/>
    <n v="857.56356425525757"/>
  </r>
  <r>
    <s v="PA|NewCapacity|RE1|PWRGEO|2040"/>
    <x v="1"/>
    <s v="RE1"/>
    <x v="10"/>
    <x v="1"/>
    <x v="0"/>
    <s v="EmploymentConstructionManufacturingDirect"/>
    <x v="0"/>
    <s v="Direct"/>
    <n v="3.1539999999999999"/>
    <x v="197"/>
    <n v="460.46292640352118"/>
  </r>
  <r>
    <s v="PA|NewCapacity|RE1|PWRGEO|2041"/>
    <x v="1"/>
    <s v="RE1"/>
    <x v="10"/>
    <x v="2"/>
    <x v="0"/>
    <s v="EmploymentConstructionManufacturingDirect"/>
    <x v="0"/>
    <s v="Direct"/>
    <n v="3.1539999999999999"/>
    <x v="197"/>
    <n v="458.61728384286198"/>
  </r>
  <r>
    <s v="PA|NewCapacity|RE1|PWRGEO|2042"/>
    <x v="1"/>
    <s v="RE1"/>
    <x v="10"/>
    <x v="18"/>
    <x v="0"/>
    <s v="EmploymentConstructionManufacturingDirect"/>
    <x v="0"/>
    <s v="Direct"/>
    <n v="3.1539999999999999"/>
    <x v="197"/>
    <n v="456.77164128220267"/>
  </r>
  <r>
    <s v="PA|NewCapacity|RE1|PWRGEO|2043"/>
    <x v="1"/>
    <s v="RE1"/>
    <x v="10"/>
    <x v="19"/>
    <x v="0"/>
    <s v="EmploymentConstructionManufacturingDirect"/>
    <x v="0"/>
    <s v="Direct"/>
    <n v="3.1539999999999999"/>
    <x v="197"/>
    <n v="454.92599872154346"/>
  </r>
  <r>
    <s v="PA|NewCapacity|RE1|PWRGEO|2044"/>
    <x v="1"/>
    <s v="RE1"/>
    <x v="10"/>
    <x v="20"/>
    <x v="0"/>
    <s v="EmploymentConstructionManufacturingDirect"/>
    <x v="0"/>
    <s v="Direct"/>
    <n v="3.1539999999999999"/>
    <x v="197"/>
    <n v="453.08035616088426"/>
  </r>
  <r>
    <s v="PA|NewCapacity|RE1|PWRGEO|2045"/>
    <x v="1"/>
    <s v="RE1"/>
    <x v="10"/>
    <x v="21"/>
    <x v="0"/>
    <s v="EmploymentConstructionManufacturingDirect"/>
    <x v="0"/>
    <s v="Direct"/>
    <n v="3.1539999999999999"/>
    <x v="197"/>
    <n v="451.23471360022495"/>
  </r>
  <r>
    <s v="PA|NewCapacity|RE1|PWRGEO|2046"/>
    <x v="1"/>
    <s v="RE1"/>
    <x v="10"/>
    <x v="22"/>
    <x v="0"/>
    <s v="EmploymentConstructionManufacturingDirect"/>
    <x v="0"/>
    <s v="Direct"/>
    <n v="3.1539999999999999"/>
    <x v="197"/>
    <n v="449.38907103956575"/>
  </r>
  <r>
    <s v="PA|NewCapacity|RE1|PWRGEO|2047"/>
    <x v="1"/>
    <s v="RE1"/>
    <x v="10"/>
    <x v="3"/>
    <x v="0"/>
    <s v="EmploymentConstructionManufacturingDirect"/>
    <x v="0"/>
    <s v="Direct"/>
    <n v="3.1539999999999999"/>
    <x v="197"/>
    <n v="447.54342847890649"/>
  </r>
  <r>
    <s v="PA|NewCapacity|RE1|PWRGEO|2048"/>
    <x v="1"/>
    <s v="RE1"/>
    <x v="10"/>
    <x v="4"/>
    <x v="0"/>
    <s v="EmploymentConstructionManufacturingDirect"/>
    <x v="0"/>
    <s v="Direct"/>
    <n v="3.1539999999999999"/>
    <x v="197"/>
    <n v="445.69778591824729"/>
  </r>
  <r>
    <s v="PA|NewCapacity|RE1|PWRGEO|2049"/>
    <x v="1"/>
    <s v="RE1"/>
    <x v="10"/>
    <x v="23"/>
    <x v="0"/>
    <s v="EmploymentConstructionManufacturingDirect"/>
    <x v="0"/>
    <s v="Direct"/>
    <n v="3.1539999999999999"/>
    <x v="197"/>
    <n v="443.85214335758809"/>
  </r>
  <r>
    <s v="PA|NewCapacity|RE1|PWRHYDDAM|2028"/>
    <x v="1"/>
    <s v="RE1"/>
    <x v="0"/>
    <x v="0"/>
    <x v="0"/>
    <s v="EmploymentConstructionManufacturingDirect"/>
    <x v="0"/>
    <s v="Direct"/>
    <n v="37.840000000000003"/>
    <x v="0"/>
    <n v="13862.851758940096"/>
  </r>
  <r>
    <s v="PA|NewCapacity|RE1|PWRNUC|2038"/>
    <x v="1"/>
    <s v="RE1"/>
    <x v="11"/>
    <x v="16"/>
    <x v="0"/>
    <s v="EmploymentConstructionManufacturingDirect"/>
    <x v="0"/>
    <s v="Direct"/>
    <n v="9.5120000000000005"/>
    <x v="198"/>
    <n v="5948.7524520196475"/>
  </r>
  <r>
    <s v="PA|NewCapacity|RE1|PWRSOLRTP|2026"/>
    <x v="1"/>
    <s v="RE1"/>
    <x v="2"/>
    <x v="5"/>
    <x v="0"/>
    <s v="EmploymentConstructionManufacturingDirect"/>
    <x v="0"/>
    <s v="Direct"/>
    <n v="8.889961953075499"/>
    <x v="199"/>
    <n v="2356.0209677182679"/>
  </r>
  <r>
    <s v="PA|NewCapacity|RE1|PWRSOLRTP|2027"/>
    <x v="1"/>
    <s v="RE1"/>
    <x v="2"/>
    <x v="6"/>
    <x v="0"/>
    <s v="EmploymentConstructionManufacturingDirect"/>
    <x v="0"/>
    <s v="Direct"/>
    <n v="12.523779327837669"/>
    <x v="200"/>
    <n v="3127.6549223110169"/>
  </r>
  <r>
    <s v="PA|NewCapacity|RE1|PWRSOLRTP|2028"/>
    <x v="1"/>
    <s v="RE1"/>
    <x v="2"/>
    <x v="0"/>
    <x v="0"/>
    <s v="EmploymentConstructionManufacturingDirect"/>
    <x v="0"/>
    <s v="Direct"/>
    <n v="13.79201014584654"/>
    <x v="201"/>
    <n v="3233.5953704416524"/>
  </r>
  <r>
    <s v="PA|NewCapacity|RE1|PWRSOLRTP|2029"/>
    <x v="1"/>
    <s v="RE1"/>
    <x v="2"/>
    <x v="7"/>
    <x v="0"/>
    <s v="EmploymentConstructionManufacturingDirect"/>
    <x v="0"/>
    <s v="Direct"/>
    <n v="14.267596702599869"/>
    <x v="202"/>
    <n v="3127.0461408387964"/>
  </r>
  <r>
    <s v="PA|NewCapacity|RE1|PWRSOLRTP|2030"/>
    <x v="1"/>
    <s v="RE1"/>
    <x v="2"/>
    <x v="8"/>
    <x v="0"/>
    <s v="EmploymentConstructionManufacturingDirect"/>
    <x v="0"/>
    <s v="Direct"/>
    <n v="13.950538998097651"/>
    <x v="203"/>
    <n v="2844.3493198755764"/>
  </r>
  <r>
    <s v="PA|NewCapacity|RE1|PWRSOLRTP|2031"/>
    <x v="1"/>
    <s v="RE1"/>
    <x v="2"/>
    <x v="9"/>
    <x v="0"/>
    <s v="EmploymentConstructionManufacturingDirect"/>
    <x v="0"/>
    <s v="Direct"/>
    <n v="12.999365884591001"/>
    <x v="204"/>
    <n v="2606.882957163481"/>
  </r>
  <r>
    <s v="PA|NewCapacity|RE1|PWRSOLRTP|2032"/>
    <x v="1"/>
    <s v="RE1"/>
    <x v="2"/>
    <x v="10"/>
    <x v="0"/>
    <s v="EmploymentConstructionManufacturingDirect"/>
    <x v="0"/>
    <s v="Direct"/>
    <n v="11.57260621433101"/>
    <x v="205"/>
    <n v="2282.0062645280946"/>
  </r>
  <r>
    <s v="PA|NewCapacity|RE1|PWRSOLRTP|2033"/>
    <x v="1"/>
    <s v="RE1"/>
    <x v="2"/>
    <x v="11"/>
    <x v="0"/>
    <s v="EmploymentConstructionManufacturingDirect"/>
    <x v="0"/>
    <s v="Direct"/>
    <n v="10.14584654407102"/>
    <x v="206"/>
    <n v="1966.6856960606574"/>
  </r>
  <r>
    <s v="PA|NewCapacity|RE1|PWRSOLRTP|2034"/>
    <x v="1"/>
    <s v="RE1"/>
    <x v="2"/>
    <x v="12"/>
    <x v="0"/>
    <s v="EmploymentConstructionManufacturingDirect"/>
    <x v="0"/>
    <s v="Direct"/>
    <n v="8.8776157260621442"/>
    <x v="207"/>
    <n v="1691.1198199750099"/>
  </r>
  <r>
    <s v="PA|NewCapacity|RE1|PWRSOLRTP|2035"/>
    <x v="1"/>
    <s v="RE1"/>
    <x v="2"/>
    <x v="13"/>
    <x v="0"/>
    <s v="EmploymentConstructionManufacturingDirect"/>
    <x v="0"/>
    <s v="Direct"/>
    <n v="7.4508560558021566"/>
    <x v="208"/>
    <n v="1394.3806040563643"/>
  </r>
  <r>
    <s v="PA|NewCapacity|RE1|PWRSOLRTP|2036"/>
    <x v="1"/>
    <s v="RE1"/>
    <x v="2"/>
    <x v="14"/>
    <x v="0"/>
    <s v="EmploymentConstructionManufacturingDirect"/>
    <x v="0"/>
    <s v="Direct"/>
    <n v="6.1826252377932782"/>
    <x v="209"/>
    <n v="1136.3342889452906"/>
  </r>
  <r>
    <s v="PA|NewCapacity|RE1|PWRSOLRTP|2037"/>
    <x v="1"/>
    <s v="RE1"/>
    <x v="2"/>
    <x v="15"/>
    <x v="0"/>
    <s v="EmploymentConstructionManufacturingDirect"/>
    <x v="0"/>
    <s v="Direct"/>
    <n v="5.0729232720355109"/>
    <x v="210"/>
    <n v="915.38818728046522"/>
  </r>
  <r>
    <s v="PA|NewCapacity|RE1|PWRSOLRTP|2038"/>
    <x v="1"/>
    <s v="RE1"/>
    <x v="2"/>
    <x v="16"/>
    <x v="0"/>
    <s v="EmploymentConstructionManufacturingDirect"/>
    <x v="0"/>
    <s v="Direct"/>
    <n v="4.1217501585288527"/>
    <x v="211"/>
    <n v="729.94961170186787"/>
  </r>
  <r>
    <s v="PA|NewCapacity|RE1|PWRSOLRTP|2039"/>
    <x v="1"/>
    <s v="RE1"/>
    <x v="2"/>
    <x v="17"/>
    <x v="0"/>
    <s v="EmploymentConstructionManufacturingDirect"/>
    <x v="0"/>
    <s v="Direct"/>
    <n v="3.487634749524414"/>
    <x v="212"/>
    <n v="605.96996412365934"/>
  </r>
  <r>
    <s v="PA|NewCapacity|RE1|PWRSOLRTP|2040"/>
    <x v="1"/>
    <s v="RE1"/>
    <x v="2"/>
    <x v="1"/>
    <x v="0"/>
    <s v="EmploymentConstructionManufacturingDirect"/>
    <x v="0"/>
    <s v="Direct"/>
    <n v="3.012048192771084"/>
    <x v="213"/>
    <n v="513.25067633355684"/>
  </r>
  <r>
    <s v="PA|NewCapacity|RE1|PWRSOLRTP|2041"/>
    <x v="1"/>
    <s v="RE1"/>
    <x v="2"/>
    <x v="2"/>
    <x v="0"/>
    <s v="EmploymentConstructionManufacturingDirect"/>
    <x v="0"/>
    <s v="Direct"/>
    <n v="2.5998731769181989"/>
    <x v="214"/>
    <n v="434.30968234775702"/>
  </r>
  <r>
    <s v="PA|NewCapacity|RE1|PWRSOLRTP|2042"/>
    <x v="1"/>
    <s v="RE1"/>
    <x v="2"/>
    <x v="18"/>
    <x v="0"/>
    <s v="EmploymentConstructionManufacturingDirect"/>
    <x v="0"/>
    <s v="Direct"/>
    <n v="2.2828154724159799"/>
    <x v="215"/>
    <n v="373.70018760513437"/>
  </r>
  <r>
    <s v="PA|NewCapacity|RE1|PWRSOLRTP|2043"/>
    <x v="1"/>
    <s v="RE1"/>
    <x v="2"/>
    <x v="19"/>
    <x v="0"/>
    <s v="EmploymentConstructionManufacturingDirect"/>
    <x v="0"/>
    <s v="Direct"/>
    <n v="2.0925808497146479"/>
    <x v="216"/>
    <n v="335.55068091487669"/>
  </r>
  <r>
    <s v="PA|NewCapacity|RE1|PWRSOLRTP|2044"/>
    <x v="1"/>
    <s v="RE1"/>
    <x v="2"/>
    <x v="20"/>
    <x v="0"/>
    <s v="EmploymentConstructionManufacturingDirect"/>
    <x v="0"/>
    <s v="Direct"/>
    <n v="1.9657577679137599"/>
    <x v="217"/>
    <n v="308.63116825142458"/>
  </r>
  <r>
    <s v="PA|NewCapacity|RE1|PWRSOLRTP|2045"/>
    <x v="1"/>
    <s v="RE1"/>
    <x v="2"/>
    <x v="21"/>
    <x v="0"/>
    <s v="EmploymentConstructionManufacturingDirect"/>
    <x v="0"/>
    <s v="Direct"/>
    <n v="1.902346227013316"/>
    <x v="218"/>
    <n v="292.30457466898218"/>
  </r>
  <r>
    <s v="PA|NewCapacity|RE1|PWRSOLRTP|2046"/>
    <x v="1"/>
    <s v="RE1"/>
    <x v="2"/>
    <x v="22"/>
    <x v="0"/>
    <s v="EmploymentConstructionManufacturingDirect"/>
    <x v="0"/>
    <s v="Direct"/>
    <n v="1.902346227013316"/>
    <x v="218"/>
    <n v="285.93382522368245"/>
  </r>
  <r>
    <s v="PA|NewCapacity|RE1|PWRSOLRTP|2047"/>
    <x v="1"/>
    <s v="RE1"/>
    <x v="2"/>
    <x v="3"/>
    <x v="0"/>
    <s v="EmploymentConstructionManufacturingDirect"/>
    <x v="0"/>
    <s v="Direct"/>
    <n v="1.902346227013316"/>
    <x v="218"/>
    <n v="279.56307577838277"/>
  </r>
  <r>
    <s v="PA|NewCapacity|RE1|PWRSOLRTP|2048"/>
    <x v="1"/>
    <s v="RE1"/>
    <x v="2"/>
    <x v="4"/>
    <x v="0"/>
    <s v="EmploymentConstructionManufacturingDirect"/>
    <x v="0"/>
    <s v="Direct"/>
    <n v="1.902346227013316"/>
    <x v="218"/>
    <n v="273.19232633308303"/>
  </r>
  <r>
    <s v="PA|NewCapacity|RE1|PWRSOLRTP|2049"/>
    <x v="1"/>
    <s v="RE1"/>
    <x v="2"/>
    <x v="23"/>
    <x v="0"/>
    <s v="EmploymentConstructionManufacturingDirect"/>
    <x v="0"/>
    <s v="Direct"/>
    <n v="1.902346227013316"/>
    <x v="218"/>
    <n v="266.82157688778329"/>
  </r>
  <r>
    <s v="PA|NewCapacity|RE1|PWRSOLRTP|2050"/>
    <x v="1"/>
    <s v="RE1"/>
    <x v="2"/>
    <x v="24"/>
    <x v="0"/>
    <s v="EmploymentConstructionManufacturingDirect"/>
    <x v="0"/>
    <s v="Direct"/>
    <n v="1.902346227013316"/>
    <x v="218"/>
    <n v="260.45082744248356"/>
  </r>
  <r>
    <s v="PA|NewCapacity|RE1|PWRSOLRTP|2051"/>
    <x v="1"/>
    <s v="RE1"/>
    <x v="2"/>
    <x v="25"/>
    <x v="0"/>
    <s v="EmploymentConstructionManufacturingDirect"/>
    <x v="0"/>
    <s v="Direct"/>
    <n v="1.902346227013316"/>
    <x v="218"/>
    <n v="260.45082744248356"/>
  </r>
  <r>
    <s v="PA|NewCapacity|RE1|PWRSOLRTP|2052"/>
    <x v="1"/>
    <s v="RE1"/>
    <x v="2"/>
    <x v="26"/>
    <x v="0"/>
    <s v="EmploymentConstructionManufacturingDirect"/>
    <x v="0"/>
    <s v="Direct"/>
    <n v="1.902346227013316"/>
    <x v="218"/>
    <n v="260.45082744248356"/>
  </r>
  <r>
    <s v="PA|NewCapacity|RE1|PWRSOLRTP|2053"/>
    <x v="1"/>
    <s v="RE1"/>
    <x v="2"/>
    <x v="27"/>
    <x v="0"/>
    <s v="EmploymentConstructionManufacturingDirect"/>
    <x v="0"/>
    <s v="Direct"/>
    <n v="1.902346227013316"/>
    <x v="218"/>
    <n v="260.45082744248356"/>
  </r>
  <r>
    <s v="PA|NewCapacity|RE1|PWRSOLRTP|2054"/>
    <x v="1"/>
    <s v="RE1"/>
    <x v="2"/>
    <x v="28"/>
    <x v="0"/>
    <s v="EmploymentConstructionManufacturingDirect"/>
    <x v="0"/>
    <s v="Direct"/>
    <n v="1.902346227013316"/>
    <x v="218"/>
    <n v="260.45082744248356"/>
  </r>
  <r>
    <s v="PA|NewCapacity|RE1|PWRSOLRTP|2055"/>
    <x v="1"/>
    <s v="RE1"/>
    <x v="2"/>
    <x v="29"/>
    <x v="0"/>
    <s v="EmploymentConstructionManufacturingDirect"/>
    <x v="0"/>
    <s v="Direct"/>
    <n v="1.902346227013316"/>
    <x v="218"/>
    <n v="260.45082744248356"/>
  </r>
  <r>
    <s v="PA|NewCapacity|RE1|PWRSOLUGE|2025"/>
    <x v="1"/>
    <s v="RE1"/>
    <x v="4"/>
    <x v="30"/>
    <x v="0"/>
    <s v="EmploymentConstructionManufacturingDirect"/>
    <x v="0"/>
    <s v="Direct"/>
    <n v="6.717168"/>
    <x v="46"/>
    <n v="2012.5687818907716"/>
  </r>
  <r>
    <s v="PA|NewCapacity|RE1|PWRSOLUGE|2026"/>
    <x v="1"/>
    <s v="RE1"/>
    <x v="4"/>
    <x v="5"/>
    <x v="0"/>
    <s v="EmploymentConstructionManufacturingDirect"/>
    <x v="0"/>
    <s v="Direct"/>
    <n v="55.787184000000003"/>
    <x v="47"/>
    <n v="15804.570695439714"/>
  </r>
  <r>
    <s v="PA|NewCapacity|RE1|PWRSOLUGE|2027"/>
    <x v="1"/>
    <s v="RE1"/>
    <x v="4"/>
    <x v="6"/>
    <x v="0"/>
    <s v="EmploymentConstructionManufacturingDirect"/>
    <x v="0"/>
    <s v="Direct"/>
    <n v="73.005840000000006"/>
    <x v="48"/>
    <n v="19491.576256281118"/>
  </r>
  <r>
    <s v="PA|NewCapacity|RE1|PWRSOLUGE|2030"/>
    <x v="1"/>
    <s v="RE1"/>
    <x v="4"/>
    <x v="8"/>
    <x v="0"/>
    <s v="EmploymentConstructionManufacturingDirect"/>
    <x v="0"/>
    <s v="Direct"/>
    <n v="7.8840000000000003"/>
    <x v="49"/>
    <n v="1719.0497071337441"/>
  </r>
  <r>
    <s v="PA|NewCapacity|RE1|PWRSOLUPE|2025"/>
    <x v="1"/>
    <s v="RE1"/>
    <x v="6"/>
    <x v="30"/>
    <x v="0"/>
    <s v="EmploymentConstructionManufacturingDirect"/>
    <x v="0"/>
    <s v="Direct"/>
    <n v="5.3106623999999574"/>
    <x v="57"/>
    <n v="1591.1576660582311"/>
  </r>
  <r>
    <s v="PA|NewCapacity|RE1|PWRSOLUPE|2026"/>
    <x v="1"/>
    <s v="RE1"/>
    <x v="6"/>
    <x v="5"/>
    <x v="0"/>
    <s v="EmploymentConstructionManufacturingDirect"/>
    <x v="0"/>
    <s v="Direct"/>
    <n v="3.364575839999973"/>
    <x v="58"/>
    <n v="953.18804267747294"/>
  </r>
  <r>
    <s v="PA|NewCapacity|RE1|PWRSOLUPE|2027"/>
    <x v="1"/>
    <s v="RE1"/>
    <x v="6"/>
    <x v="6"/>
    <x v="0"/>
    <s v="EmploymentConstructionManufacturingDirect"/>
    <x v="0"/>
    <s v="Direct"/>
    <n v="3.46896"/>
    <x v="59"/>
    <n v="926.16561044964271"/>
  </r>
  <r>
    <s v="PA|NewCapacity|RE1|PWRWNDOFS_FIX|2032"/>
    <x v="1"/>
    <s v="RE1"/>
    <x v="7"/>
    <x v="10"/>
    <x v="0"/>
    <s v="EmploymentConstructionManufacturingDirect"/>
    <x v="0"/>
    <s v="Direct"/>
    <n v="1.752"/>
    <x v="219"/>
    <n v="257.34509223985856"/>
  </r>
  <r>
    <s v="PA|NewCapacity|RE1|PWRWNDOFS_FIX|2033"/>
    <x v="1"/>
    <s v="RE1"/>
    <x v="7"/>
    <x v="11"/>
    <x v="0"/>
    <s v="EmploymentConstructionManufacturingDirect"/>
    <x v="0"/>
    <s v="Direct"/>
    <n v="1.752"/>
    <x v="219"/>
    <n v="253.37298166964786"/>
  </r>
  <r>
    <s v="PA|NewCapacity|RE1|PWRWNDOFS_FIX|2034"/>
    <x v="1"/>
    <s v="RE1"/>
    <x v="7"/>
    <x v="12"/>
    <x v="0"/>
    <s v="EmploymentConstructionManufacturingDirect"/>
    <x v="0"/>
    <s v="Direct"/>
    <n v="1.752"/>
    <x v="219"/>
    <n v="249.40087109943721"/>
  </r>
  <r>
    <s v="PA|NewCapacity|RE1|PWRWNDOFS_FIX|2035"/>
    <x v="1"/>
    <s v="RE1"/>
    <x v="7"/>
    <x v="13"/>
    <x v="0"/>
    <s v="EmploymentConstructionManufacturingDirect"/>
    <x v="0"/>
    <s v="Direct"/>
    <n v="1.752"/>
    <x v="219"/>
    <n v="245.42876052922654"/>
  </r>
  <r>
    <s v="PA|NewCapacity|RE1|PWRWNDOFS_FIX|2036"/>
    <x v="1"/>
    <s v="RE1"/>
    <x v="7"/>
    <x v="14"/>
    <x v="0"/>
    <s v="EmploymentConstructionManufacturingDirect"/>
    <x v="0"/>
    <s v="Direct"/>
    <n v="1.752"/>
    <x v="219"/>
    <n v="241.45664995901589"/>
  </r>
  <r>
    <s v="PA|NewCapacity|RE1|PWRWNDOFS_FIX|2037"/>
    <x v="1"/>
    <s v="RE1"/>
    <x v="7"/>
    <x v="15"/>
    <x v="0"/>
    <s v="EmploymentConstructionManufacturingDirect"/>
    <x v="0"/>
    <s v="Direct"/>
    <n v="1.752"/>
    <x v="219"/>
    <n v="237.48453938825006"/>
  </r>
  <r>
    <s v="PA|NewCapacity|RE1|PWRWNDOFS_FIX|2038"/>
    <x v="1"/>
    <s v="RE1"/>
    <x v="7"/>
    <x v="16"/>
    <x v="0"/>
    <s v="EmploymentConstructionManufacturingDirect"/>
    <x v="0"/>
    <s v="Direct"/>
    <n v="1.752"/>
    <x v="219"/>
    <n v="233.51242881803938"/>
  </r>
  <r>
    <s v="PA|NewCapacity|RE1|PWRWNDOFS_FIX|2039"/>
    <x v="1"/>
    <s v="RE1"/>
    <x v="7"/>
    <x v="17"/>
    <x v="0"/>
    <s v="EmploymentConstructionManufacturingDirect"/>
    <x v="0"/>
    <s v="Direct"/>
    <n v="1.752"/>
    <x v="219"/>
    <n v="229.54031824782871"/>
  </r>
  <r>
    <s v="PA|NewCapacity|RE1|PWRWNDOFS_FIX|2040"/>
    <x v="1"/>
    <s v="RE1"/>
    <x v="7"/>
    <x v="1"/>
    <x v="0"/>
    <s v="EmploymentConstructionManufacturingDirect"/>
    <x v="0"/>
    <s v="Direct"/>
    <n v="1.752"/>
    <x v="219"/>
    <n v="225.56820767761803"/>
  </r>
  <r>
    <s v="PA|NewCapacity|RE1|PWRWNDOFS_FIX|2041"/>
    <x v="1"/>
    <s v="RE1"/>
    <x v="7"/>
    <x v="2"/>
    <x v="0"/>
    <s v="EmploymentConstructionManufacturingDirect"/>
    <x v="0"/>
    <s v="Direct"/>
    <n v="3.1536"/>
    <x v="220"/>
    <n v="398.8729747933333"/>
  </r>
  <r>
    <s v="PA|NewCapacity|RE1|PWRWNDOFS_FIX|2042"/>
    <x v="1"/>
    <s v="RE1"/>
    <x v="7"/>
    <x v="18"/>
    <x v="0"/>
    <s v="EmploymentConstructionManufacturingDirect"/>
    <x v="0"/>
    <s v="Direct"/>
    <n v="3.1536"/>
    <x v="220"/>
    <n v="391.72317576695411"/>
  </r>
  <r>
    <s v="PA|NewCapacity|RE1|PWRWNDOFS_FIX|2043"/>
    <x v="1"/>
    <s v="RE1"/>
    <x v="7"/>
    <x v="19"/>
    <x v="0"/>
    <s v="EmploymentConstructionManufacturingDirect"/>
    <x v="0"/>
    <s v="Direct"/>
    <n v="3.1536"/>
    <x v="220"/>
    <n v="384.57337673957562"/>
  </r>
  <r>
    <s v="PA|NewCapacity|RE1|PWRWNDOFS_FIX|2044"/>
    <x v="1"/>
    <s v="RE1"/>
    <x v="7"/>
    <x v="20"/>
    <x v="0"/>
    <s v="EmploymentConstructionManufacturingDirect"/>
    <x v="0"/>
    <s v="Direct"/>
    <n v="3.1536"/>
    <x v="220"/>
    <n v="377.42357771319644"/>
  </r>
  <r>
    <s v="PA|NewCapacity|RE1|PWRWNDOFS_FIX|2045"/>
    <x v="1"/>
    <s v="RE1"/>
    <x v="7"/>
    <x v="21"/>
    <x v="0"/>
    <s v="EmploymentConstructionManufacturingDirect"/>
    <x v="0"/>
    <s v="Direct"/>
    <n v="3.1536"/>
    <x v="220"/>
    <n v="370.27377868681725"/>
  </r>
  <r>
    <s v="PA|NewCapacity|RE1|PWRWNDOFS_FIX|2046"/>
    <x v="1"/>
    <s v="RE1"/>
    <x v="7"/>
    <x v="22"/>
    <x v="0"/>
    <s v="EmploymentConstructionManufacturingDirect"/>
    <x v="0"/>
    <s v="Direct"/>
    <n v="3.1536"/>
    <x v="220"/>
    <n v="363.12397966043807"/>
  </r>
  <r>
    <s v="PA|NewCapacity|RE1|PWRWNDOFS_FIX|2047"/>
    <x v="1"/>
    <s v="RE1"/>
    <x v="7"/>
    <x v="3"/>
    <x v="0"/>
    <s v="EmploymentConstructionManufacturingDirect"/>
    <x v="0"/>
    <s v="Direct"/>
    <n v="3.1536"/>
    <x v="220"/>
    <n v="355.97418063405883"/>
  </r>
  <r>
    <s v="PA|NewCapacity|RE1|PWRWNDOFS_FIX|2048"/>
    <x v="1"/>
    <s v="RE1"/>
    <x v="7"/>
    <x v="4"/>
    <x v="0"/>
    <s v="EmploymentConstructionManufacturingDirect"/>
    <x v="0"/>
    <s v="Direct"/>
    <n v="3.1536"/>
    <x v="220"/>
    <n v="348.8243816076797"/>
  </r>
  <r>
    <s v="PA|NewCapacity|RE1|PWRWNDOFS_FIX|2049"/>
    <x v="1"/>
    <s v="RE1"/>
    <x v="7"/>
    <x v="23"/>
    <x v="0"/>
    <s v="EmploymentConstructionManufacturingDirect"/>
    <x v="0"/>
    <s v="Direct"/>
    <n v="3.1536"/>
    <x v="220"/>
    <n v="341.67458258030115"/>
  </r>
  <r>
    <s v="PA|NewCapacity|RE1|PWRWNDOFS_FIX|2050"/>
    <x v="1"/>
    <s v="RE1"/>
    <x v="7"/>
    <x v="24"/>
    <x v="0"/>
    <s v="EmploymentConstructionManufacturingDirect"/>
    <x v="0"/>
    <s v="Direct"/>
    <n v="3.1536"/>
    <x v="220"/>
    <n v="334.52478355392196"/>
  </r>
  <r>
    <s v="PA|NewCapacity|RE1|PWRWNDONS|2025"/>
    <x v="1"/>
    <s v="RE1"/>
    <x v="9"/>
    <x v="30"/>
    <x v="0"/>
    <s v="EmploymentConstructionManufacturingDirect"/>
    <x v="0"/>
    <s v="Direct"/>
    <n v="0.15362331428571441"/>
    <x v="69"/>
    <n v="34.978894298950074"/>
  </r>
  <r>
    <s v="PA|NewCapacity|RE1|PWRWNDONS|2027"/>
    <x v="1"/>
    <s v="RE1"/>
    <x v="9"/>
    <x v="6"/>
    <x v="0"/>
    <s v="EmploymentConstructionManufacturingDirect"/>
    <x v="0"/>
    <s v="Direct"/>
    <n v="17.313264"/>
    <x v="221"/>
    <n v="3874.5475224962674"/>
  </r>
  <r>
    <s v="PA|NewCapacity|RE1|PWRWNDONS|2028"/>
    <x v="1"/>
    <s v="RE1"/>
    <x v="9"/>
    <x v="0"/>
    <x v="0"/>
    <s v="EmploymentConstructionManufacturingDirect"/>
    <x v="0"/>
    <s v="Direct"/>
    <n v="6.3387359999999999"/>
    <x v="222"/>
    <n v="1406.1835879552548"/>
  </r>
  <r>
    <s v="PA|NewCapacity|RE1|PWRWNDONS|2029"/>
    <x v="1"/>
    <s v="RE1"/>
    <x v="9"/>
    <x v="7"/>
    <x v="0"/>
    <s v="EmploymentConstructionManufacturingDirect"/>
    <x v="0"/>
    <s v="Direct"/>
    <n v="9.4608000000000008"/>
    <x v="223"/>
    <n v="2080.3238657858728"/>
  </r>
  <r>
    <s v="PA|NewCapacity|RE1|PWRWNDONS|2034"/>
    <x v="1"/>
    <s v="RE1"/>
    <x v="9"/>
    <x v="12"/>
    <x v="0"/>
    <s v="EmploymentConstructionManufacturingDirect"/>
    <x v="0"/>
    <s v="Direct"/>
    <n v="31.270503081500099"/>
    <x v="224"/>
    <n v="6742.7225283398075"/>
  </r>
  <r>
    <s v="PA|NewCapacity|RE1|PWRWNDONS|2035"/>
    <x v="1"/>
    <s v="RE1"/>
    <x v="9"/>
    <x v="13"/>
    <x v="0"/>
    <s v="EmploymentConstructionManufacturingDirect"/>
    <x v="0"/>
    <s v="Direct"/>
    <n v="47.31"/>
    <x v="50"/>
    <n v="10173.902102648166"/>
  </r>
  <r>
    <s v="PA|NewCapacity|RE1|PWRWNDONS|2036"/>
    <x v="1"/>
    <s v="RE1"/>
    <x v="9"/>
    <x v="14"/>
    <x v="0"/>
    <s v="EmploymentConstructionManufacturingDirect"/>
    <x v="0"/>
    <s v="Direct"/>
    <n v="47.31"/>
    <x v="50"/>
    <n v="10146.554740765705"/>
  </r>
  <r>
    <s v="PA|NewCapacity|RE1|PWRWNDONS|2037"/>
    <x v="1"/>
    <s v="RE1"/>
    <x v="9"/>
    <x v="15"/>
    <x v="0"/>
    <s v="EmploymentConstructionManufacturingDirect"/>
    <x v="0"/>
    <s v="Direct"/>
    <n v="1.431102115049619"/>
    <x v="225"/>
    <n v="306.10059358582788"/>
  </r>
  <r>
    <s v="PA|NewCapacity|RE1|PWRWNDONS|2039"/>
    <x v="1"/>
    <s v="RE1"/>
    <x v="9"/>
    <x v="17"/>
    <x v="0"/>
    <s v="EmploymentConstructionManufacturingDirect"/>
    <x v="0"/>
    <s v="Direct"/>
    <n v="25.69823582779421"/>
    <x v="226"/>
    <n v="5466.9249567332436"/>
  </r>
  <r>
    <s v="PA|NewCapacity|RE1|PWRWNDONS|2040"/>
    <x v="1"/>
    <s v="RE1"/>
    <x v="9"/>
    <x v="1"/>
    <x v="0"/>
    <s v="EmploymentConstructionManufacturingDirect"/>
    <x v="0"/>
    <s v="Direct"/>
    <n v="47.31"/>
    <x v="50"/>
    <n v="10037.165293235854"/>
  </r>
  <r>
    <s v="PA|NewCapacity|RE1|PWRWNDONS|2041"/>
    <x v="1"/>
    <s v="RE1"/>
    <x v="9"/>
    <x v="2"/>
    <x v="0"/>
    <s v="EmploymentConstructionManufacturingDirect"/>
    <x v="0"/>
    <s v="Direct"/>
    <n v="47.31"/>
    <x v="50"/>
    <n v="10009.817931353393"/>
  </r>
  <r>
    <s v="PA|NewCapacity|RE1|PWRWNDONS|2042"/>
    <x v="1"/>
    <s v="RE1"/>
    <x v="9"/>
    <x v="18"/>
    <x v="0"/>
    <s v="EmploymentConstructionManufacturingDirect"/>
    <x v="0"/>
    <s v="Direct"/>
    <n v="47.31"/>
    <x v="50"/>
    <n v="9982.4705694709282"/>
  </r>
  <r>
    <s v="PA|NewCapacity|RE1|PWRWNDONS|2043"/>
    <x v="1"/>
    <s v="RE1"/>
    <x v="9"/>
    <x v="19"/>
    <x v="0"/>
    <s v="EmploymentConstructionManufacturingDirect"/>
    <x v="0"/>
    <s v="Direct"/>
    <n v="26.15649035076515"/>
    <x v="227"/>
    <n v="5503.9332935947141"/>
  </r>
  <r>
    <s v="PA|NewCapacity|RE1|PWRWNDONS|2046"/>
    <x v="1"/>
    <s v="RE1"/>
    <x v="9"/>
    <x v="22"/>
    <x v="0"/>
    <s v="EmploymentConstructionManufacturingDirect"/>
    <x v="0"/>
    <s v="Direct"/>
    <n v="47.31"/>
    <x v="50"/>
    <n v="9873.0811219410789"/>
  </r>
  <r>
    <s v="PA|NewCapacity|RE1|PWRWNDONS|2047"/>
    <x v="1"/>
    <s v="RE1"/>
    <x v="9"/>
    <x v="3"/>
    <x v="0"/>
    <s v="EmploymentConstructionManufacturingDirect"/>
    <x v="0"/>
    <s v="Direct"/>
    <n v="47.31"/>
    <x v="50"/>
    <n v="9845.7337600586161"/>
  </r>
  <r>
    <s v="PA|NewCapacity|RE1|PWRWNDONS|2048"/>
    <x v="1"/>
    <s v="RE1"/>
    <x v="9"/>
    <x v="4"/>
    <x v="0"/>
    <s v="EmploymentConstructionManufacturingDirect"/>
    <x v="0"/>
    <s v="Direct"/>
    <n v="41.493865567783779"/>
    <x v="228"/>
    <n v="8611.3465503800071"/>
  </r>
  <r>
    <s v="PA|NewCapacity|RE1|PWRWNDONS|2052"/>
    <x v="1"/>
    <s v="RE1"/>
    <x v="9"/>
    <x v="26"/>
    <x v="0"/>
    <s v="EmploymentConstructionManufacturingDirect"/>
    <x v="0"/>
    <s v="Direct"/>
    <n v="47.31"/>
    <x v="50"/>
    <n v="9763.6916744112277"/>
  </r>
  <r>
    <s v="PA|NewCapacity|RE1|PWRWNDONS|2053"/>
    <x v="1"/>
    <s v="RE1"/>
    <x v="9"/>
    <x v="27"/>
    <x v="0"/>
    <s v="EmploymentConstructionManufacturingDirect"/>
    <x v="0"/>
    <s v="Direct"/>
    <n v="47.31"/>
    <x v="50"/>
    <n v="9763.6916744112277"/>
  </r>
  <r>
    <s v="PA|NewCapacity|RE1|PWRWNDONS|2054"/>
    <x v="1"/>
    <s v="RE1"/>
    <x v="9"/>
    <x v="28"/>
    <x v="0"/>
    <s v="EmploymentConstructionManufacturingDirect"/>
    <x v="0"/>
    <s v="Direct"/>
    <n v="47.31"/>
    <x v="50"/>
    <n v="9763.6916744112277"/>
  </r>
  <r>
    <s v="PA|NewCapacity|RE1|PWRWNDONS|2055"/>
    <x v="1"/>
    <s v="RE1"/>
    <x v="9"/>
    <x v="29"/>
    <x v="0"/>
    <s v="EmploymentConstructionManufacturingDirect"/>
    <x v="0"/>
    <s v="Direct"/>
    <n v="24.299832752398249"/>
    <x v="229"/>
    <n v="5014.9244289616581"/>
  </r>
  <r>
    <s v="PA|AccumulatedNewCapacity|RE1|PWRGEO|2040"/>
    <x v="1"/>
    <s v="RE1"/>
    <x v="10"/>
    <x v="1"/>
    <x v="1"/>
    <s v="EmploymentOMDirect"/>
    <x v="1"/>
    <s v="Direct"/>
    <n v="3.1539999999999999"/>
    <x v="197"/>
    <n v="0.72431741882706602"/>
  </r>
  <r>
    <s v="PA|AccumulatedNewCapacity|RE1|PWRGEO|2041"/>
    <x v="1"/>
    <s v="RE1"/>
    <x v="10"/>
    <x v="2"/>
    <x v="1"/>
    <s v="EmploymentOMDirect"/>
    <x v="1"/>
    <s v="Direct"/>
    <n v="6.3079999999999998"/>
    <x v="230"/>
    <n v="1.4428474212792455"/>
  </r>
  <r>
    <s v="PA|AccumulatedNewCapacity|RE1|PWRGEO|2042"/>
    <x v="1"/>
    <s v="RE1"/>
    <x v="10"/>
    <x v="18"/>
    <x v="1"/>
    <s v="EmploymentOMDirect"/>
    <x v="1"/>
    <s v="Direct"/>
    <n v="9.4619999999999997"/>
    <x v="231"/>
    <n v="2.1555900073535401"/>
  </r>
  <r>
    <s v="PA|AccumulatedNewCapacity|RE1|PWRGEO|2043"/>
    <x v="1"/>
    <s v="RE1"/>
    <x v="10"/>
    <x v="19"/>
    <x v="1"/>
    <s v="EmploymentOMDirect"/>
    <x v="1"/>
    <s v="Direct"/>
    <n v="12.616"/>
    <x v="232"/>
    <n v="2.8625451770509494"/>
  </r>
  <r>
    <s v="PA|AccumulatedNewCapacity|RE1|PWRGEO|2044"/>
    <x v="1"/>
    <s v="RE1"/>
    <x v="10"/>
    <x v="20"/>
    <x v="1"/>
    <s v="EmploymentOMDirect"/>
    <x v="1"/>
    <s v="Direct"/>
    <n v="15.77"/>
    <x v="233"/>
    <n v="3.563712930371473"/>
  </r>
  <r>
    <s v="PA|AccumulatedNewCapacity|RE1|PWRGEO|2045"/>
    <x v="1"/>
    <s v="RE1"/>
    <x v="10"/>
    <x v="21"/>
    <x v="1"/>
    <s v="EmploymentOMDirect"/>
    <x v="1"/>
    <s v="Direct"/>
    <n v="18.923999999999999"/>
    <x v="234"/>
    <n v="4.2590932673151114"/>
  </r>
  <r>
    <s v="PA|AccumulatedNewCapacity|RE1|PWRGEO|2046"/>
    <x v="1"/>
    <s v="RE1"/>
    <x v="10"/>
    <x v="22"/>
    <x v="1"/>
    <s v="EmploymentOMDirect"/>
    <x v="1"/>
    <s v="Direct"/>
    <n v="22.077999999999999"/>
    <x v="235"/>
    <n v="4.9486861878818642"/>
  </r>
  <r>
    <s v="PA|AccumulatedNewCapacity|RE1|PWRGEO|2047"/>
    <x v="1"/>
    <s v="RE1"/>
    <x v="10"/>
    <x v="3"/>
    <x v="1"/>
    <s v="EmploymentOMDirect"/>
    <x v="1"/>
    <s v="Direct"/>
    <n v="25.231999999999999"/>
    <x v="236"/>
    <n v="5.6324916920717314"/>
  </r>
  <r>
    <s v="PA|AccumulatedNewCapacity|RE1|PWRGEO|2048"/>
    <x v="1"/>
    <s v="RE1"/>
    <x v="10"/>
    <x v="4"/>
    <x v="1"/>
    <s v="EmploymentOMDirect"/>
    <x v="1"/>
    <s v="Direct"/>
    <n v="28.385999999999999"/>
    <x v="237"/>
    <n v="6.3105097798937084"/>
  </r>
  <r>
    <s v="PA|AccumulatedNewCapacity|RE1|PWRGEO|2049"/>
    <x v="1"/>
    <s v="RE1"/>
    <x v="10"/>
    <x v="23"/>
    <x v="1"/>
    <s v="EmploymentOMDirect"/>
    <x v="1"/>
    <s v="Direct"/>
    <n v="31.54"/>
    <x v="238"/>
    <n v="6.9827404513308045"/>
  </r>
  <r>
    <s v="PA|AccumulatedNewCapacity|RE1|PWRGEO|2050"/>
    <x v="1"/>
    <s v="RE1"/>
    <x v="10"/>
    <x v="24"/>
    <x v="1"/>
    <s v="EmploymentOMDirect"/>
    <x v="1"/>
    <s v="Direct"/>
    <n v="31.54"/>
    <x v="238"/>
    <n v="6.9538033694463772"/>
  </r>
  <r>
    <s v="PA|AccumulatedNewCapacity|RE1|PWRGEO|2051"/>
    <x v="1"/>
    <s v="RE1"/>
    <x v="10"/>
    <x v="25"/>
    <x v="1"/>
    <s v="EmploymentOMDirect"/>
    <x v="1"/>
    <s v="Direct"/>
    <n v="31.54"/>
    <x v="238"/>
    <n v="6.9538033694463772"/>
  </r>
  <r>
    <s v="PA|AccumulatedNewCapacity|RE1|PWRGEO|2052"/>
    <x v="1"/>
    <s v="RE1"/>
    <x v="10"/>
    <x v="26"/>
    <x v="1"/>
    <s v="EmploymentOMDirect"/>
    <x v="1"/>
    <s v="Direct"/>
    <n v="31.54"/>
    <x v="238"/>
    <n v="6.9538033694463772"/>
  </r>
  <r>
    <s v="PA|AccumulatedNewCapacity|RE1|PWRGEO|2053"/>
    <x v="1"/>
    <s v="RE1"/>
    <x v="10"/>
    <x v="27"/>
    <x v="1"/>
    <s v="EmploymentOMDirect"/>
    <x v="1"/>
    <s v="Direct"/>
    <n v="31.54"/>
    <x v="238"/>
    <n v="6.9538033694463772"/>
  </r>
  <r>
    <s v="PA|AccumulatedNewCapacity|RE1|PWRGEO|2054"/>
    <x v="1"/>
    <s v="RE1"/>
    <x v="10"/>
    <x v="28"/>
    <x v="1"/>
    <s v="EmploymentOMDirect"/>
    <x v="1"/>
    <s v="Direct"/>
    <n v="31.54"/>
    <x v="238"/>
    <n v="6.9538033694463772"/>
  </r>
  <r>
    <s v="PA|AccumulatedNewCapacity|RE1|PWRGEO|2055"/>
    <x v="1"/>
    <s v="RE1"/>
    <x v="10"/>
    <x v="29"/>
    <x v="1"/>
    <s v="EmploymentOMDirect"/>
    <x v="1"/>
    <s v="Direct"/>
    <n v="31.54"/>
    <x v="238"/>
    <n v="6.9538033694463772"/>
  </r>
  <r>
    <s v="PA|AccumulatedNewCapacity|RE1|PWRHYDDAM|2028"/>
    <x v="1"/>
    <s v="RE1"/>
    <x v="0"/>
    <x v="0"/>
    <x v="1"/>
    <s v="EmploymentOMDirect"/>
    <x v="1"/>
    <s v="Direct"/>
    <n v="37.840000000000003"/>
    <x v="0"/>
    <n v="763.09275737064911"/>
  </r>
  <r>
    <s v="PA|AccumulatedNewCapacity|RE1|PWRHYDDAM|2029"/>
    <x v="1"/>
    <s v="RE1"/>
    <x v="0"/>
    <x v="7"/>
    <x v="1"/>
    <s v="EmploymentOMDirect"/>
    <x v="1"/>
    <s v="Direct"/>
    <n v="37.840000000000003"/>
    <x v="0"/>
    <n v="766.45017365072124"/>
  </r>
  <r>
    <s v="PA|AccumulatedNewCapacity|RE1|PWRHYDDAM|2030"/>
    <x v="1"/>
    <s v="RE1"/>
    <x v="0"/>
    <x v="8"/>
    <x v="1"/>
    <s v="EmploymentOMDirect"/>
    <x v="1"/>
    <s v="Direct"/>
    <n v="37.840000000000003"/>
    <x v="0"/>
    <n v="769.80758993079326"/>
  </r>
  <r>
    <s v="PA|AccumulatedNewCapacity|RE1|PWRHYDDAM|2031"/>
    <x v="1"/>
    <s v="RE1"/>
    <x v="0"/>
    <x v="9"/>
    <x v="1"/>
    <s v="EmploymentOMDirect"/>
    <x v="1"/>
    <s v="Direct"/>
    <n v="37.840000000000003"/>
    <x v="0"/>
    <n v="769.59725998826775"/>
  </r>
  <r>
    <s v="PA|AccumulatedNewCapacity|RE1|PWRHYDDAM|2032"/>
    <x v="1"/>
    <s v="RE1"/>
    <x v="0"/>
    <x v="10"/>
    <x v="1"/>
    <s v="EmploymentOMDirect"/>
    <x v="1"/>
    <s v="Direct"/>
    <n v="37.840000000000003"/>
    <x v="0"/>
    <n v="769.38693004574236"/>
  </r>
  <r>
    <s v="PA|AccumulatedNewCapacity|RE1|PWRHYDDAM|2033"/>
    <x v="1"/>
    <s v="RE1"/>
    <x v="0"/>
    <x v="11"/>
    <x v="1"/>
    <s v="EmploymentOMDirect"/>
    <x v="1"/>
    <s v="Direct"/>
    <n v="37.840000000000003"/>
    <x v="0"/>
    <n v="769.17660010321697"/>
  </r>
  <r>
    <s v="PA|AccumulatedNewCapacity|RE1|PWRHYDDAM|2034"/>
    <x v="1"/>
    <s v="RE1"/>
    <x v="0"/>
    <x v="12"/>
    <x v="1"/>
    <s v="EmploymentOMDirect"/>
    <x v="1"/>
    <s v="Direct"/>
    <n v="37.840000000000003"/>
    <x v="0"/>
    <n v="768.96627016069158"/>
  </r>
  <r>
    <s v="PA|AccumulatedNewCapacity|RE1|PWRHYDDAM|2035"/>
    <x v="1"/>
    <s v="RE1"/>
    <x v="0"/>
    <x v="13"/>
    <x v="1"/>
    <s v="EmploymentOMDirect"/>
    <x v="1"/>
    <s v="Direct"/>
    <n v="37.840000000000003"/>
    <x v="0"/>
    <n v="768.75594021816619"/>
  </r>
  <r>
    <s v="PA|AccumulatedNewCapacity|RE1|PWRHYDDAM|2036"/>
    <x v="1"/>
    <s v="RE1"/>
    <x v="0"/>
    <x v="14"/>
    <x v="1"/>
    <s v="EmploymentOMDirect"/>
    <x v="1"/>
    <s v="Direct"/>
    <n v="37.840000000000003"/>
    <x v="0"/>
    <n v="768.54561027564068"/>
  </r>
  <r>
    <s v="PA|AccumulatedNewCapacity|RE1|PWRHYDDAM|2037"/>
    <x v="1"/>
    <s v="RE1"/>
    <x v="0"/>
    <x v="15"/>
    <x v="1"/>
    <s v="EmploymentOMDirect"/>
    <x v="1"/>
    <s v="Direct"/>
    <n v="37.840000000000003"/>
    <x v="0"/>
    <n v="768.33528033311529"/>
  </r>
  <r>
    <s v="PA|AccumulatedNewCapacity|RE1|PWRHYDDAM|2038"/>
    <x v="1"/>
    <s v="RE1"/>
    <x v="0"/>
    <x v="16"/>
    <x v="1"/>
    <s v="EmploymentOMDirect"/>
    <x v="1"/>
    <s v="Direct"/>
    <n v="37.840000000000003"/>
    <x v="0"/>
    <n v="768.12495038939073"/>
  </r>
  <r>
    <s v="PA|AccumulatedNewCapacity|RE1|PWRHYDDAM|2039"/>
    <x v="1"/>
    <s v="RE1"/>
    <x v="0"/>
    <x v="17"/>
    <x v="1"/>
    <s v="EmploymentOMDirect"/>
    <x v="1"/>
    <s v="Direct"/>
    <n v="37.840000000000003"/>
    <x v="0"/>
    <n v="767.91462044686546"/>
  </r>
  <r>
    <s v="PA|AccumulatedNewCapacity|RE1|PWRHYDDAM|2040"/>
    <x v="1"/>
    <s v="RE1"/>
    <x v="0"/>
    <x v="1"/>
    <x v="1"/>
    <s v="EmploymentOMDirect"/>
    <x v="1"/>
    <s v="Direct"/>
    <n v="37.840000000000003"/>
    <x v="0"/>
    <n v="767.70429050433995"/>
  </r>
  <r>
    <s v="PA|AccumulatedNewCapacity|RE1|PWRHYDDAM|2041"/>
    <x v="1"/>
    <s v="RE1"/>
    <x v="0"/>
    <x v="2"/>
    <x v="1"/>
    <s v="EmploymentOMDirect"/>
    <x v="1"/>
    <s v="Direct"/>
    <n v="37.840000000000003"/>
    <x v="0"/>
    <n v="767.49396056181456"/>
  </r>
  <r>
    <s v="PA|AccumulatedNewCapacity|RE1|PWRHYDDAM|2042"/>
    <x v="1"/>
    <s v="RE1"/>
    <x v="0"/>
    <x v="18"/>
    <x v="1"/>
    <s v="EmploymentOMDirect"/>
    <x v="1"/>
    <s v="Direct"/>
    <n v="37.840000000000003"/>
    <x v="0"/>
    <n v="767.28363061928906"/>
  </r>
  <r>
    <s v="PA|AccumulatedNewCapacity|RE1|PWRHYDDAM|2043"/>
    <x v="1"/>
    <s v="RE1"/>
    <x v="0"/>
    <x v="19"/>
    <x v="1"/>
    <s v="EmploymentOMDirect"/>
    <x v="1"/>
    <s v="Direct"/>
    <n v="37.840000000000003"/>
    <x v="0"/>
    <n v="767.07330067676378"/>
  </r>
  <r>
    <s v="PA|AccumulatedNewCapacity|RE1|PWRHYDDAM|2044"/>
    <x v="1"/>
    <s v="RE1"/>
    <x v="0"/>
    <x v="20"/>
    <x v="1"/>
    <s v="EmploymentOMDirect"/>
    <x v="1"/>
    <s v="Direct"/>
    <n v="37.840000000000003"/>
    <x v="0"/>
    <n v="766.86297073423839"/>
  </r>
  <r>
    <s v="PA|AccumulatedNewCapacity|RE1|PWRHYDDAM|2045"/>
    <x v="1"/>
    <s v="RE1"/>
    <x v="0"/>
    <x v="21"/>
    <x v="1"/>
    <s v="EmploymentOMDirect"/>
    <x v="1"/>
    <s v="Direct"/>
    <n v="37.840000000000003"/>
    <x v="0"/>
    <n v="766.65264079171288"/>
  </r>
  <r>
    <s v="PA|AccumulatedNewCapacity|RE1|PWRHYDDAM|2046"/>
    <x v="1"/>
    <s v="RE1"/>
    <x v="0"/>
    <x v="22"/>
    <x v="1"/>
    <s v="EmploymentOMDirect"/>
    <x v="1"/>
    <s v="Direct"/>
    <n v="37.840000000000003"/>
    <x v="0"/>
    <n v="766.44231084918749"/>
  </r>
  <r>
    <s v="PA|AccumulatedNewCapacity|RE1|PWRHYDDAM|2047"/>
    <x v="1"/>
    <s v="RE1"/>
    <x v="0"/>
    <x v="3"/>
    <x v="1"/>
    <s v="EmploymentOMDirect"/>
    <x v="1"/>
    <s v="Direct"/>
    <n v="37.840000000000003"/>
    <x v="0"/>
    <n v="766.2319809066621"/>
  </r>
  <r>
    <s v="PA|AccumulatedNewCapacity|RE1|PWRHYDDAM|2048"/>
    <x v="1"/>
    <s v="RE1"/>
    <x v="0"/>
    <x v="4"/>
    <x v="1"/>
    <s v="EmploymentOMDirect"/>
    <x v="1"/>
    <s v="Direct"/>
    <n v="37.840000000000003"/>
    <x v="0"/>
    <n v="766.02165096413671"/>
  </r>
  <r>
    <s v="PA|AccumulatedNewCapacity|RE1|PWRHYDDAM|2049"/>
    <x v="1"/>
    <s v="RE1"/>
    <x v="0"/>
    <x v="23"/>
    <x v="1"/>
    <s v="EmploymentOMDirect"/>
    <x v="1"/>
    <s v="Direct"/>
    <n v="37.840000000000003"/>
    <x v="0"/>
    <n v="765.81132102161121"/>
  </r>
  <r>
    <s v="PA|AccumulatedNewCapacity|RE1|PWRHYDDAM|2050"/>
    <x v="1"/>
    <s v="RE1"/>
    <x v="0"/>
    <x v="24"/>
    <x v="1"/>
    <s v="EmploymentOMDirect"/>
    <x v="1"/>
    <s v="Direct"/>
    <n v="37.840000000000003"/>
    <x v="0"/>
    <n v="765.60099107908582"/>
  </r>
  <r>
    <s v="PA|AccumulatedNewCapacity|RE1|PWRHYDDAM|2051"/>
    <x v="1"/>
    <s v="RE1"/>
    <x v="0"/>
    <x v="25"/>
    <x v="1"/>
    <s v="EmploymentOMDirect"/>
    <x v="1"/>
    <s v="Direct"/>
    <n v="37.840000000000003"/>
    <x v="0"/>
    <n v="765.60099107908582"/>
  </r>
  <r>
    <s v="PA|AccumulatedNewCapacity|RE1|PWRHYDDAM|2052"/>
    <x v="1"/>
    <s v="RE1"/>
    <x v="0"/>
    <x v="26"/>
    <x v="1"/>
    <s v="EmploymentOMDirect"/>
    <x v="1"/>
    <s v="Direct"/>
    <n v="37.840000000000003"/>
    <x v="0"/>
    <n v="765.60099107908582"/>
  </r>
  <r>
    <s v="PA|AccumulatedNewCapacity|RE1|PWRHYDDAM|2053"/>
    <x v="1"/>
    <s v="RE1"/>
    <x v="0"/>
    <x v="27"/>
    <x v="1"/>
    <s v="EmploymentOMDirect"/>
    <x v="1"/>
    <s v="Direct"/>
    <n v="37.840000000000003"/>
    <x v="0"/>
    <n v="765.60099107908582"/>
  </r>
  <r>
    <s v="PA|AccumulatedNewCapacity|RE1|PWRHYDDAM|2054"/>
    <x v="1"/>
    <s v="RE1"/>
    <x v="0"/>
    <x v="28"/>
    <x v="1"/>
    <s v="EmploymentOMDirect"/>
    <x v="1"/>
    <s v="Direct"/>
    <n v="37.840000000000003"/>
    <x v="0"/>
    <n v="765.60099107908582"/>
  </r>
  <r>
    <s v="PA|AccumulatedNewCapacity|RE1|PWRHYDDAM|2055"/>
    <x v="1"/>
    <s v="RE1"/>
    <x v="0"/>
    <x v="29"/>
    <x v="1"/>
    <s v="EmploymentOMDirect"/>
    <x v="1"/>
    <s v="Direct"/>
    <n v="37.840000000000003"/>
    <x v="0"/>
    <n v="765.60099107908582"/>
  </r>
  <r>
    <s v="PA|AccumulatedNewCapacity|RE1|PWRNUC|2038"/>
    <x v="1"/>
    <s v="RE1"/>
    <x v="11"/>
    <x v="16"/>
    <x v="1"/>
    <s v="EmploymentOMDirect"/>
    <x v="1"/>
    <s v="Direct"/>
    <n v="9.5120000000000005"/>
    <x v="198"/>
    <n v="338.54162969823562"/>
  </r>
  <r>
    <s v="PA|AccumulatedNewCapacity|RE1|PWRNUC|2039"/>
    <x v="1"/>
    <s v="RE1"/>
    <x v="11"/>
    <x v="17"/>
    <x v="1"/>
    <s v="EmploymentOMDirect"/>
    <x v="1"/>
    <s v="Direct"/>
    <n v="9.5120000000000005"/>
    <x v="198"/>
    <n v="337.53062653687232"/>
  </r>
  <r>
    <s v="PA|AccumulatedNewCapacity|RE1|PWRNUC|2040"/>
    <x v="1"/>
    <s v="RE1"/>
    <x v="11"/>
    <x v="1"/>
    <x v="1"/>
    <s v="EmploymentOMDirect"/>
    <x v="1"/>
    <s v="Direct"/>
    <n v="9.5120000000000005"/>
    <x v="198"/>
    <n v="336.5196233755089"/>
  </r>
  <r>
    <s v="PA|AccumulatedNewCapacity|RE1|PWRNUC|2041"/>
    <x v="1"/>
    <s v="RE1"/>
    <x v="11"/>
    <x v="2"/>
    <x v="1"/>
    <s v="EmploymentOMDirect"/>
    <x v="1"/>
    <s v="Direct"/>
    <n v="9.5120000000000005"/>
    <x v="198"/>
    <n v="335.50862021715972"/>
  </r>
  <r>
    <s v="PA|AccumulatedNewCapacity|RE1|PWRNUC|2042"/>
    <x v="1"/>
    <s v="RE1"/>
    <x v="11"/>
    <x v="18"/>
    <x v="1"/>
    <s v="EmploymentOMDirect"/>
    <x v="1"/>
    <s v="Direct"/>
    <n v="9.5120000000000005"/>
    <x v="198"/>
    <n v="334.49761705579641"/>
  </r>
  <r>
    <s v="PA|AccumulatedNewCapacity|RE1|PWRNUC|2043"/>
    <x v="1"/>
    <s v="RE1"/>
    <x v="11"/>
    <x v="19"/>
    <x v="1"/>
    <s v="EmploymentOMDirect"/>
    <x v="1"/>
    <s v="Direct"/>
    <n v="9.5120000000000005"/>
    <x v="198"/>
    <n v="333.48661389443299"/>
  </r>
  <r>
    <s v="PA|AccumulatedNewCapacity|RE1|PWRNUC|2044"/>
    <x v="1"/>
    <s v="RE1"/>
    <x v="11"/>
    <x v="20"/>
    <x v="1"/>
    <s v="EmploymentOMDirect"/>
    <x v="1"/>
    <s v="Direct"/>
    <n v="9.5120000000000005"/>
    <x v="198"/>
    <n v="332.47561073608387"/>
  </r>
  <r>
    <s v="PA|AccumulatedNewCapacity|RE1|PWRNUC|2045"/>
    <x v="1"/>
    <s v="RE1"/>
    <x v="11"/>
    <x v="21"/>
    <x v="1"/>
    <s v="EmploymentOMDirect"/>
    <x v="1"/>
    <s v="Direct"/>
    <n v="9.5120000000000005"/>
    <x v="198"/>
    <n v="331.4646075747205"/>
  </r>
  <r>
    <s v="PA|AccumulatedNewCapacity|RE1|PWRNUC|2046"/>
    <x v="1"/>
    <s v="RE1"/>
    <x v="11"/>
    <x v="22"/>
    <x v="1"/>
    <s v="EmploymentOMDirect"/>
    <x v="1"/>
    <s v="Direct"/>
    <n v="9.5120000000000005"/>
    <x v="198"/>
    <n v="330.4536044133572"/>
  </r>
  <r>
    <s v="PA|AccumulatedNewCapacity|RE1|PWRNUC|2047"/>
    <x v="1"/>
    <s v="RE1"/>
    <x v="11"/>
    <x v="3"/>
    <x v="1"/>
    <s v="EmploymentOMDirect"/>
    <x v="1"/>
    <s v="Direct"/>
    <n v="9.5120000000000005"/>
    <x v="198"/>
    <n v="329.44260125500796"/>
  </r>
  <r>
    <s v="PA|AccumulatedNewCapacity|RE1|PWRNUC|2048"/>
    <x v="1"/>
    <s v="RE1"/>
    <x v="11"/>
    <x v="4"/>
    <x v="1"/>
    <s v="EmploymentOMDirect"/>
    <x v="1"/>
    <s v="Direct"/>
    <n v="9.5120000000000005"/>
    <x v="198"/>
    <n v="328.43159809364465"/>
  </r>
  <r>
    <s v="PA|AccumulatedNewCapacity|RE1|PWRNUC|2049"/>
    <x v="1"/>
    <s v="RE1"/>
    <x v="11"/>
    <x v="23"/>
    <x v="1"/>
    <s v="EmploymentOMDirect"/>
    <x v="1"/>
    <s v="Direct"/>
    <n v="9.5120000000000005"/>
    <x v="198"/>
    <n v="327.42059493228129"/>
  </r>
  <r>
    <s v="PA|AccumulatedNewCapacity|RE1|PWRNUC|2050"/>
    <x v="1"/>
    <s v="RE1"/>
    <x v="11"/>
    <x v="24"/>
    <x v="1"/>
    <s v="EmploymentOMDirect"/>
    <x v="1"/>
    <s v="Direct"/>
    <n v="9.5120000000000005"/>
    <x v="198"/>
    <n v="326.40959177393216"/>
  </r>
  <r>
    <s v="PA|AccumulatedNewCapacity|RE1|PWRNUC|2051"/>
    <x v="1"/>
    <s v="RE1"/>
    <x v="11"/>
    <x v="25"/>
    <x v="1"/>
    <s v="EmploymentOMDirect"/>
    <x v="1"/>
    <s v="Direct"/>
    <n v="9.5120000000000005"/>
    <x v="198"/>
    <n v="326.40959177393216"/>
  </r>
  <r>
    <s v="PA|AccumulatedNewCapacity|RE1|PWRNUC|2052"/>
    <x v="1"/>
    <s v="RE1"/>
    <x v="11"/>
    <x v="26"/>
    <x v="1"/>
    <s v="EmploymentOMDirect"/>
    <x v="1"/>
    <s v="Direct"/>
    <n v="9.5120000000000005"/>
    <x v="198"/>
    <n v="326.40959177393216"/>
  </r>
  <r>
    <s v="PA|AccumulatedNewCapacity|RE1|PWRNUC|2053"/>
    <x v="1"/>
    <s v="RE1"/>
    <x v="11"/>
    <x v="27"/>
    <x v="1"/>
    <s v="EmploymentOMDirect"/>
    <x v="1"/>
    <s v="Direct"/>
    <n v="9.5120000000000005"/>
    <x v="198"/>
    <n v="326.40959177393216"/>
  </r>
  <r>
    <s v="PA|AccumulatedNewCapacity|RE1|PWRNUC|2054"/>
    <x v="1"/>
    <s v="RE1"/>
    <x v="11"/>
    <x v="28"/>
    <x v="1"/>
    <s v="EmploymentOMDirect"/>
    <x v="1"/>
    <s v="Direct"/>
    <n v="9.5120000000000005"/>
    <x v="198"/>
    <n v="326.40959177393216"/>
  </r>
  <r>
    <s v="PA|AccumulatedNewCapacity|RE1|PWRNUC|2055"/>
    <x v="1"/>
    <s v="RE1"/>
    <x v="11"/>
    <x v="29"/>
    <x v="1"/>
    <s v="EmploymentOMDirect"/>
    <x v="1"/>
    <s v="Direct"/>
    <n v="9.5120000000000005"/>
    <x v="198"/>
    <n v="326.40959177393216"/>
  </r>
  <r>
    <s v="PA|AccumulatedNewCapacity|RE1|PWRSOLRTP|2026"/>
    <x v="1"/>
    <s v="RE1"/>
    <x v="2"/>
    <x v="5"/>
    <x v="1"/>
    <s v="EmploymentOMDirect"/>
    <x v="1"/>
    <s v="Direct"/>
    <n v="8.889961953075499"/>
    <x v="199"/>
    <n v="80.534744109222217"/>
  </r>
  <r>
    <s v="PA|AccumulatedNewCapacity|RE1|PWRSOLRTP|2027"/>
    <x v="1"/>
    <s v="RE1"/>
    <x v="2"/>
    <x v="6"/>
    <x v="1"/>
    <s v="EmploymentOMDirect"/>
    <x v="1"/>
    <s v="Direct"/>
    <n v="21.413741280913172"/>
    <x v="239"/>
    <n v="189.19863747115281"/>
  </r>
  <r>
    <s v="PA|AccumulatedNewCapacity|RE1|PWRSOLRTP|2028"/>
    <x v="1"/>
    <s v="RE1"/>
    <x v="2"/>
    <x v="0"/>
    <x v="1"/>
    <s v="EmploymentOMDirect"/>
    <x v="1"/>
    <s v="Direct"/>
    <n v="35.205751426759697"/>
    <x v="240"/>
    <n v="303.18150562299263"/>
  </r>
  <r>
    <s v="PA|AccumulatedNewCapacity|RE1|PWRSOLRTP|2029"/>
    <x v="1"/>
    <s v="RE1"/>
    <x v="2"/>
    <x v="7"/>
    <x v="1"/>
    <s v="EmploymentOMDirect"/>
    <x v="1"/>
    <s v="Direct"/>
    <n v="49.473348129359572"/>
    <x v="241"/>
    <n v="414.98359411169633"/>
  </r>
  <r>
    <s v="PA|AccumulatedNewCapacity|RE1|PWRSOLRTP|2030"/>
    <x v="1"/>
    <s v="RE1"/>
    <x v="2"/>
    <x v="8"/>
    <x v="1"/>
    <s v="EmploymentOMDirect"/>
    <x v="1"/>
    <s v="Direct"/>
    <n v="63.42388712745722"/>
    <x v="242"/>
    <n v="517.81434512050055"/>
  </r>
  <r>
    <s v="PA|AccumulatedNewCapacity|RE1|PWRSOLRTP|2031"/>
    <x v="1"/>
    <s v="RE1"/>
    <x v="2"/>
    <x v="9"/>
    <x v="1"/>
    <s v="EmploymentOMDirect"/>
    <x v="1"/>
    <s v="Direct"/>
    <n v="76.423253012048221"/>
    <x v="243"/>
    <n v="619.03098193571122"/>
  </r>
  <r>
    <s v="PA|AccumulatedNewCapacity|RE1|PWRSOLRTP|2032"/>
    <x v="1"/>
    <s v="RE1"/>
    <x v="2"/>
    <x v="10"/>
    <x v="1"/>
    <s v="EmploymentOMDirect"/>
    <x v="1"/>
    <s v="Direct"/>
    <n v="87.995859226379224"/>
    <x v="244"/>
    <n v="707.1106375135231"/>
  </r>
  <r>
    <s v="PA|AccumulatedNewCapacity|RE1|PWRSOLRTP|2033"/>
    <x v="1"/>
    <s v="RE1"/>
    <x v="2"/>
    <x v="11"/>
    <x v="1"/>
    <s v="EmploymentOMDirect"/>
    <x v="1"/>
    <s v="Direct"/>
    <n v="98.141705770450244"/>
    <x v="245"/>
    <n v="782.32856879939322"/>
  </r>
  <r>
    <s v="PA|AccumulatedNewCapacity|RE1|PWRSOLRTP|2034"/>
    <x v="1"/>
    <s v="RE1"/>
    <x v="2"/>
    <x v="12"/>
    <x v="1"/>
    <s v="EmploymentOMDirect"/>
    <x v="1"/>
    <s v="Direct"/>
    <n v="107.0193214965124"/>
    <x v="246"/>
    <n v="846.21353780116863"/>
  </r>
  <r>
    <s v="PA|AccumulatedNewCapacity|RE1|PWRSOLRTP|2035"/>
    <x v="1"/>
    <s v="RE1"/>
    <x v="2"/>
    <x v="13"/>
    <x v="1"/>
    <s v="EmploymentOMDirect"/>
    <x v="1"/>
    <s v="Direct"/>
    <n v="114.4701775523146"/>
    <x v="247"/>
    <n v="897.76690699539449"/>
  </r>
  <r>
    <s v="PA|AccumulatedNewCapacity|RE1|PWRSOLRTP|2036"/>
    <x v="1"/>
    <s v="RE1"/>
    <x v="2"/>
    <x v="14"/>
    <x v="1"/>
    <s v="EmploymentOMDirect"/>
    <x v="1"/>
    <s v="Direct"/>
    <n v="120.6528027901078"/>
    <x v="248"/>
    <n v="938.49704898627306"/>
  </r>
  <r>
    <s v="PA|AccumulatedNewCapacity|RE1|PWRSOLRTP|2037"/>
    <x v="1"/>
    <s v="RE1"/>
    <x v="2"/>
    <x v="15"/>
    <x v="1"/>
    <s v="EmploymentOMDirect"/>
    <x v="1"/>
    <s v="Direct"/>
    <n v="125.72572606214329"/>
    <x v="249"/>
    <n v="969.87155757214839"/>
  </r>
  <r>
    <s v="PA|AccumulatedNewCapacity|RE1|PWRSOLRTP|2038"/>
    <x v="1"/>
    <s v="RE1"/>
    <x v="2"/>
    <x v="16"/>
    <x v="1"/>
    <s v="EmploymentOMDirect"/>
    <x v="1"/>
    <s v="Direct"/>
    <n v="129.84747622067221"/>
    <x v="250"/>
    <n v="993.31724773280757"/>
  </r>
  <r>
    <s v="PA|AccumulatedNewCapacity|RE1|PWRSOLRTP|2039"/>
    <x v="1"/>
    <s v="RE1"/>
    <x v="2"/>
    <x v="17"/>
    <x v="1"/>
    <s v="EmploymentOMDirect"/>
    <x v="1"/>
    <s v="Direct"/>
    <n v="133.33511097019661"/>
    <x v="251"/>
    <n v="1011.4226872035581"/>
  </r>
  <r>
    <s v="PA|AccumulatedNewCapacity|RE1|PWRSOLRTP|2040"/>
    <x v="1"/>
    <s v="RE1"/>
    <x v="2"/>
    <x v="1"/>
    <x v="1"/>
    <s v="EmploymentOMDirect"/>
    <x v="1"/>
    <s v="Direct"/>
    <n v="136.3471591629677"/>
    <x v="252"/>
    <n v="1025.5025492535106"/>
  </r>
  <r>
    <s v="PA|AccumulatedNewCapacity|RE1|PWRSOLRTP|2041"/>
    <x v="1"/>
    <s v="RE1"/>
    <x v="2"/>
    <x v="2"/>
    <x v="1"/>
    <s v="EmploymentOMDirect"/>
    <x v="1"/>
    <s v="Direct"/>
    <n v="138.94703233988591"/>
    <x v="253"/>
    <n v="1036.1214430611092"/>
  </r>
  <r>
    <s v="PA|AccumulatedNewCapacity|RE1|PWRSOLRTP|2042"/>
    <x v="1"/>
    <s v="RE1"/>
    <x v="2"/>
    <x v="18"/>
    <x v="1"/>
    <s v="EmploymentOMDirect"/>
    <x v="1"/>
    <s v="Direct"/>
    <n v="141.2298478123019"/>
    <x v="254"/>
    <n v="1044.062055758076"/>
  </r>
  <r>
    <s v="PA|AccumulatedNewCapacity|RE1|PWRSOLRTP|2043"/>
    <x v="1"/>
    <s v="RE1"/>
    <x v="2"/>
    <x v="19"/>
    <x v="1"/>
    <s v="EmploymentOMDirect"/>
    <x v="1"/>
    <s v="Direct"/>
    <n v="143.32242866201651"/>
    <x v="255"/>
    <n v="1050.3149577539218"/>
  </r>
  <r>
    <s v="PA|AccumulatedNewCapacity|RE1|PWRSOLRTP|2044"/>
    <x v="1"/>
    <s v="RE1"/>
    <x v="2"/>
    <x v="20"/>
    <x v="1"/>
    <s v="EmploymentOMDirect"/>
    <x v="1"/>
    <s v="Direct"/>
    <n v="145.28818642993031"/>
    <x v="256"/>
    <n v="1055.3774731961837"/>
  </r>
  <r>
    <s v="PA|AccumulatedNewCapacity|RE1|PWRSOLRTP|2045"/>
    <x v="1"/>
    <s v="RE1"/>
    <x v="2"/>
    <x v="21"/>
    <x v="1"/>
    <s v="EmploymentOMDirect"/>
    <x v="1"/>
    <s v="Direct"/>
    <n v="147.19053265694359"/>
    <x v="257"/>
    <n v="1059.7306146959506"/>
  </r>
  <r>
    <s v="PA|AccumulatedNewCapacity|RE1|PWRSOLRTP|2046"/>
    <x v="1"/>
    <s v="RE1"/>
    <x v="2"/>
    <x v="22"/>
    <x v="1"/>
    <s v="EmploymentOMDirect"/>
    <x v="1"/>
    <s v="Direct"/>
    <n v="149.0928788839569"/>
    <x v="258"/>
    <n v="1063.8390833553112"/>
  </r>
  <r>
    <s v="PA|AccumulatedNewCapacity|RE1|PWRSOLRTP|2047"/>
    <x v="1"/>
    <s v="RE1"/>
    <x v="2"/>
    <x v="3"/>
    <x v="1"/>
    <s v="EmploymentOMDirect"/>
    <x v="1"/>
    <s v="Direct"/>
    <n v="150.99522511097021"/>
    <x v="259"/>
    <n v="1067.7028791790501"/>
  </r>
  <r>
    <s v="PA|AccumulatedNewCapacity|RE1|PWRSOLRTP|2048"/>
    <x v="1"/>
    <s v="RE1"/>
    <x v="2"/>
    <x v="4"/>
    <x v="1"/>
    <s v="EmploymentOMDirect"/>
    <x v="1"/>
    <s v="Direct"/>
    <n v="152.89757133798349"/>
    <x v="260"/>
    <n v="1071.3220021576581"/>
  </r>
  <r>
    <s v="PA|AccumulatedNewCapacity|RE1|PWRSOLRTP|2049"/>
    <x v="1"/>
    <s v="RE1"/>
    <x v="2"/>
    <x v="23"/>
    <x v="1"/>
    <s v="EmploymentOMDirect"/>
    <x v="1"/>
    <s v="Direct"/>
    <n v="154.7999175649968"/>
    <x v="261"/>
    <n v="1074.6964522958597"/>
  </r>
  <r>
    <s v="PA|AccumulatedNewCapacity|RE1|PWRSOLRTP|2050"/>
    <x v="1"/>
    <s v="RE1"/>
    <x v="2"/>
    <x v="24"/>
    <x v="1"/>
    <s v="EmploymentOMDirect"/>
    <x v="1"/>
    <s v="Direct"/>
    <n v="156.70226379201009"/>
    <x v="262"/>
    <n v="1077.8262295936547"/>
  </r>
  <r>
    <s v="PA|AccumulatedNewCapacity|RE1|PWRSOLRTP|2051"/>
    <x v="1"/>
    <s v="RE1"/>
    <x v="2"/>
    <x v="25"/>
    <x v="1"/>
    <s v="EmploymentOMDirect"/>
    <x v="1"/>
    <s v="Direct"/>
    <n v="149.71464806594801"/>
    <x v="263"/>
    <n v="1029.7641574217605"/>
  </r>
  <r>
    <s v="PA|AccumulatedNewCapacity|RE1|PWRSOLRTP|2052"/>
    <x v="1"/>
    <s v="RE1"/>
    <x v="2"/>
    <x v="26"/>
    <x v="1"/>
    <s v="EmploymentOMDirect"/>
    <x v="1"/>
    <s v="Direct"/>
    <n v="139.09321496512359"/>
    <x v="264"/>
    <n v="956.7080386720163"/>
  </r>
  <r>
    <s v="PA|AccumulatedNewCapacity|RE1|PWRSOLRTP|2053"/>
    <x v="1"/>
    <s v="RE1"/>
    <x v="2"/>
    <x v="27"/>
    <x v="1"/>
    <s v="EmploymentOMDirect"/>
    <x v="1"/>
    <s v="Direct"/>
    <n v="127.2035510462904"/>
    <x v="265"/>
    <n v="874.92880126558714"/>
  </r>
  <r>
    <s v="PA|AccumulatedNewCapacity|RE1|PWRSOLRTP|2054"/>
    <x v="1"/>
    <s v="RE1"/>
    <x v="2"/>
    <x v="28"/>
    <x v="1"/>
    <s v="EmploymentOMDirect"/>
    <x v="1"/>
    <s v="Direct"/>
    <n v="114.83830057070379"/>
    <x v="266"/>
    <n v="789.87839436290005"/>
  </r>
  <r>
    <s v="PA|AccumulatedNewCapacity|RE1|PWRSOLRTP|2055"/>
    <x v="1"/>
    <s v="RE1"/>
    <x v="2"/>
    <x v="29"/>
    <x v="1"/>
    <s v="EmploymentOMDirect"/>
    <x v="1"/>
    <s v="Direct"/>
    <n v="102.79010779961951"/>
    <x v="267"/>
    <n v="707.00876712438514"/>
  </r>
  <r>
    <s v="PA|AccumulatedNewCapacity|RE1|PWRSOLUGE|2025"/>
    <x v="1"/>
    <s v="RE1"/>
    <x v="4"/>
    <x v="30"/>
    <x v="1"/>
    <s v="EmploymentOMDirect"/>
    <x v="1"/>
    <s v="Direct"/>
    <n v="6.717168"/>
    <x v="46"/>
    <n v="20.031546654450047"/>
  </r>
  <r>
    <s v="PA|AccumulatedNewCapacity|RE1|PWRSOLUGE|2026"/>
    <x v="1"/>
    <s v="RE1"/>
    <x v="4"/>
    <x v="5"/>
    <x v="1"/>
    <s v="EmploymentOMDirect"/>
    <x v="1"/>
    <s v="Direct"/>
    <n v="62.504351999999997"/>
    <x v="128"/>
    <n v="181.66157876568639"/>
  </r>
  <r>
    <s v="PA|AccumulatedNewCapacity|RE1|PWRSOLUGE|2027"/>
    <x v="1"/>
    <s v="RE1"/>
    <x v="4"/>
    <x v="6"/>
    <x v="1"/>
    <s v="EmploymentOMDirect"/>
    <x v="1"/>
    <s v="Direct"/>
    <n v="135.51019199999999"/>
    <x v="129"/>
    <n v="383.57841357269865"/>
  </r>
  <r>
    <s v="PA|AccumulatedNewCapacity|RE1|PWRSOLUGE|2028"/>
    <x v="1"/>
    <s v="RE1"/>
    <x v="4"/>
    <x v="0"/>
    <x v="1"/>
    <s v="EmploymentOMDirect"/>
    <x v="1"/>
    <s v="Direct"/>
    <n v="135.51019199999999"/>
    <x v="129"/>
    <n v="373.31232464481485"/>
  </r>
  <r>
    <s v="PA|AccumulatedNewCapacity|RE1|PWRSOLUGE|2029"/>
    <x v="1"/>
    <s v="RE1"/>
    <x v="4"/>
    <x v="7"/>
    <x v="1"/>
    <s v="EmploymentOMDirect"/>
    <x v="1"/>
    <s v="Direct"/>
    <n v="135.51019199999999"/>
    <x v="129"/>
    <n v="363.0462357173605"/>
  </r>
  <r>
    <s v="PA|AccumulatedNewCapacity|RE1|PWRSOLUGE|2030"/>
    <x v="1"/>
    <s v="RE1"/>
    <x v="4"/>
    <x v="8"/>
    <x v="1"/>
    <s v="EmploymentOMDirect"/>
    <x v="1"/>
    <s v="Direct"/>
    <n v="143.394192"/>
    <x v="130"/>
    <n v="373.30494006324204"/>
  </r>
  <r>
    <s v="PA|AccumulatedNewCapacity|RE1|PWRSOLUGE|2031"/>
    <x v="1"/>
    <s v="RE1"/>
    <x v="4"/>
    <x v="9"/>
    <x v="1"/>
    <s v="EmploymentOMDirect"/>
    <x v="1"/>
    <s v="Direct"/>
    <n v="143.394192"/>
    <x v="130"/>
    <n v="370.6384762057578"/>
  </r>
  <r>
    <s v="PA|AccumulatedNewCapacity|RE1|PWRSOLUGE|2032"/>
    <x v="1"/>
    <s v="RE1"/>
    <x v="4"/>
    <x v="10"/>
    <x v="1"/>
    <s v="EmploymentOMDirect"/>
    <x v="1"/>
    <s v="Direct"/>
    <n v="143.394192"/>
    <x v="130"/>
    <n v="367.97201234827355"/>
  </r>
  <r>
    <s v="PA|AccumulatedNewCapacity|RE1|PWRSOLUGE|2033"/>
    <x v="1"/>
    <s v="RE1"/>
    <x v="4"/>
    <x v="11"/>
    <x v="1"/>
    <s v="EmploymentOMDirect"/>
    <x v="1"/>
    <s v="Direct"/>
    <n v="143.394192"/>
    <x v="130"/>
    <n v="365.3055484903349"/>
  </r>
  <r>
    <s v="PA|AccumulatedNewCapacity|RE1|PWRSOLUGE|2034"/>
    <x v="1"/>
    <s v="RE1"/>
    <x v="4"/>
    <x v="12"/>
    <x v="1"/>
    <s v="EmploymentOMDirect"/>
    <x v="1"/>
    <s v="Direct"/>
    <n v="143.394192"/>
    <x v="130"/>
    <n v="362.63908463285071"/>
  </r>
  <r>
    <s v="PA|AccumulatedNewCapacity|RE1|PWRSOLUGE|2035"/>
    <x v="1"/>
    <s v="RE1"/>
    <x v="4"/>
    <x v="13"/>
    <x v="1"/>
    <s v="EmploymentOMDirect"/>
    <x v="1"/>
    <s v="Direct"/>
    <n v="143.394192"/>
    <x v="130"/>
    <n v="359.97262077536647"/>
  </r>
  <r>
    <s v="PA|AccumulatedNewCapacity|RE1|PWRSOLUGE|2036"/>
    <x v="1"/>
    <s v="RE1"/>
    <x v="4"/>
    <x v="14"/>
    <x v="1"/>
    <s v="EmploymentOMDirect"/>
    <x v="1"/>
    <s v="Direct"/>
    <n v="143.394192"/>
    <x v="130"/>
    <n v="357.30615691788222"/>
  </r>
  <r>
    <s v="PA|AccumulatedNewCapacity|RE1|PWRSOLUGE|2037"/>
    <x v="1"/>
    <s v="RE1"/>
    <x v="4"/>
    <x v="15"/>
    <x v="1"/>
    <s v="EmploymentOMDirect"/>
    <x v="1"/>
    <s v="Direct"/>
    <n v="143.394192"/>
    <x v="130"/>
    <n v="354.63969305994362"/>
  </r>
  <r>
    <s v="PA|AccumulatedNewCapacity|RE1|PWRSOLUGE|2038"/>
    <x v="1"/>
    <s v="RE1"/>
    <x v="4"/>
    <x v="16"/>
    <x v="1"/>
    <s v="EmploymentOMDirect"/>
    <x v="1"/>
    <s v="Direct"/>
    <n v="143.394192"/>
    <x v="130"/>
    <n v="351.97322920245938"/>
  </r>
  <r>
    <s v="PA|AccumulatedNewCapacity|RE1|PWRSOLUGE|2039"/>
    <x v="1"/>
    <s v="RE1"/>
    <x v="4"/>
    <x v="17"/>
    <x v="1"/>
    <s v="EmploymentOMDirect"/>
    <x v="1"/>
    <s v="Direct"/>
    <n v="143.394192"/>
    <x v="130"/>
    <n v="349.30676534497513"/>
  </r>
  <r>
    <s v="PA|AccumulatedNewCapacity|RE1|PWRSOLUGE|2040"/>
    <x v="1"/>
    <s v="RE1"/>
    <x v="4"/>
    <x v="1"/>
    <x v="1"/>
    <s v="EmploymentOMDirect"/>
    <x v="1"/>
    <s v="Direct"/>
    <n v="143.394192"/>
    <x v="130"/>
    <n v="346.64030148749089"/>
  </r>
  <r>
    <s v="PA|AccumulatedNewCapacity|RE1|PWRSOLUGE|2041"/>
    <x v="1"/>
    <s v="RE1"/>
    <x v="4"/>
    <x v="2"/>
    <x v="1"/>
    <s v="EmploymentOMDirect"/>
    <x v="1"/>
    <s v="Direct"/>
    <n v="143.394192"/>
    <x v="130"/>
    <n v="343.97383762955229"/>
  </r>
  <r>
    <s v="PA|AccumulatedNewCapacity|RE1|PWRSOLUGE|2042"/>
    <x v="1"/>
    <s v="RE1"/>
    <x v="4"/>
    <x v="18"/>
    <x v="1"/>
    <s v="EmploymentOMDirect"/>
    <x v="1"/>
    <s v="Direct"/>
    <n v="143.394192"/>
    <x v="130"/>
    <n v="341.30737377206805"/>
  </r>
  <r>
    <s v="PA|AccumulatedNewCapacity|RE1|PWRSOLUGE|2043"/>
    <x v="1"/>
    <s v="RE1"/>
    <x v="4"/>
    <x v="19"/>
    <x v="1"/>
    <s v="EmploymentOMDirect"/>
    <x v="1"/>
    <s v="Direct"/>
    <n v="143.394192"/>
    <x v="130"/>
    <n v="338.6409099145838"/>
  </r>
  <r>
    <s v="PA|AccumulatedNewCapacity|RE1|PWRSOLUGE|2044"/>
    <x v="1"/>
    <s v="RE1"/>
    <x v="4"/>
    <x v="20"/>
    <x v="1"/>
    <s v="EmploymentOMDirect"/>
    <x v="1"/>
    <s v="Direct"/>
    <n v="143.394192"/>
    <x v="130"/>
    <n v="335.97444605709961"/>
  </r>
  <r>
    <s v="PA|AccumulatedNewCapacity|RE1|PWRSOLUGE|2045"/>
    <x v="1"/>
    <s v="RE1"/>
    <x v="4"/>
    <x v="21"/>
    <x v="1"/>
    <s v="EmploymentOMDirect"/>
    <x v="1"/>
    <s v="Direct"/>
    <n v="143.394192"/>
    <x v="130"/>
    <n v="333.30798219916096"/>
  </r>
  <r>
    <s v="PA|AccumulatedNewCapacity|RE1|PWRSOLUGE|2046"/>
    <x v="1"/>
    <s v="RE1"/>
    <x v="4"/>
    <x v="22"/>
    <x v="1"/>
    <s v="EmploymentOMDirect"/>
    <x v="1"/>
    <s v="Direct"/>
    <n v="143.394192"/>
    <x v="130"/>
    <n v="330.64151834167671"/>
  </r>
  <r>
    <s v="PA|AccumulatedNewCapacity|RE1|PWRSOLUGE|2047"/>
    <x v="1"/>
    <s v="RE1"/>
    <x v="4"/>
    <x v="3"/>
    <x v="1"/>
    <s v="EmploymentOMDirect"/>
    <x v="1"/>
    <s v="Direct"/>
    <n v="143.394192"/>
    <x v="130"/>
    <n v="327.97505448419247"/>
  </r>
  <r>
    <s v="PA|AccumulatedNewCapacity|RE1|PWRSOLUGE|2048"/>
    <x v="1"/>
    <s v="RE1"/>
    <x v="4"/>
    <x v="4"/>
    <x v="1"/>
    <s v="EmploymentOMDirect"/>
    <x v="1"/>
    <s v="Direct"/>
    <n v="143.394192"/>
    <x v="130"/>
    <n v="325.30859062670828"/>
  </r>
  <r>
    <s v="PA|AccumulatedNewCapacity|RE1|PWRSOLUGE|2049"/>
    <x v="1"/>
    <s v="RE1"/>
    <x v="4"/>
    <x v="23"/>
    <x v="1"/>
    <s v="EmploymentOMDirect"/>
    <x v="1"/>
    <s v="Direct"/>
    <n v="143.394192"/>
    <x v="130"/>
    <n v="322.64212676876963"/>
  </r>
  <r>
    <s v="PA|AccumulatedNewCapacity|RE1|PWRSOLUGE|2050"/>
    <x v="1"/>
    <s v="RE1"/>
    <x v="4"/>
    <x v="24"/>
    <x v="1"/>
    <s v="EmploymentOMDirect"/>
    <x v="1"/>
    <s v="Direct"/>
    <n v="143.394192"/>
    <x v="130"/>
    <n v="319.97566291128538"/>
  </r>
  <r>
    <s v="PA|AccumulatedNewCapacity|RE1|PWRSOLUGE|2051"/>
    <x v="1"/>
    <s v="RE1"/>
    <x v="4"/>
    <x v="25"/>
    <x v="1"/>
    <s v="EmploymentOMDirect"/>
    <x v="1"/>
    <s v="Direct"/>
    <n v="143.394192"/>
    <x v="130"/>
    <n v="319.97566291128538"/>
  </r>
  <r>
    <s v="PA|AccumulatedNewCapacity|RE1|PWRSOLUGE|2052"/>
    <x v="1"/>
    <s v="RE1"/>
    <x v="4"/>
    <x v="26"/>
    <x v="1"/>
    <s v="EmploymentOMDirect"/>
    <x v="1"/>
    <s v="Direct"/>
    <n v="143.394192"/>
    <x v="130"/>
    <n v="319.97566291128538"/>
  </r>
  <r>
    <s v="PA|AccumulatedNewCapacity|RE1|PWRSOLUGE|2053"/>
    <x v="1"/>
    <s v="RE1"/>
    <x v="4"/>
    <x v="27"/>
    <x v="1"/>
    <s v="EmploymentOMDirect"/>
    <x v="1"/>
    <s v="Direct"/>
    <n v="143.394192"/>
    <x v="130"/>
    <n v="319.97566291128538"/>
  </r>
  <r>
    <s v="PA|AccumulatedNewCapacity|RE1|PWRSOLUGE|2054"/>
    <x v="1"/>
    <s v="RE1"/>
    <x v="4"/>
    <x v="28"/>
    <x v="1"/>
    <s v="EmploymentOMDirect"/>
    <x v="1"/>
    <s v="Direct"/>
    <n v="143.394192"/>
    <x v="130"/>
    <n v="319.97566291128538"/>
  </r>
  <r>
    <s v="PA|AccumulatedNewCapacity|RE1|PWRSOLUGE|2055"/>
    <x v="1"/>
    <s v="RE1"/>
    <x v="4"/>
    <x v="29"/>
    <x v="1"/>
    <s v="EmploymentOMDirect"/>
    <x v="1"/>
    <s v="Direct"/>
    <n v="136.67702399999999"/>
    <x v="268"/>
    <n v="304.98669959479008"/>
  </r>
  <r>
    <s v="PA|AccumulatedNewCapacity|RE1|PWRSOLUPE|2025"/>
    <x v="1"/>
    <s v="RE1"/>
    <x v="6"/>
    <x v="30"/>
    <x v="1"/>
    <s v="EmploymentOMDirect"/>
    <x v="1"/>
    <s v="Direct"/>
    <n v="5.3106623999999574"/>
    <x v="57"/>
    <n v="15.837147683612022"/>
  </r>
  <r>
    <s v="PA|AccumulatedNewCapacity|RE1|PWRSOLUPE|2026"/>
    <x v="1"/>
    <s v="RE1"/>
    <x v="6"/>
    <x v="5"/>
    <x v="1"/>
    <s v="EmploymentOMDirect"/>
    <x v="1"/>
    <s v="Direct"/>
    <n v="8.6752382399999313"/>
    <x v="147"/>
    <n v="25.213563926666133"/>
  </r>
  <r>
    <s v="PA|AccumulatedNewCapacity|RE1|PWRSOLUPE|2027"/>
    <x v="1"/>
    <s v="RE1"/>
    <x v="6"/>
    <x v="6"/>
    <x v="1"/>
    <s v="EmploymentOMDirect"/>
    <x v="1"/>
    <s v="Direct"/>
    <n v="12.14419823999993"/>
    <x v="148"/>
    <n v="34.375660061137935"/>
  </r>
  <r>
    <s v="PA|AccumulatedNewCapacity|RE1|PWRSOLUPE|2028"/>
    <x v="1"/>
    <s v="RE1"/>
    <x v="6"/>
    <x v="0"/>
    <x v="1"/>
    <s v="EmploymentOMDirect"/>
    <x v="1"/>
    <s v="Direct"/>
    <n v="12.14419823999993"/>
    <x v="148"/>
    <n v="33.455630229804733"/>
  </r>
  <r>
    <s v="PA|AccumulatedNewCapacity|RE1|PWRSOLUPE|2029"/>
    <x v="1"/>
    <s v="RE1"/>
    <x v="6"/>
    <x v="7"/>
    <x v="1"/>
    <s v="EmploymentOMDirect"/>
    <x v="1"/>
    <s v="Direct"/>
    <n v="12.14419823999993"/>
    <x v="148"/>
    <n v="32.535600398510027"/>
  </r>
  <r>
    <s v="PA|AccumulatedNewCapacity|RE1|PWRSOLUPE|2030"/>
    <x v="1"/>
    <s v="RE1"/>
    <x v="6"/>
    <x v="8"/>
    <x v="1"/>
    <s v="EmploymentOMDirect"/>
    <x v="1"/>
    <s v="Direct"/>
    <n v="12.14419823999993"/>
    <x v="148"/>
    <n v="31.615570567176832"/>
  </r>
  <r>
    <s v="PA|AccumulatedNewCapacity|RE1|PWRSOLUPE|2031"/>
    <x v="1"/>
    <s v="RE1"/>
    <x v="6"/>
    <x v="9"/>
    <x v="1"/>
    <s v="EmploymentOMDirect"/>
    <x v="1"/>
    <s v="Direct"/>
    <n v="12.14419823999993"/>
    <x v="148"/>
    <n v="31.389745063134914"/>
  </r>
  <r>
    <s v="PA|AccumulatedNewCapacity|RE1|PWRSOLUPE|2032"/>
    <x v="1"/>
    <s v="RE1"/>
    <x v="6"/>
    <x v="10"/>
    <x v="1"/>
    <s v="EmploymentOMDirect"/>
    <x v="1"/>
    <s v="Direct"/>
    <n v="12.14419823999993"/>
    <x v="148"/>
    <n v="31.163919559092996"/>
  </r>
  <r>
    <s v="PA|AccumulatedNewCapacity|RE1|PWRSOLUPE|2033"/>
    <x v="1"/>
    <s v="RE1"/>
    <x v="6"/>
    <x v="11"/>
    <x v="1"/>
    <s v="EmploymentOMDirect"/>
    <x v="1"/>
    <s v="Direct"/>
    <n v="12.14419823999993"/>
    <x v="148"/>
    <n v="30.938094055012591"/>
  </r>
  <r>
    <s v="PA|AccumulatedNewCapacity|RE1|PWRSOLUPE|2034"/>
    <x v="1"/>
    <s v="RE1"/>
    <x v="6"/>
    <x v="12"/>
    <x v="1"/>
    <s v="EmploymentOMDirect"/>
    <x v="1"/>
    <s v="Direct"/>
    <n v="12.14419823999993"/>
    <x v="148"/>
    <n v="30.712268550970681"/>
  </r>
  <r>
    <s v="PA|AccumulatedNewCapacity|RE1|PWRSOLUPE|2035"/>
    <x v="1"/>
    <s v="RE1"/>
    <x v="6"/>
    <x v="13"/>
    <x v="1"/>
    <s v="EmploymentOMDirect"/>
    <x v="1"/>
    <s v="Direct"/>
    <n v="12.14419823999993"/>
    <x v="148"/>
    <n v="30.486443046928759"/>
  </r>
  <r>
    <s v="PA|AccumulatedNewCapacity|RE1|PWRSOLUPE|2036"/>
    <x v="1"/>
    <s v="RE1"/>
    <x v="6"/>
    <x v="14"/>
    <x v="1"/>
    <s v="EmploymentOMDirect"/>
    <x v="1"/>
    <s v="Direct"/>
    <n v="12.14419823999993"/>
    <x v="148"/>
    <n v="30.260617542886841"/>
  </r>
  <r>
    <s v="PA|AccumulatedNewCapacity|RE1|PWRSOLUPE|2037"/>
    <x v="1"/>
    <s v="RE1"/>
    <x v="6"/>
    <x v="15"/>
    <x v="1"/>
    <s v="EmploymentOMDirect"/>
    <x v="1"/>
    <s v="Direct"/>
    <n v="12.14419823999993"/>
    <x v="148"/>
    <n v="30.034792038806444"/>
  </r>
  <r>
    <s v="PA|AccumulatedNewCapacity|RE1|PWRSOLUPE|2038"/>
    <x v="1"/>
    <s v="RE1"/>
    <x v="6"/>
    <x v="16"/>
    <x v="1"/>
    <s v="EmploymentOMDirect"/>
    <x v="1"/>
    <s v="Direct"/>
    <n v="12.14419823999993"/>
    <x v="148"/>
    <n v="29.808966534764526"/>
  </r>
  <r>
    <s v="PA|AccumulatedNewCapacity|RE1|PWRSOLUPE|2039"/>
    <x v="1"/>
    <s v="RE1"/>
    <x v="6"/>
    <x v="17"/>
    <x v="1"/>
    <s v="EmploymentOMDirect"/>
    <x v="1"/>
    <s v="Direct"/>
    <n v="12.14419823999993"/>
    <x v="148"/>
    <n v="29.583141030722608"/>
  </r>
  <r>
    <s v="PA|AccumulatedNewCapacity|RE1|PWRSOLUPE|2040"/>
    <x v="1"/>
    <s v="RE1"/>
    <x v="6"/>
    <x v="1"/>
    <x v="1"/>
    <s v="EmploymentOMDirect"/>
    <x v="1"/>
    <s v="Direct"/>
    <n v="12.14419823999993"/>
    <x v="148"/>
    <n v="29.35731552668069"/>
  </r>
  <r>
    <s v="PA|AccumulatedNewCapacity|RE1|PWRSOLUPE|2041"/>
    <x v="1"/>
    <s v="RE1"/>
    <x v="6"/>
    <x v="2"/>
    <x v="1"/>
    <s v="EmploymentOMDirect"/>
    <x v="1"/>
    <s v="Direct"/>
    <n v="12.14419823999993"/>
    <x v="148"/>
    <n v="29.131490022600293"/>
  </r>
  <r>
    <s v="PA|AccumulatedNewCapacity|RE1|PWRSOLUPE|2042"/>
    <x v="1"/>
    <s v="RE1"/>
    <x v="6"/>
    <x v="18"/>
    <x v="1"/>
    <s v="EmploymentOMDirect"/>
    <x v="1"/>
    <s v="Direct"/>
    <n v="12.14419823999993"/>
    <x v="148"/>
    <n v="28.905664518558375"/>
  </r>
  <r>
    <s v="PA|AccumulatedNewCapacity|RE1|PWRSOLUPE|2043"/>
    <x v="1"/>
    <s v="RE1"/>
    <x v="6"/>
    <x v="19"/>
    <x v="1"/>
    <s v="EmploymentOMDirect"/>
    <x v="1"/>
    <s v="Direct"/>
    <n v="12.14419823999993"/>
    <x v="148"/>
    <n v="28.679839014516457"/>
  </r>
  <r>
    <s v="PA|AccumulatedNewCapacity|RE1|PWRSOLUPE|2044"/>
    <x v="1"/>
    <s v="RE1"/>
    <x v="6"/>
    <x v="20"/>
    <x v="1"/>
    <s v="EmploymentOMDirect"/>
    <x v="1"/>
    <s v="Direct"/>
    <n v="12.14419823999993"/>
    <x v="148"/>
    <n v="28.454013510474542"/>
  </r>
  <r>
    <s v="PA|AccumulatedNewCapacity|RE1|PWRSOLUPE|2045"/>
    <x v="1"/>
    <s v="RE1"/>
    <x v="6"/>
    <x v="21"/>
    <x v="1"/>
    <s v="EmploymentOMDirect"/>
    <x v="1"/>
    <s v="Direct"/>
    <n v="12.14419823999993"/>
    <x v="148"/>
    <n v="28.228188006394138"/>
  </r>
  <r>
    <s v="PA|AccumulatedNewCapacity|RE1|PWRSOLUPE|2046"/>
    <x v="1"/>
    <s v="RE1"/>
    <x v="6"/>
    <x v="22"/>
    <x v="1"/>
    <s v="EmploymentOMDirect"/>
    <x v="1"/>
    <s v="Direct"/>
    <n v="12.14419823999993"/>
    <x v="148"/>
    <n v="28.00236250235222"/>
  </r>
  <r>
    <s v="PA|AccumulatedNewCapacity|RE1|PWRSOLUPE|2047"/>
    <x v="1"/>
    <s v="RE1"/>
    <x v="6"/>
    <x v="3"/>
    <x v="1"/>
    <s v="EmploymentOMDirect"/>
    <x v="1"/>
    <s v="Direct"/>
    <n v="12.14419823999993"/>
    <x v="148"/>
    <n v="27.776536998310302"/>
  </r>
  <r>
    <s v="PA|AccumulatedNewCapacity|RE1|PWRSOLUPE|2048"/>
    <x v="1"/>
    <s v="RE1"/>
    <x v="6"/>
    <x v="4"/>
    <x v="1"/>
    <s v="EmploymentOMDirect"/>
    <x v="1"/>
    <s v="Direct"/>
    <n v="12.14419823999993"/>
    <x v="148"/>
    <n v="27.550711494268388"/>
  </r>
  <r>
    <s v="PA|AccumulatedNewCapacity|RE1|PWRSOLUPE|2049"/>
    <x v="1"/>
    <s v="RE1"/>
    <x v="6"/>
    <x v="23"/>
    <x v="1"/>
    <s v="EmploymentOMDirect"/>
    <x v="1"/>
    <s v="Direct"/>
    <n v="12.14419823999993"/>
    <x v="148"/>
    <n v="27.324885990187987"/>
  </r>
  <r>
    <s v="PA|AccumulatedNewCapacity|RE1|PWRSOLUPE|2050"/>
    <x v="1"/>
    <s v="RE1"/>
    <x v="6"/>
    <x v="24"/>
    <x v="1"/>
    <s v="EmploymentOMDirect"/>
    <x v="1"/>
    <s v="Direct"/>
    <n v="6.833535839999973"/>
    <x v="149"/>
    <n v="15.248631272541488"/>
  </r>
  <r>
    <s v="PA|AccumulatedNewCapacity|RE1|PWRSOLUPE|2051"/>
    <x v="1"/>
    <s v="RE1"/>
    <x v="6"/>
    <x v="25"/>
    <x v="1"/>
    <s v="EmploymentOMDirect"/>
    <x v="1"/>
    <s v="Direct"/>
    <n v="3.4689599999999992"/>
    <x v="150"/>
    <n v="7.7407791775327421"/>
  </r>
  <r>
    <s v="PA|AccumulatedNewCapacity|RE1|PWRWNDOFS_FIX|2032"/>
    <x v="1"/>
    <s v="RE1"/>
    <x v="7"/>
    <x v="10"/>
    <x v="1"/>
    <s v="EmploymentOMDirect"/>
    <x v="1"/>
    <s v="Direct"/>
    <n v="1.752"/>
    <x v="219"/>
    <n v="4.2443432995704615"/>
  </r>
  <r>
    <s v="PA|AccumulatedNewCapacity|RE1|PWRWNDOFS_FIX|2033"/>
    <x v="1"/>
    <s v="RE1"/>
    <x v="7"/>
    <x v="11"/>
    <x v="1"/>
    <s v="EmploymentOMDirect"/>
    <x v="1"/>
    <s v="Direct"/>
    <n v="3.504"/>
    <x v="269"/>
    <n v="8.3563041537709335"/>
  </r>
  <r>
    <s v="PA|AccumulatedNewCapacity|RE1|PWRWNDOFS_FIX|2034"/>
    <x v="1"/>
    <s v="RE1"/>
    <x v="7"/>
    <x v="12"/>
    <x v="1"/>
    <s v="EmploymentOMDirect"/>
    <x v="1"/>
    <s v="Direct"/>
    <n v="5.2560000000000002"/>
    <x v="270"/>
    <n v="12.335882562601414"/>
  </r>
  <r>
    <s v="PA|AccumulatedNewCapacity|RE1|PWRWNDOFS_FIX|2035"/>
    <x v="1"/>
    <s v="RE1"/>
    <x v="7"/>
    <x v="13"/>
    <x v="1"/>
    <s v="EmploymentOMDirect"/>
    <x v="1"/>
    <s v="Direct"/>
    <n v="7.008"/>
    <x v="271"/>
    <n v="16.183078526061905"/>
  </r>
  <r>
    <s v="PA|AccumulatedNewCapacity|RE1|PWRWNDOFS_FIX|2036"/>
    <x v="1"/>
    <s v="RE1"/>
    <x v="7"/>
    <x v="14"/>
    <x v="1"/>
    <s v="EmploymentOMDirect"/>
    <x v="1"/>
    <s v="Direct"/>
    <n v="8.76"/>
    <x v="272"/>
    <n v="19.897892044152407"/>
  </r>
  <r>
    <s v="PA|AccumulatedNewCapacity|RE1|PWRWNDOFS_FIX|2037"/>
    <x v="1"/>
    <s v="RE1"/>
    <x v="7"/>
    <x v="15"/>
    <x v="1"/>
    <s v="EmploymentOMDirect"/>
    <x v="1"/>
    <s v="Direct"/>
    <n v="10.512"/>
    <x v="273"/>
    <n v="23.480323116872917"/>
  </r>
  <r>
    <s v="PA|AccumulatedNewCapacity|RE1|PWRWNDOFS_FIX|2038"/>
    <x v="1"/>
    <s v="RE1"/>
    <x v="7"/>
    <x v="16"/>
    <x v="1"/>
    <s v="EmploymentOMDirect"/>
    <x v="1"/>
    <s v="Direct"/>
    <n v="12.263999999999999"/>
    <x v="274"/>
    <n v="26.930371744184576"/>
  </r>
  <r>
    <s v="PA|AccumulatedNewCapacity|RE1|PWRWNDOFS_FIX|2039"/>
    <x v="1"/>
    <s v="RE1"/>
    <x v="7"/>
    <x v="17"/>
    <x v="1"/>
    <s v="EmploymentOMDirect"/>
    <x v="1"/>
    <s v="Direct"/>
    <n v="14.016"/>
    <x v="275"/>
    <n v="30.248037926159554"/>
  </r>
  <r>
    <s v="PA|AccumulatedNewCapacity|RE1|PWRWNDOFS_FIX|2040"/>
    <x v="1"/>
    <s v="RE1"/>
    <x v="7"/>
    <x v="1"/>
    <x v="1"/>
    <s v="EmploymentOMDirect"/>
    <x v="1"/>
    <s v="Direct"/>
    <n v="15.768000000000001"/>
    <x v="276"/>
    <n v="33.433321662764541"/>
  </r>
  <r>
    <s v="PA|AccumulatedNewCapacity|RE1|PWRWNDOFS_FIX|2041"/>
    <x v="1"/>
    <s v="RE1"/>
    <x v="7"/>
    <x v="2"/>
    <x v="1"/>
    <s v="EmploymentOMDirect"/>
    <x v="1"/>
    <s v="Direct"/>
    <n v="18.921600000000002"/>
    <x v="277"/>
    <n v="39.405120790319515"/>
  </r>
  <r>
    <s v="PA|AccumulatedNewCapacity|RE1|PWRWNDOFS_FIX|2042"/>
    <x v="1"/>
    <s v="RE1"/>
    <x v="7"/>
    <x v="18"/>
    <x v="1"/>
    <s v="EmploymentOMDirect"/>
    <x v="1"/>
    <s v="Direct"/>
    <n v="22.075199999999999"/>
    <x v="278"/>
    <n v="45.138631516208484"/>
  </r>
  <r>
    <s v="PA|AccumulatedNewCapacity|RE1|PWRWNDOFS_FIX|2043"/>
    <x v="1"/>
    <s v="RE1"/>
    <x v="7"/>
    <x v="19"/>
    <x v="1"/>
    <s v="EmploymentOMDirect"/>
    <x v="1"/>
    <s v="Direct"/>
    <n v="25.2288"/>
    <x v="279"/>
    <n v="50.633853840431485"/>
  </r>
  <r>
    <s v="PA|AccumulatedNewCapacity|RE1|PWRWNDOFS_FIX|2044"/>
    <x v="1"/>
    <s v="RE1"/>
    <x v="7"/>
    <x v="20"/>
    <x v="1"/>
    <s v="EmploymentOMDirect"/>
    <x v="1"/>
    <s v="Direct"/>
    <n v="28.382400000000001"/>
    <x v="280"/>
    <n v="55.890787762898569"/>
  </r>
  <r>
    <s v="PA|AccumulatedNewCapacity|RE1|PWRWNDOFS_FIX|2045"/>
    <x v="1"/>
    <s v="RE1"/>
    <x v="7"/>
    <x v="21"/>
    <x v="1"/>
    <s v="EmploymentOMDirect"/>
    <x v="1"/>
    <s v="Direct"/>
    <n v="31.536000000000001"/>
    <x v="281"/>
    <n v="60.909433283779599"/>
  </r>
  <r>
    <s v="PA|AccumulatedNewCapacity|RE1|PWRWNDOFS_FIX|2046"/>
    <x v="1"/>
    <s v="RE1"/>
    <x v="7"/>
    <x v="22"/>
    <x v="1"/>
    <s v="EmploymentOMDirect"/>
    <x v="1"/>
    <s v="Direct"/>
    <n v="34.689600000000013"/>
    <x v="282"/>
    <n v="65.689790402994689"/>
  </r>
  <r>
    <s v="PA|AccumulatedNewCapacity|RE1|PWRWNDOFS_FIX|2047"/>
    <x v="1"/>
    <s v="RE1"/>
    <x v="7"/>
    <x v="3"/>
    <x v="1"/>
    <s v="EmploymentOMDirect"/>
    <x v="1"/>
    <s v="Direct"/>
    <n v="37.843200000000003"/>
    <x v="283"/>
    <n v="70.231859120543746"/>
  </r>
  <r>
    <s v="PA|AccumulatedNewCapacity|RE1|PWRWNDOFS_FIX|2048"/>
    <x v="1"/>
    <s v="RE1"/>
    <x v="7"/>
    <x v="4"/>
    <x v="1"/>
    <s v="EmploymentOMDirect"/>
    <x v="1"/>
    <s v="Direct"/>
    <n v="40.9968"/>
    <x v="284"/>
    <n v="74.535639436426834"/>
  </r>
  <r>
    <s v="PA|AccumulatedNewCapacity|RE1|PWRWNDOFS_FIX|2049"/>
    <x v="1"/>
    <s v="RE1"/>
    <x v="7"/>
    <x v="23"/>
    <x v="1"/>
    <s v="EmploymentOMDirect"/>
    <x v="1"/>
    <s v="Direct"/>
    <n v="44.150399999999998"/>
    <x v="285"/>
    <n v="78.601131350643939"/>
  </r>
  <r>
    <s v="PA|AccumulatedNewCapacity|RE1|PWRWNDOFS_FIX|2050"/>
    <x v="1"/>
    <s v="RE1"/>
    <x v="7"/>
    <x v="24"/>
    <x v="1"/>
    <s v="EmploymentOMDirect"/>
    <x v="1"/>
    <s v="Direct"/>
    <n v="47.303999999999988"/>
    <x v="286"/>
    <n v="82.428334863195047"/>
  </r>
  <r>
    <s v="PA|AccumulatedNewCapacity|RE1|PWRWNDOFS_FIX|2051"/>
    <x v="1"/>
    <s v="RE1"/>
    <x v="7"/>
    <x v="25"/>
    <x v="1"/>
    <s v="EmploymentOMDirect"/>
    <x v="1"/>
    <s v="Direct"/>
    <n v="47.303999999999988"/>
    <x v="286"/>
    <n v="82.428334863195047"/>
  </r>
  <r>
    <s v="PA|AccumulatedNewCapacity|RE1|PWRWNDOFS_FIX|2052"/>
    <x v="1"/>
    <s v="RE1"/>
    <x v="7"/>
    <x v="26"/>
    <x v="1"/>
    <s v="EmploymentOMDirect"/>
    <x v="1"/>
    <s v="Direct"/>
    <n v="47.303999999999988"/>
    <x v="286"/>
    <n v="82.428334863195047"/>
  </r>
  <r>
    <s v="PA|AccumulatedNewCapacity|RE1|PWRWNDOFS_FIX|2053"/>
    <x v="1"/>
    <s v="RE1"/>
    <x v="7"/>
    <x v="27"/>
    <x v="1"/>
    <s v="EmploymentOMDirect"/>
    <x v="1"/>
    <s v="Direct"/>
    <n v="47.303999999999988"/>
    <x v="286"/>
    <n v="82.428334863195047"/>
  </r>
  <r>
    <s v="PA|AccumulatedNewCapacity|RE1|PWRWNDOFS_FIX|2054"/>
    <x v="1"/>
    <s v="RE1"/>
    <x v="7"/>
    <x v="28"/>
    <x v="1"/>
    <s v="EmploymentOMDirect"/>
    <x v="1"/>
    <s v="Direct"/>
    <n v="47.303999999999988"/>
    <x v="286"/>
    <n v="82.428334863195047"/>
  </r>
  <r>
    <s v="PA|AccumulatedNewCapacity|RE1|PWRWNDOFS_FIX|2055"/>
    <x v="1"/>
    <s v="RE1"/>
    <x v="7"/>
    <x v="29"/>
    <x v="1"/>
    <s v="EmploymentOMDirect"/>
    <x v="1"/>
    <s v="Direct"/>
    <n v="47.303999999999988"/>
    <x v="286"/>
    <n v="82.428334863195047"/>
  </r>
  <r>
    <s v="PA|AccumulatedNewCapacity|RE1|PWRWNDONS|2025"/>
    <x v="1"/>
    <s v="RE1"/>
    <x v="9"/>
    <x v="30"/>
    <x v="1"/>
    <s v="EmploymentOMDirect"/>
    <x v="1"/>
    <s v="Direct"/>
    <n v="0.15362331428571441"/>
    <x v="69"/>
    <n v="0.14479721513827704"/>
  </r>
  <r>
    <s v="PA|AccumulatedNewCapacity|RE1|PWRWNDONS|2026"/>
    <x v="1"/>
    <s v="RE1"/>
    <x v="9"/>
    <x v="5"/>
    <x v="1"/>
    <s v="EmploymentOMDirect"/>
    <x v="1"/>
    <s v="Direct"/>
    <n v="0.15362331428571441"/>
    <x v="69"/>
    <n v="0.14355355807600428"/>
  </r>
  <r>
    <s v="PA|AccumulatedNewCapacity|RE1|PWRWNDONS|2027"/>
    <x v="1"/>
    <s v="RE1"/>
    <x v="9"/>
    <x v="6"/>
    <x v="1"/>
    <s v="EmploymentOMDirect"/>
    <x v="1"/>
    <s v="Direct"/>
    <n v="17.46688731428571"/>
    <x v="287"/>
    <n v="16.180558375940784"/>
  </r>
  <r>
    <s v="PA|AccumulatedNewCapacity|RE1|PWRWNDONS|2028"/>
    <x v="1"/>
    <s v="RE1"/>
    <x v="9"/>
    <x v="0"/>
    <x v="1"/>
    <s v="EmploymentOMDirect"/>
    <x v="1"/>
    <s v="Direct"/>
    <n v="23.805623314285711"/>
    <x v="288"/>
    <n v="21.859767063821607"/>
  </r>
  <r>
    <s v="PA|AccumulatedNewCapacity|RE1|PWRWNDONS|2029"/>
    <x v="1"/>
    <s v="RE1"/>
    <x v="9"/>
    <x v="7"/>
    <x v="1"/>
    <s v="EmploymentOMDirect"/>
    <x v="1"/>
    <s v="Direct"/>
    <n v="33.266423314285717"/>
    <x v="289"/>
    <n v="30.277939165346531"/>
  </r>
  <r>
    <s v="PA|AccumulatedNewCapacity|RE1|PWRWNDONS|2030"/>
    <x v="1"/>
    <s v="RE1"/>
    <x v="9"/>
    <x v="8"/>
    <x v="1"/>
    <s v="EmploymentOMDirect"/>
    <x v="1"/>
    <s v="Direct"/>
    <n v="33.266423314285717"/>
    <x v="289"/>
    <n v="30.008630939028613"/>
  </r>
  <r>
    <s v="PA|AccumulatedNewCapacity|RE1|PWRWNDONS|2031"/>
    <x v="1"/>
    <s v="RE1"/>
    <x v="9"/>
    <x v="9"/>
    <x v="1"/>
    <s v="EmploymentOMDirect"/>
    <x v="1"/>
    <s v="Direct"/>
    <n v="33.266423314285717"/>
    <x v="289"/>
    <n v="29.927838471080531"/>
  </r>
  <r>
    <s v="PA|AccumulatedNewCapacity|RE1|PWRWNDONS|2032"/>
    <x v="1"/>
    <s v="RE1"/>
    <x v="9"/>
    <x v="10"/>
    <x v="1"/>
    <s v="EmploymentOMDirect"/>
    <x v="1"/>
    <s v="Direct"/>
    <n v="33.266423314285717"/>
    <x v="289"/>
    <n v="29.847046003132444"/>
  </r>
  <r>
    <s v="PA|AccumulatedNewCapacity|RE1|PWRWNDONS|2033"/>
    <x v="1"/>
    <s v="RE1"/>
    <x v="9"/>
    <x v="11"/>
    <x v="1"/>
    <s v="EmploymentOMDirect"/>
    <x v="1"/>
    <s v="Direct"/>
    <n v="33.266423314285717"/>
    <x v="289"/>
    <n v="29.766253535289774"/>
  </r>
  <r>
    <s v="PA|AccumulatedNewCapacity|RE1|PWRWNDONS|2034"/>
    <x v="1"/>
    <s v="RE1"/>
    <x v="9"/>
    <x v="12"/>
    <x v="1"/>
    <s v="EmploymentOMDirect"/>
    <x v="1"/>
    <s v="Direct"/>
    <n v="64.536926395785827"/>
    <x v="290"/>
    <n v="57.58985262191635"/>
  </r>
  <r>
    <s v="PA|AccumulatedNewCapacity|RE1|PWRWNDONS|2035"/>
    <x v="1"/>
    <s v="RE1"/>
    <x v="9"/>
    <x v="13"/>
    <x v="1"/>
    <s v="EmploymentOMDirect"/>
    <x v="1"/>
    <s v="Direct"/>
    <n v="111.8469263957858"/>
    <x v="291"/>
    <n v="99.535533427366445"/>
  </r>
  <r>
    <s v="PA|AccumulatedNewCapacity|RE1|PWRWNDONS|2036"/>
    <x v="1"/>
    <s v="RE1"/>
    <x v="9"/>
    <x v="14"/>
    <x v="1"/>
    <s v="EmploymentOMDirect"/>
    <x v="1"/>
    <s v="Direct"/>
    <n v="159.1569263957858"/>
    <x v="292"/>
    <n v="141.25141545859162"/>
  </r>
  <r>
    <s v="PA|AccumulatedNewCapacity|RE1|PWRWNDONS|2037"/>
    <x v="1"/>
    <s v="RE1"/>
    <x v="9"/>
    <x v="15"/>
    <x v="1"/>
    <s v="EmploymentOMDirect"/>
    <x v="1"/>
    <s v="Direct"/>
    <n v="160.58802851083539"/>
    <x v="293"/>
    <n v="142.13150341254504"/>
  </r>
  <r>
    <s v="PA|AccumulatedNewCapacity|RE1|PWRWNDONS|2038"/>
    <x v="1"/>
    <s v="RE1"/>
    <x v="9"/>
    <x v="16"/>
    <x v="1"/>
    <s v="EmploymentOMDirect"/>
    <x v="1"/>
    <s v="Direct"/>
    <n v="160.58802851083539"/>
    <x v="293"/>
    <n v="141.74149144691432"/>
  </r>
  <r>
    <s v="PA|AccumulatedNewCapacity|RE1|PWRWNDONS|2039"/>
    <x v="1"/>
    <s v="RE1"/>
    <x v="9"/>
    <x v="17"/>
    <x v="1"/>
    <s v="EmploymentOMDirect"/>
    <x v="1"/>
    <s v="Direct"/>
    <n v="186.28626433862959"/>
    <x v="294"/>
    <n v="163.97137019229848"/>
  </r>
  <r>
    <s v="PA|AccumulatedNewCapacity|RE1|PWRWNDONS|2040"/>
    <x v="1"/>
    <s v="RE1"/>
    <x v="9"/>
    <x v="1"/>
    <x v="1"/>
    <s v="EmploymentOMDirect"/>
    <x v="1"/>
    <s v="Direct"/>
    <n v="233.59626433862971"/>
    <x v="295"/>
    <n v="205.04686764521011"/>
  </r>
  <r>
    <s v="PA|AccumulatedNewCapacity|RE1|PWRWNDONS|2041"/>
    <x v="1"/>
    <s v="RE1"/>
    <x v="9"/>
    <x v="2"/>
    <x v="1"/>
    <s v="EmploymentOMDirect"/>
    <x v="1"/>
    <s v="Direct"/>
    <n v="280.90626433862963"/>
    <x v="296"/>
    <n v="245.89256632339232"/>
  </r>
  <r>
    <s v="PA|AccumulatedNewCapacity|RE1|PWRWNDONS|2042"/>
    <x v="1"/>
    <s v="RE1"/>
    <x v="9"/>
    <x v="18"/>
    <x v="1"/>
    <s v="EmploymentOMDirect"/>
    <x v="1"/>
    <s v="Direct"/>
    <n v="328.21626433862963"/>
    <x v="297"/>
    <n v="286.50846622788538"/>
  </r>
  <r>
    <s v="PA|AccumulatedNewCapacity|RE1|PWRWNDONS|2043"/>
    <x v="1"/>
    <s v="RE1"/>
    <x v="9"/>
    <x v="19"/>
    <x v="1"/>
    <s v="EmploymentOMDirect"/>
    <x v="1"/>
    <s v="Direct"/>
    <n v="354.37275468939481"/>
    <x v="298"/>
    <n v="308.48049611451944"/>
  </r>
  <r>
    <s v="PA|AccumulatedNewCapacity|RE1|PWRWNDONS|2044"/>
    <x v="1"/>
    <s v="RE1"/>
    <x v="9"/>
    <x v="20"/>
    <x v="1"/>
    <s v="EmploymentOMDirect"/>
    <x v="1"/>
    <s v="Direct"/>
    <n v="354.37275468939481"/>
    <x v="298"/>
    <n v="307.61984905443637"/>
  </r>
  <r>
    <s v="PA|AccumulatedNewCapacity|RE1|PWRWNDONS|2045"/>
    <x v="1"/>
    <s v="RE1"/>
    <x v="9"/>
    <x v="21"/>
    <x v="1"/>
    <s v="EmploymentOMDirect"/>
    <x v="1"/>
    <s v="Direct"/>
    <n v="354.37275468939481"/>
    <x v="298"/>
    <n v="306.75920199547636"/>
  </r>
  <r>
    <s v="PA|AccumulatedNewCapacity|RE1|PWRWNDONS|2046"/>
    <x v="1"/>
    <s v="RE1"/>
    <x v="9"/>
    <x v="22"/>
    <x v="1"/>
    <s v="EmploymentOMDirect"/>
    <x v="1"/>
    <s v="Direct"/>
    <n v="401.68275468939481"/>
    <x v="299"/>
    <n v="346.73708002651699"/>
  </r>
  <r>
    <s v="PA|AccumulatedNewCapacity|RE1|PWRWNDONS|2047"/>
    <x v="1"/>
    <s v="RE1"/>
    <x v="9"/>
    <x v="3"/>
    <x v="1"/>
    <s v="EmploymentOMDirect"/>
    <x v="1"/>
    <s v="Direct"/>
    <n v="448.99275468939481"/>
    <x v="300"/>
    <n v="386.48515928282836"/>
  </r>
  <r>
    <s v="PA|AccumulatedNewCapacity|RE1|PWRWNDONS|2048"/>
    <x v="1"/>
    <s v="RE1"/>
    <x v="9"/>
    <x v="4"/>
    <x v="1"/>
    <s v="EmploymentOMDirect"/>
    <x v="1"/>
    <s v="Direct"/>
    <n v="490.48662025717852"/>
    <x v="301"/>
    <n v="421.01113768654756"/>
  </r>
  <r>
    <s v="PA|AccumulatedNewCapacity|RE1|PWRWNDONS|2049"/>
    <x v="1"/>
    <s v="RE1"/>
    <x v="9"/>
    <x v="23"/>
    <x v="1"/>
    <s v="EmploymentOMDirect"/>
    <x v="1"/>
    <s v="Direct"/>
    <n v="490.48662025717852"/>
    <x v="301"/>
    <n v="419.81991781383357"/>
  </r>
  <r>
    <s v="PA|AccumulatedNewCapacity|RE1|PWRWNDONS|2050"/>
    <x v="1"/>
    <s v="RE1"/>
    <x v="9"/>
    <x v="24"/>
    <x v="1"/>
    <s v="EmploymentOMDirect"/>
    <x v="1"/>
    <s v="Direct"/>
    <n v="490.48662025717852"/>
    <x v="301"/>
    <n v="418.62869794111964"/>
  </r>
  <r>
    <s v="PA|AccumulatedNewCapacity|RE1|PWRWNDONS|2051"/>
    <x v="1"/>
    <s v="RE1"/>
    <x v="9"/>
    <x v="25"/>
    <x v="1"/>
    <s v="EmploymentOMDirect"/>
    <x v="1"/>
    <s v="Direct"/>
    <n v="490.48662025717852"/>
    <x v="301"/>
    <n v="418.62869794111964"/>
  </r>
  <r>
    <s v="PA|AccumulatedNewCapacity|RE1|PWRWNDONS|2052"/>
    <x v="1"/>
    <s v="RE1"/>
    <x v="9"/>
    <x v="26"/>
    <x v="1"/>
    <s v="EmploymentOMDirect"/>
    <x v="1"/>
    <s v="Direct"/>
    <n v="537.79662025717857"/>
    <x v="302"/>
    <n v="459.00762548293477"/>
  </r>
  <r>
    <s v="PA|AccumulatedNewCapacity|RE1|PWRWNDONS|2053"/>
    <x v="1"/>
    <s v="RE1"/>
    <x v="9"/>
    <x v="27"/>
    <x v="1"/>
    <s v="EmploymentOMDirect"/>
    <x v="1"/>
    <s v="Direct"/>
    <n v="585.10662025717852"/>
    <x v="303"/>
    <n v="499.38655302474979"/>
  </r>
  <r>
    <s v="PA|AccumulatedNewCapacity|RE1|PWRWNDONS|2054"/>
    <x v="1"/>
    <s v="RE1"/>
    <x v="9"/>
    <x v="28"/>
    <x v="1"/>
    <s v="EmploymentOMDirect"/>
    <x v="1"/>
    <s v="Direct"/>
    <n v="632.41662025717847"/>
    <x v="304"/>
    <n v="539.76548056656475"/>
  </r>
  <r>
    <s v="PA|AccumulatedNewCapacity|RE1|PWRWNDONS|2055"/>
    <x v="1"/>
    <s v="RE1"/>
    <x v="9"/>
    <x v="29"/>
    <x v="1"/>
    <s v="EmploymentOMDirect"/>
    <x v="1"/>
    <s v="Direct"/>
    <n v="656.56282969529104"/>
    <x v="305"/>
    <n v="560.37418995804728"/>
  </r>
  <r>
    <s v="PD|NewCapacity|RE1|PWRHYDDAM|2028"/>
    <x v="2"/>
    <s v="RE1"/>
    <x v="0"/>
    <x v="0"/>
    <x v="0"/>
    <s v="EmploymentConstructionManufacturingDirect"/>
    <x v="0"/>
    <s v="Direct"/>
    <n v="37.840000000000003"/>
    <x v="0"/>
    <n v="13862.851758940096"/>
  </r>
  <r>
    <s v="PD|NewCapacity|RE1|PWRSOLRTP|2026"/>
    <x v="2"/>
    <s v="RE1"/>
    <x v="2"/>
    <x v="5"/>
    <x v="0"/>
    <s v="EmploymentConstructionManufacturingDirect"/>
    <x v="0"/>
    <s v="Direct"/>
    <n v="7.9387888395688"/>
    <x v="306"/>
    <n v="2103.9407213482168"/>
  </r>
  <r>
    <s v="PD|NewCapacity|RE1|PWRSOLRTP|2027"/>
    <x v="2"/>
    <s v="RE1"/>
    <x v="2"/>
    <x v="6"/>
    <x v="0"/>
    <s v="EmploymentConstructionManufacturingDirect"/>
    <x v="0"/>
    <s v="Direct"/>
    <n v="10.77996195307546"/>
    <x v="307"/>
    <n v="2692.1586673056854"/>
  </r>
  <r>
    <s v="PD|NewCapacity|RE1|PWRSOLRTP|2028"/>
    <x v="2"/>
    <s v="RE1"/>
    <x v="2"/>
    <x v="0"/>
    <x v="0"/>
    <s v="EmploymentConstructionManufacturingDirect"/>
    <x v="0"/>
    <s v="Direct"/>
    <n v="11.414077362079899"/>
    <x v="308"/>
    <n v="2676.0789272620582"/>
  </r>
  <r>
    <s v="PD|NewCapacity|RE1|PWRSOLRTP|2029"/>
    <x v="2"/>
    <s v="RE1"/>
    <x v="2"/>
    <x v="7"/>
    <x v="0"/>
    <s v="EmploymentConstructionManufacturingDirect"/>
    <x v="0"/>
    <s v="Direct"/>
    <n v="11.25554850982879"/>
    <x v="309"/>
    <n v="2466.8919555506072"/>
  </r>
  <r>
    <s v="PD|NewCapacity|RE1|PWRSOLRTP|2030"/>
    <x v="2"/>
    <s v="RE1"/>
    <x v="2"/>
    <x v="8"/>
    <x v="0"/>
    <s v="EmploymentConstructionManufacturingDirect"/>
    <x v="0"/>
    <s v="Direct"/>
    <n v="10.621433100824349"/>
    <x v="310"/>
    <n v="2165.5841412689056"/>
  </r>
  <r>
    <s v="PD|NewCapacity|RE1|PWRSOLRTP|2031"/>
    <x v="2"/>
    <s v="RE1"/>
    <x v="2"/>
    <x v="9"/>
    <x v="0"/>
    <s v="EmploymentConstructionManufacturingDirect"/>
    <x v="0"/>
    <s v="Direct"/>
    <n v="9.6702599873176922"/>
    <x v="311"/>
    <n v="1939.2665900850277"/>
  </r>
  <r>
    <s v="PD|NewCapacity|RE1|PWRSOLRTP|2032"/>
    <x v="2"/>
    <s v="RE1"/>
    <x v="2"/>
    <x v="10"/>
    <x v="0"/>
    <s v="EmploymentConstructionManufacturingDirect"/>
    <x v="0"/>
    <s v="Direct"/>
    <n v="8.560558021559924"/>
    <x v="312"/>
    <n v="1688.0594285550285"/>
  </r>
  <r>
    <s v="PD|NewCapacity|RE1|PWRSOLRTP|2033"/>
    <x v="2"/>
    <s v="RE1"/>
    <x v="2"/>
    <x v="11"/>
    <x v="0"/>
    <s v="EmploymentConstructionManufacturingDirect"/>
    <x v="0"/>
    <s v="Direct"/>
    <n v="7.4508560558021566"/>
    <x v="208"/>
    <n v="1444.2848080445453"/>
  </r>
  <r>
    <s v="PD|NewCapacity|RE1|PWRSOLRTP|2034"/>
    <x v="2"/>
    <s v="RE1"/>
    <x v="2"/>
    <x v="12"/>
    <x v="0"/>
    <s v="EmploymentConstructionManufacturingDirect"/>
    <x v="0"/>
    <s v="Direct"/>
    <n v="6.3411540900443883"/>
    <x v="313"/>
    <n v="1207.9427285535787"/>
  </r>
  <r>
    <s v="PD|NewCapacity|RE1|PWRSOLRTP|2035"/>
    <x v="2"/>
    <s v="RE1"/>
    <x v="2"/>
    <x v="13"/>
    <x v="0"/>
    <s v="EmploymentConstructionManufacturingDirect"/>
    <x v="0"/>
    <s v="Direct"/>
    <n v="5.2314521242866201"/>
    <x v="314"/>
    <n v="979.03319008212816"/>
  </r>
  <r>
    <s v="PD|NewCapacity|RE1|PWRSOLRTP|2036"/>
    <x v="2"/>
    <s v="RE1"/>
    <x v="2"/>
    <x v="14"/>
    <x v="0"/>
    <s v="EmploymentConstructionManufacturingDirect"/>
    <x v="0"/>
    <s v="Direct"/>
    <n v="4.280279010779962"/>
    <x v="315"/>
    <n v="786.69296926981667"/>
  </r>
  <r>
    <s v="PD|NewCapacity|RE1|PWRSOLRTP|2037"/>
    <x v="2"/>
    <s v="RE1"/>
    <x v="2"/>
    <x v="15"/>
    <x v="0"/>
    <s v="EmploymentConstructionManufacturingDirect"/>
    <x v="0"/>
    <s v="Direct"/>
    <n v="3.487634749524414"/>
    <x v="212"/>
    <n v="629.32937875531979"/>
  </r>
  <r>
    <s v="PD|NewCapacity|RE1|PWRSOLRTP|2038"/>
    <x v="2"/>
    <s v="RE1"/>
    <x v="2"/>
    <x v="16"/>
    <x v="0"/>
    <s v="EmploymentConstructionManufacturingDirect"/>
    <x v="0"/>
    <s v="Direct"/>
    <n v="2.8535193405199748"/>
    <x v="316"/>
    <n v="505.34973117821625"/>
  </r>
  <r>
    <s v="PD|NewCapacity|RE1|PWRSOLRTP|2039"/>
    <x v="2"/>
    <s v="RE1"/>
    <x v="2"/>
    <x v="17"/>
    <x v="0"/>
    <s v="EmploymentConstructionManufacturingDirect"/>
    <x v="0"/>
    <s v="Direct"/>
    <n v="2.3779327837666462"/>
    <x v="317"/>
    <n v="413.16133917522228"/>
  </r>
  <r>
    <s v="PD|NewCapacity|RE1|PWRSOLRTP|2040"/>
    <x v="2"/>
    <s v="RE1"/>
    <x v="2"/>
    <x v="1"/>
    <x v="0"/>
    <s v="EmploymentConstructionManufacturingDirect"/>
    <x v="0"/>
    <s v="Direct"/>
    <n v="2.0608750792644259"/>
    <x v="318"/>
    <n v="351.17151538611779"/>
  </r>
  <r>
    <s v="PD|NewCapacity|RE1|PWRSOLRTP|2041"/>
    <x v="2"/>
    <s v="RE1"/>
    <x v="2"/>
    <x v="2"/>
    <x v="0"/>
    <s v="EmploymentConstructionManufacturingDirect"/>
    <x v="0"/>
    <s v="Direct"/>
    <n v="1.838934686112873"/>
    <x v="319"/>
    <n v="307.19465336792575"/>
  </r>
  <r>
    <s v="PD|NewCapacity|RE1|PWRSOLRTP|2042"/>
    <x v="2"/>
    <s v="RE1"/>
    <x v="2"/>
    <x v="18"/>
    <x v="0"/>
    <s v="EmploymentConstructionManufacturingDirect"/>
    <x v="0"/>
    <s v="Direct"/>
    <n v="1.648700063411541"/>
    <x v="320"/>
    <n v="269.8945799370415"/>
  </r>
  <r>
    <s v="PD|NewCapacity|RE1|PWRSOLRTP|2043"/>
    <x v="2"/>
    <s v="RE1"/>
    <x v="2"/>
    <x v="19"/>
    <x v="0"/>
    <s v="EmploymentConstructionManufacturingDirect"/>
    <x v="0"/>
    <s v="Direct"/>
    <n v="1.521876981610653"/>
    <x v="321"/>
    <n v="244.03685884718308"/>
  </r>
  <r>
    <s v="PD|NewCapacity|RE1|PWRSOLRTP|2044"/>
    <x v="2"/>
    <s v="RE1"/>
    <x v="2"/>
    <x v="20"/>
    <x v="0"/>
    <s v="EmploymentConstructionManufacturingDirect"/>
    <x v="0"/>
    <s v="Direct"/>
    <n v="1.4584654407102089"/>
    <x v="322"/>
    <n v="228.98441515428277"/>
  </r>
  <r>
    <s v="PD|NewCapacity|RE1|PWRSOLRTP|2045"/>
    <x v="2"/>
    <s v="RE1"/>
    <x v="2"/>
    <x v="21"/>
    <x v="0"/>
    <s v="EmploymentConstructionManufacturingDirect"/>
    <x v="0"/>
    <s v="Direct"/>
    <n v="1.426759670259987"/>
    <x v="323"/>
    <n v="219.22843100173665"/>
  </r>
  <r>
    <s v="PD|NewCapacity|RE1|PWRSOLRTP|2046"/>
    <x v="2"/>
    <s v="RE1"/>
    <x v="2"/>
    <x v="22"/>
    <x v="0"/>
    <s v="EmploymentConstructionManufacturingDirect"/>
    <x v="0"/>
    <s v="Direct"/>
    <n v="1.426759670259987"/>
    <x v="323"/>
    <n v="214.45036891776184"/>
  </r>
  <r>
    <s v="PD|NewCapacity|RE1|PWRSOLRTP|2047"/>
    <x v="2"/>
    <s v="RE1"/>
    <x v="2"/>
    <x v="3"/>
    <x v="0"/>
    <s v="EmploymentConstructionManufacturingDirect"/>
    <x v="0"/>
    <s v="Direct"/>
    <n v="1.426759670259987"/>
    <x v="323"/>
    <n v="209.67230683378708"/>
  </r>
  <r>
    <s v="PD|NewCapacity|RE1|PWRSOLRTP|2048"/>
    <x v="2"/>
    <s v="RE1"/>
    <x v="2"/>
    <x v="4"/>
    <x v="0"/>
    <s v="EmploymentConstructionManufacturingDirect"/>
    <x v="0"/>
    <s v="Direct"/>
    <n v="1.426759670259987"/>
    <x v="323"/>
    <n v="204.89424474981226"/>
  </r>
  <r>
    <s v="PD|NewCapacity|RE1|PWRSOLRTP|2049"/>
    <x v="2"/>
    <s v="RE1"/>
    <x v="2"/>
    <x v="23"/>
    <x v="0"/>
    <s v="EmploymentConstructionManufacturingDirect"/>
    <x v="0"/>
    <s v="Direct"/>
    <n v="1.426759670259987"/>
    <x v="323"/>
    <n v="200.11618266583747"/>
  </r>
  <r>
    <s v="PD|NewCapacity|RE1|PWRSOLRTP|2050"/>
    <x v="2"/>
    <s v="RE1"/>
    <x v="2"/>
    <x v="24"/>
    <x v="0"/>
    <s v="EmploymentConstructionManufacturingDirect"/>
    <x v="0"/>
    <s v="Direct"/>
    <n v="1.426759670259987"/>
    <x v="323"/>
    <n v="195.33812058186268"/>
  </r>
  <r>
    <s v="PD|NewCapacity|RE1|PWRSOLRTP|2051"/>
    <x v="2"/>
    <s v="RE1"/>
    <x v="2"/>
    <x v="25"/>
    <x v="0"/>
    <s v="EmploymentConstructionManufacturingDirect"/>
    <x v="0"/>
    <s v="Direct"/>
    <n v="1.426759670259987"/>
    <x v="323"/>
    <n v="195.33812058186268"/>
  </r>
  <r>
    <s v="PD|NewCapacity|RE1|PWRSOLRTP|2052"/>
    <x v="2"/>
    <s v="RE1"/>
    <x v="2"/>
    <x v="26"/>
    <x v="0"/>
    <s v="EmploymentConstructionManufacturingDirect"/>
    <x v="0"/>
    <s v="Direct"/>
    <n v="1.426759670259987"/>
    <x v="323"/>
    <n v="195.33812058186268"/>
  </r>
  <r>
    <s v="PD|NewCapacity|RE1|PWRSOLRTP|2053"/>
    <x v="2"/>
    <s v="RE1"/>
    <x v="2"/>
    <x v="27"/>
    <x v="0"/>
    <s v="EmploymentConstructionManufacturingDirect"/>
    <x v="0"/>
    <s v="Direct"/>
    <n v="1.426759670259987"/>
    <x v="323"/>
    <n v="195.33812058186268"/>
  </r>
  <r>
    <s v="PD|NewCapacity|RE1|PWRSOLRTP|2054"/>
    <x v="2"/>
    <s v="RE1"/>
    <x v="2"/>
    <x v="28"/>
    <x v="0"/>
    <s v="EmploymentConstructionManufacturingDirect"/>
    <x v="0"/>
    <s v="Direct"/>
    <n v="1.426759670259987"/>
    <x v="323"/>
    <n v="195.33812058186268"/>
  </r>
  <r>
    <s v="PD|NewCapacity|RE1|PWRSOLRTP|2055"/>
    <x v="2"/>
    <s v="RE1"/>
    <x v="2"/>
    <x v="29"/>
    <x v="0"/>
    <s v="EmploymentConstructionManufacturingDirect"/>
    <x v="0"/>
    <s v="Direct"/>
    <n v="1.426759670259987"/>
    <x v="323"/>
    <n v="195.33812058186268"/>
  </r>
  <r>
    <s v="PD|NewCapacity|RE1|PWRSOLRTP_ZNI|2033"/>
    <x v="2"/>
    <s v="RE1"/>
    <x v="3"/>
    <x v="11"/>
    <x v="0"/>
    <s v="EmploymentConstructionManufacturingDirect"/>
    <x v="0"/>
    <s v="Direct"/>
    <n v="0.69954823626465812"/>
    <x v="324"/>
    <n v="135.60145070104008"/>
  </r>
  <r>
    <s v="PD|NewCapacity|RE1|PWRSOLRTP_ZNI|2034"/>
    <x v="2"/>
    <s v="RE1"/>
    <x v="3"/>
    <x v="12"/>
    <x v="0"/>
    <s v="EmploymentConstructionManufacturingDirect"/>
    <x v="0"/>
    <s v="Direct"/>
    <n v="3.640469306147992E-2"/>
    <x v="325"/>
    <n v="6.9348234791960017"/>
  </r>
  <r>
    <s v="PD|NewCapacity|RE1|PWRSOLRTP_ZNI|2035"/>
    <x v="2"/>
    <s v="RE1"/>
    <x v="3"/>
    <x v="13"/>
    <x v="0"/>
    <s v="EmploymentConstructionManufacturingDirect"/>
    <x v="0"/>
    <s v="Direct"/>
    <n v="3.6736255608367331E-2"/>
    <x v="326"/>
    <n v="6.8749579782949439"/>
  </r>
  <r>
    <s v="PD|NewCapacity|RE1|PWRSOLRTP_ZNI|2036"/>
    <x v="2"/>
    <s v="RE1"/>
    <x v="3"/>
    <x v="14"/>
    <x v="0"/>
    <s v="EmploymentConstructionManufacturingDirect"/>
    <x v="0"/>
    <s v="Direct"/>
    <n v="3.7491981210170632E-2"/>
    <x v="327"/>
    <n v="6.8908307023337532"/>
  </r>
  <r>
    <s v="PD|NewCapacity|RE1|PWRSOLRTP_ZNI|2037"/>
    <x v="2"/>
    <s v="RE1"/>
    <x v="3"/>
    <x v="15"/>
    <x v="0"/>
    <s v="EmploymentConstructionManufacturingDirect"/>
    <x v="0"/>
    <s v="Direct"/>
    <n v="3.8243520725626999E-2"/>
    <x v="328"/>
    <n v="6.9008863795031878"/>
  </r>
  <r>
    <s v="PD|NewCapacity|RE1|PWRSOLRTP_ZNI|2038"/>
    <x v="2"/>
    <s v="RE1"/>
    <x v="3"/>
    <x v="16"/>
    <x v="0"/>
    <s v="EmploymentConstructionManufacturingDirect"/>
    <x v="0"/>
    <s v="Direct"/>
    <n v="3.9083582938770053E-2"/>
    <x v="329"/>
    <n v="6.9215855141146205"/>
  </r>
  <r>
    <s v="PD|NewCapacity|RE1|PWRSOLUGE|2025"/>
    <x v="2"/>
    <s v="RE1"/>
    <x v="4"/>
    <x v="30"/>
    <x v="0"/>
    <s v="EmploymentConstructionManufacturingDirect"/>
    <x v="0"/>
    <s v="Direct"/>
    <n v="6.717168"/>
    <x v="46"/>
    <n v="2012.5687818907716"/>
  </r>
  <r>
    <s v="PD|NewCapacity|RE1|PWRSOLUGE|2026"/>
    <x v="2"/>
    <s v="RE1"/>
    <x v="4"/>
    <x v="5"/>
    <x v="0"/>
    <s v="EmploymentConstructionManufacturingDirect"/>
    <x v="0"/>
    <s v="Direct"/>
    <n v="55.787184000000003"/>
    <x v="47"/>
    <n v="15804.570695439714"/>
  </r>
  <r>
    <s v="PD|NewCapacity|RE1|PWRSOLUGE|2027"/>
    <x v="2"/>
    <s v="RE1"/>
    <x v="4"/>
    <x v="6"/>
    <x v="0"/>
    <s v="EmploymentConstructionManufacturingDirect"/>
    <x v="0"/>
    <s v="Direct"/>
    <n v="73.005840000000006"/>
    <x v="48"/>
    <n v="19491.576256281118"/>
  </r>
  <r>
    <s v="PD|NewCapacity|RE1|PWRSOLUGE|2030"/>
    <x v="2"/>
    <s v="RE1"/>
    <x v="4"/>
    <x v="8"/>
    <x v="0"/>
    <s v="EmploymentConstructionManufacturingDirect"/>
    <x v="0"/>
    <s v="Direct"/>
    <n v="7.8840000000000003"/>
    <x v="49"/>
    <n v="1719.0497071337441"/>
  </r>
  <r>
    <s v="PD|NewCapacity|RE1|PWRSOLUPE|2025"/>
    <x v="2"/>
    <s v="RE1"/>
    <x v="6"/>
    <x v="30"/>
    <x v="0"/>
    <s v="EmploymentConstructionManufacturingDirect"/>
    <x v="0"/>
    <s v="Direct"/>
    <n v="5.3106623999999574"/>
    <x v="57"/>
    <n v="1591.1576660582311"/>
  </r>
  <r>
    <s v="PD|NewCapacity|RE1|PWRSOLUPE|2026"/>
    <x v="2"/>
    <s v="RE1"/>
    <x v="6"/>
    <x v="5"/>
    <x v="0"/>
    <s v="EmploymentConstructionManufacturingDirect"/>
    <x v="0"/>
    <s v="Direct"/>
    <n v="3.364575839999973"/>
    <x v="58"/>
    <n v="953.18804267747294"/>
  </r>
  <r>
    <s v="PD|NewCapacity|RE1|PWRSOLUPE|2027"/>
    <x v="2"/>
    <s v="RE1"/>
    <x v="6"/>
    <x v="6"/>
    <x v="0"/>
    <s v="EmploymentConstructionManufacturingDirect"/>
    <x v="0"/>
    <s v="Direct"/>
    <n v="3.46896"/>
    <x v="59"/>
    <n v="926.16561044964271"/>
  </r>
  <r>
    <s v="PD|NewCapacity|RE1|PWRWNDONS|2025"/>
    <x v="2"/>
    <s v="RE1"/>
    <x v="9"/>
    <x v="30"/>
    <x v="0"/>
    <s v="EmploymentConstructionManufacturingDirect"/>
    <x v="0"/>
    <s v="Direct"/>
    <n v="0.15362331428571441"/>
    <x v="69"/>
    <n v="34.978894298950074"/>
  </r>
  <r>
    <s v="PD|NewCapacity|RE1|PWRWNDONS|2027"/>
    <x v="2"/>
    <s v="RE1"/>
    <x v="9"/>
    <x v="6"/>
    <x v="0"/>
    <s v="EmploymentConstructionManufacturingDirect"/>
    <x v="0"/>
    <s v="Direct"/>
    <n v="17.313264"/>
    <x v="221"/>
    <n v="3874.5475224962674"/>
  </r>
  <r>
    <s v="PD|NewCapacity|RE1|PWRWNDONS|2028"/>
    <x v="2"/>
    <s v="RE1"/>
    <x v="9"/>
    <x v="0"/>
    <x v="0"/>
    <s v="EmploymentConstructionManufacturingDirect"/>
    <x v="0"/>
    <s v="Direct"/>
    <n v="6.3387359999999999"/>
    <x v="222"/>
    <n v="1406.1835879552548"/>
  </r>
  <r>
    <s v="PD|NewCapacity|RE1|PWRWNDONS|2029"/>
    <x v="2"/>
    <s v="RE1"/>
    <x v="9"/>
    <x v="7"/>
    <x v="0"/>
    <s v="EmploymentConstructionManufacturingDirect"/>
    <x v="0"/>
    <s v="Direct"/>
    <n v="9.4608000000000008"/>
    <x v="223"/>
    <n v="2080.3238657858728"/>
  </r>
  <r>
    <s v="PD|NewCapacity|RE1|PWRWNDONS|2035"/>
    <x v="2"/>
    <s v="RE1"/>
    <x v="9"/>
    <x v="13"/>
    <x v="0"/>
    <s v="EmploymentConstructionManufacturingDirect"/>
    <x v="0"/>
    <s v="Direct"/>
    <n v="47.31"/>
    <x v="50"/>
    <n v="10173.902102648166"/>
  </r>
  <r>
    <s v="PD|NewCapacity|RE1|PWRWNDONS|2036"/>
    <x v="2"/>
    <s v="RE1"/>
    <x v="9"/>
    <x v="14"/>
    <x v="0"/>
    <s v="EmploymentConstructionManufacturingDirect"/>
    <x v="0"/>
    <s v="Direct"/>
    <n v="46.870246780951632"/>
    <x v="330"/>
    <n v="10052.241062695482"/>
  </r>
  <r>
    <s v="PD|NewCapacity|RE1|PWRWNDONS|2040"/>
    <x v="2"/>
    <s v="RE1"/>
    <x v="9"/>
    <x v="1"/>
    <x v="0"/>
    <s v="EmploymentConstructionManufacturingDirect"/>
    <x v="0"/>
    <s v="Direct"/>
    <n v="37.461868748559823"/>
    <x v="331"/>
    <n v="7947.8116428408675"/>
  </r>
  <r>
    <s v="PD|NewCapacity|RE1|PWRWNDONS|2041"/>
    <x v="2"/>
    <s v="RE1"/>
    <x v="9"/>
    <x v="2"/>
    <x v="0"/>
    <s v="EmploymentConstructionManufacturingDirect"/>
    <x v="0"/>
    <s v="Direct"/>
    <n v="47.31"/>
    <x v="50"/>
    <n v="10009.817931353393"/>
  </r>
  <r>
    <s v="PD|NewCapacity|RE1|PWRWNDONS|2042"/>
    <x v="2"/>
    <s v="RE1"/>
    <x v="9"/>
    <x v="18"/>
    <x v="0"/>
    <s v="EmploymentConstructionManufacturingDirect"/>
    <x v="0"/>
    <s v="Direct"/>
    <n v="47.31"/>
    <x v="50"/>
    <n v="9982.4705694709282"/>
  </r>
  <r>
    <s v="PD|NewCapacity|RE1|PWRWNDONS|2043"/>
    <x v="2"/>
    <s v="RE1"/>
    <x v="9"/>
    <x v="19"/>
    <x v="0"/>
    <s v="EmploymentConstructionManufacturingDirect"/>
    <x v="0"/>
    <s v="Direct"/>
    <n v="18.601561987203141"/>
    <x v="332"/>
    <n v="3914.2008335701003"/>
  </r>
  <r>
    <s v="PD|NewCapacity|RE1|PWRWNDONS|2045"/>
    <x v="2"/>
    <s v="RE1"/>
    <x v="9"/>
    <x v="21"/>
    <x v="0"/>
    <s v="EmploymentConstructionManufacturingDirect"/>
    <x v="0"/>
    <s v="Direct"/>
    <n v="18.980635770815471"/>
    <x v="333"/>
    <n v="3972.0233994179134"/>
  </r>
  <r>
    <s v="PD|NewCapacity|RE1|PWRWNDONS|2046"/>
    <x v="2"/>
    <s v="RE1"/>
    <x v="9"/>
    <x v="22"/>
    <x v="0"/>
    <s v="EmploymentConstructionManufacturingDirect"/>
    <x v="0"/>
    <s v="Direct"/>
    <n v="47.31"/>
    <x v="50"/>
    <n v="9873.0811219410789"/>
  </r>
  <r>
    <s v="PD|NewCapacity|RE1|PWRWNDONS|2047"/>
    <x v="2"/>
    <s v="RE1"/>
    <x v="9"/>
    <x v="3"/>
    <x v="0"/>
    <s v="EmploymentConstructionManufacturingDirect"/>
    <x v="0"/>
    <s v="Direct"/>
    <n v="47.31"/>
    <x v="50"/>
    <n v="9845.7337600586161"/>
  </r>
  <r>
    <s v="PD|NewCapacity|RE1|PWRWNDONS|2048"/>
    <x v="2"/>
    <s v="RE1"/>
    <x v="9"/>
    <x v="4"/>
    <x v="0"/>
    <s v="EmploymentConstructionManufacturingDirect"/>
    <x v="0"/>
    <s v="Direct"/>
    <n v="47.31"/>
    <x v="50"/>
    <n v="9818.3863981761551"/>
  </r>
  <r>
    <s v="PD|NewCapacity|RE1|PWRWNDONS|2052"/>
    <x v="2"/>
    <s v="RE1"/>
    <x v="9"/>
    <x v="26"/>
    <x v="0"/>
    <s v="EmploymentConstructionManufacturingDirect"/>
    <x v="0"/>
    <s v="Direct"/>
    <n v="47.31"/>
    <x v="50"/>
    <n v="9763.6916744112277"/>
  </r>
  <r>
    <s v="PD|NewCapacity|RE1|PWRWNDONS|2053"/>
    <x v="2"/>
    <s v="RE1"/>
    <x v="9"/>
    <x v="27"/>
    <x v="0"/>
    <s v="EmploymentConstructionManufacturingDirect"/>
    <x v="0"/>
    <s v="Direct"/>
    <n v="47.31"/>
    <x v="50"/>
    <n v="9763.6916744112277"/>
  </r>
  <r>
    <s v="PD|NewCapacity|RE1|PWRWNDONS|2054"/>
    <x v="2"/>
    <s v="RE1"/>
    <x v="9"/>
    <x v="28"/>
    <x v="0"/>
    <s v="EmploymentConstructionManufacturingDirect"/>
    <x v="0"/>
    <s v="Direct"/>
    <n v="47.31"/>
    <x v="50"/>
    <n v="9763.6916744112277"/>
  </r>
  <r>
    <s v="PD|NewCapacity|RE1|PWRWNDONS|2055"/>
    <x v="2"/>
    <s v="RE1"/>
    <x v="9"/>
    <x v="29"/>
    <x v="0"/>
    <s v="EmploymentConstructionManufacturingDirect"/>
    <x v="0"/>
    <s v="Direct"/>
    <n v="40.777206982831032"/>
    <x v="334"/>
    <n v="8415.4740292540846"/>
  </r>
  <r>
    <s v="PD|AccumulatedNewCapacity|RE1|PWRHYDDAM|2028"/>
    <x v="2"/>
    <s v="RE1"/>
    <x v="0"/>
    <x v="0"/>
    <x v="1"/>
    <s v="EmploymentOMDirect"/>
    <x v="1"/>
    <s v="Direct"/>
    <n v="37.840000000000003"/>
    <x v="0"/>
    <n v="763.09275737064911"/>
  </r>
  <r>
    <s v="PD|AccumulatedNewCapacity|RE1|PWRHYDDAM|2029"/>
    <x v="2"/>
    <s v="RE1"/>
    <x v="0"/>
    <x v="7"/>
    <x v="1"/>
    <s v="EmploymentOMDirect"/>
    <x v="1"/>
    <s v="Direct"/>
    <n v="37.840000000000003"/>
    <x v="0"/>
    <n v="766.45017365072124"/>
  </r>
  <r>
    <s v="PD|AccumulatedNewCapacity|RE1|PWRHYDDAM|2030"/>
    <x v="2"/>
    <s v="RE1"/>
    <x v="0"/>
    <x v="8"/>
    <x v="1"/>
    <s v="EmploymentOMDirect"/>
    <x v="1"/>
    <s v="Direct"/>
    <n v="37.840000000000003"/>
    <x v="0"/>
    <n v="769.80758993079326"/>
  </r>
  <r>
    <s v="PD|AccumulatedNewCapacity|RE1|PWRHYDDAM|2031"/>
    <x v="2"/>
    <s v="RE1"/>
    <x v="0"/>
    <x v="9"/>
    <x v="1"/>
    <s v="EmploymentOMDirect"/>
    <x v="1"/>
    <s v="Direct"/>
    <n v="37.840000000000003"/>
    <x v="0"/>
    <n v="769.59725998826775"/>
  </r>
  <r>
    <s v="PD|AccumulatedNewCapacity|RE1|PWRHYDDAM|2032"/>
    <x v="2"/>
    <s v="RE1"/>
    <x v="0"/>
    <x v="10"/>
    <x v="1"/>
    <s v="EmploymentOMDirect"/>
    <x v="1"/>
    <s v="Direct"/>
    <n v="37.840000000000003"/>
    <x v="0"/>
    <n v="769.38693004574236"/>
  </r>
  <r>
    <s v="PD|AccumulatedNewCapacity|RE1|PWRHYDDAM|2033"/>
    <x v="2"/>
    <s v="RE1"/>
    <x v="0"/>
    <x v="11"/>
    <x v="1"/>
    <s v="EmploymentOMDirect"/>
    <x v="1"/>
    <s v="Direct"/>
    <n v="37.840000000000003"/>
    <x v="0"/>
    <n v="769.17660010321697"/>
  </r>
  <r>
    <s v="PD|AccumulatedNewCapacity|RE1|PWRHYDDAM|2034"/>
    <x v="2"/>
    <s v="RE1"/>
    <x v="0"/>
    <x v="12"/>
    <x v="1"/>
    <s v="EmploymentOMDirect"/>
    <x v="1"/>
    <s v="Direct"/>
    <n v="37.840000000000003"/>
    <x v="0"/>
    <n v="768.96627016069158"/>
  </r>
  <r>
    <s v="PD|AccumulatedNewCapacity|RE1|PWRHYDDAM|2035"/>
    <x v="2"/>
    <s v="RE1"/>
    <x v="0"/>
    <x v="13"/>
    <x v="1"/>
    <s v="EmploymentOMDirect"/>
    <x v="1"/>
    <s v="Direct"/>
    <n v="37.840000000000003"/>
    <x v="0"/>
    <n v="768.75594021816619"/>
  </r>
  <r>
    <s v="PD|AccumulatedNewCapacity|RE1|PWRHYDDAM|2036"/>
    <x v="2"/>
    <s v="RE1"/>
    <x v="0"/>
    <x v="14"/>
    <x v="1"/>
    <s v="EmploymentOMDirect"/>
    <x v="1"/>
    <s v="Direct"/>
    <n v="37.840000000000003"/>
    <x v="0"/>
    <n v="768.54561027564068"/>
  </r>
  <r>
    <s v="PD|AccumulatedNewCapacity|RE1|PWRHYDDAM|2037"/>
    <x v="2"/>
    <s v="RE1"/>
    <x v="0"/>
    <x v="15"/>
    <x v="1"/>
    <s v="EmploymentOMDirect"/>
    <x v="1"/>
    <s v="Direct"/>
    <n v="37.840000000000003"/>
    <x v="0"/>
    <n v="768.33528033311529"/>
  </r>
  <r>
    <s v="PD|AccumulatedNewCapacity|RE1|PWRHYDDAM|2038"/>
    <x v="2"/>
    <s v="RE1"/>
    <x v="0"/>
    <x v="16"/>
    <x v="1"/>
    <s v="EmploymentOMDirect"/>
    <x v="1"/>
    <s v="Direct"/>
    <n v="37.840000000000003"/>
    <x v="0"/>
    <n v="768.12495038939073"/>
  </r>
  <r>
    <s v="PD|AccumulatedNewCapacity|RE1|PWRHYDDAM|2039"/>
    <x v="2"/>
    <s v="RE1"/>
    <x v="0"/>
    <x v="17"/>
    <x v="1"/>
    <s v="EmploymentOMDirect"/>
    <x v="1"/>
    <s v="Direct"/>
    <n v="37.840000000000003"/>
    <x v="0"/>
    <n v="767.91462044686546"/>
  </r>
  <r>
    <s v="PD|AccumulatedNewCapacity|RE1|PWRHYDDAM|2040"/>
    <x v="2"/>
    <s v="RE1"/>
    <x v="0"/>
    <x v="1"/>
    <x v="1"/>
    <s v="EmploymentOMDirect"/>
    <x v="1"/>
    <s v="Direct"/>
    <n v="37.840000000000003"/>
    <x v="0"/>
    <n v="767.70429050433995"/>
  </r>
  <r>
    <s v="PD|AccumulatedNewCapacity|RE1|PWRHYDDAM|2041"/>
    <x v="2"/>
    <s v="RE1"/>
    <x v="0"/>
    <x v="2"/>
    <x v="1"/>
    <s v="EmploymentOMDirect"/>
    <x v="1"/>
    <s v="Direct"/>
    <n v="37.840000000000003"/>
    <x v="0"/>
    <n v="767.49396056181456"/>
  </r>
  <r>
    <s v="PD|AccumulatedNewCapacity|RE1|PWRHYDDAM|2042"/>
    <x v="2"/>
    <s v="RE1"/>
    <x v="0"/>
    <x v="18"/>
    <x v="1"/>
    <s v="EmploymentOMDirect"/>
    <x v="1"/>
    <s v="Direct"/>
    <n v="37.840000000000003"/>
    <x v="0"/>
    <n v="767.28363061928906"/>
  </r>
  <r>
    <s v="PD|AccumulatedNewCapacity|RE1|PWRHYDDAM|2043"/>
    <x v="2"/>
    <s v="RE1"/>
    <x v="0"/>
    <x v="19"/>
    <x v="1"/>
    <s v="EmploymentOMDirect"/>
    <x v="1"/>
    <s v="Direct"/>
    <n v="37.840000000000003"/>
    <x v="0"/>
    <n v="767.07330067676378"/>
  </r>
  <r>
    <s v="PD|AccumulatedNewCapacity|RE1|PWRHYDDAM|2044"/>
    <x v="2"/>
    <s v="RE1"/>
    <x v="0"/>
    <x v="20"/>
    <x v="1"/>
    <s v="EmploymentOMDirect"/>
    <x v="1"/>
    <s v="Direct"/>
    <n v="37.840000000000003"/>
    <x v="0"/>
    <n v="766.86297073423839"/>
  </r>
  <r>
    <s v="PD|AccumulatedNewCapacity|RE1|PWRHYDDAM|2045"/>
    <x v="2"/>
    <s v="RE1"/>
    <x v="0"/>
    <x v="21"/>
    <x v="1"/>
    <s v="EmploymentOMDirect"/>
    <x v="1"/>
    <s v="Direct"/>
    <n v="37.840000000000003"/>
    <x v="0"/>
    <n v="766.65264079171288"/>
  </r>
  <r>
    <s v="PD|AccumulatedNewCapacity|RE1|PWRHYDDAM|2046"/>
    <x v="2"/>
    <s v="RE1"/>
    <x v="0"/>
    <x v="22"/>
    <x v="1"/>
    <s v="EmploymentOMDirect"/>
    <x v="1"/>
    <s v="Direct"/>
    <n v="37.840000000000003"/>
    <x v="0"/>
    <n v="766.44231084918749"/>
  </r>
  <r>
    <s v="PD|AccumulatedNewCapacity|RE1|PWRHYDDAM|2047"/>
    <x v="2"/>
    <s v="RE1"/>
    <x v="0"/>
    <x v="3"/>
    <x v="1"/>
    <s v="EmploymentOMDirect"/>
    <x v="1"/>
    <s v="Direct"/>
    <n v="37.840000000000003"/>
    <x v="0"/>
    <n v="766.2319809066621"/>
  </r>
  <r>
    <s v="PD|AccumulatedNewCapacity|RE1|PWRHYDDAM|2048"/>
    <x v="2"/>
    <s v="RE1"/>
    <x v="0"/>
    <x v="4"/>
    <x v="1"/>
    <s v="EmploymentOMDirect"/>
    <x v="1"/>
    <s v="Direct"/>
    <n v="37.840000000000003"/>
    <x v="0"/>
    <n v="766.02165096413671"/>
  </r>
  <r>
    <s v="PD|AccumulatedNewCapacity|RE1|PWRHYDDAM|2049"/>
    <x v="2"/>
    <s v="RE1"/>
    <x v="0"/>
    <x v="23"/>
    <x v="1"/>
    <s v="EmploymentOMDirect"/>
    <x v="1"/>
    <s v="Direct"/>
    <n v="37.840000000000003"/>
    <x v="0"/>
    <n v="765.81132102161121"/>
  </r>
  <r>
    <s v="PD|AccumulatedNewCapacity|RE1|PWRHYDDAM|2050"/>
    <x v="2"/>
    <s v="RE1"/>
    <x v="0"/>
    <x v="24"/>
    <x v="1"/>
    <s v="EmploymentOMDirect"/>
    <x v="1"/>
    <s v="Direct"/>
    <n v="37.840000000000003"/>
    <x v="0"/>
    <n v="765.60099107908582"/>
  </r>
  <r>
    <s v="PD|AccumulatedNewCapacity|RE1|PWRHYDDAM|2051"/>
    <x v="2"/>
    <s v="RE1"/>
    <x v="0"/>
    <x v="25"/>
    <x v="1"/>
    <s v="EmploymentOMDirect"/>
    <x v="1"/>
    <s v="Direct"/>
    <n v="37.840000000000003"/>
    <x v="0"/>
    <n v="765.60099107908582"/>
  </r>
  <r>
    <s v="PD|AccumulatedNewCapacity|RE1|PWRHYDDAM|2052"/>
    <x v="2"/>
    <s v="RE1"/>
    <x v="0"/>
    <x v="26"/>
    <x v="1"/>
    <s v="EmploymentOMDirect"/>
    <x v="1"/>
    <s v="Direct"/>
    <n v="37.840000000000003"/>
    <x v="0"/>
    <n v="765.60099107908582"/>
  </r>
  <r>
    <s v="PD|AccumulatedNewCapacity|RE1|PWRHYDDAM|2053"/>
    <x v="2"/>
    <s v="RE1"/>
    <x v="0"/>
    <x v="27"/>
    <x v="1"/>
    <s v="EmploymentOMDirect"/>
    <x v="1"/>
    <s v="Direct"/>
    <n v="37.840000000000003"/>
    <x v="0"/>
    <n v="765.60099107908582"/>
  </r>
  <r>
    <s v="PD|AccumulatedNewCapacity|RE1|PWRHYDDAM|2054"/>
    <x v="2"/>
    <s v="RE1"/>
    <x v="0"/>
    <x v="28"/>
    <x v="1"/>
    <s v="EmploymentOMDirect"/>
    <x v="1"/>
    <s v="Direct"/>
    <n v="37.840000000000003"/>
    <x v="0"/>
    <n v="765.60099107908582"/>
  </r>
  <r>
    <s v="PD|AccumulatedNewCapacity|RE1|PWRHYDDAM|2055"/>
    <x v="2"/>
    <s v="RE1"/>
    <x v="0"/>
    <x v="29"/>
    <x v="1"/>
    <s v="EmploymentOMDirect"/>
    <x v="1"/>
    <s v="Direct"/>
    <n v="37.840000000000003"/>
    <x v="0"/>
    <n v="765.60099107908582"/>
  </r>
  <r>
    <s v="PD|AccumulatedNewCapacity|RE1|PWRSOLRTP|2026"/>
    <x v="2"/>
    <s v="RE1"/>
    <x v="2"/>
    <x v="5"/>
    <x v="1"/>
    <s v="EmploymentOMDirect"/>
    <x v="1"/>
    <s v="Direct"/>
    <n v="7.9387888395688"/>
    <x v="306"/>
    <n v="71.918004948338265"/>
  </r>
  <r>
    <s v="PD|AccumulatedNewCapacity|RE1|PWRSOLRTP|2027"/>
    <x v="2"/>
    <s v="RE1"/>
    <x v="2"/>
    <x v="6"/>
    <x v="1"/>
    <s v="EmploymentOMDirect"/>
    <x v="1"/>
    <s v="Direct"/>
    <n v="18.718750792644261"/>
    <x v="335"/>
    <n v="165.38736032488993"/>
  </r>
  <r>
    <s v="PD|AccumulatedNewCapacity|RE1|PWRSOLRTP|2028"/>
    <x v="2"/>
    <s v="RE1"/>
    <x v="2"/>
    <x v="0"/>
    <x v="1"/>
    <s v="EmploymentOMDirect"/>
    <x v="1"/>
    <s v="Direct"/>
    <n v="30.132828154724159"/>
    <x v="336"/>
    <n v="259.49499267566165"/>
  </r>
  <r>
    <s v="PD|AccumulatedNewCapacity|RE1|PWRSOLRTP|2029"/>
    <x v="2"/>
    <s v="RE1"/>
    <x v="2"/>
    <x v="7"/>
    <x v="1"/>
    <s v="EmploymentOMDirect"/>
    <x v="1"/>
    <s v="Direct"/>
    <n v="41.388376664552951"/>
    <x v="337"/>
    <n v="347.16666553061089"/>
  </r>
  <r>
    <s v="PD|AccumulatedNewCapacity|RE1|PWRSOLRTP|2030"/>
    <x v="2"/>
    <s v="RE1"/>
    <x v="2"/>
    <x v="8"/>
    <x v="1"/>
    <s v="EmploymentOMDirect"/>
    <x v="1"/>
    <s v="Direct"/>
    <n v="52.009809765377298"/>
    <x v="338"/>
    <n v="424.62590678775371"/>
  </r>
  <r>
    <s v="PD|AccumulatedNewCapacity|RE1|PWRSOLRTP|2031"/>
    <x v="2"/>
    <s v="RE1"/>
    <x v="2"/>
    <x v="9"/>
    <x v="1"/>
    <s v="EmploymentOMDirect"/>
    <x v="1"/>
    <s v="Direct"/>
    <n v="61.68006975269499"/>
    <x v="339"/>
    <n v="499.61068967915452"/>
  </r>
  <r>
    <s v="PD|AccumulatedNewCapacity|RE1|PWRSOLRTP|2032"/>
    <x v="2"/>
    <s v="RE1"/>
    <x v="2"/>
    <x v="10"/>
    <x v="1"/>
    <s v="EmploymentOMDirect"/>
    <x v="1"/>
    <s v="Direct"/>
    <n v="70.240627774254918"/>
    <x v="340"/>
    <n v="564.43445772859866"/>
  </r>
  <r>
    <s v="PD|AccumulatedNewCapacity|RE1|PWRSOLRTP|2033"/>
    <x v="2"/>
    <s v="RE1"/>
    <x v="2"/>
    <x v="11"/>
    <x v="1"/>
    <s v="EmploymentOMDirect"/>
    <x v="1"/>
    <s v="Direct"/>
    <n v="77.691483830057081"/>
    <x v="341"/>
    <n v="619.31129967144159"/>
  </r>
  <r>
    <s v="PD|AccumulatedNewCapacity|RE1|PWRSOLRTP|2034"/>
    <x v="2"/>
    <s v="RE1"/>
    <x v="2"/>
    <x v="12"/>
    <x v="1"/>
    <s v="EmploymentOMDirect"/>
    <x v="1"/>
    <s v="Direct"/>
    <n v="84.032637920101465"/>
    <x v="342"/>
    <n v="664.45530424570143"/>
  </r>
  <r>
    <s v="PD|AccumulatedNewCapacity|RE1|PWRSOLRTP|2035"/>
    <x v="2"/>
    <s v="RE1"/>
    <x v="2"/>
    <x v="13"/>
    <x v="1"/>
    <s v="EmploymentOMDirect"/>
    <x v="1"/>
    <s v="Direct"/>
    <n v="89.264090044388084"/>
    <x v="343"/>
    <n v="700.08056018157436"/>
  </r>
  <r>
    <s v="PD|AccumulatedNewCapacity|RE1|PWRSOLRTP|2036"/>
    <x v="2"/>
    <s v="RE1"/>
    <x v="2"/>
    <x v="14"/>
    <x v="1"/>
    <s v="EmploymentOMDirect"/>
    <x v="1"/>
    <s v="Direct"/>
    <n v="93.544369055168048"/>
    <x v="344"/>
    <n v="727.63427187251352"/>
  </r>
  <r>
    <s v="PD|AccumulatedNewCapacity|RE1|PWRSOLRTP|2037"/>
    <x v="2"/>
    <s v="RE1"/>
    <x v="2"/>
    <x v="15"/>
    <x v="1"/>
    <s v="EmploymentOMDirect"/>
    <x v="1"/>
    <s v="Direct"/>
    <n v="97.032003804692465"/>
    <x v="345"/>
    <n v="748.52286490585095"/>
  </r>
  <r>
    <s v="PD|AccumulatedNewCapacity|RE1|PWRSOLRTP|2038"/>
    <x v="2"/>
    <s v="RE1"/>
    <x v="2"/>
    <x v="16"/>
    <x v="1"/>
    <s v="EmploymentOMDirect"/>
    <x v="1"/>
    <s v="Direct"/>
    <n v="99.885523145212446"/>
    <x v="346"/>
    <n v="764.11198605305037"/>
  </r>
  <r>
    <s v="PD|AccumulatedNewCapacity|RE1|PWRSOLRTP|2039"/>
    <x v="2"/>
    <s v="RE1"/>
    <x v="2"/>
    <x v="17"/>
    <x v="1"/>
    <s v="EmploymentOMDirect"/>
    <x v="1"/>
    <s v="Direct"/>
    <n v="102.2634559289791"/>
    <x v="347"/>
    <n v="775.72650328786949"/>
  </r>
  <r>
    <s v="PD|AccumulatedNewCapacity|RE1|PWRSOLRTP|2040"/>
    <x v="2"/>
    <s v="RE1"/>
    <x v="2"/>
    <x v="1"/>
    <x v="1"/>
    <s v="EmploymentOMDirect"/>
    <x v="1"/>
    <s v="Direct"/>
    <n v="104.3243310082435"/>
    <x v="348"/>
    <n v="784.65050577436728"/>
  </r>
  <r>
    <s v="PD|AccumulatedNewCapacity|RE1|PWRSOLRTP|2041"/>
    <x v="2"/>
    <s v="RE1"/>
    <x v="2"/>
    <x v="2"/>
    <x v="1"/>
    <s v="EmploymentOMDirect"/>
    <x v="1"/>
    <s v="Direct"/>
    <n v="106.1632656943564"/>
    <x v="349"/>
    <n v="791.65444701434342"/>
  </r>
  <r>
    <s v="PD|AccumulatedNewCapacity|RE1|PWRSOLRTP|2042"/>
    <x v="2"/>
    <s v="RE1"/>
    <x v="2"/>
    <x v="18"/>
    <x v="1"/>
    <s v="EmploymentOMDirect"/>
    <x v="1"/>
    <s v="Direct"/>
    <n v="107.81196575776789"/>
    <x v="350"/>
    <n v="797.01553423730059"/>
  </r>
  <r>
    <s v="PD|AccumulatedNewCapacity|RE1|PWRSOLRTP|2043"/>
    <x v="2"/>
    <s v="RE1"/>
    <x v="2"/>
    <x v="19"/>
    <x v="1"/>
    <s v="EmploymentOMDirect"/>
    <x v="1"/>
    <s v="Direct"/>
    <n v="109.3338427393786"/>
    <x v="351"/>
    <n v="801.23516947015082"/>
  </r>
  <r>
    <s v="PD|AccumulatedNewCapacity|RE1|PWRSOLRTP|2044"/>
    <x v="2"/>
    <s v="RE1"/>
    <x v="2"/>
    <x v="20"/>
    <x v="1"/>
    <s v="EmploymentOMDirect"/>
    <x v="1"/>
    <s v="Direct"/>
    <n v="110.7923081800888"/>
    <x v="352"/>
    <n v="804.79844321731537"/>
  </r>
  <r>
    <s v="PD|AccumulatedNewCapacity|RE1|PWRSOLRTP|2045"/>
    <x v="2"/>
    <s v="RE1"/>
    <x v="2"/>
    <x v="21"/>
    <x v="1"/>
    <s v="EmploymentOMDirect"/>
    <x v="1"/>
    <s v="Direct"/>
    <n v="112.21906785034879"/>
    <x v="353"/>
    <n v="807.94586178193742"/>
  </r>
  <r>
    <s v="PD|AccumulatedNewCapacity|RE1|PWRSOLRTP|2046"/>
    <x v="2"/>
    <s v="RE1"/>
    <x v="2"/>
    <x v="22"/>
    <x v="1"/>
    <s v="EmploymentOMDirect"/>
    <x v="1"/>
    <s v="Direct"/>
    <n v="113.6458275206088"/>
    <x v="354"/>
    <n v="810.90977571625501"/>
  </r>
  <r>
    <s v="PD|AccumulatedNewCapacity|RE1|PWRSOLRTP|2047"/>
    <x v="2"/>
    <s v="RE1"/>
    <x v="2"/>
    <x v="3"/>
    <x v="1"/>
    <s v="EmploymentOMDirect"/>
    <x v="1"/>
    <s v="Direct"/>
    <n v="115.0725871908687"/>
    <x v="355"/>
    <n v="813.69018502391327"/>
  </r>
  <r>
    <s v="PD|AccumulatedNewCapacity|RE1|PWRSOLRTP|2048"/>
    <x v="2"/>
    <s v="RE1"/>
    <x v="2"/>
    <x v="4"/>
    <x v="1"/>
    <s v="EmploymentOMDirect"/>
    <x v="1"/>
    <s v="Direct"/>
    <n v="116.4993468611287"/>
    <x v="356"/>
    <n v="816.28708969766637"/>
  </r>
  <r>
    <s v="PD|AccumulatedNewCapacity|RE1|PWRSOLRTP|2049"/>
    <x v="2"/>
    <s v="RE1"/>
    <x v="2"/>
    <x v="23"/>
    <x v="1"/>
    <s v="EmploymentOMDirect"/>
    <x v="1"/>
    <s v="Direct"/>
    <n v="117.9261065313887"/>
    <x v="357"/>
    <n v="818.70048974111455"/>
  </r>
  <r>
    <s v="PD|AccumulatedNewCapacity|RE1|PWRSOLRTP|2050"/>
    <x v="2"/>
    <s v="RE1"/>
    <x v="2"/>
    <x v="24"/>
    <x v="1"/>
    <s v="EmploymentOMDirect"/>
    <x v="1"/>
    <s v="Direct"/>
    <n v="119.35286620164869"/>
    <x v="358"/>
    <n v="820.93038515425792"/>
  </r>
  <r>
    <s v="PD|AccumulatedNewCapacity|RE1|PWRSOLRTP|2051"/>
    <x v="2"/>
    <s v="RE1"/>
    <x v="2"/>
    <x v="25"/>
    <x v="1"/>
    <s v="EmploymentOMDirect"/>
    <x v="1"/>
    <s v="Direct"/>
    <n v="112.84083703233991"/>
    <x v="359"/>
    <n v="776.13948247862049"/>
  </r>
  <r>
    <s v="PD|AccumulatedNewCapacity|RE1|PWRSOLRTP|2052"/>
    <x v="2"/>
    <s v="RE1"/>
    <x v="2"/>
    <x v="26"/>
    <x v="1"/>
    <s v="EmploymentOMDirect"/>
    <x v="1"/>
    <s v="Direct"/>
    <n v="103.4876347495244"/>
    <x v="360"/>
    <n v="711.80648238556239"/>
  </r>
  <r>
    <s v="PD|AccumulatedNewCapacity|RE1|PWRSOLRTP|2053"/>
    <x v="2"/>
    <s v="RE1"/>
    <x v="2"/>
    <x v="27"/>
    <x v="1"/>
    <s v="EmploymentOMDirect"/>
    <x v="1"/>
    <s v="Direct"/>
    <n v="93.500317057704478"/>
    <x v="361"/>
    <n v="643.11192296416152"/>
  </r>
  <r>
    <s v="PD|AccumulatedNewCapacity|RE1|PWRSOLRTP|2054"/>
    <x v="2"/>
    <s v="RE1"/>
    <x v="2"/>
    <x v="28"/>
    <x v="1"/>
    <s v="EmploymentOMDirect"/>
    <x v="1"/>
    <s v="Direct"/>
    <n v="83.671528218135677"/>
    <x v="362"/>
    <n v="575.50775337484652"/>
  </r>
  <r>
    <s v="PD|AccumulatedNewCapacity|RE1|PWRSOLRTP|2055"/>
    <x v="2"/>
    <s v="RE1"/>
    <x v="2"/>
    <x v="29"/>
    <x v="1"/>
    <s v="EmploymentOMDirect"/>
    <x v="1"/>
    <s v="Direct"/>
    <n v="74.476854787571312"/>
    <x v="363"/>
    <n v="512.26514311387427"/>
  </r>
  <r>
    <s v="PD|AccumulatedNewCapacity|RE1|PWRSOLRTP_ZNI|2033"/>
    <x v="2"/>
    <s v="RE1"/>
    <x v="3"/>
    <x v="11"/>
    <x v="1"/>
    <s v="EmploymentOMDirect"/>
    <x v="1"/>
    <s v="Direct"/>
    <n v="0.69954823626465812"/>
    <x v="324"/>
    <n v="5.5763914656540523"/>
  </r>
  <r>
    <s v="PD|AccumulatedNewCapacity|RE1|PWRSOLRTP_ZNI|2034"/>
    <x v="2"/>
    <s v="RE1"/>
    <x v="3"/>
    <x v="12"/>
    <x v="1"/>
    <s v="EmploymentOMDirect"/>
    <x v="1"/>
    <s v="Direct"/>
    <n v="0.73595292932613798"/>
    <x v="364"/>
    <n v="5.8192607023816709"/>
  </r>
  <r>
    <s v="PD|AccumulatedNewCapacity|RE1|PWRSOLRTP_ZNI|2035"/>
    <x v="2"/>
    <s v="RE1"/>
    <x v="3"/>
    <x v="13"/>
    <x v="1"/>
    <s v="EmploymentOMDirect"/>
    <x v="1"/>
    <s v="Direct"/>
    <n v="0.77268918493450534"/>
    <x v="365"/>
    <n v="6.0600480794258775"/>
  </r>
  <r>
    <s v="PD|AccumulatedNewCapacity|RE1|PWRSOLRTP_ZNI|2036"/>
    <x v="2"/>
    <s v="RE1"/>
    <x v="3"/>
    <x v="14"/>
    <x v="1"/>
    <s v="EmploymentOMDirect"/>
    <x v="1"/>
    <s v="Direct"/>
    <n v="0.81018116614467595"/>
    <x v="366"/>
    <n v="6.3019889798480193"/>
  </r>
  <r>
    <s v="PD|AccumulatedNewCapacity|RE1|PWRSOLRTP_ZNI|2037"/>
    <x v="2"/>
    <s v="RE1"/>
    <x v="3"/>
    <x v="15"/>
    <x v="1"/>
    <s v="EmploymentOMDirect"/>
    <x v="1"/>
    <s v="Direct"/>
    <n v="0.84842468687030292"/>
    <x v="367"/>
    <n v="6.5449053134188375"/>
  </r>
  <r>
    <s v="PD|AccumulatedNewCapacity|RE1|PWRSOLRTP_ZNI|2038"/>
    <x v="2"/>
    <s v="RE1"/>
    <x v="3"/>
    <x v="16"/>
    <x v="1"/>
    <s v="EmploymentOMDirect"/>
    <x v="1"/>
    <s v="Direct"/>
    <n v="0.88750826980907294"/>
    <x v="368"/>
    <n v="6.7893292774411576"/>
  </r>
  <r>
    <s v="PD|AccumulatedNewCapacity|RE1|PWRSOLRTP_ZNI|2039"/>
    <x v="2"/>
    <s v="RE1"/>
    <x v="3"/>
    <x v="17"/>
    <x v="1"/>
    <s v="EmploymentOMDirect"/>
    <x v="1"/>
    <s v="Direct"/>
    <n v="0.88750826980907294"/>
    <x v="368"/>
    <n v="6.7322552374544236"/>
  </r>
  <r>
    <s v="PD|AccumulatedNewCapacity|RE1|PWRSOLRTP_ZNI|2040"/>
    <x v="2"/>
    <s v="RE1"/>
    <x v="3"/>
    <x v="1"/>
    <x v="1"/>
    <s v="EmploymentOMDirect"/>
    <x v="1"/>
    <s v="Direct"/>
    <n v="0.88750826980907294"/>
    <x v="368"/>
    <n v="6.6751811974676913"/>
  </r>
  <r>
    <s v="PD|AccumulatedNewCapacity|RE1|PWRSOLRTP_ZNI|2041"/>
    <x v="2"/>
    <s v="RE1"/>
    <x v="3"/>
    <x v="2"/>
    <x v="1"/>
    <s v="EmploymentOMDirect"/>
    <x v="1"/>
    <s v="Direct"/>
    <n v="0.88750826980907294"/>
    <x v="368"/>
    <n v="6.6181071575090815"/>
  </r>
  <r>
    <s v="PD|AccumulatedNewCapacity|RE1|PWRSOLRTP_ZNI|2042"/>
    <x v="2"/>
    <s v="RE1"/>
    <x v="3"/>
    <x v="18"/>
    <x v="1"/>
    <s v="EmploymentOMDirect"/>
    <x v="1"/>
    <s v="Direct"/>
    <n v="0.88750826980907294"/>
    <x v="368"/>
    <n v="6.5610331175223484"/>
  </r>
  <r>
    <s v="PD|AccumulatedNewCapacity|RE1|PWRSOLRTP_ZNI|2043"/>
    <x v="2"/>
    <s v="RE1"/>
    <x v="3"/>
    <x v="19"/>
    <x v="1"/>
    <s v="EmploymentOMDirect"/>
    <x v="1"/>
    <s v="Direct"/>
    <n v="0.88750826980907294"/>
    <x v="368"/>
    <n v="6.5039590775356153"/>
  </r>
  <r>
    <s v="PD|AccumulatedNewCapacity|RE1|PWRSOLRTP_ZNI|2044"/>
    <x v="2"/>
    <s v="RE1"/>
    <x v="3"/>
    <x v="20"/>
    <x v="1"/>
    <s v="EmploymentOMDirect"/>
    <x v="1"/>
    <s v="Direct"/>
    <n v="0.88750826980907294"/>
    <x v="368"/>
    <n v="6.4468850375770055"/>
  </r>
  <r>
    <s v="PD|AccumulatedNewCapacity|RE1|PWRSOLRTP_ZNI|2045"/>
    <x v="2"/>
    <s v="RE1"/>
    <x v="3"/>
    <x v="21"/>
    <x v="1"/>
    <s v="EmploymentOMDirect"/>
    <x v="1"/>
    <s v="Direct"/>
    <n v="0.88750826980907294"/>
    <x v="368"/>
    <n v="6.3898109975902724"/>
  </r>
  <r>
    <s v="PD|AccumulatedNewCapacity|RE1|PWRSOLRTP_ZNI|2046"/>
    <x v="2"/>
    <s v="RE1"/>
    <x v="3"/>
    <x v="22"/>
    <x v="1"/>
    <s v="EmploymentOMDirect"/>
    <x v="1"/>
    <s v="Direct"/>
    <n v="0.88750826980907294"/>
    <x v="368"/>
    <n v="6.3327369576035393"/>
  </r>
  <r>
    <s v="PD|AccumulatedNewCapacity|RE1|PWRSOLRTP_ZNI|2047"/>
    <x v="2"/>
    <s v="RE1"/>
    <x v="3"/>
    <x v="3"/>
    <x v="1"/>
    <s v="EmploymentOMDirect"/>
    <x v="1"/>
    <s v="Direct"/>
    <n v="0.88750826980907294"/>
    <x v="368"/>
    <n v="6.2756629176449295"/>
  </r>
  <r>
    <s v="PD|AccumulatedNewCapacity|RE1|PWRSOLRTP_ZNI|2048"/>
    <x v="2"/>
    <s v="RE1"/>
    <x v="3"/>
    <x v="4"/>
    <x v="1"/>
    <s v="EmploymentOMDirect"/>
    <x v="1"/>
    <s v="Direct"/>
    <n v="0.88750826980907294"/>
    <x v="368"/>
    <n v="6.2185888776581972"/>
  </r>
  <r>
    <s v="PD|AccumulatedNewCapacity|RE1|PWRSOLRTP_ZNI|2049"/>
    <x v="2"/>
    <s v="RE1"/>
    <x v="3"/>
    <x v="23"/>
    <x v="1"/>
    <s v="EmploymentOMDirect"/>
    <x v="1"/>
    <s v="Direct"/>
    <n v="0.88750826980907294"/>
    <x v="368"/>
    <n v="6.1615148376714641"/>
  </r>
  <r>
    <s v="PD|AccumulatedNewCapacity|RE1|PWRSOLRTP_ZNI|2050"/>
    <x v="2"/>
    <s v="RE1"/>
    <x v="3"/>
    <x v="24"/>
    <x v="1"/>
    <s v="EmploymentOMDirect"/>
    <x v="1"/>
    <s v="Direct"/>
    <n v="0.88750826980907294"/>
    <x v="368"/>
    <n v="6.104440797684731"/>
  </r>
  <r>
    <s v="PD|AccumulatedNewCapacity|RE1|PWRSOLRTP_ZNI|2051"/>
    <x v="2"/>
    <s v="RE1"/>
    <x v="3"/>
    <x v="25"/>
    <x v="1"/>
    <s v="EmploymentOMDirect"/>
    <x v="1"/>
    <s v="Direct"/>
    <n v="0.88750826980907294"/>
    <x v="368"/>
    <n v="6.104440797684731"/>
  </r>
  <r>
    <s v="PD|AccumulatedNewCapacity|RE1|PWRSOLRTP_ZNI|2052"/>
    <x v="2"/>
    <s v="RE1"/>
    <x v="3"/>
    <x v="26"/>
    <x v="1"/>
    <s v="EmploymentOMDirect"/>
    <x v="1"/>
    <s v="Direct"/>
    <n v="0.88750826980907294"/>
    <x v="368"/>
    <n v="6.104440797684731"/>
  </r>
  <r>
    <s v="PD|AccumulatedNewCapacity|RE1|PWRSOLRTP_ZNI|2053"/>
    <x v="2"/>
    <s v="RE1"/>
    <x v="3"/>
    <x v="27"/>
    <x v="1"/>
    <s v="EmploymentOMDirect"/>
    <x v="1"/>
    <s v="Direct"/>
    <n v="0.88750826980907294"/>
    <x v="368"/>
    <n v="6.104440797684731"/>
  </r>
  <r>
    <s v="PD|AccumulatedNewCapacity|RE1|PWRSOLRTP_ZNI|2054"/>
    <x v="2"/>
    <s v="RE1"/>
    <x v="3"/>
    <x v="28"/>
    <x v="1"/>
    <s v="EmploymentOMDirect"/>
    <x v="1"/>
    <s v="Direct"/>
    <n v="0.88750826980907294"/>
    <x v="368"/>
    <n v="6.104440797684731"/>
  </r>
  <r>
    <s v="PD|AccumulatedNewCapacity|RE1|PWRSOLRTP_ZNI|2055"/>
    <x v="2"/>
    <s v="RE1"/>
    <x v="3"/>
    <x v="29"/>
    <x v="1"/>
    <s v="EmploymentOMDirect"/>
    <x v="1"/>
    <s v="Direct"/>
    <n v="0.88750826980907294"/>
    <x v="368"/>
    <n v="6.104440797684731"/>
  </r>
  <r>
    <s v="PD|AccumulatedNewCapacity|RE1|PWRSOLUGE|2025"/>
    <x v="2"/>
    <s v="RE1"/>
    <x v="4"/>
    <x v="30"/>
    <x v="1"/>
    <s v="EmploymentOMDirect"/>
    <x v="1"/>
    <s v="Direct"/>
    <n v="6.717168"/>
    <x v="46"/>
    <n v="20.031546654450047"/>
  </r>
  <r>
    <s v="PD|AccumulatedNewCapacity|RE1|PWRSOLUGE|2026"/>
    <x v="2"/>
    <s v="RE1"/>
    <x v="4"/>
    <x v="5"/>
    <x v="1"/>
    <s v="EmploymentOMDirect"/>
    <x v="1"/>
    <s v="Direct"/>
    <n v="62.504351999999997"/>
    <x v="128"/>
    <n v="181.66157876568639"/>
  </r>
  <r>
    <s v="PD|AccumulatedNewCapacity|RE1|PWRSOLUGE|2027"/>
    <x v="2"/>
    <s v="RE1"/>
    <x v="4"/>
    <x v="6"/>
    <x v="1"/>
    <s v="EmploymentOMDirect"/>
    <x v="1"/>
    <s v="Direct"/>
    <n v="135.51019199999999"/>
    <x v="129"/>
    <n v="383.57841357269865"/>
  </r>
  <r>
    <s v="PD|AccumulatedNewCapacity|RE1|PWRSOLUGE|2028"/>
    <x v="2"/>
    <s v="RE1"/>
    <x v="4"/>
    <x v="0"/>
    <x v="1"/>
    <s v="EmploymentOMDirect"/>
    <x v="1"/>
    <s v="Direct"/>
    <n v="135.51019199999999"/>
    <x v="129"/>
    <n v="373.31232464481485"/>
  </r>
  <r>
    <s v="PD|AccumulatedNewCapacity|RE1|PWRSOLUGE|2029"/>
    <x v="2"/>
    <s v="RE1"/>
    <x v="4"/>
    <x v="7"/>
    <x v="1"/>
    <s v="EmploymentOMDirect"/>
    <x v="1"/>
    <s v="Direct"/>
    <n v="135.51019199999999"/>
    <x v="129"/>
    <n v="363.0462357173605"/>
  </r>
  <r>
    <s v="PD|AccumulatedNewCapacity|RE1|PWRSOLUGE|2030"/>
    <x v="2"/>
    <s v="RE1"/>
    <x v="4"/>
    <x v="8"/>
    <x v="1"/>
    <s v="EmploymentOMDirect"/>
    <x v="1"/>
    <s v="Direct"/>
    <n v="143.394192"/>
    <x v="130"/>
    <n v="373.30494006324204"/>
  </r>
  <r>
    <s v="PD|AccumulatedNewCapacity|RE1|PWRSOLUGE|2031"/>
    <x v="2"/>
    <s v="RE1"/>
    <x v="4"/>
    <x v="9"/>
    <x v="1"/>
    <s v="EmploymentOMDirect"/>
    <x v="1"/>
    <s v="Direct"/>
    <n v="143.394192"/>
    <x v="130"/>
    <n v="370.6384762057578"/>
  </r>
  <r>
    <s v="PD|AccumulatedNewCapacity|RE1|PWRSOLUGE|2032"/>
    <x v="2"/>
    <s v="RE1"/>
    <x v="4"/>
    <x v="10"/>
    <x v="1"/>
    <s v="EmploymentOMDirect"/>
    <x v="1"/>
    <s v="Direct"/>
    <n v="143.394192"/>
    <x v="130"/>
    <n v="367.97201234827355"/>
  </r>
  <r>
    <s v="PD|AccumulatedNewCapacity|RE1|PWRSOLUGE|2033"/>
    <x v="2"/>
    <s v="RE1"/>
    <x v="4"/>
    <x v="11"/>
    <x v="1"/>
    <s v="EmploymentOMDirect"/>
    <x v="1"/>
    <s v="Direct"/>
    <n v="143.394192"/>
    <x v="130"/>
    <n v="365.3055484903349"/>
  </r>
  <r>
    <s v="PD|AccumulatedNewCapacity|RE1|PWRSOLUGE|2034"/>
    <x v="2"/>
    <s v="RE1"/>
    <x v="4"/>
    <x v="12"/>
    <x v="1"/>
    <s v="EmploymentOMDirect"/>
    <x v="1"/>
    <s v="Direct"/>
    <n v="143.394192"/>
    <x v="130"/>
    <n v="362.63908463285071"/>
  </r>
  <r>
    <s v="PD|AccumulatedNewCapacity|RE1|PWRSOLUGE|2035"/>
    <x v="2"/>
    <s v="RE1"/>
    <x v="4"/>
    <x v="13"/>
    <x v="1"/>
    <s v="EmploymentOMDirect"/>
    <x v="1"/>
    <s v="Direct"/>
    <n v="143.394192"/>
    <x v="130"/>
    <n v="359.97262077536647"/>
  </r>
  <r>
    <s v="PD|AccumulatedNewCapacity|RE1|PWRSOLUGE|2036"/>
    <x v="2"/>
    <s v="RE1"/>
    <x v="4"/>
    <x v="14"/>
    <x v="1"/>
    <s v="EmploymentOMDirect"/>
    <x v="1"/>
    <s v="Direct"/>
    <n v="143.394192"/>
    <x v="130"/>
    <n v="357.30615691788222"/>
  </r>
  <r>
    <s v="PD|AccumulatedNewCapacity|RE1|PWRSOLUGE|2037"/>
    <x v="2"/>
    <s v="RE1"/>
    <x v="4"/>
    <x v="15"/>
    <x v="1"/>
    <s v="EmploymentOMDirect"/>
    <x v="1"/>
    <s v="Direct"/>
    <n v="143.394192"/>
    <x v="130"/>
    <n v="354.63969305994362"/>
  </r>
  <r>
    <s v="PD|AccumulatedNewCapacity|RE1|PWRSOLUGE|2038"/>
    <x v="2"/>
    <s v="RE1"/>
    <x v="4"/>
    <x v="16"/>
    <x v="1"/>
    <s v="EmploymentOMDirect"/>
    <x v="1"/>
    <s v="Direct"/>
    <n v="143.394192"/>
    <x v="130"/>
    <n v="351.97322920245938"/>
  </r>
  <r>
    <s v="PD|AccumulatedNewCapacity|RE1|PWRSOLUGE|2039"/>
    <x v="2"/>
    <s v="RE1"/>
    <x v="4"/>
    <x v="17"/>
    <x v="1"/>
    <s v="EmploymentOMDirect"/>
    <x v="1"/>
    <s v="Direct"/>
    <n v="143.394192"/>
    <x v="130"/>
    <n v="349.30676534497513"/>
  </r>
  <r>
    <s v="PD|AccumulatedNewCapacity|RE1|PWRSOLUGE|2040"/>
    <x v="2"/>
    <s v="RE1"/>
    <x v="4"/>
    <x v="1"/>
    <x v="1"/>
    <s v="EmploymentOMDirect"/>
    <x v="1"/>
    <s v="Direct"/>
    <n v="143.394192"/>
    <x v="130"/>
    <n v="346.64030148749089"/>
  </r>
  <r>
    <s v="PD|AccumulatedNewCapacity|RE1|PWRSOLUGE|2041"/>
    <x v="2"/>
    <s v="RE1"/>
    <x v="4"/>
    <x v="2"/>
    <x v="1"/>
    <s v="EmploymentOMDirect"/>
    <x v="1"/>
    <s v="Direct"/>
    <n v="143.394192"/>
    <x v="130"/>
    <n v="343.97383762955229"/>
  </r>
  <r>
    <s v="PD|AccumulatedNewCapacity|RE1|PWRSOLUGE|2042"/>
    <x v="2"/>
    <s v="RE1"/>
    <x v="4"/>
    <x v="18"/>
    <x v="1"/>
    <s v="EmploymentOMDirect"/>
    <x v="1"/>
    <s v="Direct"/>
    <n v="143.394192"/>
    <x v="130"/>
    <n v="341.30737377206805"/>
  </r>
  <r>
    <s v="PD|AccumulatedNewCapacity|RE1|PWRSOLUGE|2043"/>
    <x v="2"/>
    <s v="RE1"/>
    <x v="4"/>
    <x v="19"/>
    <x v="1"/>
    <s v="EmploymentOMDirect"/>
    <x v="1"/>
    <s v="Direct"/>
    <n v="143.394192"/>
    <x v="130"/>
    <n v="338.6409099145838"/>
  </r>
  <r>
    <s v="PD|AccumulatedNewCapacity|RE1|PWRSOLUGE|2044"/>
    <x v="2"/>
    <s v="RE1"/>
    <x v="4"/>
    <x v="20"/>
    <x v="1"/>
    <s v="EmploymentOMDirect"/>
    <x v="1"/>
    <s v="Direct"/>
    <n v="143.394192"/>
    <x v="130"/>
    <n v="335.97444605709961"/>
  </r>
  <r>
    <s v="PD|AccumulatedNewCapacity|RE1|PWRSOLUGE|2045"/>
    <x v="2"/>
    <s v="RE1"/>
    <x v="4"/>
    <x v="21"/>
    <x v="1"/>
    <s v="EmploymentOMDirect"/>
    <x v="1"/>
    <s v="Direct"/>
    <n v="143.394192"/>
    <x v="130"/>
    <n v="333.30798219916096"/>
  </r>
  <r>
    <s v="PD|AccumulatedNewCapacity|RE1|PWRSOLUGE|2046"/>
    <x v="2"/>
    <s v="RE1"/>
    <x v="4"/>
    <x v="22"/>
    <x v="1"/>
    <s v="EmploymentOMDirect"/>
    <x v="1"/>
    <s v="Direct"/>
    <n v="143.394192"/>
    <x v="130"/>
    <n v="330.64151834167671"/>
  </r>
  <r>
    <s v="PD|AccumulatedNewCapacity|RE1|PWRSOLUGE|2047"/>
    <x v="2"/>
    <s v="RE1"/>
    <x v="4"/>
    <x v="3"/>
    <x v="1"/>
    <s v="EmploymentOMDirect"/>
    <x v="1"/>
    <s v="Direct"/>
    <n v="143.394192"/>
    <x v="130"/>
    <n v="327.97505448419247"/>
  </r>
  <r>
    <s v="PD|AccumulatedNewCapacity|RE1|PWRSOLUGE|2048"/>
    <x v="2"/>
    <s v="RE1"/>
    <x v="4"/>
    <x v="4"/>
    <x v="1"/>
    <s v="EmploymentOMDirect"/>
    <x v="1"/>
    <s v="Direct"/>
    <n v="143.394192"/>
    <x v="130"/>
    <n v="325.30859062670828"/>
  </r>
  <r>
    <s v="PD|AccumulatedNewCapacity|RE1|PWRSOLUGE|2049"/>
    <x v="2"/>
    <s v="RE1"/>
    <x v="4"/>
    <x v="23"/>
    <x v="1"/>
    <s v="EmploymentOMDirect"/>
    <x v="1"/>
    <s v="Direct"/>
    <n v="143.394192"/>
    <x v="130"/>
    <n v="322.64212676876963"/>
  </r>
  <r>
    <s v="PD|AccumulatedNewCapacity|RE1|PWRSOLUGE|2050"/>
    <x v="2"/>
    <s v="RE1"/>
    <x v="4"/>
    <x v="24"/>
    <x v="1"/>
    <s v="EmploymentOMDirect"/>
    <x v="1"/>
    <s v="Direct"/>
    <n v="143.394192"/>
    <x v="130"/>
    <n v="319.97566291128538"/>
  </r>
  <r>
    <s v="PD|AccumulatedNewCapacity|RE1|PWRSOLUGE|2051"/>
    <x v="2"/>
    <s v="RE1"/>
    <x v="4"/>
    <x v="25"/>
    <x v="1"/>
    <s v="EmploymentOMDirect"/>
    <x v="1"/>
    <s v="Direct"/>
    <n v="143.394192"/>
    <x v="130"/>
    <n v="319.97566291128538"/>
  </r>
  <r>
    <s v="PD|AccumulatedNewCapacity|RE1|PWRSOLUGE|2052"/>
    <x v="2"/>
    <s v="RE1"/>
    <x v="4"/>
    <x v="26"/>
    <x v="1"/>
    <s v="EmploymentOMDirect"/>
    <x v="1"/>
    <s v="Direct"/>
    <n v="143.394192"/>
    <x v="130"/>
    <n v="319.97566291128538"/>
  </r>
  <r>
    <s v="PD|AccumulatedNewCapacity|RE1|PWRSOLUGE|2053"/>
    <x v="2"/>
    <s v="RE1"/>
    <x v="4"/>
    <x v="27"/>
    <x v="1"/>
    <s v="EmploymentOMDirect"/>
    <x v="1"/>
    <s v="Direct"/>
    <n v="143.394192"/>
    <x v="130"/>
    <n v="319.97566291128538"/>
  </r>
  <r>
    <s v="PD|AccumulatedNewCapacity|RE1|PWRSOLUGE|2054"/>
    <x v="2"/>
    <s v="RE1"/>
    <x v="4"/>
    <x v="28"/>
    <x v="1"/>
    <s v="EmploymentOMDirect"/>
    <x v="1"/>
    <s v="Direct"/>
    <n v="143.394192"/>
    <x v="130"/>
    <n v="319.97566291128538"/>
  </r>
  <r>
    <s v="PD|AccumulatedNewCapacity|RE1|PWRSOLUGE|2055"/>
    <x v="2"/>
    <s v="RE1"/>
    <x v="4"/>
    <x v="29"/>
    <x v="1"/>
    <s v="EmploymentOMDirect"/>
    <x v="1"/>
    <s v="Direct"/>
    <n v="136.67702399999999"/>
    <x v="268"/>
    <n v="304.98669959479008"/>
  </r>
  <r>
    <s v="PD|AccumulatedNewCapacity|RE1|PWRSOLUPE|2025"/>
    <x v="2"/>
    <s v="RE1"/>
    <x v="6"/>
    <x v="30"/>
    <x v="1"/>
    <s v="EmploymentOMDirect"/>
    <x v="1"/>
    <s v="Direct"/>
    <n v="5.3106623999999574"/>
    <x v="57"/>
    <n v="15.837147683612022"/>
  </r>
  <r>
    <s v="PD|AccumulatedNewCapacity|RE1|PWRSOLUPE|2026"/>
    <x v="2"/>
    <s v="RE1"/>
    <x v="6"/>
    <x v="5"/>
    <x v="1"/>
    <s v="EmploymentOMDirect"/>
    <x v="1"/>
    <s v="Direct"/>
    <n v="8.6752382399999313"/>
    <x v="147"/>
    <n v="25.213563926666133"/>
  </r>
  <r>
    <s v="PD|AccumulatedNewCapacity|RE1|PWRSOLUPE|2027"/>
    <x v="2"/>
    <s v="RE1"/>
    <x v="6"/>
    <x v="6"/>
    <x v="1"/>
    <s v="EmploymentOMDirect"/>
    <x v="1"/>
    <s v="Direct"/>
    <n v="12.14419823999993"/>
    <x v="148"/>
    <n v="34.375660061137935"/>
  </r>
  <r>
    <s v="PD|AccumulatedNewCapacity|RE1|PWRSOLUPE|2028"/>
    <x v="2"/>
    <s v="RE1"/>
    <x v="6"/>
    <x v="0"/>
    <x v="1"/>
    <s v="EmploymentOMDirect"/>
    <x v="1"/>
    <s v="Direct"/>
    <n v="12.14419823999993"/>
    <x v="148"/>
    <n v="33.455630229804733"/>
  </r>
  <r>
    <s v="PD|AccumulatedNewCapacity|RE1|PWRSOLUPE|2029"/>
    <x v="2"/>
    <s v="RE1"/>
    <x v="6"/>
    <x v="7"/>
    <x v="1"/>
    <s v="EmploymentOMDirect"/>
    <x v="1"/>
    <s v="Direct"/>
    <n v="12.14419823999993"/>
    <x v="148"/>
    <n v="32.535600398510027"/>
  </r>
  <r>
    <s v="PD|AccumulatedNewCapacity|RE1|PWRSOLUPE|2030"/>
    <x v="2"/>
    <s v="RE1"/>
    <x v="6"/>
    <x v="8"/>
    <x v="1"/>
    <s v="EmploymentOMDirect"/>
    <x v="1"/>
    <s v="Direct"/>
    <n v="12.14419823999993"/>
    <x v="148"/>
    <n v="31.615570567176832"/>
  </r>
  <r>
    <s v="PD|AccumulatedNewCapacity|RE1|PWRSOLUPE|2031"/>
    <x v="2"/>
    <s v="RE1"/>
    <x v="6"/>
    <x v="9"/>
    <x v="1"/>
    <s v="EmploymentOMDirect"/>
    <x v="1"/>
    <s v="Direct"/>
    <n v="12.14419823999993"/>
    <x v="148"/>
    <n v="31.389745063134914"/>
  </r>
  <r>
    <s v="PD|AccumulatedNewCapacity|RE1|PWRSOLUPE|2032"/>
    <x v="2"/>
    <s v="RE1"/>
    <x v="6"/>
    <x v="10"/>
    <x v="1"/>
    <s v="EmploymentOMDirect"/>
    <x v="1"/>
    <s v="Direct"/>
    <n v="12.14419823999993"/>
    <x v="148"/>
    <n v="31.163919559092996"/>
  </r>
  <r>
    <s v="PD|AccumulatedNewCapacity|RE1|PWRSOLUPE|2033"/>
    <x v="2"/>
    <s v="RE1"/>
    <x v="6"/>
    <x v="11"/>
    <x v="1"/>
    <s v="EmploymentOMDirect"/>
    <x v="1"/>
    <s v="Direct"/>
    <n v="12.14419823999993"/>
    <x v="148"/>
    <n v="30.938094055012591"/>
  </r>
  <r>
    <s v="PD|AccumulatedNewCapacity|RE1|PWRSOLUPE|2034"/>
    <x v="2"/>
    <s v="RE1"/>
    <x v="6"/>
    <x v="12"/>
    <x v="1"/>
    <s v="EmploymentOMDirect"/>
    <x v="1"/>
    <s v="Direct"/>
    <n v="12.14419823999993"/>
    <x v="148"/>
    <n v="30.712268550970681"/>
  </r>
  <r>
    <s v="PD|AccumulatedNewCapacity|RE1|PWRSOLUPE|2035"/>
    <x v="2"/>
    <s v="RE1"/>
    <x v="6"/>
    <x v="13"/>
    <x v="1"/>
    <s v="EmploymentOMDirect"/>
    <x v="1"/>
    <s v="Direct"/>
    <n v="12.14419823999993"/>
    <x v="148"/>
    <n v="30.486443046928759"/>
  </r>
  <r>
    <s v="PD|AccumulatedNewCapacity|RE1|PWRSOLUPE|2036"/>
    <x v="2"/>
    <s v="RE1"/>
    <x v="6"/>
    <x v="14"/>
    <x v="1"/>
    <s v="EmploymentOMDirect"/>
    <x v="1"/>
    <s v="Direct"/>
    <n v="12.14419823999993"/>
    <x v="148"/>
    <n v="30.260617542886841"/>
  </r>
  <r>
    <s v="PD|AccumulatedNewCapacity|RE1|PWRSOLUPE|2037"/>
    <x v="2"/>
    <s v="RE1"/>
    <x v="6"/>
    <x v="15"/>
    <x v="1"/>
    <s v="EmploymentOMDirect"/>
    <x v="1"/>
    <s v="Direct"/>
    <n v="12.14419823999993"/>
    <x v="148"/>
    <n v="30.034792038806444"/>
  </r>
  <r>
    <s v="PD|AccumulatedNewCapacity|RE1|PWRSOLUPE|2038"/>
    <x v="2"/>
    <s v="RE1"/>
    <x v="6"/>
    <x v="16"/>
    <x v="1"/>
    <s v="EmploymentOMDirect"/>
    <x v="1"/>
    <s v="Direct"/>
    <n v="12.14419823999993"/>
    <x v="148"/>
    <n v="29.808966534764526"/>
  </r>
  <r>
    <s v="PD|AccumulatedNewCapacity|RE1|PWRSOLUPE|2039"/>
    <x v="2"/>
    <s v="RE1"/>
    <x v="6"/>
    <x v="17"/>
    <x v="1"/>
    <s v="EmploymentOMDirect"/>
    <x v="1"/>
    <s v="Direct"/>
    <n v="12.14419823999993"/>
    <x v="148"/>
    <n v="29.583141030722608"/>
  </r>
  <r>
    <s v="PD|AccumulatedNewCapacity|RE1|PWRSOLUPE|2040"/>
    <x v="2"/>
    <s v="RE1"/>
    <x v="6"/>
    <x v="1"/>
    <x v="1"/>
    <s v="EmploymentOMDirect"/>
    <x v="1"/>
    <s v="Direct"/>
    <n v="12.14419823999993"/>
    <x v="148"/>
    <n v="29.35731552668069"/>
  </r>
  <r>
    <s v="PD|AccumulatedNewCapacity|RE1|PWRSOLUPE|2041"/>
    <x v="2"/>
    <s v="RE1"/>
    <x v="6"/>
    <x v="2"/>
    <x v="1"/>
    <s v="EmploymentOMDirect"/>
    <x v="1"/>
    <s v="Direct"/>
    <n v="12.14419823999993"/>
    <x v="148"/>
    <n v="29.131490022600293"/>
  </r>
  <r>
    <s v="PD|AccumulatedNewCapacity|RE1|PWRSOLUPE|2042"/>
    <x v="2"/>
    <s v="RE1"/>
    <x v="6"/>
    <x v="18"/>
    <x v="1"/>
    <s v="EmploymentOMDirect"/>
    <x v="1"/>
    <s v="Direct"/>
    <n v="12.14419823999993"/>
    <x v="148"/>
    <n v="28.905664518558375"/>
  </r>
  <r>
    <s v="PD|AccumulatedNewCapacity|RE1|PWRSOLUPE|2043"/>
    <x v="2"/>
    <s v="RE1"/>
    <x v="6"/>
    <x v="19"/>
    <x v="1"/>
    <s v="EmploymentOMDirect"/>
    <x v="1"/>
    <s v="Direct"/>
    <n v="12.14419823999993"/>
    <x v="148"/>
    <n v="28.679839014516457"/>
  </r>
  <r>
    <s v="PD|AccumulatedNewCapacity|RE1|PWRSOLUPE|2044"/>
    <x v="2"/>
    <s v="RE1"/>
    <x v="6"/>
    <x v="20"/>
    <x v="1"/>
    <s v="EmploymentOMDirect"/>
    <x v="1"/>
    <s v="Direct"/>
    <n v="12.14419823999993"/>
    <x v="148"/>
    <n v="28.454013510474542"/>
  </r>
  <r>
    <s v="PD|AccumulatedNewCapacity|RE1|PWRSOLUPE|2045"/>
    <x v="2"/>
    <s v="RE1"/>
    <x v="6"/>
    <x v="21"/>
    <x v="1"/>
    <s v="EmploymentOMDirect"/>
    <x v="1"/>
    <s v="Direct"/>
    <n v="12.14419823999993"/>
    <x v="148"/>
    <n v="28.228188006394138"/>
  </r>
  <r>
    <s v="PD|AccumulatedNewCapacity|RE1|PWRSOLUPE|2046"/>
    <x v="2"/>
    <s v="RE1"/>
    <x v="6"/>
    <x v="22"/>
    <x v="1"/>
    <s v="EmploymentOMDirect"/>
    <x v="1"/>
    <s v="Direct"/>
    <n v="12.14419823999993"/>
    <x v="148"/>
    <n v="28.00236250235222"/>
  </r>
  <r>
    <s v="PD|AccumulatedNewCapacity|RE1|PWRSOLUPE|2047"/>
    <x v="2"/>
    <s v="RE1"/>
    <x v="6"/>
    <x v="3"/>
    <x v="1"/>
    <s v="EmploymentOMDirect"/>
    <x v="1"/>
    <s v="Direct"/>
    <n v="12.14419823999993"/>
    <x v="148"/>
    <n v="27.776536998310302"/>
  </r>
  <r>
    <s v="PD|AccumulatedNewCapacity|RE1|PWRSOLUPE|2048"/>
    <x v="2"/>
    <s v="RE1"/>
    <x v="6"/>
    <x v="4"/>
    <x v="1"/>
    <s v="EmploymentOMDirect"/>
    <x v="1"/>
    <s v="Direct"/>
    <n v="12.14419823999993"/>
    <x v="148"/>
    <n v="27.550711494268388"/>
  </r>
  <r>
    <s v="PD|AccumulatedNewCapacity|RE1|PWRSOLUPE|2049"/>
    <x v="2"/>
    <s v="RE1"/>
    <x v="6"/>
    <x v="23"/>
    <x v="1"/>
    <s v="EmploymentOMDirect"/>
    <x v="1"/>
    <s v="Direct"/>
    <n v="12.14419823999993"/>
    <x v="148"/>
    <n v="27.324885990187987"/>
  </r>
  <r>
    <s v="PD|AccumulatedNewCapacity|RE1|PWRSOLUPE|2050"/>
    <x v="2"/>
    <s v="RE1"/>
    <x v="6"/>
    <x v="24"/>
    <x v="1"/>
    <s v="EmploymentOMDirect"/>
    <x v="1"/>
    <s v="Direct"/>
    <n v="6.833535839999973"/>
    <x v="149"/>
    <n v="15.248631272541488"/>
  </r>
  <r>
    <s v="PD|AccumulatedNewCapacity|RE1|PWRSOLUPE|2051"/>
    <x v="2"/>
    <s v="RE1"/>
    <x v="6"/>
    <x v="25"/>
    <x v="1"/>
    <s v="EmploymentOMDirect"/>
    <x v="1"/>
    <s v="Direct"/>
    <n v="3.4689599999999992"/>
    <x v="150"/>
    <n v="7.7407791775327421"/>
  </r>
  <r>
    <s v="PD|AccumulatedNewCapacity|RE1|PWRWNDONS|2025"/>
    <x v="2"/>
    <s v="RE1"/>
    <x v="9"/>
    <x v="30"/>
    <x v="1"/>
    <s v="EmploymentOMDirect"/>
    <x v="1"/>
    <s v="Direct"/>
    <n v="0.15362331428571441"/>
    <x v="69"/>
    <n v="0.14479721513827704"/>
  </r>
  <r>
    <s v="PD|AccumulatedNewCapacity|RE1|PWRWNDONS|2026"/>
    <x v="2"/>
    <s v="RE1"/>
    <x v="9"/>
    <x v="5"/>
    <x v="1"/>
    <s v="EmploymentOMDirect"/>
    <x v="1"/>
    <s v="Direct"/>
    <n v="0.15362331428571441"/>
    <x v="69"/>
    <n v="0.14355355807600428"/>
  </r>
  <r>
    <s v="PD|AccumulatedNewCapacity|RE1|PWRWNDONS|2027"/>
    <x v="2"/>
    <s v="RE1"/>
    <x v="9"/>
    <x v="6"/>
    <x v="1"/>
    <s v="EmploymentOMDirect"/>
    <x v="1"/>
    <s v="Direct"/>
    <n v="17.46688731428571"/>
    <x v="287"/>
    <n v="16.180558375940784"/>
  </r>
  <r>
    <s v="PD|AccumulatedNewCapacity|RE1|PWRWNDONS|2028"/>
    <x v="2"/>
    <s v="RE1"/>
    <x v="9"/>
    <x v="0"/>
    <x v="1"/>
    <s v="EmploymentOMDirect"/>
    <x v="1"/>
    <s v="Direct"/>
    <n v="23.805623314285711"/>
    <x v="288"/>
    <n v="21.859767063821607"/>
  </r>
  <r>
    <s v="PD|AccumulatedNewCapacity|RE1|PWRWNDONS|2029"/>
    <x v="2"/>
    <s v="RE1"/>
    <x v="9"/>
    <x v="7"/>
    <x v="1"/>
    <s v="EmploymentOMDirect"/>
    <x v="1"/>
    <s v="Direct"/>
    <n v="33.266423314285717"/>
    <x v="289"/>
    <n v="30.277939165346531"/>
  </r>
  <r>
    <s v="PD|AccumulatedNewCapacity|RE1|PWRWNDONS|2030"/>
    <x v="2"/>
    <s v="RE1"/>
    <x v="9"/>
    <x v="8"/>
    <x v="1"/>
    <s v="EmploymentOMDirect"/>
    <x v="1"/>
    <s v="Direct"/>
    <n v="33.266423314285717"/>
    <x v="289"/>
    <n v="30.008630939028613"/>
  </r>
  <r>
    <s v="PD|AccumulatedNewCapacity|RE1|PWRWNDONS|2031"/>
    <x v="2"/>
    <s v="RE1"/>
    <x v="9"/>
    <x v="9"/>
    <x v="1"/>
    <s v="EmploymentOMDirect"/>
    <x v="1"/>
    <s v="Direct"/>
    <n v="33.266423314285717"/>
    <x v="289"/>
    <n v="29.927838471080531"/>
  </r>
  <r>
    <s v="PD|AccumulatedNewCapacity|RE1|PWRWNDONS|2032"/>
    <x v="2"/>
    <s v="RE1"/>
    <x v="9"/>
    <x v="10"/>
    <x v="1"/>
    <s v="EmploymentOMDirect"/>
    <x v="1"/>
    <s v="Direct"/>
    <n v="33.266423314285717"/>
    <x v="289"/>
    <n v="29.847046003132444"/>
  </r>
  <r>
    <s v="PD|AccumulatedNewCapacity|RE1|PWRWNDONS|2033"/>
    <x v="2"/>
    <s v="RE1"/>
    <x v="9"/>
    <x v="11"/>
    <x v="1"/>
    <s v="EmploymentOMDirect"/>
    <x v="1"/>
    <s v="Direct"/>
    <n v="33.266423314285717"/>
    <x v="289"/>
    <n v="29.766253535289774"/>
  </r>
  <r>
    <s v="PD|AccumulatedNewCapacity|RE1|PWRWNDONS|2034"/>
    <x v="2"/>
    <s v="RE1"/>
    <x v="9"/>
    <x v="12"/>
    <x v="1"/>
    <s v="EmploymentOMDirect"/>
    <x v="1"/>
    <s v="Direct"/>
    <n v="33.266423314285717"/>
    <x v="289"/>
    <n v="29.685461067341691"/>
  </r>
  <r>
    <s v="PD|AccumulatedNewCapacity|RE1|PWRWNDONS|2035"/>
    <x v="2"/>
    <s v="RE1"/>
    <x v="9"/>
    <x v="13"/>
    <x v="1"/>
    <s v="EmploymentOMDirect"/>
    <x v="1"/>
    <s v="Direct"/>
    <n v="80.576423314285719"/>
    <x v="369"/>
    <n v="71.707086950928527"/>
  </r>
  <r>
    <s v="PD|AccumulatedNewCapacity|RE1|PWRWNDONS|2036"/>
    <x v="2"/>
    <s v="RE1"/>
    <x v="9"/>
    <x v="14"/>
    <x v="1"/>
    <s v="EmploymentOMDirect"/>
    <x v="1"/>
    <s v="Direct"/>
    <n v="127.44667009523739"/>
    <x v="370"/>
    <n v="113.10863406390276"/>
  </r>
  <r>
    <s v="PD|AccumulatedNewCapacity|RE1|PWRWNDONS|2037"/>
    <x v="2"/>
    <s v="RE1"/>
    <x v="9"/>
    <x v="15"/>
    <x v="1"/>
    <s v="EmploymentOMDirect"/>
    <x v="1"/>
    <s v="Direct"/>
    <n v="127.44667009523739"/>
    <x v="370"/>
    <n v="112.79911082747061"/>
  </r>
  <r>
    <s v="PD|AccumulatedNewCapacity|RE1|PWRWNDONS|2038"/>
    <x v="2"/>
    <s v="RE1"/>
    <x v="9"/>
    <x v="16"/>
    <x v="1"/>
    <s v="EmploymentOMDirect"/>
    <x v="1"/>
    <s v="Direct"/>
    <n v="127.44667009523739"/>
    <x v="370"/>
    <n v="112.48958759103847"/>
  </r>
  <r>
    <s v="PD|AccumulatedNewCapacity|RE1|PWRWNDONS|2039"/>
    <x v="2"/>
    <s v="RE1"/>
    <x v="9"/>
    <x v="17"/>
    <x v="1"/>
    <s v="EmploymentOMDirect"/>
    <x v="1"/>
    <s v="Direct"/>
    <n v="127.44667009523739"/>
    <x v="370"/>
    <n v="112.18006435501017"/>
  </r>
  <r>
    <s v="PD|AccumulatedNewCapacity|RE1|PWRWNDONS|2040"/>
    <x v="2"/>
    <s v="RE1"/>
    <x v="9"/>
    <x v="1"/>
    <x v="1"/>
    <s v="EmploymentOMDirect"/>
    <x v="1"/>
    <s v="Direct"/>
    <n v="164.9085388437972"/>
    <x v="371"/>
    <n v="144.75393873958146"/>
  </r>
  <r>
    <s v="PD|AccumulatedNewCapacity|RE1|PWRWNDONS|2041"/>
    <x v="2"/>
    <s v="RE1"/>
    <x v="9"/>
    <x v="2"/>
    <x v="1"/>
    <s v="EmploymentOMDirect"/>
    <x v="1"/>
    <s v="Direct"/>
    <n v="212.21853884379721"/>
    <x v="372"/>
    <n v="185.76645579820814"/>
  </r>
  <r>
    <s v="PD|AccumulatedNewCapacity|RE1|PWRWNDONS|2042"/>
    <x v="2"/>
    <s v="RE1"/>
    <x v="9"/>
    <x v="18"/>
    <x v="1"/>
    <s v="EmploymentOMDirect"/>
    <x v="1"/>
    <s v="Direct"/>
    <n v="259.52853884379721"/>
    <x v="373"/>
    <n v="226.549174082928"/>
  </r>
  <r>
    <s v="PD|AccumulatedNewCapacity|RE1|PWRWNDONS|2043"/>
    <x v="2"/>
    <s v="RE1"/>
    <x v="9"/>
    <x v="19"/>
    <x v="1"/>
    <s v="EmploymentOMDirect"/>
    <x v="1"/>
    <s v="Direct"/>
    <n v="278.13010083100028"/>
    <x v="374"/>
    <n v="242.11147824817783"/>
  </r>
  <r>
    <s v="PD|AccumulatedNewCapacity|RE1|PWRWNDONS|2044"/>
    <x v="2"/>
    <s v="RE1"/>
    <x v="9"/>
    <x v="20"/>
    <x v="1"/>
    <s v="EmploymentOMDirect"/>
    <x v="1"/>
    <s v="Direct"/>
    <n v="278.13010083100028"/>
    <x v="374"/>
    <n v="241.43599783826144"/>
  </r>
  <r>
    <s v="PD|AccumulatedNewCapacity|RE1|PWRWNDONS|2045"/>
    <x v="2"/>
    <s v="RE1"/>
    <x v="9"/>
    <x v="21"/>
    <x v="1"/>
    <s v="EmploymentOMDirect"/>
    <x v="1"/>
    <s v="Direct"/>
    <n v="297.11073660181569"/>
    <x v="375"/>
    <n v="257.19091340457589"/>
  </r>
  <r>
    <s v="PD|AccumulatedNewCapacity|RE1|PWRWNDONS|2046"/>
    <x v="2"/>
    <s v="RE1"/>
    <x v="9"/>
    <x v="22"/>
    <x v="1"/>
    <s v="EmploymentOMDirect"/>
    <x v="1"/>
    <s v="Direct"/>
    <n v="344.42073660181569"/>
    <x v="376"/>
    <n v="297.30786078242534"/>
  </r>
  <r>
    <s v="PD|AccumulatedNewCapacity|RE1|PWRWNDONS|2047"/>
    <x v="2"/>
    <s v="RE1"/>
    <x v="9"/>
    <x v="3"/>
    <x v="1"/>
    <s v="EmploymentOMDirect"/>
    <x v="1"/>
    <s v="Direct"/>
    <n v="391.73073660181569"/>
    <x v="377"/>
    <n v="337.19500938554552"/>
  </r>
  <r>
    <s v="PD|AccumulatedNewCapacity|RE1|PWRWNDONS|2048"/>
    <x v="2"/>
    <s v="RE1"/>
    <x v="9"/>
    <x v="4"/>
    <x v="1"/>
    <s v="EmploymentOMDirect"/>
    <x v="1"/>
    <s v="Direct"/>
    <n v="439.04073660181581"/>
    <x v="378"/>
    <n v="376.85235921532779"/>
  </r>
  <r>
    <s v="PD|AccumulatedNewCapacity|RE1|PWRWNDONS|2049"/>
    <x v="2"/>
    <s v="RE1"/>
    <x v="9"/>
    <x v="23"/>
    <x v="1"/>
    <s v="EmploymentOMDirect"/>
    <x v="1"/>
    <s v="Direct"/>
    <n v="439.04073660181581"/>
    <x v="378"/>
    <n v="375.7860833399597"/>
  </r>
  <r>
    <s v="PD|AccumulatedNewCapacity|RE1|PWRWNDONS|2050"/>
    <x v="2"/>
    <s v="RE1"/>
    <x v="9"/>
    <x v="24"/>
    <x v="1"/>
    <s v="EmploymentOMDirect"/>
    <x v="1"/>
    <s v="Direct"/>
    <n v="439.04073660181581"/>
    <x v="378"/>
    <n v="374.71980746459167"/>
  </r>
  <r>
    <s v="PD|AccumulatedNewCapacity|RE1|PWRWNDONS|2051"/>
    <x v="2"/>
    <s v="RE1"/>
    <x v="9"/>
    <x v="25"/>
    <x v="1"/>
    <s v="EmploymentOMDirect"/>
    <x v="1"/>
    <s v="Direct"/>
    <n v="439.04073660181581"/>
    <x v="378"/>
    <n v="374.71980746459167"/>
  </r>
  <r>
    <s v="PD|AccumulatedNewCapacity|RE1|PWRWNDONS|2052"/>
    <x v="2"/>
    <s v="RE1"/>
    <x v="9"/>
    <x v="26"/>
    <x v="1"/>
    <s v="EmploymentOMDirect"/>
    <x v="1"/>
    <s v="Direct"/>
    <n v="486.35073660181581"/>
    <x v="379"/>
    <n v="415.09873500640674"/>
  </r>
  <r>
    <s v="PD|AccumulatedNewCapacity|RE1|PWRWNDONS|2053"/>
    <x v="2"/>
    <s v="RE1"/>
    <x v="9"/>
    <x v="27"/>
    <x v="1"/>
    <s v="EmploymentOMDirect"/>
    <x v="1"/>
    <s v="Direct"/>
    <n v="533.66073660181576"/>
    <x v="380"/>
    <n v="455.47766254822182"/>
  </r>
  <r>
    <s v="PD|AccumulatedNewCapacity|RE1|PWRWNDONS|2054"/>
    <x v="2"/>
    <s v="RE1"/>
    <x v="9"/>
    <x v="28"/>
    <x v="1"/>
    <s v="EmploymentOMDirect"/>
    <x v="1"/>
    <s v="Direct"/>
    <n v="580.97073660181582"/>
    <x v="381"/>
    <n v="495.85659009003683"/>
  </r>
  <r>
    <s v="PD|AccumulatedNewCapacity|RE1|PWRWNDONS|2055"/>
    <x v="2"/>
    <s v="RE1"/>
    <x v="9"/>
    <x v="29"/>
    <x v="1"/>
    <s v="EmploymentOMDirect"/>
    <x v="1"/>
    <s v="Direct"/>
    <n v="621.5943202703611"/>
    <x v="382"/>
    <n v="530.528683546833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96963-144B-4AD1-A3D1-8C07348E79D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L37" firstHeaderRow="1" firstDataRow="2" firstDataCol="1" rowPageCount="2" colPageCount="1"/>
  <pivotFields count="12"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3">
        <item x="10"/>
        <item x="0"/>
        <item x="1"/>
        <item x="1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2">
        <item x="30"/>
        <item x="5"/>
        <item x="6"/>
        <item x="0"/>
        <item x="7"/>
        <item x="8"/>
        <item x="9"/>
        <item x="10"/>
        <item x="11"/>
        <item x="12"/>
        <item x="13"/>
        <item x="14"/>
        <item x="15"/>
        <item x="16"/>
        <item x="17"/>
        <item x="1"/>
        <item x="2"/>
        <item x="18"/>
        <item x="19"/>
        <item x="20"/>
        <item x="21"/>
        <item x="22"/>
        <item x="3"/>
        <item x="4"/>
        <item x="23"/>
        <item x="24"/>
        <item x="25"/>
        <item x="26"/>
        <item x="27"/>
        <item x="28"/>
        <item x="29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>
      <items count="384">
        <item x="44"/>
        <item x="45"/>
        <item x="325"/>
        <item x="326"/>
        <item x="327"/>
        <item x="328"/>
        <item x="26"/>
        <item x="329"/>
        <item x="27"/>
        <item x="28"/>
        <item x="29"/>
        <item x="30"/>
        <item x="31"/>
        <item x="41"/>
        <item x="32"/>
        <item x="33"/>
        <item x="34"/>
        <item x="35"/>
        <item x="43"/>
        <item x="36"/>
        <item x="37"/>
        <item x="38"/>
        <item x="40"/>
        <item x="39"/>
        <item x="42"/>
        <item x="69"/>
        <item x="25"/>
        <item x="108"/>
        <item x="109"/>
        <item x="110"/>
        <item x="324"/>
        <item x="111"/>
        <item x="364"/>
        <item x="112"/>
        <item x="365"/>
        <item x="366"/>
        <item x="113"/>
        <item x="367"/>
        <item x="114"/>
        <item x="368"/>
        <item x="115"/>
        <item x="116"/>
        <item x="117"/>
        <item x="118"/>
        <item x="119"/>
        <item x="120"/>
        <item x="121"/>
        <item x="122"/>
        <item x="123"/>
        <item x="24"/>
        <item x="124"/>
        <item x="125"/>
        <item x="126"/>
        <item x="127"/>
        <item x="323"/>
        <item x="225"/>
        <item x="322"/>
        <item x="321"/>
        <item x="320"/>
        <item x="219"/>
        <item x="319"/>
        <item x="218"/>
        <item x="217"/>
        <item x="318"/>
        <item x="216"/>
        <item x="215"/>
        <item x="67"/>
        <item x="317"/>
        <item x="23"/>
        <item x="214"/>
        <item x="22"/>
        <item x="21"/>
        <item x="316"/>
        <item x="213"/>
        <item x="20"/>
        <item x="220"/>
        <item x="197"/>
        <item x="58"/>
        <item x="51"/>
        <item x="150"/>
        <item x="59"/>
        <item x="212"/>
        <item x="269"/>
        <item x="18"/>
        <item x="211"/>
        <item x="315"/>
        <item x="19"/>
        <item x="17"/>
        <item x="68"/>
        <item x="210"/>
        <item x="314"/>
        <item x="270"/>
        <item x="57"/>
        <item x="16"/>
        <item x="209"/>
        <item x="230"/>
        <item x="222"/>
        <item x="313"/>
        <item x="72"/>
        <item x="46"/>
        <item x="149"/>
        <item x="271"/>
        <item x="167"/>
        <item x="52"/>
        <item x="208"/>
        <item x="15"/>
        <item x="49"/>
        <item x="306"/>
        <item x="312"/>
        <item x="147"/>
        <item x="272"/>
        <item x="207"/>
        <item x="199"/>
        <item x="62"/>
        <item x="74"/>
        <item x="223"/>
        <item x="231"/>
        <item x="73"/>
        <item x="198"/>
        <item x="311"/>
        <item x="206"/>
        <item x="14"/>
        <item x="3"/>
        <item x="55"/>
        <item x="273"/>
        <item x="310"/>
        <item x="307"/>
        <item x="309"/>
        <item x="308"/>
        <item x="75"/>
        <item x="205"/>
        <item x="64"/>
        <item x="12"/>
        <item x="13"/>
        <item x="148"/>
        <item x="274"/>
        <item x="200"/>
        <item x="232"/>
        <item x="204"/>
        <item x="60"/>
        <item x="11"/>
        <item x="201"/>
        <item x="203"/>
        <item x="275"/>
        <item x="70"/>
        <item x="202"/>
        <item x="168"/>
        <item x="4"/>
        <item x="276"/>
        <item x="233"/>
        <item x="9"/>
        <item x="10"/>
        <item x="5"/>
        <item x="221"/>
        <item x="71"/>
        <item x="287"/>
        <item x="8"/>
        <item x="6"/>
        <item x="7"/>
        <item x="332"/>
        <item x="335"/>
        <item x="277"/>
        <item x="234"/>
        <item x="333"/>
        <item x="66"/>
        <item x="239"/>
        <item x="278"/>
        <item x="235"/>
        <item x="65"/>
        <item x="61"/>
        <item x="288"/>
        <item x="229"/>
        <item x="79"/>
        <item x="279"/>
        <item x="236"/>
        <item x="226"/>
        <item x="227"/>
        <item x="2"/>
        <item x="280"/>
        <item x="237"/>
        <item x="336"/>
        <item x="56"/>
        <item x="224"/>
        <item x="1"/>
        <item x="281"/>
        <item x="238"/>
        <item x="169"/>
        <item x="289"/>
        <item x="282"/>
        <item x="240"/>
        <item x="63"/>
        <item x="151"/>
        <item x="53"/>
        <item x="331"/>
        <item x="0"/>
        <item x="283"/>
        <item x="170"/>
        <item x="334"/>
        <item x="284"/>
        <item x="337"/>
        <item x="228"/>
        <item x="80"/>
        <item x="285"/>
        <item x="54"/>
        <item x="330"/>
        <item x="286"/>
        <item x="50"/>
        <item x="171"/>
        <item x="241"/>
        <item x="338"/>
        <item x="47"/>
        <item x="172"/>
        <item x="76"/>
        <item x="81"/>
        <item x="339"/>
        <item x="128"/>
        <item x="242"/>
        <item x="290"/>
        <item x="173"/>
        <item x="340"/>
        <item x="48"/>
        <item x="363"/>
        <item x="174"/>
        <item x="243"/>
        <item x="82"/>
        <item x="341"/>
        <item x="369"/>
        <item x="152"/>
        <item x="362"/>
        <item x="342"/>
        <item x="175"/>
        <item x="244"/>
        <item x="343"/>
        <item x="77"/>
        <item x="361"/>
        <item x="344"/>
        <item x="176"/>
        <item x="83"/>
        <item x="345"/>
        <item x="245"/>
        <item x="346"/>
        <item x="347"/>
        <item x="267"/>
        <item x="360"/>
        <item x="348"/>
        <item x="349"/>
        <item x="246"/>
        <item x="350"/>
        <item x="351"/>
        <item x="352"/>
        <item x="84"/>
        <item x="291"/>
        <item x="353"/>
        <item x="359"/>
        <item x="354"/>
        <item x="247"/>
        <item x="266"/>
        <item x="355"/>
        <item x="356"/>
        <item x="357"/>
        <item x="358"/>
        <item x="248"/>
        <item x="78"/>
        <item x="249"/>
        <item x="85"/>
        <item x="265"/>
        <item x="370"/>
        <item x="250"/>
        <item x="153"/>
        <item x="251"/>
        <item x="129"/>
        <item x="252"/>
        <item x="268"/>
        <item x="253"/>
        <item x="264"/>
        <item x="86"/>
        <item x="254"/>
        <item x="177"/>
        <item x="255"/>
        <item x="130"/>
        <item x="256"/>
        <item x="257"/>
        <item x="107"/>
        <item x="258"/>
        <item x="263"/>
        <item x="259"/>
        <item x="87"/>
        <item x="260"/>
        <item x="261"/>
        <item x="262"/>
        <item x="292"/>
        <item x="293"/>
        <item x="88"/>
        <item x="106"/>
        <item x="371"/>
        <item x="89"/>
        <item x="154"/>
        <item x="105"/>
        <item x="90"/>
        <item x="294"/>
        <item x="91"/>
        <item x="178"/>
        <item x="131"/>
        <item x="92"/>
        <item x="104"/>
        <item x="93"/>
        <item x="94"/>
        <item x="95"/>
        <item x="96"/>
        <item x="103"/>
        <item x="97"/>
        <item x="372"/>
        <item x="98"/>
        <item x="99"/>
        <item x="100"/>
        <item x="101"/>
        <item x="102"/>
        <item x="155"/>
        <item x="295"/>
        <item x="179"/>
        <item x="132"/>
        <item x="373"/>
        <item x="156"/>
        <item x="374"/>
        <item x="296"/>
        <item x="180"/>
        <item x="133"/>
        <item x="375"/>
        <item x="157"/>
        <item x="297"/>
        <item x="158"/>
        <item x="181"/>
        <item x="134"/>
        <item x="135"/>
        <item x="136"/>
        <item x="376"/>
        <item x="298"/>
        <item x="159"/>
        <item x="182"/>
        <item x="137"/>
        <item x="377"/>
        <item x="299"/>
        <item x="160"/>
        <item x="183"/>
        <item x="138"/>
        <item x="143"/>
        <item x="378"/>
        <item x="300"/>
        <item x="142"/>
        <item x="161"/>
        <item x="184"/>
        <item x="139"/>
        <item x="144"/>
        <item x="146"/>
        <item x="379"/>
        <item x="145"/>
        <item x="301"/>
        <item x="141"/>
        <item x="162"/>
        <item x="185"/>
        <item x="140"/>
        <item x="380"/>
        <item x="302"/>
        <item x="163"/>
        <item x="164"/>
        <item x="186"/>
        <item x="381"/>
        <item x="303"/>
        <item x="165"/>
        <item x="166"/>
        <item x="187"/>
        <item x="382"/>
        <item x="304"/>
        <item x="305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dataField="1"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11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1" item="0" hier="-1"/>
    <pageField fld="7" item="0" hier="-1"/>
  </pageFields>
  <dataFields count="1">
    <dataField name="Sum of employment_fte" fld="11" baseField="0" baseItem="0"/>
  </dataFields>
  <chartFormats count="3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2" format="2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" format="23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" format="2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2" format="2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2" format="2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2" format="2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2" format="2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2" format="2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2" format="30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2" format="31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924D7-9116-4673-ADC1-9AB3F98062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L37" firstHeaderRow="1" firstDataRow="2" firstDataCol="1" rowPageCount="2" colPageCount="1"/>
  <pivotFields count="12"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3">
        <item x="10"/>
        <item x="0"/>
        <item x="1"/>
        <item x="1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2">
        <item x="30"/>
        <item x="5"/>
        <item x="6"/>
        <item x="0"/>
        <item x="7"/>
        <item x="8"/>
        <item x="9"/>
        <item x="10"/>
        <item x="11"/>
        <item x="12"/>
        <item x="13"/>
        <item x="14"/>
        <item x="15"/>
        <item x="16"/>
        <item x="17"/>
        <item x="1"/>
        <item x="2"/>
        <item x="18"/>
        <item x="19"/>
        <item x="20"/>
        <item x="21"/>
        <item x="22"/>
        <item x="3"/>
        <item x="4"/>
        <item x="23"/>
        <item x="24"/>
        <item x="25"/>
        <item x="26"/>
        <item x="27"/>
        <item x="28"/>
        <item x="29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384">
        <item x="44"/>
        <item x="45"/>
        <item x="325"/>
        <item x="326"/>
        <item x="327"/>
        <item x="328"/>
        <item x="26"/>
        <item x="329"/>
        <item x="27"/>
        <item x="28"/>
        <item x="29"/>
        <item x="30"/>
        <item x="31"/>
        <item x="41"/>
        <item x="32"/>
        <item x="33"/>
        <item x="34"/>
        <item x="35"/>
        <item x="43"/>
        <item x="36"/>
        <item x="37"/>
        <item x="38"/>
        <item x="40"/>
        <item x="39"/>
        <item x="42"/>
        <item x="69"/>
        <item x="25"/>
        <item x="108"/>
        <item x="109"/>
        <item x="110"/>
        <item x="324"/>
        <item x="111"/>
        <item x="364"/>
        <item x="112"/>
        <item x="365"/>
        <item x="366"/>
        <item x="113"/>
        <item x="367"/>
        <item x="114"/>
        <item x="368"/>
        <item x="115"/>
        <item x="116"/>
        <item x="117"/>
        <item x="118"/>
        <item x="119"/>
        <item x="120"/>
        <item x="121"/>
        <item x="122"/>
        <item x="123"/>
        <item x="24"/>
        <item x="124"/>
        <item x="125"/>
        <item x="126"/>
        <item x="127"/>
        <item x="323"/>
        <item x="225"/>
        <item x="322"/>
        <item x="321"/>
        <item x="320"/>
        <item x="219"/>
        <item x="319"/>
        <item x="218"/>
        <item x="217"/>
        <item x="318"/>
        <item x="216"/>
        <item x="215"/>
        <item x="67"/>
        <item x="317"/>
        <item x="23"/>
        <item x="214"/>
        <item x="22"/>
        <item x="21"/>
        <item x="316"/>
        <item x="213"/>
        <item x="20"/>
        <item x="220"/>
        <item x="197"/>
        <item x="58"/>
        <item x="51"/>
        <item x="150"/>
        <item x="59"/>
        <item x="212"/>
        <item x="269"/>
        <item x="18"/>
        <item x="211"/>
        <item x="315"/>
        <item x="19"/>
        <item x="17"/>
        <item x="68"/>
        <item x="210"/>
        <item x="314"/>
        <item x="270"/>
        <item x="57"/>
        <item x="16"/>
        <item x="209"/>
        <item x="230"/>
        <item x="222"/>
        <item x="313"/>
        <item x="72"/>
        <item x="46"/>
        <item x="149"/>
        <item x="271"/>
        <item x="167"/>
        <item x="52"/>
        <item x="208"/>
        <item x="15"/>
        <item x="49"/>
        <item x="306"/>
        <item x="312"/>
        <item x="147"/>
        <item x="272"/>
        <item x="207"/>
        <item x="199"/>
        <item x="62"/>
        <item x="74"/>
        <item x="223"/>
        <item x="231"/>
        <item x="73"/>
        <item x="198"/>
        <item x="311"/>
        <item x="206"/>
        <item x="14"/>
        <item x="3"/>
        <item x="55"/>
        <item x="273"/>
        <item x="310"/>
        <item x="307"/>
        <item x="309"/>
        <item x="308"/>
        <item x="75"/>
        <item x="205"/>
        <item x="64"/>
        <item x="12"/>
        <item x="13"/>
        <item x="148"/>
        <item x="274"/>
        <item x="200"/>
        <item x="232"/>
        <item x="204"/>
        <item x="60"/>
        <item x="11"/>
        <item x="201"/>
        <item x="203"/>
        <item x="275"/>
        <item x="70"/>
        <item x="202"/>
        <item x="168"/>
        <item x="4"/>
        <item x="276"/>
        <item x="233"/>
        <item x="9"/>
        <item x="10"/>
        <item x="5"/>
        <item x="221"/>
        <item x="71"/>
        <item x="287"/>
        <item x="8"/>
        <item x="6"/>
        <item x="7"/>
        <item x="332"/>
        <item x="335"/>
        <item x="277"/>
        <item x="234"/>
        <item x="333"/>
        <item x="66"/>
        <item x="239"/>
        <item x="278"/>
        <item x="235"/>
        <item x="65"/>
        <item x="61"/>
        <item x="288"/>
        <item x="229"/>
        <item x="79"/>
        <item x="279"/>
        <item x="236"/>
        <item x="226"/>
        <item x="227"/>
        <item x="2"/>
        <item x="280"/>
        <item x="237"/>
        <item x="336"/>
        <item x="56"/>
        <item x="224"/>
        <item x="1"/>
        <item x="281"/>
        <item x="238"/>
        <item x="169"/>
        <item x="289"/>
        <item x="282"/>
        <item x="240"/>
        <item x="63"/>
        <item x="151"/>
        <item x="53"/>
        <item x="331"/>
        <item x="0"/>
        <item x="283"/>
        <item x="170"/>
        <item x="334"/>
        <item x="284"/>
        <item x="337"/>
        <item x="228"/>
        <item x="80"/>
        <item x="285"/>
        <item x="54"/>
        <item x="330"/>
        <item x="286"/>
        <item x="50"/>
        <item x="171"/>
        <item x="241"/>
        <item x="338"/>
        <item x="47"/>
        <item x="172"/>
        <item x="76"/>
        <item x="81"/>
        <item x="339"/>
        <item x="128"/>
        <item x="242"/>
        <item x="290"/>
        <item x="173"/>
        <item x="340"/>
        <item x="48"/>
        <item x="363"/>
        <item x="174"/>
        <item x="243"/>
        <item x="82"/>
        <item x="341"/>
        <item x="369"/>
        <item x="152"/>
        <item x="362"/>
        <item x="342"/>
        <item x="175"/>
        <item x="244"/>
        <item x="343"/>
        <item x="77"/>
        <item x="361"/>
        <item x="344"/>
        <item x="176"/>
        <item x="83"/>
        <item x="345"/>
        <item x="245"/>
        <item x="346"/>
        <item x="347"/>
        <item x="267"/>
        <item x="360"/>
        <item x="348"/>
        <item x="349"/>
        <item x="246"/>
        <item x="350"/>
        <item x="351"/>
        <item x="352"/>
        <item x="84"/>
        <item x="291"/>
        <item x="353"/>
        <item x="359"/>
        <item x="354"/>
        <item x="247"/>
        <item x="266"/>
        <item x="355"/>
        <item x="356"/>
        <item x="357"/>
        <item x="358"/>
        <item x="248"/>
        <item x="78"/>
        <item x="249"/>
        <item x="85"/>
        <item x="265"/>
        <item x="370"/>
        <item x="250"/>
        <item x="153"/>
        <item x="251"/>
        <item x="129"/>
        <item x="252"/>
        <item x="268"/>
        <item x="253"/>
        <item x="264"/>
        <item x="86"/>
        <item x="254"/>
        <item x="177"/>
        <item x="255"/>
        <item x="130"/>
        <item x="256"/>
        <item x="257"/>
        <item x="107"/>
        <item x="258"/>
        <item x="263"/>
        <item x="259"/>
        <item x="87"/>
        <item x="260"/>
        <item x="261"/>
        <item x="262"/>
        <item x="292"/>
        <item x="293"/>
        <item x="88"/>
        <item x="106"/>
        <item x="371"/>
        <item x="89"/>
        <item x="154"/>
        <item x="105"/>
        <item x="90"/>
        <item x="294"/>
        <item x="91"/>
        <item x="178"/>
        <item x="131"/>
        <item x="92"/>
        <item x="104"/>
        <item x="93"/>
        <item x="94"/>
        <item x="95"/>
        <item x="96"/>
        <item x="103"/>
        <item x="97"/>
        <item x="372"/>
        <item x="98"/>
        <item x="99"/>
        <item x="100"/>
        <item x="101"/>
        <item x="102"/>
        <item x="155"/>
        <item x="295"/>
        <item x="179"/>
        <item x="132"/>
        <item x="373"/>
        <item x="156"/>
        <item x="374"/>
        <item x="296"/>
        <item x="180"/>
        <item x="133"/>
        <item x="375"/>
        <item x="157"/>
        <item x="297"/>
        <item x="158"/>
        <item x="181"/>
        <item x="134"/>
        <item x="135"/>
        <item x="136"/>
        <item x="376"/>
        <item x="298"/>
        <item x="159"/>
        <item x="182"/>
        <item x="137"/>
        <item x="377"/>
        <item x="299"/>
        <item x="160"/>
        <item x="183"/>
        <item x="138"/>
        <item x="143"/>
        <item x="378"/>
        <item x="300"/>
        <item x="142"/>
        <item x="161"/>
        <item x="184"/>
        <item x="139"/>
        <item x="144"/>
        <item x="146"/>
        <item x="379"/>
        <item x="145"/>
        <item x="301"/>
        <item x="141"/>
        <item x="162"/>
        <item x="185"/>
        <item x="140"/>
        <item x="380"/>
        <item x="302"/>
        <item x="163"/>
        <item x="164"/>
        <item x="186"/>
        <item x="381"/>
        <item x="303"/>
        <item x="165"/>
        <item x="166"/>
        <item x="187"/>
        <item x="382"/>
        <item x="304"/>
        <item x="305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11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1" item="0" hier="-1"/>
    <pageField fld="5" item="1" hier="-1"/>
  </pageFields>
  <dataFields count="1">
    <dataField name="Sum of capacity_mw" fld="10" baseField="0" baseItem="0"/>
  </dataFields>
  <chartFormats count="2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awResultsLong" displayName="tblRawResultsLong" ref="A1:P5815">
  <autoFilter ref="A1:P5815" xr:uid="{00000000-0009-0000-0100-000001000000}"/>
  <tableColumns count="16">
    <tableColumn id="1" xr3:uid="{00000000-0010-0000-0000-000001000000}" name="raw_lookup_key"/>
    <tableColumn id="2" xr3:uid="{00000000-0010-0000-0000-000002000000}" name="scenario"/>
    <tableColumn id="3" xr3:uid="{00000000-0010-0000-0000-000003000000}" name="source_file"/>
    <tableColumn id="4" xr3:uid="{00000000-0010-0000-0000-000004000000}" name="variable_name"/>
    <tableColumn id="5" xr3:uid="{00000000-0010-0000-0000-000005000000}" name="region"/>
    <tableColumn id="6" xr3:uid="{00000000-0010-0000-0000-000006000000}" name="technology"/>
    <tableColumn id="7" xr3:uid="{00000000-0010-0000-0000-000007000000}" name="fuel"/>
    <tableColumn id="8" xr3:uid="{00000000-0010-0000-0000-000008000000}" name="emission"/>
    <tableColumn id="9" xr3:uid="{00000000-0010-0000-0000-000009000000}" name="timeslice"/>
    <tableColumn id="10" xr3:uid="{00000000-0010-0000-0000-00000A000000}" name="mode"/>
    <tableColumn id="11" xr3:uid="{00000000-0010-0000-0000-00000B000000}" name="storage"/>
    <tableColumn id="12" xr3:uid="{00000000-0010-0000-0000-00000C000000}" name="season"/>
    <tableColumn id="13" xr3:uid="{00000000-0010-0000-0000-00000D000000}" name="daytype"/>
    <tableColumn id="14" xr3:uid="{00000000-0010-0000-0000-00000E000000}" name="bracket"/>
    <tableColumn id="15" xr3:uid="{00000000-0010-0000-0000-00000F000000}" name="year"/>
    <tableColumn id="16" xr3:uid="{00000000-0010-0000-0000-000010000000}" name="value_pj_per_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actorInputs" displayName="tblFactorInputs" ref="A1:U331">
  <autoFilter ref="A1:U331" xr:uid="{00000000-0009-0000-0100-000005000000}"/>
  <tableColumns count="21">
    <tableColumn id="1" xr3:uid="{00000000-0010-0000-0400-000001000000}" name="factor_lookup_key"/>
    <tableColumn id="2" xr3:uid="{00000000-0010-0000-0400-000002000000}" name="Source"/>
    <tableColumn id="3" xr3:uid="{00000000-0010-0000-0400-000003000000}" name="Technology"/>
    <tableColumn id="4" xr3:uid="{00000000-0010-0000-0400-000004000000}" name="Factor_Type"/>
    <tableColumn id="5" xr3:uid="{00000000-0010-0000-0400-000005000000}" name="Job_Type"/>
    <tableColumn id="6" xr3:uid="{00000000-0010-0000-0400-000006000000}" name="Unit"/>
    <tableColumn id="7" xr3:uid="{00000000-0010-0000-0400-000007000000}" name="Year"/>
    <tableColumn id="8" xr3:uid="{00000000-0010-0000-0400-000008000000}" name="Value"/>
    <tableColumn id="9" xr3:uid="{00000000-0010-0000-0400-000009000000}" name="Value_Numeric"/>
    <tableColumn id="10" xr3:uid="{00000000-0010-0000-0400-00000A000000}" name="Method_Applied"/>
    <tableColumn id="11" xr3:uid="{00000000-0010-0000-0400-00000B000000}" name="Mapped_Rutovitz_Tech"/>
    <tableColumn id="12" xr3:uid="{00000000-0010-0000-0400-00000C000000}" name="Rutovitz_2030_Factor"/>
    <tableColumn id="13" xr3:uid="{00000000-0010-0000-0400-00000D000000}" name="Mapped_Catalogue_Tech"/>
    <tableColumn id="14" xr3:uid="{00000000-0010-0000-0400-00000E000000}" name="Learning_Rate"/>
    <tableColumn id="15" xr3:uid="{00000000-0010-0000-0400-00000F000000}" name="Projection_Input"/>
    <tableColumn id="16" xr3:uid="{00000000-0010-0000-0400-000010000000}" name="Base_Year"/>
    <tableColumn id="17" xr3:uid="{00000000-0010-0000-0400-000011000000}" name="Projected_Year"/>
    <tableColumn id="18" xr3:uid="{00000000-0010-0000-0400-000012000000}" name="Projected_Value"/>
    <tableColumn id="19" xr3:uid="{00000000-0010-0000-0400-000013000000}" name="Interpolation_Method"/>
    <tableColumn id="20" xr3:uid="{00000000-0010-0000-0400-000014000000}" name="Default_Source"/>
    <tableColumn id="21" xr3:uid="{00000000-0010-0000-0400-000015000000}" name="Default_Source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mploymentAggregated" displayName="tblEmploymentAggregated" ref="A1:L878">
  <autoFilter ref="A1:L878" xr:uid="{00000000-0009-0000-0100-000003000000}"/>
  <tableColumns count="12">
    <tableColumn id="1" xr3:uid="{00000000-0010-0000-0200-000001000000}" name="raw_lookup_key"/>
    <tableColumn id="2" xr3:uid="{00000000-0010-0000-0200-000002000000}" name="scenario"/>
    <tableColumn id="3" xr3:uid="{00000000-0010-0000-0200-000003000000}" name="region"/>
    <tableColumn id="4" xr3:uid="{00000000-0010-0000-0200-000004000000}" name="technology"/>
    <tableColumn id="5" xr3:uid="{00000000-0010-0000-0200-000005000000}" name="year"/>
    <tableColumn id="6" xr3:uid="{00000000-0010-0000-0200-000006000000}" name="variable_name"/>
    <tableColumn id="7" xr3:uid="{00000000-0010-0000-0200-000007000000}" name="employment_variable"/>
    <tableColumn id="8" xr3:uid="{00000000-0010-0000-0200-000008000000}" name="factor_type"/>
    <tableColumn id="9" xr3:uid="{00000000-0010-0000-0200-000009000000}" name="job_type"/>
    <tableColumn id="10" xr3:uid="{00000000-0010-0000-0200-00000A000000}" name="capacity_pj_per_year"/>
    <tableColumn id="11" xr3:uid="{00000000-0010-0000-0200-00000B000000}" name="capacity_mw"/>
    <tableColumn id="12" xr3:uid="{00000000-0010-0000-0200-00000C000000}" name="employment_f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mploymentResults" displayName="tblEmploymentResults" ref="A1:W888">
  <autoFilter ref="A1:W888" xr:uid="{00000000-0009-0000-0100-000002000000}"/>
  <tableColumns count="23">
    <tableColumn id="1" xr3:uid="{00000000-0010-0000-0100-000001000000}" name="raw_lookup_key"/>
    <tableColumn id="2" xr3:uid="{00000000-0010-0000-0100-000002000000}" name="factor_lookup_key"/>
    <tableColumn id="3" xr3:uid="{00000000-0010-0000-0100-000003000000}" name="mapping_lookup_key"/>
    <tableColumn id="4" xr3:uid="{00000000-0010-0000-0100-000004000000}" name="scenario"/>
    <tableColumn id="5" xr3:uid="{00000000-0010-0000-0100-000005000000}" name="source_file"/>
    <tableColumn id="6" xr3:uid="{00000000-0010-0000-0100-000006000000}" name="region"/>
    <tableColumn id="7" xr3:uid="{00000000-0010-0000-0100-000007000000}" name="technology"/>
    <tableColumn id="8" xr3:uid="{00000000-0010-0000-0100-000008000000}" name="year"/>
    <tableColumn id="9" xr3:uid="{00000000-0010-0000-0100-000009000000}" name="variable_name"/>
    <tableColumn id="10" xr3:uid="{00000000-0010-0000-0100-00000A000000}" name="employment_variable"/>
    <tableColumn id="11" xr3:uid="{00000000-0010-0000-0100-00000B000000}" name="factor_type"/>
    <tableColumn id="12" xr3:uid="{00000000-0010-0000-0100-00000C000000}" name="job_type"/>
    <tableColumn id="13" xr3:uid="{00000000-0010-0000-0100-00000D000000}" name="value_pj_per_year"/>
    <tableColumn id="14" xr3:uid="{00000000-0010-0000-0100-00000E000000}" name="capacity_mw"/>
    <tableColumn id="15" xr3:uid="{00000000-0010-0000-0100-00000F000000}" name="employment_technology"/>
    <tableColumn id="16" xr3:uid="{00000000-0010-0000-0100-000010000000}" name="component_multiplier"/>
    <tableColumn id="17" xr3:uid="{00000000-0010-0000-0100-000011000000}" name="component_capacity_mw"/>
    <tableColumn id="18" xr3:uid="{00000000-0010-0000-0100-000012000000}" name="factor_value"/>
    <tableColumn id="19" xr3:uid="{00000000-0010-0000-0100-000013000000}" name="factor_unit" dataDxfId="1">
      <calculatedColumnFormula>_xlfn.XLOOKUP(B2,FactorInputs!$A$2:$A$888,FactorInputs!$F$2:$F$888,"")</calculatedColumnFormula>
    </tableColumn>
    <tableColumn id="20" xr3:uid="{00000000-0010-0000-0100-000014000000}" name="factor_source" dataDxfId="0">
      <calculatedColumnFormula>_xlfn.XLOOKUP(B2,FactorInputs!$A$2:$A$888,FactorInputs!$B$2:$B$888,"")</calculatedColumnFormula>
    </tableColumn>
    <tableColumn id="21" xr3:uid="{00000000-0010-0000-0100-000015000000}" name="default_source">
      <calculatedColumnFormula>_xlfn.XLOOKUP(B2,FactorInputs!$A$2:$A$888,FactorInputs!$T$2:$T$888,"")</calculatedColumnFormula>
    </tableColumn>
    <tableColumn id="22" xr3:uid="{00000000-0010-0000-0100-000016000000}" name="employment_fte"/>
    <tableColumn id="23" xr3:uid="{00000000-0010-0000-0100-000017000000}" name="mapping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echnologyMapping" displayName="tblTechnologyMapping" ref="A1:E27">
  <autoFilter ref="A1:E27" xr:uid="{00000000-0009-0000-0100-000004000000}"/>
  <tableColumns count="5">
    <tableColumn id="1" xr3:uid="{00000000-0010-0000-0300-000001000000}" name="mapping_lookup_key"/>
    <tableColumn id="2" xr3:uid="{00000000-0010-0000-0300-000002000000}" name="technology"/>
    <tableColumn id="3" xr3:uid="{00000000-0010-0000-0300-000003000000}" name="employment_technology"/>
    <tableColumn id="4" xr3:uid="{00000000-0010-0000-0300-000004000000}" name="component_multiplier"/>
    <tableColumn id="5" xr3:uid="{00000000-0010-0000-0300-000005000000}" name="mapping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15"/>
  <sheetViews>
    <sheetView workbookViewId="0">
      <pane ySplit="1" topLeftCell="A11" activePane="bottomLeft" state="frozen"/>
      <selection pane="bottomLeft" activeCell="F5" sqref="F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tr">
        <f t="shared" ref="A2:A65" si="0">B2&amp;"|"&amp;D2&amp;"|"&amp;E2&amp;"|"&amp;F2&amp;"|"&amp;O2</f>
        <v>PD|AccumulatedNewCapacity|RE1|PWRBGS|2022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O2">
        <v>2022</v>
      </c>
    </row>
    <row r="3" spans="1:16" x14ac:dyDescent="0.3">
      <c r="A3" t="str">
        <f t="shared" si="0"/>
        <v>PD|AccumulatedNewCapacity|RE1|PWRCOA|2022</v>
      </c>
      <c r="B3" t="s">
        <v>16</v>
      </c>
      <c r="C3" t="s">
        <v>17</v>
      </c>
      <c r="D3" t="s">
        <v>18</v>
      </c>
      <c r="E3" t="s">
        <v>19</v>
      </c>
      <c r="F3" t="s">
        <v>21</v>
      </c>
      <c r="O3">
        <v>2022</v>
      </c>
    </row>
    <row r="4" spans="1:16" x14ac:dyDescent="0.3">
      <c r="A4" t="str">
        <f t="shared" si="0"/>
        <v>PD|AccumulatedNewCapacity|RE1|PWRDSL|2022</v>
      </c>
      <c r="B4" t="s">
        <v>16</v>
      </c>
      <c r="C4" t="s">
        <v>17</v>
      </c>
      <c r="D4" t="s">
        <v>18</v>
      </c>
      <c r="E4" t="s">
        <v>19</v>
      </c>
      <c r="F4" t="s">
        <v>22</v>
      </c>
      <c r="O4">
        <v>2022</v>
      </c>
    </row>
    <row r="5" spans="1:16" x14ac:dyDescent="0.3">
      <c r="A5" t="str">
        <f t="shared" si="0"/>
        <v>PD|AccumulatedNewCapacity|RE1|PWRFOL|2022</v>
      </c>
      <c r="B5" t="s">
        <v>16</v>
      </c>
      <c r="C5" t="s">
        <v>17</v>
      </c>
      <c r="D5" t="s">
        <v>18</v>
      </c>
      <c r="E5" t="s">
        <v>19</v>
      </c>
      <c r="F5" t="s">
        <v>23</v>
      </c>
      <c r="O5">
        <v>2022</v>
      </c>
    </row>
    <row r="6" spans="1:16" x14ac:dyDescent="0.3">
      <c r="A6" t="str">
        <f t="shared" si="0"/>
        <v>PD|AccumulatedNewCapacity|RE1|PWRHYDDAM|2022</v>
      </c>
      <c r="B6" t="s">
        <v>16</v>
      </c>
      <c r="C6" t="s">
        <v>17</v>
      </c>
      <c r="D6" t="s">
        <v>18</v>
      </c>
      <c r="E6" t="s">
        <v>19</v>
      </c>
      <c r="F6" t="s">
        <v>24</v>
      </c>
      <c r="O6">
        <v>2022</v>
      </c>
    </row>
    <row r="7" spans="1:16" x14ac:dyDescent="0.3">
      <c r="A7" t="str">
        <f t="shared" si="0"/>
        <v>PD|AccumulatedNewCapacity|RE1|PWRHYDROR|2022</v>
      </c>
      <c r="B7" t="s">
        <v>16</v>
      </c>
      <c r="C7" t="s">
        <v>17</v>
      </c>
      <c r="D7" t="s">
        <v>18</v>
      </c>
      <c r="E7" t="s">
        <v>19</v>
      </c>
      <c r="F7" t="s">
        <v>25</v>
      </c>
      <c r="O7">
        <v>2022</v>
      </c>
    </row>
    <row r="8" spans="1:16" x14ac:dyDescent="0.3">
      <c r="A8" t="str">
        <f t="shared" si="0"/>
        <v>PD|AccumulatedNewCapacity|RE1|PWRHYDROR_NDC|2022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O8">
        <v>2022</v>
      </c>
    </row>
    <row r="9" spans="1:16" x14ac:dyDescent="0.3">
      <c r="A9" t="str">
        <f t="shared" si="0"/>
        <v>PD|AccumulatedNewCapacity|RE1|PWRJET|2022</v>
      </c>
      <c r="B9" t="s">
        <v>16</v>
      </c>
      <c r="C9" t="s">
        <v>17</v>
      </c>
      <c r="D9" t="s">
        <v>18</v>
      </c>
      <c r="E9" t="s">
        <v>19</v>
      </c>
      <c r="F9" t="s">
        <v>27</v>
      </c>
      <c r="O9">
        <v>2022</v>
      </c>
    </row>
    <row r="10" spans="1:16" x14ac:dyDescent="0.3">
      <c r="A10" t="str">
        <f t="shared" si="0"/>
        <v>PD|AccumulatedNewCapacity|RE1|PWRLPG|2022</v>
      </c>
      <c r="B10" t="s">
        <v>16</v>
      </c>
      <c r="C10" t="s">
        <v>17</v>
      </c>
      <c r="D10" t="s">
        <v>18</v>
      </c>
      <c r="E10" t="s">
        <v>19</v>
      </c>
      <c r="F10" t="s">
        <v>28</v>
      </c>
      <c r="O10">
        <v>2022</v>
      </c>
    </row>
    <row r="11" spans="1:16" x14ac:dyDescent="0.3">
      <c r="A11" t="str">
        <f t="shared" si="0"/>
        <v>PD|AccumulatedNewCapacity|RE1|PWRNGS_CC|2022</v>
      </c>
      <c r="B11" t="s">
        <v>16</v>
      </c>
      <c r="C11" t="s">
        <v>17</v>
      </c>
      <c r="D11" t="s">
        <v>18</v>
      </c>
      <c r="E11" t="s">
        <v>19</v>
      </c>
      <c r="F11" t="s">
        <v>29</v>
      </c>
      <c r="O11">
        <v>2022</v>
      </c>
    </row>
    <row r="12" spans="1:16" x14ac:dyDescent="0.3">
      <c r="A12" t="str">
        <f t="shared" si="0"/>
        <v>PD|AccumulatedNewCapacity|RE1|PWRNGS_CS|2022</v>
      </c>
      <c r="B12" t="s">
        <v>16</v>
      </c>
      <c r="C12" t="s">
        <v>17</v>
      </c>
      <c r="D12" t="s">
        <v>18</v>
      </c>
      <c r="E12" t="s">
        <v>19</v>
      </c>
      <c r="F12" t="s">
        <v>30</v>
      </c>
      <c r="O12">
        <v>2022</v>
      </c>
    </row>
    <row r="13" spans="1:16" x14ac:dyDescent="0.3">
      <c r="A13" t="str">
        <f t="shared" si="0"/>
        <v>PD|AccumulatedNewCapacity|RE1|PWRSOLRTP|2022</v>
      </c>
      <c r="B13" t="s">
        <v>16</v>
      </c>
      <c r="C13" t="s">
        <v>17</v>
      </c>
      <c r="D13" t="s">
        <v>18</v>
      </c>
      <c r="E13" t="s">
        <v>19</v>
      </c>
      <c r="F13" t="s">
        <v>31</v>
      </c>
      <c r="O13">
        <v>2022</v>
      </c>
    </row>
    <row r="14" spans="1:16" x14ac:dyDescent="0.3">
      <c r="A14" t="str">
        <f t="shared" si="0"/>
        <v>PD|AccumulatedNewCapacity|RE1|PWRSOLRTP_ZNI|2022</v>
      </c>
      <c r="B14" t="s">
        <v>16</v>
      </c>
      <c r="C14" t="s">
        <v>17</v>
      </c>
      <c r="D14" t="s">
        <v>18</v>
      </c>
      <c r="E14" t="s">
        <v>19</v>
      </c>
      <c r="F14" t="s">
        <v>32</v>
      </c>
      <c r="O14">
        <v>2022</v>
      </c>
    </row>
    <row r="15" spans="1:16" x14ac:dyDescent="0.3">
      <c r="A15" t="str">
        <f t="shared" si="0"/>
        <v>PD|AccumulatedNewCapacity|RE1|PWRSOLUGE|2022</v>
      </c>
      <c r="B15" t="s">
        <v>16</v>
      </c>
      <c r="C15" t="s">
        <v>17</v>
      </c>
      <c r="D15" t="s">
        <v>18</v>
      </c>
      <c r="E15" t="s">
        <v>19</v>
      </c>
      <c r="F15" t="s">
        <v>33</v>
      </c>
      <c r="O15">
        <v>2022</v>
      </c>
    </row>
    <row r="16" spans="1:16" x14ac:dyDescent="0.3">
      <c r="A16" t="str">
        <f t="shared" si="0"/>
        <v>PD|AccumulatedNewCapacity|RE1|PWRSOLUPE|2022</v>
      </c>
      <c r="B16" t="s">
        <v>16</v>
      </c>
      <c r="C16" t="s">
        <v>17</v>
      </c>
      <c r="D16" t="s">
        <v>18</v>
      </c>
      <c r="E16" t="s">
        <v>19</v>
      </c>
      <c r="F16" t="s">
        <v>34</v>
      </c>
      <c r="O16">
        <v>2022</v>
      </c>
    </row>
    <row r="17" spans="1:15" x14ac:dyDescent="0.3">
      <c r="A17" t="str">
        <f t="shared" si="0"/>
        <v>PD|AccumulatedNewCapacity|RE1|PWRSTD|2022</v>
      </c>
      <c r="B17" t="s">
        <v>16</v>
      </c>
      <c r="C17" t="s">
        <v>17</v>
      </c>
      <c r="D17" t="s">
        <v>18</v>
      </c>
      <c r="E17" t="s">
        <v>19</v>
      </c>
      <c r="F17" t="s">
        <v>35</v>
      </c>
      <c r="O17">
        <v>2022</v>
      </c>
    </row>
    <row r="18" spans="1:15" x14ac:dyDescent="0.3">
      <c r="A18" t="str">
        <f t="shared" si="0"/>
        <v>PD|AccumulatedNewCapacity|RE1|PWRWNDONS|2022</v>
      </c>
      <c r="B18" t="s">
        <v>16</v>
      </c>
      <c r="C18" t="s">
        <v>17</v>
      </c>
      <c r="D18" t="s">
        <v>18</v>
      </c>
      <c r="E18" t="s">
        <v>19</v>
      </c>
      <c r="F18" t="s">
        <v>36</v>
      </c>
      <c r="O18">
        <v>2022</v>
      </c>
    </row>
    <row r="19" spans="1:15" x14ac:dyDescent="0.3">
      <c r="A19" t="str">
        <f t="shared" si="0"/>
        <v>PD|NewCapacity|RE1|PWRBGS|2022</v>
      </c>
      <c r="B19" t="s">
        <v>16</v>
      </c>
      <c r="C19" t="s">
        <v>17</v>
      </c>
      <c r="D19" t="s">
        <v>37</v>
      </c>
      <c r="E19" t="s">
        <v>19</v>
      </c>
      <c r="F19" t="s">
        <v>20</v>
      </c>
      <c r="O19">
        <v>2022</v>
      </c>
    </row>
    <row r="20" spans="1:15" x14ac:dyDescent="0.3">
      <c r="A20" t="str">
        <f t="shared" si="0"/>
        <v>PD|NewCapacity|RE1|PWRCOA|2022</v>
      </c>
      <c r="B20" t="s">
        <v>16</v>
      </c>
      <c r="C20" t="s">
        <v>17</v>
      </c>
      <c r="D20" t="s">
        <v>37</v>
      </c>
      <c r="E20" t="s">
        <v>19</v>
      </c>
      <c r="F20" t="s">
        <v>21</v>
      </c>
      <c r="O20">
        <v>2022</v>
      </c>
    </row>
    <row r="21" spans="1:15" x14ac:dyDescent="0.3">
      <c r="A21" t="str">
        <f t="shared" si="0"/>
        <v>PD|NewCapacity|RE1|PWRDSL|2022</v>
      </c>
      <c r="B21" t="s">
        <v>16</v>
      </c>
      <c r="C21" t="s">
        <v>17</v>
      </c>
      <c r="D21" t="s">
        <v>37</v>
      </c>
      <c r="E21" t="s">
        <v>19</v>
      </c>
      <c r="F21" t="s">
        <v>22</v>
      </c>
      <c r="O21">
        <v>2022</v>
      </c>
    </row>
    <row r="22" spans="1:15" x14ac:dyDescent="0.3">
      <c r="A22" t="str">
        <f t="shared" si="0"/>
        <v>PD|NewCapacity|RE1|PWRFOL|2022</v>
      </c>
      <c r="B22" t="s">
        <v>16</v>
      </c>
      <c r="C22" t="s">
        <v>17</v>
      </c>
      <c r="D22" t="s">
        <v>37</v>
      </c>
      <c r="E22" t="s">
        <v>19</v>
      </c>
      <c r="F22" t="s">
        <v>23</v>
      </c>
      <c r="O22">
        <v>2022</v>
      </c>
    </row>
    <row r="23" spans="1:15" x14ac:dyDescent="0.3">
      <c r="A23" t="str">
        <f t="shared" si="0"/>
        <v>PD|NewCapacity|RE1|PWRHYDDAM|2022</v>
      </c>
      <c r="B23" t="s">
        <v>16</v>
      </c>
      <c r="C23" t="s">
        <v>17</v>
      </c>
      <c r="D23" t="s">
        <v>37</v>
      </c>
      <c r="E23" t="s">
        <v>19</v>
      </c>
      <c r="F23" t="s">
        <v>24</v>
      </c>
      <c r="O23">
        <v>2022</v>
      </c>
    </row>
    <row r="24" spans="1:15" x14ac:dyDescent="0.3">
      <c r="A24" t="str">
        <f t="shared" si="0"/>
        <v>PD|NewCapacity|RE1|PWRHYDROR|2022</v>
      </c>
      <c r="B24" t="s">
        <v>16</v>
      </c>
      <c r="C24" t="s">
        <v>17</v>
      </c>
      <c r="D24" t="s">
        <v>37</v>
      </c>
      <c r="E24" t="s">
        <v>19</v>
      </c>
      <c r="F24" t="s">
        <v>25</v>
      </c>
      <c r="O24">
        <v>2022</v>
      </c>
    </row>
    <row r="25" spans="1:15" x14ac:dyDescent="0.3">
      <c r="A25" t="str">
        <f t="shared" si="0"/>
        <v>PD|NewCapacity|RE1|PWRHYDROR_NDC|2022</v>
      </c>
      <c r="B25" t="s">
        <v>16</v>
      </c>
      <c r="C25" t="s">
        <v>17</v>
      </c>
      <c r="D25" t="s">
        <v>37</v>
      </c>
      <c r="E25" t="s">
        <v>19</v>
      </c>
      <c r="F25" t="s">
        <v>26</v>
      </c>
      <c r="O25">
        <v>2022</v>
      </c>
    </row>
    <row r="26" spans="1:15" x14ac:dyDescent="0.3">
      <c r="A26" t="str">
        <f t="shared" si="0"/>
        <v>PD|NewCapacity|RE1|PWRJET|2022</v>
      </c>
      <c r="B26" t="s">
        <v>16</v>
      </c>
      <c r="C26" t="s">
        <v>17</v>
      </c>
      <c r="D26" t="s">
        <v>37</v>
      </c>
      <c r="E26" t="s">
        <v>19</v>
      </c>
      <c r="F26" t="s">
        <v>27</v>
      </c>
      <c r="O26">
        <v>2022</v>
      </c>
    </row>
    <row r="27" spans="1:15" x14ac:dyDescent="0.3">
      <c r="A27" t="str">
        <f t="shared" si="0"/>
        <v>PD|NewCapacity|RE1|PWRLPG|2022</v>
      </c>
      <c r="B27" t="s">
        <v>16</v>
      </c>
      <c r="C27" t="s">
        <v>17</v>
      </c>
      <c r="D27" t="s">
        <v>37</v>
      </c>
      <c r="E27" t="s">
        <v>19</v>
      </c>
      <c r="F27" t="s">
        <v>28</v>
      </c>
      <c r="O27">
        <v>2022</v>
      </c>
    </row>
    <row r="28" spans="1:15" x14ac:dyDescent="0.3">
      <c r="A28" t="str">
        <f t="shared" si="0"/>
        <v>PD|NewCapacity|RE1|PWRNGS_CC|2022</v>
      </c>
      <c r="B28" t="s">
        <v>16</v>
      </c>
      <c r="C28" t="s">
        <v>17</v>
      </c>
      <c r="D28" t="s">
        <v>37</v>
      </c>
      <c r="E28" t="s">
        <v>19</v>
      </c>
      <c r="F28" t="s">
        <v>29</v>
      </c>
      <c r="O28">
        <v>2022</v>
      </c>
    </row>
    <row r="29" spans="1:15" x14ac:dyDescent="0.3">
      <c r="A29" t="str">
        <f t="shared" si="0"/>
        <v>PD|NewCapacity|RE1|PWRNGS_CS|2022</v>
      </c>
      <c r="B29" t="s">
        <v>16</v>
      </c>
      <c r="C29" t="s">
        <v>17</v>
      </c>
      <c r="D29" t="s">
        <v>37</v>
      </c>
      <c r="E29" t="s">
        <v>19</v>
      </c>
      <c r="F29" t="s">
        <v>30</v>
      </c>
      <c r="O29">
        <v>2022</v>
      </c>
    </row>
    <row r="30" spans="1:15" x14ac:dyDescent="0.3">
      <c r="A30" t="str">
        <f t="shared" si="0"/>
        <v>PD|NewCapacity|RE1|PWRSOLRTP|2022</v>
      </c>
      <c r="B30" t="s">
        <v>16</v>
      </c>
      <c r="C30" t="s">
        <v>17</v>
      </c>
      <c r="D30" t="s">
        <v>37</v>
      </c>
      <c r="E30" t="s">
        <v>19</v>
      </c>
      <c r="F30" t="s">
        <v>31</v>
      </c>
      <c r="O30">
        <v>2022</v>
      </c>
    </row>
    <row r="31" spans="1:15" x14ac:dyDescent="0.3">
      <c r="A31" t="str">
        <f t="shared" si="0"/>
        <v>PD|NewCapacity|RE1|PWRSOLRTP_ZNI|2022</v>
      </c>
      <c r="B31" t="s">
        <v>16</v>
      </c>
      <c r="C31" t="s">
        <v>17</v>
      </c>
      <c r="D31" t="s">
        <v>37</v>
      </c>
      <c r="E31" t="s">
        <v>19</v>
      </c>
      <c r="F31" t="s">
        <v>32</v>
      </c>
      <c r="O31">
        <v>2022</v>
      </c>
    </row>
    <row r="32" spans="1:15" x14ac:dyDescent="0.3">
      <c r="A32" t="str">
        <f t="shared" si="0"/>
        <v>PD|NewCapacity|RE1|PWRSOLUGE|2022</v>
      </c>
      <c r="B32" t="s">
        <v>16</v>
      </c>
      <c r="C32" t="s">
        <v>17</v>
      </c>
      <c r="D32" t="s">
        <v>37</v>
      </c>
      <c r="E32" t="s">
        <v>19</v>
      </c>
      <c r="F32" t="s">
        <v>33</v>
      </c>
      <c r="O32">
        <v>2022</v>
      </c>
    </row>
    <row r="33" spans="1:16" x14ac:dyDescent="0.3">
      <c r="A33" t="str">
        <f t="shared" si="0"/>
        <v>PD|NewCapacity|RE1|PWRSOLUPE|2022</v>
      </c>
      <c r="B33" t="s">
        <v>16</v>
      </c>
      <c r="C33" t="s">
        <v>17</v>
      </c>
      <c r="D33" t="s">
        <v>37</v>
      </c>
      <c r="E33" t="s">
        <v>19</v>
      </c>
      <c r="F33" t="s">
        <v>34</v>
      </c>
      <c r="O33">
        <v>2022</v>
      </c>
    </row>
    <row r="34" spans="1:16" x14ac:dyDescent="0.3">
      <c r="A34" t="str">
        <f t="shared" si="0"/>
        <v>PD|NewCapacity|RE1|PWRSTD|2022</v>
      </c>
      <c r="B34" t="s">
        <v>16</v>
      </c>
      <c r="C34" t="s">
        <v>17</v>
      </c>
      <c r="D34" t="s">
        <v>37</v>
      </c>
      <c r="E34" t="s">
        <v>19</v>
      </c>
      <c r="F34" t="s">
        <v>35</v>
      </c>
      <c r="O34">
        <v>2022</v>
      </c>
    </row>
    <row r="35" spans="1:16" x14ac:dyDescent="0.3">
      <c r="A35" t="str">
        <f t="shared" si="0"/>
        <v>PD|NewCapacity|RE1|PWRWNDONS|2022</v>
      </c>
      <c r="B35" t="s">
        <v>16</v>
      </c>
      <c r="C35" t="s">
        <v>17</v>
      </c>
      <c r="D35" t="s">
        <v>37</v>
      </c>
      <c r="E35" t="s">
        <v>19</v>
      </c>
      <c r="F35" t="s">
        <v>36</v>
      </c>
      <c r="O35">
        <v>2022</v>
      </c>
    </row>
    <row r="36" spans="1:16" x14ac:dyDescent="0.3">
      <c r="A36" t="str">
        <f t="shared" si="0"/>
        <v>PD|TotalCapacityAnnual|RE1|PWRBGS|2022</v>
      </c>
      <c r="B36" t="s">
        <v>16</v>
      </c>
      <c r="C36" t="s">
        <v>17</v>
      </c>
      <c r="D36" t="s">
        <v>38</v>
      </c>
      <c r="E36" t="s">
        <v>19</v>
      </c>
      <c r="F36" t="s">
        <v>20</v>
      </c>
      <c r="O36">
        <v>2022</v>
      </c>
      <c r="P36">
        <v>2.5488587520000001E-2</v>
      </c>
    </row>
    <row r="37" spans="1:16" x14ac:dyDescent="0.3">
      <c r="A37" t="str">
        <f t="shared" si="0"/>
        <v>PD|TotalCapacityAnnual|RE1|PWRCOA|2022</v>
      </c>
      <c r="B37" t="s">
        <v>16</v>
      </c>
      <c r="C37" t="s">
        <v>17</v>
      </c>
      <c r="D37" t="s">
        <v>38</v>
      </c>
      <c r="E37" t="s">
        <v>19</v>
      </c>
      <c r="F37" t="s">
        <v>21</v>
      </c>
      <c r="O37">
        <v>2022</v>
      </c>
      <c r="P37">
        <v>51.466751999999993</v>
      </c>
    </row>
    <row r="38" spans="1:16" x14ac:dyDescent="0.3">
      <c r="A38" t="str">
        <f t="shared" si="0"/>
        <v>PD|TotalCapacityAnnual|RE1|PWRDSL|2022</v>
      </c>
      <c r="B38" t="s">
        <v>16</v>
      </c>
      <c r="C38" t="s">
        <v>17</v>
      </c>
      <c r="D38" t="s">
        <v>38</v>
      </c>
      <c r="E38" t="s">
        <v>19</v>
      </c>
      <c r="F38" t="s">
        <v>22</v>
      </c>
      <c r="O38">
        <v>2022</v>
      </c>
      <c r="P38">
        <v>25.954128000000001</v>
      </c>
    </row>
    <row r="39" spans="1:16" x14ac:dyDescent="0.3">
      <c r="A39" t="str">
        <f t="shared" si="0"/>
        <v>PD|TotalCapacityAnnual|RE1|PWRFOL|2022</v>
      </c>
      <c r="B39" t="s">
        <v>16</v>
      </c>
      <c r="C39" t="s">
        <v>17</v>
      </c>
      <c r="D39" t="s">
        <v>38</v>
      </c>
      <c r="E39" t="s">
        <v>19</v>
      </c>
      <c r="F39" t="s">
        <v>23</v>
      </c>
      <c r="O39">
        <v>2022</v>
      </c>
      <c r="P39">
        <v>8.4516479999999987</v>
      </c>
    </row>
    <row r="40" spans="1:16" x14ac:dyDescent="0.3">
      <c r="A40" t="str">
        <f t="shared" si="0"/>
        <v>PD|TotalCapacityAnnual|RE1|PWRHYDDAM|2022</v>
      </c>
      <c r="B40" t="s">
        <v>16</v>
      </c>
      <c r="C40" t="s">
        <v>17</v>
      </c>
      <c r="D40" t="s">
        <v>38</v>
      </c>
      <c r="E40" t="s">
        <v>19</v>
      </c>
      <c r="F40" t="s">
        <v>24</v>
      </c>
      <c r="O40">
        <v>2022</v>
      </c>
      <c r="P40">
        <v>345.25612799999999</v>
      </c>
    </row>
    <row r="41" spans="1:16" x14ac:dyDescent="0.3">
      <c r="A41" t="str">
        <f t="shared" si="0"/>
        <v>PD|TotalCapacityAnnual|RE1|PWRHYDROR|2022</v>
      </c>
      <c r="B41" t="s">
        <v>16</v>
      </c>
      <c r="C41" t="s">
        <v>17</v>
      </c>
      <c r="D41" t="s">
        <v>38</v>
      </c>
      <c r="E41" t="s">
        <v>19</v>
      </c>
      <c r="F41" t="s">
        <v>25</v>
      </c>
      <c r="O41">
        <v>2022</v>
      </c>
      <c r="P41">
        <v>21.160655999999999</v>
      </c>
    </row>
    <row r="42" spans="1:16" x14ac:dyDescent="0.3">
      <c r="A42" t="str">
        <f t="shared" si="0"/>
        <v>PD|TotalCapacityAnnual|RE1|PWRHYDROR_NDC|2022</v>
      </c>
      <c r="B42" t="s">
        <v>16</v>
      </c>
      <c r="C42" t="s">
        <v>17</v>
      </c>
      <c r="D42" t="s">
        <v>38</v>
      </c>
      <c r="E42" t="s">
        <v>19</v>
      </c>
      <c r="F42" t="s">
        <v>26</v>
      </c>
      <c r="O42">
        <v>2022</v>
      </c>
      <c r="P42">
        <v>28.102581071999989</v>
      </c>
    </row>
    <row r="43" spans="1:16" x14ac:dyDescent="0.3">
      <c r="A43" t="str">
        <f t="shared" si="0"/>
        <v>PD|TotalCapacityAnnual|RE1|PWRJET|2022</v>
      </c>
      <c r="B43" t="s">
        <v>16</v>
      </c>
      <c r="C43" t="s">
        <v>17</v>
      </c>
      <c r="D43" t="s">
        <v>38</v>
      </c>
      <c r="E43" t="s">
        <v>19</v>
      </c>
      <c r="F43" t="s">
        <v>27</v>
      </c>
      <c r="O43">
        <v>2022</v>
      </c>
      <c r="P43">
        <v>1.608336</v>
      </c>
    </row>
    <row r="44" spans="1:16" x14ac:dyDescent="0.3">
      <c r="A44" t="str">
        <f t="shared" si="0"/>
        <v>PD|TotalCapacityAnnual|RE1|PWRLPG|2022</v>
      </c>
      <c r="B44" t="s">
        <v>16</v>
      </c>
      <c r="C44" t="s">
        <v>17</v>
      </c>
      <c r="D44" t="s">
        <v>38</v>
      </c>
      <c r="E44" t="s">
        <v>19</v>
      </c>
      <c r="F44" t="s">
        <v>28</v>
      </c>
      <c r="O44">
        <v>2022</v>
      </c>
    </row>
    <row r="45" spans="1:16" x14ac:dyDescent="0.3">
      <c r="A45" t="str">
        <f t="shared" si="0"/>
        <v>PD|TotalCapacityAnnual|RE1|PWRNGS_CC|2022</v>
      </c>
      <c r="B45" t="s">
        <v>16</v>
      </c>
      <c r="C45" t="s">
        <v>17</v>
      </c>
      <c r="D45" t="s">
        <v>38</v>
      </c>
      <c r="E45" t="s">
        <v>19</v>
      </c>
      <c r="F45" t="s">
        <v>29</v>
      </c>
      <c r="O45">
        <v>2022</v>
      </c>
      <c r="P45">
        <v>62.504399999999997</v>
      </c>
    </row>
    <row r="46" spans="1:16" x14ac:dyDescent="0.3">
      <c r="A46" t="str">
        <f t="shared" si="0"/>
        <v>PD|TotalCapacityAnnual|RE1|PWRNGS_CS|2022</v>
      </c>
      <c r="B46" t="s">
        <v>16</v>
      </c>
      <c r="C46" t="s">
        <v>17</v>
      </c>
      <c r="D46" t="s">
        <v>38</v>
      </c>
      <c r="E46" t="s">
        <v>19</v>
      </c>
      <c r="F46" t="s">
        <v>30</v>
      </c>
      <c r="O46">
        <v>2022</v>
      </c>
      <c r="P46">
        <v>23.967359999999999</v>
      </c>
    </row>
    <row r="47" spans="1:16" x14ac:dyDescent="0.3">
      <c r="A47" t="str">
        <f t="shared" si="0"/>
        <v>PD|TotalCapacityAnnual|RE1|PWRSOLRTP|2022</v>
      </c>
      <c r="B47" t="s">
        <v>16</v>
      </c>
      <c r="C47" t="s">
        <v>17</v>
      </c>
      <c r="D47" t="s">
        <v>38</v>
      </c>
      <c r="E47" t="s">
        <v>19</v>
      </c>
      <c r="F47" t="s">
        <v>31</v>
      </c>
      <c r="O47">
        <v>2022</v>
      </c>
      <c r="P47">
        <v>3.9230227960000001</v>
      </c>
    </row>
    <row r="48" spans="1:16" x14ac:dyDescent="0.3">
      <c r="A48" t="str">
        <f t="shared" si="0"/>
        <v>PD|TotalCapacityAnnual|RE1|PWRSOLRTP_ZNI|2022</v>
      </c>
      <c r="B48" t="s">
        <v>16</v>
      </c>
      <c r="C48" t="s">
        <v>17</v>
      </c>
      <c r="D48" t="s">
        <v>38</v>
      </c>
      <c r="E48" t="s">
        <v>19</v>
      </c>
      <c r="F48" t="s">
        <v>32</v>
      </c>
      <c r="O48">
        <v>2022</v>
      </c>
      <c r="P48">
        <v>0.46074095999999998</v>
      </c>
    </row>
    <row r="49" spans="1:16" x14ac:dyDescent="0.3">
      <c r="A49" t="str">
        <f t="shared" si="0"/>
        <v>PD|TotalCapacityAnnual|RE1|PWRSOLUGE|2022</v>
      </c>
      <c r="B49" t="s">
        <v>16</v>
      </c>
      <c r="C49" t="s">
        <v>17</v>
      </c>
      <c r="D49" t="s">
        <v>38</v>
      </c>
      <c r="E49" t="s">
        <v>19</v>
      </c>
      <c r="F49" t="s">
        <v>33</v>
      </c>
      <c r="O49">
        <v>2022</v>
      </c>
      <c r="P49">
        <v>6.8748479999999992</v>
      </c>
    </row>
    <row r="50" spans="1:16" x14ac:dyDescent="0.3">
      <c r="A50" t="str">
        <f t="shared" si="0"/>
        <v>PD|TotalCapacityAnnual|RE1|PWRSOLUPE|2022</v>
      </c>
      <c r="B50" t="s">
        <v>16</v>
      </c>
      <c r="C50" t="s">
        <v>17</v>
      </c>
      <c r="D50" t="s">
        <v>38</v>
      </c>
      <c r="E50" t="s">
        <v>19</v>
      </c>
      <c r="F50" t="s">
        <v>34</v>
      </c>
      <c r="O50">
        <v>2022</v>
      </c>
      <c r="P50">
        <v>7.9224739200000007</v>
      </c>
    </row>
    <row r="51" spans="1:16" x14ac:dyDescent="0.3">
      <c r="A51" t="str">
        <f t="shared" si="0"/>
        <v>PD|TotalCapacityAnnual|RE1|PWRSTD|2022</v>
      </c>
      <c r="B51" t="s">
        <v>16</v>
      </c>
      <c r="C51" t="s">
        <v>17</v>
      </c>
      <c r="D51" t="s">
        <v>38</v>
      </c>
      <c r="E51" t="s">
        <v>19</v>
      </c>
      <c r="F51" t="s">
        <v>35</v>
      </c>
      <c r="O51">
        <v>2022</v>
      </c>
      <c r="P51">
        <v>8.163062064</v>
      </c>
    </row>
    <row r="52" spans="1:16" x14ac:dyDescent="0.3">
      <c r="A52" t="str">
        <f t="shared" si="0"/>
        <v>PD|TotalCapacityAnnual|RE1|PWRWNDONS|2022</v>
      </c>
      <c r="B52" t="s">
        <v>16</v>
      </c>
      <c r="C52" t="s">
        <v>17</v>
      </c>
      <c r="D52" t="s">
        <v>38</v>
      </c>
      <c r="E52" t="s">
        <v>19</v>
      </c>
      <c r="F52" t="s">
        <v>36</v>
      </c>
      <c r="O52">
        <v>2022</v>
      </c>
      <c r="P52">
        <v>1.21161312</v>
      </c>
    </row>
    <row r="53" spans="1:16" x14ac:dyDescent="0.3">
      <c r="A53" t="str">
        <f t="shared" si="0"/>
        <v>PD|AccumulatedNewCapacity|RE1|PWRBGS|2023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O53">
        <v>2023</v>
      </c>
    </row>
    <row r="54" spans="1:16" x14ac:dyDescent="0.3">
      <c r="A54" t="str">
        <f t="shared" si="0"/>
        <v>PD|AccumulatedNewCapacity|RE1|PWRCOA|2023</v>
      </c>
      <c r="B54" t="s">
        <v>16</v>
      </c>
      <c r="C54" t="s">
        <v>17</v>
      </c>
      <c r="D54" t="s">
        <v>18</v>
      </c>
      <c r="E54" t="s">
        <v>19</v>
      </c>
      <c r="F54" t="s">
        <v>21</v>
      </c>
      <c r="O54">
        <v>2023</v>
      </c>
    </row>
    <row r="55" spans="1:16" x14ac:dyDescent="0.3">
      <c r="A55" t="str">
        <f t="shared" si="0"/>
        <v>PD|AccumulatedNewCapacity|RE1|PWRDSL|2023</v>
      </c>
      <c r="B55" t="s">
        <v>16</v>
      </c>
      <c r="C55" t="s">
        <v>17</v>
      </c>
      <c r="D55" t="s">
        <v>18</v>
      </c>
      <c r="E55" t="s">
        <v>19</v>
      </c>
      <c r="F55" t="s">
        <v>22</v>
      </c>
      <c r="O55">
        <v>2023</v>
      </c>
    </row>
    <row r="56" spans="1:16" x14ac:dyDescent="0.3">
      <c r="A56" t="str">
        <f t="shared" si="0"/>
        <v>PD|AccumulatedNewCapacity|RE1|PWRFOL|2023</v>
      </c>
      <c r="B56" t="s">
        <v>16</v>
      </c>
      <c r="C56" t="s">
        <v>17</v>
      </c>
      <c r="D56" t="s">
        <v>18</v>
      </c>
      <c r="E56" t="s">
        <v>19</v>
      </c>
      <c r="F56" t="s">
        <v>23</v>
      </c>
      <c r="O56">
        <v>2023</v>
      </c>
    </row>
    <row r="57" spans="1:16" x14ac:dyDescent="0.3">
      <c r="A57" t="str">
        <f t="shared" si="0"/>
        <v>PD|AccumulatedNewCapacity|RE1|PWRHYDDAM|2023</v>
      </c>
      <c r="B57" t="s">
        <v>16</v>
      </c>
      <c r="C57" t="s">
        <v>17</v>
      </c>
      <c r="D57" t="s">
        <v>18</v>
      </c>
      <c r="E57" t="s">
        <v>19</v>
      </c>
      <c r="F57" t="s">
        <v>24</v>
      </c>
      <c r="O57">
        <v>2023</v>
      </c>
    </row>
    <row r="58" spans="1:16" x14ac:dyDescent="0.3">
      <c r="A58" t="str">
        <f t="shared" si="0"/>
        <v>PD|AccumulatedNewCapacity|RE1|PWRHYDROR|2023</v>
      </c>
      <c r="B58" t="s">
        <v>16</v>
      </c>
      <c r="C58" t="s">
        <v>17</v>
      </c>
      <c r="D58" t="s">
        <v>18</v>
      </c>
      <c r="E58" t="s">
        <v>19</v>
      </c>
      <c r="F58" t="s">
        <v>25</v>
      </c>
      <c r="O58">
        <v>2023</v>
      </c>
    </row>
    <row r="59" spans="1:16" x14ac:dyDescent="0.3">
      <c r="A59" t="str">
        <f t="shared" si="0"/>
        <v>PD|AccumulatedNewCapacity|RE1|PWRHYDROR_NDC|2023</v>
      </c>
      <c r="B59" t="s">
        <v>16</v>
      </c>
      <c r="C59" t="s">
        <v>17</v>
      </c>
      <c r="D59" t="s">
        <v>18</v>
      </c>
      <c r="E59" t="s">
        <v>19</v>
      </c>
      <c r="F59" t="s">
        <v>26</v>
      </c>
      <c r="O59">
        <v>2023</v>
      </c>
    </row>
    <row r="60" spans="1:16" x14ac:dyDescent="0.3">
      <c r="A60" t="str">
        <f t="shared" si="0"/>
        <v>PD|AccumulatedNewCapacity|RE1|PWRJET|2023</v>
      </c>
      <c r="B60" t="s">
        <v>16</v>
      </c>
      <c r="C60" t="s">
        <v>17</v>
      </c>
      <c r="D60" t="s">
        <v>18</v>
      </c>
      <c r="E60" t="s">
        <v>19</v>
      </c>
      <c r="F60" t="s">
        <v>27</v>
      </c>
      <c r="O60">
        <v>2023</v>
      </c>
    </row>
    <row r="61" spans="1:16" x14ac:dyDescent="0.3">
      <c r="A61" t="str">
        <f t="shared" si="0"/>
        <v>PD|AccumulatedNewCapacity|RE1|PWRLPG|2023</v>
      </c>
      <c r="B61" t="s">
        <v>16</v>
      </c>
      <c r="C61" t="s">
        <v>17</v>
      </c>
      <c r="D61" t="s">
        <v>18</v>
      </c>
      <c r="E61" t="s">
        <v>19</v>
      </c>
      <c r="F61" t="s">
        <v>28</v>
      </c>
      <c r="O61">
        <v>2023</v>
      </c>
    </row>
    <row r="62" spans="1:16" x14ac:dyDescent="0.3">
      <c r="A62" t="str">
        <f t="shared" si="0"/>
        <v>PD|AccumulatedNewCapacity|RE1|PWRNGS_CC|2023</v>
      </c>
      <c r="B62" t="s">
        <v>16</v>
      </c>
      <c r="C62" t="s">
        <v>17</v>
      </c>
      <c r="D62" t="s">
        <v>18</v>
      </c>
      <c r="E62" t="s">
        <v>19</v>
      </c>
      <c r="F62" t="s">
        <v>29</v>
      </c>
      <c r="O62">
        <v>2023</v>
      </c>
    </row>
    <row r="63" spans="1:16" x14ac:dyDescent="0.3">
      <c r="A63" t="str">
        <f t="shared" si="0"/>
        <v>PD|AccumulatedNewCapacity|RE1|PWRNGS_CS|2023</v>
      </c>
      <c r="B63" t="s">
        <v>16</v>
      </c>
      <c r="C63" t="s">
        <v>17</v>
      </c>
      <c r="D63" t="s">
        <v>18</v>
      </c>
      <c r="E63" t="s">
        <v>19</v>
      </c>
      <c r="F63" t="s">
        <v>30</v>
      </c>
      <c r="O63">
        <v>2023</v>
      </c>
    </row>
    <row r="64" spans="1:16" x14ac:dyDescent="0.3">
      <c r="A64" t="str">
        <f t="shared" si="0"/>
        <v>PD|AccumulatedNewCapacity|RE1|PWRSOLRTP|2023</v>
      </c>
      <c r="B64" t="s">
        <v>16</v>
      </c>
      <c r="C64" t="s">
        <v>17</v>
      </c>
      <c r="D64" t="s">
        <v>18</v>
      </c>
      <c r="E64" t="s">
        <v>19</v>
      </c>
      <c r="F64" t="s">
        <v>31</v>
      </c>
      <c r="O64">
        <v>2023</v>
      </c>
    </row>
    <row r="65" spans="1:15" x14ac:dyDescent="0.3">
      <c r="A65" t="str">
        <f t="shared" si="0"/>
        <v>PD|AccumulatedNewCapacity|RE1|PWRSOLRTP_ZNI|2023</v>
      </c>
      <c r="B65" t="s">
        <v>16</v>
      </c>
      <c r="C65" t="s">
        <v>17</v>
      </c>
      <c r="D65" t="s">
        <v>18</v>
      </c>
      <c r="E65" t="s">
        <v>19</v>
      </c>
      <c r="F65" t="s">
        <v>32</v>
      </c>
      <c r="O65">
        <v>2023</v>
      </c>
    </row>
    <row r="66" spans="1:15" x14ac:dyDescent="0.3">
      <c r="A66" t="str">
        <f t="shared" ref="A66:A129" si="1">B66&amp;"|"&amp;D66&amp;"|"&amp;E66&amp;"|"&amp;F66&amp;"|"&amp;O66</f>
        <v>PD|AccumulatedNewCapacity|RE1|PWRSOLUGE|2023</v>
      </c>
      <c r="B66" t="s">
        <v>16</v>
      </c>
      <c r="C66" t="s">
        <v>17</v>
      </c>
      <c r="D66" t="s">
        <v>18</v>
      </c>
      <c r="E66" t="s">
        <v>19</v>
      </c>
      <c r="F66" t="s">
        <v>33</v>
      </c>
      <c r="O66">
        <v>2023</v>
      </c>
    </row>
    <row r="67" spans="1:15" x14ac:dyDescent="0.3">
      <c r="A67" t="str">
        <f t="shared" si="1"/>
        <v>PD|AccumulatedNewCapacity|RE1|PWRSOLUPE|2023</v>
      </c>
      <c r="B67" t="s">
        <v>16</v>
      </c>
      <c r="C67" t="s">
        <v>17</v>
      </c>
      <c r="D67" t="s">
        <v>18</v>
      </c>
      <c r="E67" t="s">
        <v>19</v>
      </c>
      <c r="F67" t="s">
        <v>34</v>
      </c>
      <c r="O67">
        <v>2023</v>
      </c>
    </row>
    <row r="68" spans="1:15" x14ac:dyDescent="0.3">
      <c r="A68" t="str">
        <f t="shared" si="1"/>
        <v>PD|AccumulatedNewCapacity|RE1|PWRSTD|2023</v>
      </c>
      <c r="B68" t="s">
        <v>16</v>
      </c>
      <c r="C68" t="s">
        <v>17</v>
      </c>
      <c r="D68" t="s">
        <v>18</v>
      </c>
      <c r="E68" t="s">
        <v>19</v>
      </c>
      <c r="F68" t="s">
        <v>35</v>
      </c>
      <c r="O68">
        <v>2023</v>
      </c>
    </row>
    <row r="69" spans="1:15" x14ac:dyDescent="0.3">
      <c r="A69" t="str">
        <f t="shared" si="1"/>
        <v>PD|AccumulatedNewCapacity|RE1|PWRWNDONS|2023</v>
      </c>
      <c r="B69" t="s">
        <v>16</v>
      </c>
      <c r="C69" t="s">
        <v>17</v>
      </c>
      <c r="D69" t="s">
        <v>18</v>
      </c>
      <c r="E69" t="s">
        <v>19</v>
      </c>
      <c r="F69" t="s">
        <v>36</v>
      </c>
      <c r="O69">
        <v>2023</v>
      </c>
    </row>
    <row r="70" spans="1:15" x14ac:dyDescent="0.3">
      <c r="A70" t="str">
        <f t="shared" si="1"/>
        <v>PD|NewCapacity|RE1|PWRBGS|2023</v>
      </c>
      <c r="B70" t="s">
        <v>16</v>
      </c>
      <c r="C70" t="s">
        <v>17</v>
      </c>
      <c r="D70" t="s">
        <v>37</v>
      </c>
      <c r="E70" t="s">
        <v>19</v>
      </c>
      <c r="F70" t="s">
        <v>20</v>
      </c>
      <c r="O70">
        <v>2023</v>
      </c>
    </row>
    <row r="71" spans="1:15" x14ac:dyDescent="0.3">
      <c r="A71" t="str">
        <f t="shared" si="1"/>
        <v>PD|NewCapacity|RE1|PWRCOA|2023</v>
      </c>
      <c r="B71" t="s">
        <v>16</v>
      </c>
      <c r="C71" t="s">
        <v>17</v>
      </c>
      <c r="D71" t="s">
        <v>37</v>
      </c>
      <c r="E71" t="s">
        <v>19</v>
      </c>
      <c r="F71" t="s">
        <v>21</v>
      </c>
      <c r="O71">
        <v>2023</v>
      </c>
    </row>
    <row r="72" spans="1:15" x14ac:dyDescent="0.3">
      <c r="A72" t="str">
        <f t="shared" si="1"/>
        <v>PD|NewCapacity|RE1|PWRDSL|2023</v>
      </c>
      <c r="B72" t="s">
        <v>16</v>
      </c>
      <c r="C72" t="s">
        <v>17</v>
      </c>
      <c r="D72" t="s">
        <v>37</v>
      </c>
      <c r="E72" t="s">
        <v>19</v>
      </c>
      <c r="F72" t="s">
        <v>22</v>
      </c>
      <c r="O72">
        <v>2023</v>
      </c>
    </row>
    <row r="73" spans="1:15" x14ac:dyDescent="0.3">
      <c r="A73" t="str">
        <f t="shared" si="1"/>
        <v>PD|NewCapacity|RE1|PWRFOL|2023</v>
      </c>
      <c r="B73" t="s">
        <v>16</v>
      </c>
      <c r="C73" t="s">
        <v>17</v>
      </c>
      <c r="D73" t="s">
        <v>37</v>
      </c>
      <c r="E73" t="s">
        <v>19</v>
      </c>
      <c r="F73" t="s">
        <v>23</v>
      </c>
      <c r="O73">
        <v>2023</v>
      </c>
    </row>
    <row r="74" spans="1:15" x14ac:dyDescent="0.3">
      <c r="A74" t="str">
        <f t="shared" si="1"/>
        <v>PD|NewCapacity|RE1|PWRHYDDAM|2023</v>
      </c>
      <c r="B74" t="s">
        <v>16</v>
      </c>
      <c r="C74" t="s">
        <v>17</v>
      </c>
      <c r="D74" t="s">
        <v>37</v>
      </c>
      <c r="E74" t="s">
        <v>19</v>
      </c>
      <c r="F74" t="s">
        <v>24</v>
      </c>
      <c r="O74">
        <v>2023</v>
      </c>
    </row>
    <row r="75" spans="1:15" x14ac:dyDescent="0.3">
      <c r="A75" t="str">
        <f t="shared" si="1"/>
        <v>PD|NewCapacity|RE1|PWRHYDROR|2023</v>
      </c>
      <c r="B75" t="s">
        <v>16</v>
      </c>
      <c r="C75" t="s">
        <v>17</v>
      </c>
      <c r="D75" t="s">
        <v>37</v>
      </c>
      <c r="E75" t="s">
        <v>19</v>
      </c>
      <c r="F75" t="s">
        <v>25</v>
      </c>
      <c r="O75">
        <v>2023</v>
      </c>
    </row>
    <row r="76" spans="1:15" x14ac:dyDescent="0.3">
      <c r="A76" t="str">
        <f t="shared" si="1"/>
        <v>PD|NewCapacity|RE1|PWRHYDROR_NDC|2023</v>
      </c>
      <c r="B76" t="s">
        <v>16</v>
      </c>
      <c r="C76" t="s">
        <v>17</v>
      </c>
      <c r="D76" t="s">
        <v>37</v>
      </c>
      <c r="E76" t="s">
        <v>19</v>
      </c>
      <c r="F76" t="s">
        <v>26</v>
      </c>
      <c r="O76">
        <v>2023</v>
      </c>
    </row>
    <row r="77" spans="1:15" x14ac:dyDescent="0.3">
      <c r="A77" t="str">
        <f t="shared" si="1"/>
        <v>PD|NewCapacity|RE1|PWRJET|2023</v>
      </c>
      <c r="B77" t="s">
        <v>16</v>
      </c>
      <c r="C77" t="s">
        <v>17</v>
      </c>
      <c r="D77" t="s">
        <v>37</v>
      </c>
      <c r="E77" t="s">
        <v>19</v>
      </c>
      <c r="F77" t="s">
        <v>27</v>
      </c>
      <c r="O77">
        <v>2023</v>
      </c>
    </row>
    <row r="78" spans="1:15" x14ac:dyDescent="0.3">
      <c r="A78" t="str">
        <f t="shared" si="1"/>
        <v>PD|NewCapacity|RE1|PWRLPG|2023</v>
      </c>
      <c r="B78" t="s">
        <v>16</v>
      </c>
      <c r="C78" t="s">
        <v>17</v>
      </c>
      <c r="D78" t="s">
        <v>37</v>
      </c>
      <c r="E78" t="s">
        <v>19</v>
      </c>
      <c r="F78" t="s">
        <v>28</v>
      </c>
      <c r="O78">
        <v>2023</v>
      </c>
    </row>
    <row r="79" spans="1:15" x14ac:dyDescent="0.3">
      <c r="A79" t="str">
        <f t="shared" si="1"/>
        <v>PD|NewCapacity|RE1|PWRNGS_CC|2023</v>
      </c>
      <c r="B79" t="s">
        <v>16</v>
      </c>
      <c r="C79" t="s">
        <v>17</v>
      </c>
      <c r="D79" t="s">
        <v>37</v>
      </c>
      <c r="E79" t="s">
        <v>19</v>
      </c>
      <c r="F79" t="s">
        <v>29</v>
      </c>
      <c r="O79">
        <v>2023</v>
      </c>
    </row>
    <row r="80" spans="1:15" x14ac:dyDescent="0.3">
      <c r="A80" t="str">
        <f t="shared" si="1"/>
        <v>PD|NewCapacity|RE1|PWRNGS_CS|2023</v>
      </c>
      <c r="B80" t="s">
        <v>16</v>
      </c>
      <c r="C80" t="s">
        <v>17</v>
      </c>
      <c r="D80" t="s">
        <v>37</v>
      </c>
      <c r="E80" t="s">
        <v>19</v>
      </c>
      <c r="F80" t="s">
        <v>30</v>
      </c>
      <c r="O80">
        <v>2023</v>
      </c>
    </row>
    <row r="81" spans="1:16" x14ac:dyDescent="0.3">
      <c r="A81" t="str">
        <f t="shared" si="1"/>
        <v>PD|NewCapacity|RE1|PWRSOLRTP|2023</v>
      </c>
      <c r="B81" t="s">
        <v>16</v>
      </c>
      <c r="C81" t="s">
        <v>17</v>
      </c>
      <c r="D81" t="s">
        <v>37</v>
      </c>
      <c r="E81" t="s">
        <v>19</v>
      </c>
      <c r="F81" t="s">
        <v>31</v>
      </c>
      <c r="O81">
        <v>2023</v>
      </c>
    </row>
    <row r="82" spans="1:16" x14ac:dyDescent="0.3">
      <c r="A82" t="str">
        <f t="shared" si="1"/>
        <v>PD|NewCapacity|RE1|PWRSOLRTP_ZNI|2023</v>
      </c>
      <c r="B82" t="s">
        <v>16</v>
      </c>
      <c r="C82" t="s">
        <v>17</v>
      </c>
      <c r="D82" t="s">
        <v>37</v>
      </c>
      <c r="E82" t="s">
        <v>19</v>
      </c>
      <c r="F82" t="s">
        <v>32</v>
      </c>
      <c r="O82">
        <v>2023</v>
      </c>
    </row>
    <row r="83" spans="1:16" x14ac:dyDescent="0.3">
      <c r="A83" t="str">
        <f t="shared" si="1"/>
        <v>PD|NewCapacity|RE1|PWRSOLUGE|2023</v>
      </c>
      <c r="B83" t="s">
        <v>16</v>
      </c>
      <c r="C83" t="s">
        <v>17</v>
      </c>
      <c r="D83" t="s">
        <v>37</v>
      </c>
      <c r="E83" t="s">
        <v>19</v>
      </c>
      <c r="F83" t="s">
        <v>33</v>
      </c>
      <c r="O83">
        <v>2023</v>
      </c>
    </row>
    <row r="84" spans="1:16" x14ac:dyDescent="0.3">
      <c r="A84" t="str">
        <f t="shared" si="1"/>
        <v>PD|NewCapacity|RE1|PWRSOLUPE|2023</v>
      </c>
      <c r="B84" t="s">
        <v>16</v>
      </c>
      <c r="C84" t="s">
        <v>17</v>
      </c>
      <c r="D84" t="s">
        <v>37</v>
      </c>
      <c r="E84" t="s">
        <v>19</v>
      </c>
      <c r="F84" t="s">
        <v>34</v>
      </c>
      <c r="O84">
        <v>2023</v>
      </c>
    </row>
    <row r="85" spans="1:16" x14ac:dyDescent="0.3">
      <c r="A85" t="str">
        <f t="shared" si="1"/>
        <v>PD|NewCapacity|RE1|PWRSTD|2023</v>
      </c>
      <c r="B85" t="s">
        <v>16</v>
      </c>
      <c r="C85" t="s">
        <v>17</v>
      </c>
      <c r="D85" t="s">
        <v>37</v>
      </c>
      <c r="E85" t="s">
        <v>19</v>
      </c>
      <c r="F85" t="s">
        <v>35</v>
      </c>
      <c r="O85">
        <v>2023</v>
      </c>
    </row>
    <row r="86" spans="1:16" x14ac:dyDescent="0.3">
      <c r="A86" t="str">
        <f t="shared" si="1"/>
        <v>PD|NewCapacity|RE1|PWRWNDONS|2023</v>
      </c>
      <c r="B86" t="s">
        <v>16</v>
      </c>
      <c r="C86" t="s">
        <v>17</v>
      </c>
      <c r="D86" t="s">
        <v>37</v>
      </c>
      <c r="E86" t="s">
        <v>19</v>
      </c>
      <c r="F86" t="s">
        <v>36</v>
      </c>
      <c r="O86">
        <v>2023</v>
      </c>
    </row>
    <row r="87" spans="1:16" x14ac:dyDescent="0.3">
      <c r="A87" t="str">
        <f t="shared" si="1"/>
        <v>PD|TotalCapacityAnnual|RE1|PWRBGS|2023</v>
      </c>
      <c r="B87" t="s">
        <v>16</v>
      </c>
      <c r="C87" t="s">
        <v>17</v>
      </c>
      <c r="D87" t="s">
        <v>38</v>
      </c>
      <c r="E87" t="s">
        <v>19</v>
      </c>
      <c r="F87" t="s">
        <v>20</v>
      </c>
      <c r="O87">
        <v>2023</v>
      </c>
      <c r="P87">
        <v>2.5488587520000001E-2</v>
      </c>
    </row>
    <row r="88" spans="1:16" x14ac:dyDescent="0.3">
      <c r="A88" t="str">
        <f t="shared" si="1"/>
        <v>PD|TotalCapacityAnnual|RE1|PWRCOA|2023</v>
      </c>
      <c r="B88" t="s">
        <v>16</v>
      </c>
      <c r="C88" t="s">
        <v>17</v>
      </c>
      <c r="D88" t="s">
        <v>38</v>
      </c>
      <c r="E88" t="s">
        <v>19</v>
      </c>
      <c r="F88" t="s">
        <v>21</v>
      </c>
      <c r="O88">
        <v>2023</v>
      </c>
      <c r="P88">
        <v>51.529823999999991</v>
      </c>
    </row>
    <row r="89" spans="1:16" x14ac:dyDescent="0.3">
      <c r="A89" t="str">
        <f t="shared" si="1"/>
        <v>PD|TotalCapacityAnnual|RE1|PWRDSL|2023</v>
      </c>
      <c r="B89" t="s">
        <v>16</v>
      </c>
      <c r="C89" t="s">
        <v>17</v>
      </c>
      <c r="D89" t="s">
        <v>38</v>
      </c>
      <c r="E89" t="s">
        <v>19</v>
      </c>
      <c r="F89" t="s">
        <v>22</v>
      </c>
      <c r="O89">
        <v>2023</v>
      </c>
      <c r="P89">
        <v>28.477008000000001</v>
      </c>
    </row>
    <row r="90" spans="1:16" x14ac:dyDescent="0.3">
      <c r="A90" t="str">
        <f t="shared" si="1"/>
        <v>PD|TotalCapacityAnnual|RE1|PWRFOL|2023</v>
      </c>
      <c r="B90" t="s">
        <v>16</v>
      </c>
      <c r="C90" t="s">
        <v>17</v>
      </c>
      <c r="D90" t="s">
        <v>38</v>
      </c>
      <c r="E90" t="s">
        <v>19</v>
      </c>
      <c r="F90" t="s">
        <v>23</v>
      </c>
      <c r="O90">
        <v>2023</v>
      </c>
      <c r="P90">
        <v>8.3885759999999987</v>
      </c>
    </row>
    <row r="91" spans="1:16" x14ac:dyDescent="0.3">
      <c r="A91" t="str">
        <f t="shared" si="1"/>
        <v>PD|TotalCapacityAnnual|RE1|PWRHYDDAM|2023</v>
      </c>
      <c r="B91" t="s">
        <v>16</v>
      </c>
      <c r="C91" t="s">
        <v>17</v>
      </c>
      <c r="D91" t="s">
        <v>38</v>
      </c>
      <c r="E91" t="s">
        <v>19</v>
      </c>
      <c r="F91" t="s">
        <v>24</v>
      </c>
      <c r="O91">
        <v>2023</v>
      </c>
      <c r="P91">
        <v>364.808448</v>
      </c>
    </row>
    <row r="92" spans="1:16" x14ac:dyDescent="0.3">
      <c r="A92" t="str">
        <f t="shared" si="1"/>
        <v>PD|TotalCapacityAnnual|RE1|PWRHYDROR|2023</v>
      </c>
      <c r="B92" t="s">
        <v>16</v>
      </c>
      <c r="C92" t="s">
        <v>17</v>
      </c>
      <c r="D92" t="s">
        <v>38</v>
      </c>
      <c r="E92" t="s">
        <v>19</v>
      </c>
      <c r="F92" t="s">
        <v>25</v>
      </c>
      <c r="O92">
        <v>2023</v>
      </c>
      <c r="P92">
        <v>21.097584000000001</v>
      </c>
    </row>
    <row r="93" spans="1:16" x14ac:dyDescent="0.3">
      <c r="A93" t="str">
        <f t="shared" si="1"/>
        <v>PD|TotalCapacityAnnual|RE1|PWRHYDROR_NDC|2023</v>
      </c>
      <c r="B93" t="s">
        <v>16</v>
      </c>
      <c r="C93" t="s">
        <v>17</v>
      </c>
      <c r="D93" t="s">
        <v>38</v>
      </c>
      <c r="E93" t="s">
        <v>19</v>
      </c>
      <c r="F93" t="s">
        <v>26</v>
      </c>
      <c r="O93">
        <v>2023</v>
      </c>
      <c r="P93">
        <v>29.33311579199999</v>
      </c>
    </row>
    <row r="94" spans="1:16" x14ac:dyDescent="0.3">
      <c r="A94" t="str">
        <f t="shared" si="1"/>
        <v>PD|TotalCapacityAnnual|RE1|PWRJET|2023</v>
      </c>
      <c r="B94" t="s">
        <v>16</v>
      </c>
      <c r="C94" t="s">
        <v>17</v>
      </c>
      <c r="D94" t="s">
        <v>38</v>
      </c>
      <c r="E94" t="s">
        <v>19</v>
      </c>
      <c r="F94" t="s">
        <v>27</v>
      </c>
      <c r="O94">
        <v>2023</v>
      </c>
      <c r="P94">
        <v>1.5768</v>
      </c>
    </row>
    <row r="95" spans="1:16" x14ac:dyDescent="0.3">
      <c r="A95" t="str">
        <f t="shared" si="1"/>
        <v>PD|TotalCapacityAnnual|RE1|PWRLPG|2023</v>
      </c>
      <c r="B95" t="s">
        <v>16</v>
      </c>
      <c r="C95" t="s">
        <v>17</v>
      </c>
      <c r="D95" t="s">
        <v>38</v>
      </c>
      <c r="E95" t="s">
        <v>19</v>
      </c>
      <c r="F95" t="s">
        <v>28</v>
      </c>
      <c r="O95">
        <v>2023</v>
      </c>
    </row>
    <row r="96" spans="1:16" x14ac:dyDescent="0.3">
      <c r="A96" t="str">
        <f t="shared" si="1"/>
        <v>PD|TotalCapacityAnnual|RE1|PWRNGS_CC|2023</v>
      </c>
      <c r="B96" t="s">
        <v>16</v>
      </c>
      <c r="C96" t="s">
        <v>17</v>
      </c>
      <c r="D96" t="s">
        <v>38</v>
      </c>
      <c r="E96" t="s">
        <v>19</v>
      </c>
      <c r="F96" t="s">
        <v>29</v>
      </c>
      <c r="O96">
        <v>2023</v>
      </c>
      <c r="P96">
        <v>70.104500000000002</v>
      </c>
    </row>
    <row r="97" spans="1:16" x14ac:dyDescent="0.3">
      <c r="A97" t="str">
        <f t="shared" si="1"/>
        <v>PD|TotalCapacityAnnual|RE1|PWRNGS_CS|2023</v>
      </c>
      <c r="B97" t="s">
        <v>16</v>
      </c>
      <c r="C97" t="s">
        <v>17</v>
      </c>
      <c r="D97" t="s">
        <v>38</v>
      </c>
      <c r="E97" t="s">
        <v>19</v>
      </c>
      <c r="F97" t="s">
        <v>30</v>
      </c>
      <c r="O97">
        <v>2023</v>
      </c>
      <c r="P97">
        <v>23.967359999999999</v>
      </c>
    </row>
    <row r="98" spans="1:16" x14ac:dyDescent="0.3">
      <c r="A98" t="str">
        <f t="shared" si="1"/>
        <v>PD|TotalCapacityAnnual|RE1|PWRSOLRTP|2023</v>
      </c>
      <c r="B98" t="s">
        <v>16</v>
      </c>
      <c r="C98" t="s">
        <v>17</v>
      </c>
      <c r="D98" t="s">
        <v>38</v>
      </c>
      <c r="E98" t="s">
        <v>19</v>
      </c>
      <c r="F98" t="s">
        <v>31</v>
      </c>
      <c r="O98">
        <v>2023</v>
      </c>
      <c r="P98">
        <v>6.8997654720000003</v>
      </c>
    </row>
    <row r="99" spans="1:16" x14ac:dyDescent="0.3">
      <c r="A99" t="str">
        <f t="shared" si="1"/>
        <v>PD|TotalCapacityAnnual|RE1|PWRSOLRTP_ZNI|2023</v>
      </c>
      <c r="B99" t="s">
        <v>16</v>
      </c>
      <c r="C99" t="s">
        <v>17</v>
      </c>
      <c r="D99" t="s">
        <v>38</v>
      </c>
      <c r="E99" t="s">
        <v>19</v>
      </c>
      <c r="F99" t="s">
        <v>32</v>
      </c>
      <c r="O99">
        <v>2023</v>
      </c>
      <c r="P99">
        <v>0.46074095999999998</v>
      </c>
    </row>
    <row r="100" spans="1:16" x14ac:dyDescent="0.3">
      <c r="A100" t="str">
        <f t="shared" si="1"/>
        <v>PD|TotalCapacityAnnual|RE1|PWRSOLUGE|2023</v>
      </c>
      <c r="B100" t="s">
        <v>16</v>
      </c>
      <c r="C100" t="s">
        <v>17</v>
      </c>
      <c r="D100" t="s">
        <v>38</v>
      </c>
      <c r="E100" t="s">
        <v>19</v>
      </c>
      <c r="F100" t="s">
        <v>33</v>
      </c>
      <c r="O100">
        <v>2023</v>
      </c>
      <c r="P100">
        <v>33.270480000000013</v>
      </c>
    </row>
    <row r="101" spans="1:16" x14ac:dyDescent="0.3">
      <c r="A101" t="str">
        <f t="shared" si="1"/>
        <v>PD|TotalCapacityAnnual|RE1|PWRSOLUPE|2023</v>
      </c>
      <c r="B101" t="s">
        <v>16</v>
      </c>
      <c r="C101" t="s">
        <v>17</v>
      </c>
      <c r="D101" t="s">
        <v>38</v>
      </c>
      <c r="E101" t="s">
        <v>19</v>
      </c>
      <c r="F101" t="s">
        <v>34</v>
      </c>
      <c r="O101">
        <v>2023</v>
      </c>
      <c r="P101">
        <v>13.851115776</v>
      </c>
    </row>
    <row r="102" spans="1:16" x14ac:dyDescent="0.3">
      <c r="A102" t="str">
        <f t="shared" si="1"/>
        <v>PD|TotalCapacityAnnual|RE1|PWRSTD|2023</v>
      </c>
      <c r="B102" t="s">
        <v>16</v>
      </c>
      <c r="C102" t="s">
        <v>17</v>
      </c>
      <c r="D102" t="s">
        <v>38</v>
      </c>
      <c r="E102" t="s">
        <v>19</v>
      </c>
      <c r="F102" t="s">
        <v>35</v>
      </c>
      <c r="O102">
        <v>2023</v>
      </c>
      <c r="P102">
        <v>8.163062064</v>
      </c>
    </row>
    <row r="103" spans="1:16" x14ac:dyDescent="0.3">
      <c r="A103" t="str">
        <f t="shared" si="1"/>
        <v>PD|TotalCapacityAnnual|RE1|PWRWNDONS|2023</v>
      </c>
      <c r="B103" t="s">
        <v>16</v>
      </c>
      <c r="C103" t="s">
        <v>17</v>
      </c>
      <c r="D103" t="s">
        <v>38</v>
      </c>
      <c r="E103" t="s">
        <v>19</v>
      </c>
      <c r="F103" t="s">
        <v>36</v>
      </c>
      <c r="O103">
        <v>2023</v>
      </c>
      <c r="P103">
        <v>1.6468099199999999</v>
      </c>
    </row>
    <row r="104" spans="1:16" x14ac:dyDescent="0.3">
      <c r="A104" t="str">
        <f t="shared" si="1"/>
        <v>PD|AccumulatedNewCapacity|RE1|PWRBGS|2024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O104">
        <v>2024</v>
      </c>
    </row>
    <row r="105" spans="1:16" x14ac:dyDescent="0.3">
      <c r="A105" t="str">
        <f t="shared" si="1"/>
        <v>PD|AccumulatedNewCapacity|RE1|PWRCOA|2024</v>
      </c>
      <c r="B105" t="s">
        <v>16</v>
      </c>
      <c r="C105" t="s">
        <v>17</v>
      </c>
      <c r="D105" t="s">
        <v>18</v>
      </c>
      <c r="E105" t="s">
        <v>19</v>
      </c>
      <c r="F105" t="s">
        <v>21</v>
      </c>
      <c r="O105">
        <v>2024</v>
      </c>
    </row>
    <row r="106" spans="1:16" x14ac:dyDescent="0.3">
      <c r="A106" t="str">
        <f t="shared" si="1"/>
        <v>PD|AccumulatedNewCapacity|RE1|PWRDSL|2024</v>
      </c>
      <c r="B106" t="s">
        <v>16</v>
      </c>
      <c r="C106" t="s">
        <v>17</v>
      </c>
      <c r="D106" t="s">
        <v>18</v>
      </c>
      <c r="E106" t="s">
        <v>19</v>
      </c>
      <c r="F106" t="s">
        <v>22</v>
      </c>
      <c r="O106">
        <v>2024</v>
      </c>
    </row>
    <row r="107" spans="1:16" x14ac:dyDescent="0.3">
      <c r="A107" t="str">
        <f t="shared" si="1"/>
        <v>PD|AccumulatedNewCapacity|RE1|PWRFOL|2024</v>
      </c>
      <c r="B107" t="s">
        <v>16</v>
      </c>
      <c r="C107" t="s">
        <v>17</v>
      </c>
      <c r="D107" t="s">
        <v>18</v>
      </c>
      <c r="E107" t="s">
        <v>19</v>
      </c>
      <c r="F107" t="s">
        <v>23</v>
      </c>
      <c r="O107">
        <v>2024</v>
      </c>
    </row>
    <row r="108" spans="1:16" x14ac:dyDescent="0.3">
      <c r="A108" t="str">
        <f t="shared" si="1"/>
        <v>PD|AccumulatedNewCapacity|RE1|PWRHYDDAM|2024</v>
      </c>
      <c r="B108" t="s">
        <v>16</v>
      </c>
      <c r="C108" t="s">
        <v>17</v>
      </c>
      <c r="D108" t="s">
        <v>18</v>
      </c>
      <c r="E108" t="s">
        <v>19</v>
      </c>
      <c r="F108" t="s">
        <v>24</v>
      </c>
      <c r="O108">
        <v>2024</v>
      </c>
    </row>
    <row r="109" spans="1:16" x14ac:dyDescent="0.3">
      <c r="A109" t="str">
        <f t="shared" si="1"/>
        <v>PD|AccumulatedNewCapacity|RE1|PWRHYDROR|2024</v>
      </c>
      <c r="B109" t="s">
        <v>16</v>
      </c>
      <c r="C109" t="s">
        <v>17</v>
      </c>
      <c r="D109" t="s">
        <v>18</v>
      </c>
      <c r="E109" t="s">
        <v>19</v>
      </c>
      <c r="F109" t="s">
        <v>25</v>
      </c>
      <c r="O109">
        <v>2024</v>
      </c>
    </row>
    <row r="110" spans="1:16" x14ac:dyDescent="0.3">
      <c r="A110" t="str">
        <f t="shared" si="1"/>
        <v>PD|AccumulatedNewCapacity|RE1|PWRHYDROR_NDC|2024</v>
      </c>
      <c r="B110" t="s">
        <v>16</v>
      </c>
      <c r="C110" t="s">
        <v>17</v>
      </c>
      <c r="D110" t="s">
        <v>18</v>
      </c>
      <c r="E110" t="s">
        <v>19</v>
      </c>
      <c r="F110" t="s">
        <v>26</v>
      </c>
      <c r="O110">
        <v>2024</v>
      </c>
    </row>
    <row r="111" spans="1:16" x14ac:dyDescent="0.3">
      <c r="A111" t="str">
        <f t="shared" si="1"/>
        <v>PD|AccumulatedNewCapacity|RE1|PWRJET|2024</v>
      </c>
      <c r="B111" t="s">
        <v>16</v>
      </c>
      <c r="C111" t="s">
        <v>17</v>
      </c>
      <c r="D111" t="s">
        <v>18</v>
      </c>
      <c r="E111" t="s">
        <v>19</v>
      </c>
      <c r="F111" t="s">
        <v>27</v>
      </c>
      <c r="O111">
        <v>2024</v>
      </c>
    </row>
    <row r="112" spans="1:16" x14ac:dyDescent="0.3">
      <c r="A112" t="str">
        <f t="shared" si="1"/>
        <v>PD|AccumulatedNewCapacity|RE1|PWRLPG|2024</v>
      </c>
      <c r="B112" t="s">
        <v>16</v>
      </c>
      <c r="C112" t="s">
        <v>17</v>
      </c>
      <c r="D112" t="s">
        <v>18</v>
      </c>
      <c r="E112" t="s">
        <v>19</v>
      </c>
      <c r="F112" t="s">
        <v>28</v>
      </c>
      <c r="O112">
        <v>2024</v>
      </c>
    </row>
    <row r="113" spans="1:15" x14ac:dyDescent="0.3">
      <c r="A113" t="str">
        <f t="shared" si="1"/>
        <v>PD|AccumulatedNewCapacity|RE1|PWRNGS_CC|2024</v>
      </c>
      <c r="B113" t="s">
        <v>16</v>
      </c>
      <c r="C113" t="s">
        <v>17</v>
      </c>
      <c r="D113" t="s">
        <v>18</v>
      </c>
      <c r="E113" t="s">
        <v>19</v>
      </c>
      <c r="F113" t="s">
        <v>29</v>
      </c>
      <c r="O113">
        <v>2024</v>
      </c>
    </row>
    <row r="114" spans="1:15" x14ac:dyDescent="0.3">
      <c r="A114" t="str">
        <f t="shared" si="1"/>
        <v>PD|AccumulatedNewCapacity|RE1|PWRNGS_CS|2024</v>
      </c>
      <c r="B114" t="s">
        <v>16</v>
      </c>
      <c r="C114" t="s">
        <v>17</v>
      </c>
      <c r="D114" t="s">
        <v>18</v>
      </c>
      <c r="E114" t="s">
        <v>19</v>
      </c>
      <c r="F114" t="s">
        <v>30</v>
      </c>
      <c r="O114">
        <v>2024</v>
      </c>
    </row>
    <row r="115" spans="1:15" x14ac:dyDescent="0.3">
      <c r="A115" t="str">
        <f t="shared" si="1"/>
        <v>PD|AccumulatedNewCapacity|RE1|PWRSOLRTP|2024</v>
      </c>
      <c r="B115" t="s">
        <v>16</v>
      </c>
      <c r="C115" t="s">
        <v>17</v>
      </c>
      <c r="D115" t="s">
        <v>18</v>
      </c>
      <c r="E115" t="s">
        <v>19</v>
      </c>
      <c r="F115" t="s">
        <v>31</v>
      </c>
      <c r="O115">
        <v>2024</v>
      </c>
    </row>
    <row r="116" spans="1:15" x14ac:dyDescent="0.3">
      <c r="A116" t="str">
        <f t="shared" si="1"/>
        <v>PD|AccumulatedNewCapacity|RE1|PWRSOLRTP_ZNI|2024</v>
      </c>
      <c r="B116" t="s">
        <v>16</v>
      </c>
      <c r="C116" t="s">
        <v>17</v>
      </c>
      <c r="D116" t="s">
        <v>18</v>
      </c>
      <c r="E116" t="s">
        <v>19</v>
      </c>
      <c r="F116" t="s">
        <v>32</v>
      </c>
      <c r="O116">
        <v>2024</v>
      </c>
    </row>
    <row r="117" spans="1:15" x14ac:dyDescent="0.3">
      <c r="A117" t="str">
        <f t="shared" si="1"/>
        <v>PD|AccumulatedNewCapacity|RE1|PWRSOLUGE|2024</v>
      </c>
      <c r="B117" t="s">
        <v>16</v>
      </c>
      <c r="C117" t="s">
        <v>17</v>
      </c>
      <c r="D117" t="s">
        <v>18</v>
      </c>
      <c r="E117" t="s">
        <v>19</v>
      </c>
      <c r="F117" t="s">
        <v>33</v>
      </c>
      <c r="O117">
        <v>2024</v>
      </c>
    </row>
    <row r="118" spans="1:15" x14ac:dyDescent="0.3">
      <c r="A118" t="str">
        <f t="shared" si="1"/>
        <v>PD|AccumulatedNewCapacity|RE1|PWRSOLUPE|2024</v>
      </c>
      <c r="B118" t="s">
        <v>16</v>
      </c>
      <c r="C118" t="s">
        <v>17</v>
      </c>
      <c r="D118" t="s">
        <v>18</v>
      </c>
      <c r="E118" t="s">
        <v>19</v>
      </c>
      <c r="F118" t="s">
        <v>34</v>
      </c>
      <c r="O118">
        <v>2024</v>
      </c>
    </row>
    <row r="119" spans="1:15" x14ac:dyDescent="0.3">
      <c r="A119" t="str">
        <f t="shared" si="1"/>
        <v>PD|AccumulatedNewCapacity|RE1|PWRSTD|2024</v>
      </c>
      <c r="B119" t="s">
        <v>16</v>
      </c>
      <c r="C119" t="s">
        <v>17</v>
      </c>
      <c r="D119" t="s">
        <v>18</v>
      </c>
      <c r="E119" t="s">
        <v>19</v>
      </c>
      <c r="F119" t="s">
        <v>35</v>
      </c>
      <c r="O119">
        <v>2024</v>
      </c>
    </row>
    <row r="120" spans="1:15" x14ac:dyDescent="0.3">
      <c r="A120" t="str">
        <f t="shared" si="1"/>
        <v>PD|AccumulatedNewCapacity|RE1|PWRWNDONS|2024</v>
      </c>
      <c r="B120" t="s">
        <v>16</v>
      </c>
      <c r="C120" t="s">
        <v>17</v>
      </c>
      <c r="D120" t="s">
        <v>18</v>
      </c>
      <c r="E120" t="s">
        <v>19</v>
      </c>
      <c r="F120" t="s">
        <v>36</v>
      </c>
      <c r="O120">
        <v>2024</v>
      </c>
    </row>
    <row r="121" spans="1:15" x14ac:dyDescent="0.3">
      <c r="A121" t="str">
        <f t="shared" si="1"/>
        <v>PD|NewCapacity|RE1|PWRBGS|2024</v>
      </c>
      <c r="B121" t="s">
        <v>16</v>
      </c>
      <c r="C121" t="s">
        <v>17</v>
      </c>
      <c r="D121" t="s">
        <v>37</v>
      </c>
      <c r="E121" t="s">
        <v>19</v>
      </c>
      <c r="F121" t="s">
        <v>20</v>
      </c>
      <c r="O121">
        <v>2024</v>
      </c>
    </row>
    <row r="122" spans="1:15" x14ac:dyDescent="0.3">
      <c r="A122" t="str">
        <f t="shared" si="1"/>
        <v>PD|NewCapacity|RE1|PWRCOA|2024</v>
      </c>
      <c r="B122" t="s">
        <v>16</v>
      </c>
      <c r="C122" t="s">
        <v>17</v>
      </c>
      <c r="D122" t="s">
        <v>37</v>
      </c>
      <c r="E122" t="s">
        <v>19</v>
      </c>
      <c r="F122" t="s">
        <v>21</v>
      </c>
      <c r="O122">
        <v>2024</v>
      </c>
    </row>
    <row r="123" spans="1:15" x14ac:dyDescent="0.3">
      <c r="A123" t="str">
        <f t="shared" si="1"/>
        <v>PD|NewCapacity|RE1|PWRDSL|2024</v>
      </c>
      <c r="B123" t="s">
        <v>16</v>
      </c>
      <c r="C123" t="s">
        <v>17</v>
      </c>
      <c r="D123" t="s">
        <v>37</v>
      </c>
      <c r="E123" t="s">
        <v>19</v>
      </c>
      <c r="F123" t="s">
        <v>22</v>
      </c>
      <c r="O123">
        <v>2024</v>
      </c>
    </row>
    <row r="124" spans="1:15" x14ac:dyDescent="0.3">
      <c r="A124" t="str">
        <f t="shared" si="1"/>
        <v>PD|NewCapacity|RE1|PWRFOL|2024</v>
      </c>
      <c r="B124" t="s">
        <v>16</v>
      </c>
      <c r="C124" t="s">
        <v>17</v>
      </c>
      <c r="D124" t="s">
        <v>37</v>
      </c>
      <c r="E124" t="s">
        <v>19</v>
      </c>
      <c r="F124" t="s">
        <v>23</v>
      </c>
      <c r="O124">
        <v>2024</v>
      </c>
    </row>
    <row r="125" spans="1:15" x14ac:dyDescent="0.3">
      <c r="A125" t="str">
        <f t="shared" si="1"/>
        <v>PD|NewCapacity|RE1|PWRHYDDAM|2024</v>
      </c>
      <c r="B125" t="s">
        <v>16</v>
      </c>
      <c r="C125" t="s">
        <v>17</v>
      </c>
      <c r="D125" t="s">
        <v>37</v>
      </c>
      <c r="E125" t="s">
        <v>19</v>
      </c>
      <c r="F125" t="s">
        <v>24</v>
      </c>
      <c r="O125">
        <v>2024</v>
      </c>
    </row>
    <row r="126" spans="1:15" x14ac:dyDescent="0.3">
      <c r="A126" t="str">
        <f t="shared" si="1"/>
        <v>PD|NewCapacity|RE1|PWRHYDROR|2024</v>
      </c>
      <c r="B126" t="s">
        <v>16</v>
      </c>
      <c r="C126" t="s">
        <v>17</v>
      </c>
      <c r="D126" t="s">
        <v>37</v>
      </c>
      <c r="E126" t="s">
        <v>19</v>
      </c>
      <c r="F126" t="s">
        <v>25</v>
      </c>
      <c r="O126">
        <v>2024</v>
      </c>
    </row>
    <row r="127" spans="1:15" x14ac:dyDescent="0.3">
      <c r="A127" t="str">
        <f t="shared" si="1"/>
        <v>PD|NewCapacity|RE1|PWRHYDROR_NDC|2024</v>
      </c>
      <c r="B127" t="s">
        <v>16</v>
      </c>
      <c r="C127" t="s">
        <v>17</v>
      </c>
      <c r="D127" t="s">
        <v>37</v>
      </c>
      <c r="E127" t="s">
        <v>19</v>
      </c>
      <c r="F127" t="s">
        <v>26</v>
      </c>
      <c r="O127">
        <v>2024</v>
      </c>
    </row>
    <row r="128" spans="1:15" x14ac:dyDescent="0.3">
      <c r="A128" t="str">
        <f t="shared" si="1"/>
        <v>PD|NewCapacity|RE1|PWRJET|2024</v>
      </c>
      <c r="B128" t="s">
        <v>16</v>
      </c>
      <c r="C128" t="s">
        <v>17</v>
      </c>
      <c r="D128" t="s">
        <v>37</v>
      </c>
      <c r="E128" t="s">
        <v>19</v>
      </c>
      <c r="F128" t="s">
        <v>27</v>
      </c>
      <c r="O128">
        <v>2024</v>
      </c>
    </row>
    <row r="129" spans="1:16" x14ac:dyDescent="0.3">
      <c r="A129" t="str">
        <f t="shared" si="1"/>
        <v>PD|NewCapacity|RE1|PWRLPG|2024</v>
      </c>
      <c r="B129" t="s">
        <v>16</v>
      </c>
      <c r="C129" t="s">
        <v>17</v>
      </c>
      <c r="D129" t="s">
        <v>37</v>
      </c>
      <c r="E129" t="s">
        <v>19</v>
      </c>
      <c r="F129" t="s">
        <v>28</v>
      </c>
      <c r="O129">
        <v>2024</v>
      </c>
    </row>
    <row r="130" spans="1:16" x14ac:dyDescent="0.3">
      <c r="A130" t="str">
        <f t="shared" ref="A130:A193" si="2">B130&amp;"|"&amp;D130&amp;"|"&amp;E130&amp;"|"&amp;F130&amp;"|"&amp;O130</f>
        <v>PD|NewCapacity|RE1|PWRNGS_CC|2024</v>
      </c>
      <c r="B130" t="s">
        <v>16</v>
      </c>
      <c r="C130" t="s">
        <v>17</v>
      </c>
      <c r="D130" t="s">
        <v>37</v>
      </c>
      <c r="E130" t="s">
        <v>19</v>
      </c>
      <c r="F130" t="s">
        <v>29</v>
      </c>
      <c r="O130">
        <v>2024</v>
      </c>
    </row>
    <row r="131" spans="1:16" x14ac:dyDescent="0.3">
      <c r="A131" t="str">
        <f t="shared" si="2"/>
        <v>PD|NewCapacity|RE1|PWRNGS_CS|2024</v>
      </c>
      <c r="B131" t="s">
        <v>16</v>
      </c>
      <c r="C131" t="s">
        <v>17</v>
      </c>
      <c r="D131" t="s">
        <v>37</v>
      </c>
      <c r="E131" t="s">
        <v>19</v>
      </c>
      <c r="F131" t="s">
        <v>30</v>
      </c>
      <c r="O131">
        <v>2024</v>
      </c>
    </row>
    <row r="132" spans="1:16" x14ac:dyDescent="0.3">
      <c r="A132" t="str">
        <f t="shared" si="2"/>
        <v>PD|NewCapacity|RE1|PWRSOLRTP|2024</v>
      </c>
      <c r="B132" t="s">
        <v>16</v>
      </c>
      <c r="C132" t="s">
        <v>17</v>
      </c>
      <c r="D132" t="s">
        <v>37</v>
      </c>
      <c r="E132" t="s">
        <v>19</v>
      </c>
      <c r="F132" t="s">
        <v>31</v>
      </c>
      <c r="O132">
        <v>2024</v>
      </c>
    </row>
    <row r="133" spans="1:16" x14ac:dyDescent="0.3">
      <c r="A133" t="str">
        <f t="shared" si="2"/>
        <v>PD|NewCapacity|RE1|PWRSOLRTP_ZNI|2024</v>
      </c>
      <c r="B133" t="s">
        <v>16</v>
      </c>
      <c r="C133" t="s">
        <v>17</v>
      </c>
      <c r="D133" t="s">
        <v>37</v>
      </c>
      <c r="E133" t="s">
        <v>19</v>
      </c>
      <c r="F133" t="s">
        <v>32</v>
      </c>
      <c r="O133">
        <v>2024</v>
      </c>
    </row>
    <row r="134" spans="1:16" x14ac:dyDescent="0.3">
      <c r="A134" t="str">
        <f t="shared" si="2"/>
        <v>PD|NewCapacity|RE1|PWRSOLUGE|2024</v>
      </c>
      <c r="B134" t="s">
        <v>16</v>
      </c>
      <c r="C134" t="s">
        <v>17</v>
      </c>
      <c r="D134" t="s">
        <v>37</v>
      </c>
      <c r="E134" t="s">
        <v>19</v>
      </c>
      <c r="F134" t="s">
        <v>33</v>
      </c>
      <c r="O134">
        <v>2024</v>
      </c>
    </row>
    <row r="135" spans="1:16" x14ac:dyDescent="0.3">
      <c r="A135" t="str">
        <f t="shared" si="2"/>
        <v>PD|NewCapacity|RE1|PWRSOLUPE|2024</v>
      </c>
      <c r="B135" t="s">
        <v>16</v>
      </c>
      <c r="C135" t="s">
        <v>17</v>
      </c>
      <c r="D135" t="s">
        <v>37</v>
      </c>
      <c r="E135" t="s">
        <v>19</v>
      </c>
      <c r="F135" t="s">
        <v>34</v>
      </c>
      <c r="O135">
        <v>2024</v>
      </c>
    </row>
    <row r="136" spans="1:16" x14ac:dyDescent="0.3">
      <c r="A136" t="str">
        <f t="shared" si="2"/>
        <v>PD|NewCapacity|RE1|PWRSTD|2024</v>
      </c>
      <c r="B136" t="s">
        <v>16</v>
      </c>
      <c r="C136" t="s">
        <v>17</v>
      </c>
      <c r="D136" t="s">
        <v>37</v>
      </c>
      <c r="E136" t="s">
        <v>19</v>
      </c>
      <c r="F136" t="s">
        <v>35</v>
      </c>
      <c r="O136">
        <v>2024</v>
      </c>
    </row>
    <row r="137" spans="1:16" x14ac:dyDescent="0.3">
      <c r="A137" t="str">
        <f t="shared" si="2"/>
        <v>PD|NewCapacity|RE1|PWRWNDONS|2024</v>
      </c>
      <c r="B137" t="s">
        <v>16</v>
      </c>
      <c r="C137" t="s">
        <v>17</v>
      </c>
      <c r="D137" t="s">
        <v>37</v>
      </c>
      <c r="E137" t="s">
        <v>19</v>
      </c>
      <c r="F137" t="s">
        <v>36</v>
      </c>
      <c r="O137">
        <v>2024</v>
      </c>
    </row>
    <row r="138" spans="1:16" x14ac:dyDescent="0.3">
      <c r="A138" t="str">
        <f t="shared" si="2"/>
        <v>PD|TotalCapacityAnnual|RE1|PWRBGS|2024</v>
      </c>
      <c r="B138" t="s">
        <v>16</v>
      </c>
      <c r="C138" t="s">
        <v>17</v>
      </c>
      <c r="D138" t="s">
        <v>38</v>
      </c>
      <c r="E138" t="s">
        <v>19</v>
      </c>
      <c r="F138" t="s">
        <v>20</v>
      </c>
      <c r="O138">
        <v>2024</v>
      </c>
      <c r="P138">
        <v>2.5488587520000001E-2</v>
      </c>
    </row>
    <row r="139" spans="1:16" x14ac:dyDescent="0.3">
      <c r="A139" t="str">
        <f t="shared" si="2"/>
        <v>PD|TotalCapacityAnnual|RE1|PWRCOA|2024</v>
      </c>
      <c r="B139" t="s">
        <v>16</v>
      </c>
      <c r="C139" t="s">
        <v>17</v>
      </c>
      <c r="D139" t="s">
        <v>38</v>
      </c>
      <c r="E139" t="s">
        <v>19</v>
      </c>
      <c r="F139" t="s">
        <v>21</v>
      </c>
      <c r="O139">
        <v>2024</v>
      </c>
      <c r="P139">
        <v>50.867567999999991</v>
      </c>
    </row>
    <row r="140" spans="1:16" x14ac:dyDescent="0.3">
      <c r="A140" t="str">
        <f t="shared" si="2"/>
        <v>PD|TotalCapacityAnnual|RE1|PWRDSL|2024</v>
      </c>
      <c r="B140" t="s">
        <v>16</v>
      </c>
      <c r="C140" t="s">
        <v>17</v>
      </c>
      <c r="D140" t="s">
        <v>38</v>
      </c>
      <c r="E140" t="s">
        <v>19</v>
      </c>
      <c r="F140" t="s">
        <v>22</v>
      </c>
      <c r="O140">
        <v>2024</v>
      </c>
      <c r="P140">
        <v>28.477008000000001</v>
      </c>
    </row>
    <row r="141" spans="1:16" x14ac:dyDescent="0.3">
      <c r="A141" t="str">
        <f t="shared" si="2"/>
        <v>PD|TotalCapacityAnnual|RE1|PWRFOL|2024</v>
      </c>
      <c r="B141" t="s">
        <v>16</v>
      </c>
      <c r="C141" t="s">
        <v>17</v>
      </c>
      <c r="D141" t="s">
        <v>38</v>
      </c>
      <c r="E141" t="s">
        <v>19</v>
      </c>
      <c r="F141" t="s">
        <v>23</v>
      </c>
      <c r="O141">
        <v>2024</v>
      </c>
      <c r="P141">
        <v>8.3885759999999987</v>
      </c>
    </row>
    <row r="142" spans="1:16" x14ac:dyDescent="0.3">
      <c r="A142" t="str">
        <f t="shared" si="2"/>
        <v>PD|TotalCapacityAnnual|RE1|PWRHYDDAM|2024</v>
      </c>
      <c r="B142" t="s">
        <v>16</v>
      </c>
      <c r="C142" t="s">
        <v>17</v>
      </c>
      <c r="D142" t="s">
        <v>38</v>
      </c>
      <c r="E142" t="s">
        <v>19</v>
      </c>
      <c r="F142" t="s">
        <v>24</v>
      </c>
      <c r="O142">
        <v>2024</v>
      </c>
      <c r="P142">
        <v>364.808448</v>
      </c>
    </row>
    <row r="143" spans="1:16" x14ac:dyDescent="0.3">
      <c r="A143" t="str">
        <f t="shared" si="2"/>
        <v>PD|TotalCapacityAnnual|RE1|PWRHYDROR|2024</v>
      </c>
      <c r="B143" t="s">
        <v>16</v>
      </c>
      <c r="C143" t="s">
        <v>17</v>
      </c>
      <c r="D143" t="s">
        <v>38</v>
      </c>
      <c r="E143" t="s">
        <v>19</v>
      </c>
      <c r="F143" t="s">
        <v>25</v>
      </c>
      <c r="O143">
        <v>2024</v>
      </c>
      <c r="P143">
        <v>21.097584000000001</v>
      </c>
    </row>
    <row r="144" spans="1:16" x14ac:dyDescent="0.3">
      <c r="A144" t="str">
        <f t="shared" si="2"/>
        <v>PD|TotalCapacityAnnual|RE1|PWRHYDROR_NDC|2024</v>
      </c>
      <c r="B144" t="s">
        <v>16</v>
      </c>
      <c r="C144" t="s">
        <v>17</v>
      </c>
      <c r="D144" t="s">
        <v>38</v>
      </c>
      <c r="E144" t="s">
        <v>19</v>
      </c>
      <c r="F144" t="s">
        <v>26</v>
      </c>
      <c r="O144">
        <v>2024</v>
      </c>
      <c r="P144">
        <v>29.725108271999989</v>
      </c>
    </row>
    <row r="145" spans="1:16" x14ac:dyDescent="0.3">
      <c r="A145" t="str">
        <f t="shared" si="2"/>
        <v>PD|TotalCapacityAnnual|RE1|PWRJET|2024</v>
      </c>
      <c r="B145" t="s">
        <v>16</v>
      </c>
      <c r="C145" t="s">
        <v>17</v>
      </c>
      <c r="D145" t="s">
        <v>38</v>
      </c>
      <c r="E145" t="s">
        <v>19</v>
      </c>
      <c r="F145" t="s">
        <v>27</v>
      </c>
      <c r="O145">
        <v>2024</v>
      </c>
      <c r="P145">
        <v>1.5768</v>
      </c>
    </row>
    <row r="146" spans="1:16" x14ac:dyDescent="0.3">
      <c r="A146" t="str">
        <f t="shared" si="2"/>
        <v>PD|TotalCapacityAnnual|RE1|PWRLPG|2024</v>
      </c>
      <c r="B146" t="s">
        <v>16</v>
      </c>
      <c r="C146" t="s">
        <v>17</v>
      </c>
      <c r="D146" t="s">
        <v>38</v>
      </c>
      <c r="E146" t="s">
        <v>19</v>
      </c>
      <c r="F146" t="s">
        <v>28</v>
      </c>
      <c r="O146">
        <v>2024</v>
      </c>
      <c r="P146">
        <v>1.639872</v>
      </c>
    </row>
    <row r="147" spans="1:16" x14ac:dyDescent="0.3">
      <c r="A147" t="str">
        <f t="shared" si="2"/>
        <v>PD|TotalCapacityAnnual|RE1|PWRNGS_CC|2024</v>
      </c>
      <c r="B147" t="s">
        <v>16</v>
      </c>
      <c r="C147" t="s">
        <v>17</v>
      </c>
      <c r="D147" t="s">
        <v>38</v>
      </c>
      <c r="E147" t="s">
        <v>19</v>
      </c>
      <c r="F147" t="s">
        <v>29</v>
      </c>
      <c r="O147">
        <v>2024</v>
      </c>
      <c r="P147">
        <v>70.104500000000002</v>
      </c>
    </row>
    <row r="148" spans="1:16" x14ac:dyDescent="0.3">
      <c r="A148" t="str">
        <f t="shared" si="2"/>
        <v>PD|TotalCapacityAnnual|RE1|PWRNGS_CS|2024</v>
      </c>
      <c r="B148" t="s">
        <v>16</v>
      </c>
      <c r="C148" t="s">
        <v>17</v>
      </c>
      <c r="D148" t="s">
        <v>38</v>
      </c>
      <c r="E148" t="s">
        <v>19</v>
      </c>
      <c r="F148" t="s">
        <v>30</v>
      </c>
      <c r="O148">
        <v>2024</v>
      </c>
      <c r="P148">
        <v>23.967359999999999</v>
      </c>
    </row>
    <row r="149" spans="1:16" x14ac:dyDescent="0.3">
      <c r="A149" t="str">
        <f t="shared" si="2"/>
        <v>PD|TotalCapacityAnnual|RE1|PWRSOLRTP|2024</v>
      </c>
      <c r="B149" t="s">
        <v>16</v>
      </c>
      <c r="C149" t="s">
        <v>17</v>
      </c>
      <c r="D149" t="s">
        <v>38</v>
      </c>
      <c r="E149" t="s">
        <v>19</v>
      </c>
      <c r="F149" t="s">
        <v>31</v>
      </c>
      <c r="O149">
        <v>2024</v>
      </c>
      <c r="P149">
        <v>12.221806689999999</v>
      </c>
    </row>
    <row r="150" spans="1:16" x14ac:dyDescent="0.3">
      <c r="A150" t="str">
        <f t="shared" si="2"/>
        <v>PD|TotalCapacityAnnual|RE1|PWRSOLRTP_ZNI|2024</v>
      </c>
      <c r="B150" t="s">
        <v>16</v>
      </c>
      <c r="C150" t="s">
        <v>17</v>
      </c>
      <c r="D150" t="s">
        <v>38</v>
      </c>
      <c r="E150" t="s">
        <v>19</v>
      </c>
      <c r="F150" t="s">
        <v>32</v>
      </c>
      <c r="O150">
        <v>2024</v>
      </c>
      <c r="P150">
        <v>0.46074095999999998</v>
      </c>
    </row>
    <row r="151" spans="1:16" x14ac:dyDescent="0.3">
      <c r="A151" t="str">
        <f t="shared" si="2"/>
        <v>PD|TotalCapacityAnnual|RE1|PWRSOLUGE|2024</v>
      </c>
      <c r="B151" t="s">
        <v>16</v>
      </c>
      <c r="C151" t="s">
        <v>17</v>
      </c>
      <c r="D151" t="s">
        <v>38</v>
      </c>
      <c r="E151" t="s">
        <v>19</v>
      </c>
      <c r="F151" t="s">
        <v>33</v>
      </c>
      <c r="O151">
        <v>2024</v>
      </c>
      <c r="P151">
        <v>43.351908480000013</v>
      </c>
    </row>
    <row r="152" spans="1:16" x14ac:dyDescent="0.3">
      <c r="A152" t="str">
        <f t="shared" si="2"/>
        <v>PD|TotalCapacityAnnual|RE1|PWRSOLUPE|2024</v>
      </c>
      <c r="B152" t="s">
        <v>16</v>
      </c>
      <c r="C152" t="s">
        <v>17</v>
      </c>
      <c r="D152" t="s">
        <v>38</v>
      </c>
      <c r="E152" t="s">
        <v>19</v>
      </c>
      <c r="F152" t="s">
        <v>34</v>
      </c>
      <c r="O152">
        <v>2024</v>
      </c>
      <c r="P152">
        <v>25.36330104</v>
      </c>
    </row>
    <row r="153" spans="1:16" x14ac:dyDescent="0.3">
      <c r="A153" t="str">
        <f t="shared" si="2"/>
        <v>PD|TotalCapacityAnnual|RE1|PWRSTD|2024</v>
      </c>
      <c r="B153" t="s">
        <v>16</v>
      </c>
      <c r="C153" t="s">
        <v>17</v>
      </c>
      <c r="D153" t="s">
        <v>38</v>
      </c>
      <c r="E153" t="s">
        <v>19</v>
      </c>
      <c r="F153" t="s">
        <v>35</v>
      </c>
      <c r="O153">
        <v>2024</v>
      </c>
      <c r="P153">
        <v>8.163062064</v>
      </c>
    </row>
    <row r="154" spans="1:16" x14ac:dyDescent="0.3">
      <c r="A154" t="str">
        <f t="shared" si="2"/>
        <v>PD|TotalCapacityAnnual|RE1|PWRWNDONS|2024</v>
      </c>
      <c r="B154" t="s">
        <v>16</v>
      </c>
      <c r="C154" t="s">
        <v>17</v>
      </c>
      <c r="D154" t="s">
        <v>38</v>
      </c>
      <c r="E154" t="s">
        <v>19</v>
      </c>
      <c r="F154" t="s">
        <v>36</v>
      </c>
      <c r="O154">
        <v>2024</v>
      </c>
      <c r="P154">
        <v>1.0659168000000001</v>
      </c>
    </row>
    <row r="155" spans="1:16" x14ac:dyDescent="0.3">
      <c r="A155" t="str">
        <f t="shared" si="2"/>
        <v>PD|AccumulatedNewCapacity|RE1|PWRBGS|2025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O155">
        <v>2025</v>
      </c>
    </row>
    <row r="156" spans="1:16" x14ac:dyDescent="0.3">
      <c r="A156" t="str">
        <f t="shared" si="2"/>
        <v>PD|AccumulatedNewCapacity|RE1|PWRCOA|2025</v>
      </c>
      <c r="B156" t="s">
        <v>16</v>
      </c>
      <c r="C156" t="s">
        <v>17</v>
      </c>
      <c r="D156" t="s">
        <v>18</v>
      </c>
      <c r="E156" t="s">
        <v>19</v>
      </c>
      <c r="F156" t="s">
        <v>21</v>
      </c>
      <c r="O156">
        <v>2025</v>
      </c>
    </row>
    <row r="157" spans="1:16" x14ac:dyDescent="0.3">
      <c r="A157" t="str">
        <f t="shared" si="2"/>
        <v>PD|AccumulatedNewCapacity|RE1|PWRDSL|2025</v>
      </c>
      <c r="B157" t="s">
        <v>16</v>
      </c>
      <c r="C157" t="s">
        <v>17</v>
      </c>
      <c r="D157" t="s">
        <v>18</v>
      </c>
      <c r="E157" t="s">
        <v>19</v>
      </c>
      <c r="F157" t="s">
        <v>22</v>
      </c>
      <c r="O157">
        <v>2025</v>
      </c>
    </row>
    <row r="158" spans="1:16" x14ac:dyDescent="0.3">
      <c r="A158" t="str">
        <f t="shared" si="2"/>
        <v>PD|AccumulatedNewCapacity|RE1|PWRFOL|2025</v>
      </c>
      <c r="B158" t="s">
        <v>16</v>
      </c>
      <c r="C158" t="s">
        <v>17</v>
      </c>
      <c r="D158" t="s">
        <v>18</v>
      </c>
      <c r="E158" t="s">
        <v>19</v>
      </c>
      <c r="F158" t="s">
        <v>23</v>
      </c>
      <c r="O158">
        <v>2025</v>
      </c>
    </row>
    <row r="159" spans="1:16" x14ac:dyDescent="0.3">
      <c r="A159" t="str">
        <f t="shared" si="2"/>
        <v>PD|AccumulatedNewCapacity|RE1|PWRHYDDAM|2025</v>
      </c>
      <c r="B159" t="s">
        <v>16</v>
      </c>
      <c r="C159" t="s">
        <v>17</v>
      </c>
      <c r="D159" t="s">
        <v>18</v>
      </c>
      <c r="E159" t="s">
        <v>19</v>
      </c>
      <c r="F159" t="s">
        <v>24</v>
      </c>
      <c r="O159">
        <v>2025</v>
      </c>
    </row>
    <row r="160" spans="1:16" x14ac:dyDescent="0.3">
      <c r="A160" t="str">
        <f t="shared" si="2"/>
        <v>PD|AccumulatedNewCapacity|RE1|PWRHYDROR|2025</v>
      </c>
      <c r="B160" t="s">
        <v>16</v>
      </c>
      <c r="C160" t="s">
        <v>17</v>
      </c>
      <c r="D160" t="s">
        <v>18</v>
      </c>
      <c r="E160" t="s">
        <v>19</v>
      </c>
      <c r="F160" t="s">
        <v>25</v>
      </c>
      <c r="O160">
        <v>2025</v>
      </c>
    </row>
    <row r="161" spans="1:16" x14ac:dyDescent="0.3">
      <c r="A161" t="str">
        <f t="shared" si="2"/>
        <v>PD|AccumulatedNewCapacity|RE1|PWRHYDROR_NDC|2025</v>
      </c>
      <c r="B161" t="s">
        <v>16</v>
      </c>
      <c r="C161" t="s">
        <v>17</v>
      </c>
      <c r="D161" t="s">
        <v>18</v>
      </c>
      <c r="E161" t="s">
        <v>19</v>
      </c>
      <c r="F161" t="s">
        <v>26</v>
      </c>
      <c r="O161">
        <v>2025</v>
      </c>
    </row>
    <row r="162" spans="1:16" x14ac:dyDescent="0.3">
      <c r="A162" t="str">
        <f t="shared" si="2"/>
        <v>PD|AccumulatedNewCapacity|RE1|PWRJET|2025</v>
      </c>
      <c r="B162" t="s">
        <v>16</v>
      </c>
      <c r="C162" t="s">
        <v>17</v>
      </c>
      <c r="D162" t="s">
        <v>18</v>
      </c>
      <c r="E162" t="s">
        <v>19</v>
      </c>
      <c r="F162" t="s">
        <v>27</v>
      </c>
      <c r="O162">
        <v>2025</v>
      </c>
    </row>
    <row r="163" spans="1:16" x14ac:dyDescent="0.3">
      <c r="A163" t="str">
        <f t="shared" si="2"/>
        <v>PD|AccumulatedNewCapacity|RE1|PWRLPG|2025</v>
      </c>
      <c r="B163" t="s">
        <v>16</v>
      </c>
      <c r="C163" t="s">
        <v>17</v>
      </c>
      <c r="D163" t="s">
        <v>18</v>
      </c>
      <c r="E163" t="s">
        <v>19</v>
      </c>
      <c r="F163" t="s">
        <v>28</v>
      </c>
      <c r="O163">
        <v>2025</v>
      </c>
    </row>
    <row r="164" spans="1:16" x14ac:dyDescent="0.3">
      <c r="A164" t="str">
        <f t="shared" si="2"/>
        <v>PD|AccumulatedNewCapacity|RE1|PWRNGS_CC|2025</v>
      </c>
      <c r="B164" t="s">
        <v>16</v>
      </c>
      <c r="C164" t="s">
        <v>17</v>
      </c>
      <c r="D164" t="s">
        <v>18</v>
      </c>
      <c r="E164" t="s">
        <v>19</v>
      </c>
      <c r="F164" t="s">
        <v>29</v>
      </c>
      <c r="O164">
        <v>2025</v>
      </c>
    </row>
    <row r="165" spans="1:16" x14ac:dyDescent="0.3">
      <c r="A165" t="str">
        <f t="shared" si="2"/>
        <v>PD|AccumulatedNewCapacity|RE1|PWRNGS_CS|2025</v>
      </c>
      <c r="B165" t="s">
        <v>16</v>
      </c>
      <c r="C165" t="s">
        <v>17</v>
      </c>
      <c r="D165" t="s">
        <v>18</v>
      </c>
      <c r="E165" t="s">
        <v>19</v>
      </c>
      <c r="F165" t="s">
        <v>30</v>
      </c>
      <c r="O165">
        <v>2025</v>
      </c>
    </row>
    <row r="166" spans="1:16" x14ac:dyDescent="0.3">
      <c r="A166" t="str">
        <f t="shared" si="2"/>
        <v>PD|AccumulatedNewCapacity|RE1|PWRSOLRTP|2025</v>
      </c>
      <c r="B166" t="s">
        <v>16</v>
      </c>
      <c r="C166" t="s">
        <v>17</v>
      </c>
      <c r="D166" t="s">
        <v>18</v>
      </c>
      <c r="E166" t="s">
        <v>19</v>
      </c>
      <c r="F166" t="s">
        <v>31</v>
      </c>
      <c r="O166">
        <v>2025</v>
      </c>
    </row>
    <row r="167" spans="1:16" x14ac:dyDescent="0.3">
      <c r="A167" t="str">
        <f t="shared" si="2"/>
        <v>PD|AccumulatedNewCapacity|RE1|PWRSOLRTP_ZNI|2025</v>
      </c>
      <c r="B167" t="s">
        <v>16</v>
      </c>
      <c r="C167" t="s">
        <v>17</v>
      </c>
      <c r="D167" t="s">
        <v>18</v>
      </c>
      <c r="E167" t="s">
        <v>19</v>
      </c>
      <c r="F167" t="s">
        <v>32</v>
      </c>
      <c r="O167">
        <v>2025</v>
      </c>
    </row>
    <row r="168" spans="1:16" x14ac:dyDescent="0.3">
      <c r="A168" t="str">
        <f t="shared" si="2"/>
        <v>PD|AccumulatedNewCapacity|RE1|PWRSOLUGE|2025</v>
      </c>
      <c r="B168" t="s">
        <v>16</v>
      </c>
      <c r="C168" t="s">
        <v>17</v>
      </c>
      <c r="D168" t="s">
        <v>18</v>
      </c>
      <c r="E168" t="s">
        <v>19</v>
      </c>
      <c r="F168" t="s">
        <v>33</v>
      </c>
      <c r="O168">
        <v>2025</v>
      </c>
      <c r="P168">
        <v>6.717168</v>
      </c>
    </row>
    <row r="169" spans="1:16" x14ac:dyDescent="0.3">
      <c r="A169" t="str">
        <f t="shared" si="2"/>
        <v>PD|AccumulatedNewCapacity|RE1|PWRSOLUPE|2025</v>
      </c>
      <c r="B169" t="s">
        <v>16</v>
      </c>
      <c r="C169" t="s">
        <v>17</v>
      </c>
      <c r="D169" t="s">
        <v>18</v>
      </c>
      <c r="E169" t="s">
        <v>19</v>
      </c>
      <c r="F169" t="s">
        <v>34</v>
      </c>
      <c r="O169">
        <v>2025</v>
      </c>
      <c r="P169">
        <v>5.3106623999999574</v>
      </c>
    </row>
    <row r="170" spans="1:16" x14ac:dyDescent="0.3">
      <c r="A170" t="str">
        <f t="shared" si="2"/>
        <v>PD|AccumulatedNewCapacity|RE1|PWRSTD|2025</v>
      </c>
      <c r="B170" t="s">
        <v>16</v>
      </c>
      <c r="C170" t="s">
        <v>17</v>
      </c>
      <c r="D170" t="s">
        <v>18</v>
      </c>
      <c r="E170" t="s">
        <v>19</v>
      </c>
      <c r="F170" t="s">
        <v>35</v>
      </c>
      <c r="O170">
        <v>2025</v>
      </c>
    </row>
    <row r="171" spans="1:16" x14ac:dyDescent="0.3">
      <c r="A171" t="str">
        <f t="shared" si="2"/>
        <v>PD|AccumulatedNewCapacity|RE1|PWRWNDONS|2025</v>
      </c>
      <c r="B171" t="s">
        <v>16</v>
      </c>
      <c r="C171" t="s">
        <v>17</v>
      </c>
      <c r="D171" t="s">
        <v>18</v>
      </c>
      <c r="E171" t="s">
        <v>19</v>
      </c>
      <c r="F171" t="s">
        <v>36</v>
      </c>
      <c r="O171">
        <v>2025</v>
      </c>
      <c r="P171">
        <v>0.15362331428571441</v>
      </c>
    </row>
    <row r="172" spans="1:16" x14ac:dyDescent="0.3">
      <c r="A172" t="str">
        <f t="shared" si="2"/>
        <v>PD|NewCapacity|RE1|PWRBGS|2025</v>
      </c>
      <c r="B172" t="s">
        <v>16</v>
      </c>
      <c r="C172" t="s">
        <v>17</v>
      </c>
      <c r="D172" t="s">
        <v>37</v>
      </c>
      <c r="E172" t="s">
        <v>19</v>
      </c>
      <c r="F172" t="s">
        <v>20</v>
      </c>
      <c r="O172">
        <v>2025</v>
      </c>
    </row>
    <row r="173" spans="1:16" x14ac:dyDescent="0.3">
      <c r="A173" t="str">
        <f t="shared" si="2"/>
        <v>PD|NewCapacity|RE1|PWRCOA|2025</v>
      </c>
      <c r="B173" t="s">
        <v>16</v>
      </c>
      <c r="C173" t="s">
        <v>17</v>
      </c>
      <c r="D173" t="s">
        <v>37</v>
      </c>
      <c r="E173" t="s">
        <v>19</v>
      </c>
      <c r="F173" t="s">
        <v>21</v>
      </c>
      <c r="O173">
        <v>2025</v>
      </c>
    </row>
    <row r="174" spans="1:16" x14ac:dyDescent="0.3">
      <c r="A174" t="str">
        <f t="shared" si="2"/>
        <v>PD|NewCapacity|RE1|PWRDSL|2025</v>
      </c>
      <c r="B174" t="s">
        <v>16</v>
      </c>
      <c r="C174" t="s">
        <v>17</v>
      </c>
      <c r="D174" t="s">
        <v>37</v>
      </c>
      <c r="E174" t="s">
        <v>19</v>
      </c>
      <c r="F174" t="s">
        <v>22</v>
      </c>
      <c r="O174">
        <v>2025</v>
      </c>
    </row>
    <row r="175" spans="1:16" x14ac:dyDescent="0.3">
      <c r="A175" t="str">
        <f t="shared" si="2"/>
        <v>PD|NewCapacity|RE1|PWRFOL|2025</v>
      </c>
      <c r="B175" t="s">
        <v>16</v>
      </c>
      <c r="C175" t="s">
        <v>17</v>
      </c>
      <c r="D175" t="s">
        <v>37</v>
      </c>
      <c r="E175" t="s">
        <v>19</v>
      </c>
      <c r="F175" t="s">
        <v>23</v>
      </c>
      <c r="O175">
        <v>2025</v>
      </c>
    </row>
    <row r="176" spans="1:16" x14ac:dyDescent="0.3">
      <c r="A176" t="str">
        <f t="shared" si="2"/>
        <v>PD|NewCapacity|RE1|PWRHYDDAM|2025</v>
      </c>
      <c r="B176" t="s">
        <v>16</v>
      </c>
      <c r="C176" t="s">
        <v>17</v>
      </c>
      <c r="D176" t="s">
        <v>37</v>
      </c>
      <c r="E176" t="s">
        <v>19</v>
      </c>
      <c r="F176" t="s">
        <v>24</v>
      </c>
      <c r="O176">
        <v>2025</v>
      </c>
    </row>
    <row r="177" spans="1:16" x14ac:dyDescent="0.3">
      <c r="A177" t="str">
        <f t="shared" si="2"/>
        <v>PD|NewCapacity|RE1|PWRHYDROR|2025</v>
      </c>
      <c r="B177" t="s">
        <v>16</v>
      </c>
      <c r="C177" t="s">
        <v>17</v>
      </c>
      <c r="D177" t="s">
        <v>37</v>
      </c>
      <c r="E177" t="s">
        <v>19</v>
      </c>
      <c r="F177" t="s">
        <v>25</v>
      </c>
      <c r="O177">
        <v>2025</v>
      </c>
    </row>
    <row r="178" spans="1:16" x14ac:dyDescent="0.3">
      <c r="A178" t="str">
        <f t="shared" si="2"/>
        <v>PD|NewCapacity|RE1|PWRHYDROR_NDC|2025</v>
      </c>
      <c r="B178" t="s">
        <v>16</v>
      </c>
      <c r="C178" t="s">
        <v>17</v>
      </c>
      <c r="D178" t="s">
        <v>37</v>
      </c>
      <c r="E178" t="s">
        <v>19</v>
      </c>
      <c r="F178" t="s">
        <v>26</v>
      </c>
      <c r="O178">
        <v>2025</v>
      </c>
    </row>
    <row r="179" spans="1:16" x14ac:dyDescent="0.3">
      <c r="A179" t="str">
        <f t="shared" si="2"/>
        <v>PD|NewCapacity|RE1|PWRJET|2025</v>
      </c>
      <c r="B179" t="s">
        <v>16</v>
      </c>
      <c r="C179" t="s">
        <v>17</v>
      </c>
      <c r="D179" t="s">
        <v>37</v>
      </c>
      <c r="E179" t="s">
        <v>19</v>
      </c>
      <c r="F179" t="s">
        <v>27</v>
      </c>
      <c r="O179">
        <v>2025</v>
      </c>
    </row>
    <row r="180" spans="1:16" x14ac:dyDescent="0.3">
      <c r="A180" t="str">
        <f t="shared" si="2"/>
        <v>PD|NewCapacity|RE1|PWRLPG|2025</v>
      </c>
      <c r="B180" t="s">
        <v>16</v>
      </c>
      <c r="C180" t="s">
        <v>17</v>
      </c>
      <c r="D180" t="s">
        <v>37</v>
      </c>
      <c r="E180" t="s">
        <v>19</v>
      </c>
      <c r="F180" t="s">
        <v>28</v>
      </c>
      <c r="O180">
        <v>2025</v>
      </c>
    </row>
    <row r="181" spans="1:16" x14ac:dyDescent="0.3">
      <c r="A181" t="str">
        <f t="shared" si="2"/>
        <v>PD|NewCapacity|RE1|PWRNGS_CC|2025</v>
      </c>
      <c r="B181" t="s">
        <v>16</v>
      </c>
      <c r="C181" t="s">
        <v>17</v>
      </c>
      <c r="D181" t="s">
        <v>37</v>
      </c>
      <c r="E181" t="s">
        <v>19</v>
      </c>
      <c r="F181" t="s">
        <v>29</v>
      </c>
      <c r="O181">
        <v>2025</v>
      </c>
    </row>
    <row r="182" spans="1:16" x14ac:dyDescent="0.3">
      <c r="A182" t="str">
        <f t="shared" si="2"/>
        <v>PD|NewCapacity|RE1|PWRNGS_CS|2025</v>
      </c>
      <c r="B182" t="s">
        <v>16</v>
      </c>
      <c r="C182" t="s">
        <v>17</v>
      </c>
      <c r="D182" t="s">
        <v>37</v>
      </c>
      <c r="E182" t="s">
        <v>19</v>
      </c>
      <c r="F182" t="s">
        <v>30</v>
      </c>
      <c r="O182">
        <v>2025</v>
      </c>
    </row>
    <row r="183" spans="1:16" x14ac:dyDescent="0.3">
      <c r="A183" t="str">
        <f t="shared" si="2"/>
        <v>PD|NewCapacity|RE1|PWRSOLRTP|2025</v>
      </c>
      <c r="B183" t="s">
        <v>16</v>
      </c>
      <c r="C183" t="s">
        <v>17</v>
      </c>
      <c r="D183" t="s">
        <v>37</v>
      </c>
      <c r="E183" t="s">
        <v>19</v>
      </c>
      <c r="F183" t="s">
        <v>31</v>
      </c>
      <c r="O183">
        <v>2025</v>
      </c>
    </row>
    <row r="184" spans="1:16" x14ac:dyDescent="0.3">
      <c r="A184" t="str">
        <f t="shared" si="2"/>
        <v>PD|NewCapacity|RE1|PWRSOLRTP_ZNI|2025</v>
      </c>
      <c r="B184" t="s">
        <v>16</v>
      </c>
      <c r="C184" t="s">
        <v>17</v>
      </c>
      <c r="D184" t="s">
        <v>37</v>
      </c>
      <c r="E184" t="s">
        <v>19</v>
      </c>
      <c r="F184" t="s">
        <v>32</v>
      </c>
      <c r="O184">
        <v>2025</v>
      </c>
    </row>
    <row r="185" spans="1:16" x14ac:dyDescent="0.3">
      <c r="A185" t="str">
        <f t="shared" si="2"/>
        <v>PD|NewCapacity|RE1|PWRSOLUGE|2025</v>
      </c>
      <c r="B185" t="s">
        <v>16</v>
      </c>
      <c r="C185" t="s">
        <v>17</v>
      </c>
      <c r="D185" t="s">
        <v>37</v>
      </c>
      <c r="E185" t="s">
        <v>19</v>
      </c>
      <c r="F185" t="s">
        <v>33</v>
      </c>
      <c r="O185">
        <v>2025</v>
      </c>
      <c r="P185">
        <v>6.717168</v>
      </c>
    </row>
    <row r="186" spans="1:16" x14ac:dyDescent="0.3">
      <c r="A186" t="str">
        <f t="shared" si="2"/>
        <v>PD|NewCapacity|RE1|PWRSOLUPE|2025</v>
      </c>
      <c r="B186" t="s">
        <v>16</v>
      </c>
      <c r="C186" t="s">
        <v>17</v>
      </c>
      <c r="D186" t="s">
        <v>37</v>
      </c>
      <c r="E186" t="s">
        <v>19</v>
      </c>
      <c r="F186" t="s">
        <v>34</v>
      </c>
      <c r="O186">
        <v>2025</v>
      </c>
      <c r="P186">
        <v>5.3106623999999574</v>
      </c>
    </row>
    <row r="187" spans="1:16" x14ac:dyDescent="0.3">
      <c r="A187" t="str">
        <f t="shared" si="2"/>
        <v>PD|NewCapacity|RE1|PWRSTD|2025</v>
      </c>
      <c r="B187" t="s">
        <v>16</v>
      </c>
      <c r="C187" t="s">
        <v>17</v>
      </c>
      <c r="D187" t="s">
        <v>37</v>
      </c>
      <c r="E187" t="s">
        <v>19</v>
      </c>
      <c r="F187" t="s">
        <v>35</v>
      </c>
      <c r="O187">
        <v>2025</v>
      </c>
    </row>
    <row r="188" spans="1:16" x14ac:dyDescent="0.3">
      <c r="A188" t="str">
        <f t="shared" si="2"/>
        <v>PD|NewCapacity|RE1|PWRWNDONS|2025</v>
      </c>
      <c r="B188" t="s">
        <v>16</v>
      </c>
      <c r="C188" t="s">
        <v>17</v>
      </c>
      <c r="D188" t="s">
        <v>37</v>
      </c>
      <c r="E188" t="s">
        <v>19</v>
      </c>
      <c r="F188" t="s">
        <v>36</v>
      </c>
      <c r="O188">
        <v>2025</v>
      </c>
      <c r="P188">
        <v>0.15362331428571441</v>
      </c>
    </row>
    <row r="189" spans="1:16" x14ac:dyDescent="0.3">
      <c r="A189" t="str">
        <f t="shared" si="2"/>
        <v>PD|TotalCapacityAnnual|RE1|PWRBGS|2025</v>
      </c>
      <c r="B189" t="s">
        <v>16</v>
      </c>
      <c r="C189" t="s">
        <v>17</v>
      </c>
      <c r="D189" t="s">
        <v>38</v>
      </c>
      <c r="E189" t="s">
        <v>19</v>
      </c>
      <c r="F189" t="s">
        <v>20</v>
      </c>
      <c r="O189">
        <v>2025</v>
      </c>
      <c r="P189">
        <v>2.5488587520000001E-2</v>
      </c>
    </row>
    <row r="190" spans="1:16" x14ac:dyDescent="0.3">
      <c r="A190" t="str">
        <f t="shared" si="2"/>
        <v>PD|TotalCapacityAnnual|RE1|PWRCOA|2025</v>
      </c>
      <c r="B190" t="s">
        <v>16</v>
      </c>
      <c r="C190" t="s">
        <v>17</v>
      </c>
      <c r="D190" t="s">
        <v>38</v>
      </c>
      <c r="E190" t="s">
        <v>19</v>
      </c>
      <c r="F190" t="s">
        <v>21</v>
      </c>
      <c r="O190">
        <v>2025</v>
      </c>
      <c r="P190">
        <v>50.867567999999991</v>
      </c>
    </row>
    <row r="191" spans="1:16" x14ac:dyDescent="0.3">
      <c r="A191" t="str">
        <f t="shared" si="2"/>
        <v>PD|TotalCapacityAnnual|RE1|PWRDSL|2025</v>
      </c>
      <c r="B191" t="s">
        <v>16</v>
      </c>
      <c r="C191" t="s">
        <v>17</v>
      </c>
      <c r="D191" t="s">
        <v>38</v>
      </c>
      <c r="E191" t="s">
        <v>19</v>
      </c>
      <c r="F191" t="s">
        <v>22</v>
      </c>
      <c r="O191">
        <v>2025</v>
      </c>
      <c r="P191">
        <v>28.477008000000001</v>
      </c>
    </row>
    <row r="192" spans="1:16" x14ac:dyDescent="0.3">
      <c r="A192" t="str">
        <f t="shared" si="2"/>
        <v>PD|TotalCapacityAnnual|RE1|PWRFOL|2025</v>
      </c>
      <c r="B192" t="s">
        <v>16</v>
      </c>
      <c r="C192" t="s">
        <v>17</v>
      </c>
      <c r="D192" t="s">
        <v>38</v>
      </c>
      <c r="E192" t="s">
        <v>19</v>
      </c>
      <c r="F192" t="s">
        <v>23</v>
      </c>
      <c r="O192">
        <v>2025</v>
      </c>
      <c r="P192">
        <v>8.3885759999999987</v>
      </c>
    </row>
    <row r="193" spans="1:16" x14ac:dyDescent="0.3">
      <c r="A193" t="str">
        <f t="shared" si="2"/>
        <v>PD|TotalCapacityAnnual|RE1|PWRHYDDAM|2025</v>
      </c>
      <c r="B193" t="s">
        <v>16</v>
      </c>
      <c r="C193" t="s">
        <v>17</v>
      </c>
      <c r="D193" t="s">
        <v>38</v>
      </c>
      <c r="E193" t="s">
        <v>19</v>
      </c>
      <c r="F193" t="s">
        <v>24</v>
      </c>
      <c r="O193">
        <v>2025</v>
      </c>
      <c r="P193">
        <v>364.808448</v>
      </c>
    </row>
    <row r="194" spans="1:16" x14ac:dyDescent="0.3">
      <c r="A194" t="str">
        <f t="shared" ref="A194:A257" si="3">B194&amp;"|"&amp;D194&amp;"|"&amp;E194&amp;"|"&amp;F194&amp;"|"&amp;O194</f>
        <v>PD|TotalCapacityAnnual|RE1|PWRHYDROR|2025</v>
      </c>
      <c r="B194" t="s">
        <v>16</v>
      </c>
      <c r="C194" t="s">
        <v>17</v>
      </c>
      <c r="D194" t="s">
        <v>38</v>
      </c>
      <c r="E194" t="s">
        <v>19</v>
      </c>
      <c r="F194" t="s">
        <v>25</v>
      </c>
      <c r="O194">
        <v>2025</v>
      </c>
      <c r="P194">
        <v>21.097584000000001</v>
      </c>
    </row>
    <row r="195" spans="1:16" x14ac:dyDescent="0.3">
      <c r="A195" t="str">
        <f t="shared" si="3"/>
        <v>PD|TotalCapacityAnnual|RE1|PWRHYDROR_NDC|2025</v>
      </c>
      <c r="B195" t="s">
        <v>16</v>
      </c>
      <c r="C195" t="s">
        <v>17</v>
      </c>
      <c r="D195" t="s">
        <v>38</v>
      </c>
      <c r="E195" t="s">
        <v>19</v>
      </c>
      <c r="F195" t="s">
        <v>26</v>
      </c>
      <c r="O195">
        <v>2025</v>
      </c>
      <c r="P195">
        <v>29.725108271999989</v>
      </c>
    </row>
    <row r="196" spans="1:16" x14ac:dyDescent="0.3">
      <c r="A196" t="str">
        <f t="shared" si="3"/>
        <v>PD|TotalCapacityAnnual|RE1|PWRJET|2025</v>
      </c>
      <c r="B196" t="s">
        <v>16</v>
      </c>
      <c r="C196" t="s">
        <v>17</v>
      </c>
      <c r="D196" t="s">
        <v>38</v>
      </c>
      <c r="E196" t="s">
        <v>19</v>
      </c>
      <c r="F196" t="s">
        <v>27</v>
      </c>
      <c r="O196">
        <v>2025</v>
      </c>
      <c r="P196">
        <v>1.5768</v>
      </c>
    </row>
    <row r="197" spans="1:16" x14ac:dyDescent="0.3">
      <c r="A197" t="str">
        <f t="shared" si="3"/>
        <v>PD|TotalCapacityAnnual|RE1|PWRLPG|2025</v>
      </c>
      <c r="B197" t="s">
        <v>16</v>
      </c>
      <c r="C197" t="s">
        <v>17</v>
      </c>
      <c r="D197" t="s">
        <v>38</v>
      </c>
      <c r="E197" t="s">
        <v>19</v>
      </c>
      <c r="F197" t="s">
        <v>28</v>
      </c>
      <c r="O197">
        <v>2025</v>
      </c>
      <c r="P197">
        <v>1.639872</v>
      </c>
    </row>
    <row r="198" spans="1:16" x14ac:dyDescent="0.3">
      <c r="A198" t="str">
        <f t="shared" si="3"/>
        <v>PD|TotalCapacityAnnual|RE1|PWRNGS_CC|2025</v>
      </c>
      <c r="B198" t="s">
        <v>16</v>
      </c>
      <c r="C198" t="s">
        <v>17</v>
      </c>
      <c r="D198" t="s">
        <v>38</v>
      </c>
      <c r="E198" t="s">
        <v>19</v>
      </c>
      <c r="F198" t="s">
        <v>29</v>
      </c>
      <c r="O198">
        <v>2025</v>
      </c>
      <c r="P198">
        <v>70.104500000000002</v>
      </c>
    </row>
    <row r="199" spans="1:16" x14ac:dyDescent="0.3">
      <c r="A199" t="str">
        <f t="shared" si="3"/>
        <v>PD|TotalCapacityAnnual|RE1|PWRNGS_CS|2025</v>
      </c>
      <c r="B199" t="s">
        <v>16</v>
      </c>
      <c r="C199" t="s">
        <v>17</v>
      </c>
      <c r="D199" t="s">
        <v>38</v>
      </c>
      <c r="E199" t="s">
        <v>19</v>
      </c>
      <c r="F199" t="s">
        <v>30</v>
      </c>
      <c r="O199">
        <v>2025</v>
      </c>
      <c r="P199">
        <v>23.967359999999999</v>
      </c>
    </row>
    <row r="200" spans="1:16" x14ac:dyDescent="0.3">
      <c r="A200" t="str">
        <f t="shared" si="3"/>
        <v>PD|TotalCapacityAnnual|RE1|PWRSOLRTP|2025</v>
      </c>
      <c r="B200" t="s">
        <v>16</v>
      </c>
      <c r="C200" t="s">
        <v>17</v>
      </c>
      <c r="D200" t="s">
        <v>38</v>
      </c>
      <c r="E200" t="s">
        <v>19</v>
      </c>
      <c r="F200" t="s">
        <v>31</v>
      </c>
      <c r="O200">
        <v>2025</v>
      </c>
      <c r="P200">
        <v>21.407262979999999</v>
      </c>
    </row>
    <row r="201" spans="1:16" x14ac:dyDescent="0.3">
      <c r="A201" t="str">
        <f t="shared" si="3"/>
        <v>PD|TotalCapacityAnnual|RE1|PWRSOLRTP_ZNI|2025</v>
      </c>
      <c r="B201" t="s">
        <v>16</v>
      </c>
      <c r="C201" t="s">
        <v>17</v>
      </c>
      <c r="D201" t="s">
        <v>38</v>
      </c>
      <c r="E201" t="s">
        <v>19</v>
      </c>
      <c r="F201" t="s">
        <v>32</v>
      </c>
      <c r="O201">
        <v>2025</v>
      </c>
      <c r="P201">
        <v>0.46074095999999998</v>
      </c>
    </row>
    <row r="202" spans="1:16" x14ac:dyDescent="0.3">
      <c r="A202" t="str">
        <f t="shared" si="3"/>
        <v>PD|TotalCapacityAnnual|RE1|PWRSOLUGE|2025</v>
      </c>
      <c r="B202" t="s">
        <v>16</v>
      </c>
      <c r="C202" t="s">
        <v>17</v>
      </c>
      <c r="D202" t="s">
        <v>38</v>
      </c>
      <c r="E202" t="s">
        <v>19</v>
      </c>
      <c r="F202" t="s">
        <v>33</v>
      </c>
      <c r="O202">
        <v>2025</v>
      </c>
      <c r="P202">
        <v>55.114836480000008</v>
      </c>
    </row>
    <row r="203" spans="1:16" x14ac:dyDescent="0.3">
      <c r="A203" t="str">
        <f t="shared" si="3"/>
        <v>PD|TotalCapacityAnnual|RE1|PWRSOLUPE|2025</v>
      </c>
      <c r="B203" t="s">
        <v>16</v>
      </c>
      <c r="C203" t="s">
        <v>17</v>
      </c>
      <c r="D203" t="s">
        <v>38</v>
      </c>
      <c r="E203" t="s">
        <v>19</v>
      </c>
      <c r="F203" t="s">
        <v>34</v>
      </c>
      <c r="O203">
        <v>2025</v>
      </c>
      <c r="P203">
        <v>32.339064239999963</v>
      </c>
    </row>
    <row r="204" spans="1:16" x14ac:dyDescent="0.3">
      <c r="A204" t="str">
        <f t="shared" si="3"/>
        <v>PD|TotalCapacityAnnual|RE1|PWRSTD|2025</v>
      </c>
      <c r="B204" t="s">
        <v>16</v>
      </c>
      <c r="C204" t="s">
        <v>17</v>
      </c>
      <c r="D204" t="s">
        <v>38</v>
      </c>
      <c r="E204" t="s">
        <v>19</v>
      </c>
      <c r="F204" t="s">
        <v>35</v>
      </c>
      <c r="O204">
        <v>2025</v>
      </c>
      <c r="P204">
        <v>8.163062064</v>
      </c>
    </row>
    <row r="205" spans="1:16" x14ac:dyDescent="0.3">
      <c r="A205" t="str">
        <f t="shared" si="3"/>
        <v>PD|TotalCapacityAnnual|RE1|PWRWNDONS|2025</v>
      </c>
      <c r="B205" t="s">
        <v>16</v>
      </c>
      <c r="C205" t="s">
        <v>17</v>
      </c>
      <c r="D205" t="s">
        <v>38</v>
      </c>
      <c r="E205" t="s">
        <v>19</v>
      </c>
      <c r="F205" t="s">
        <v>36</v>
      </c>
      <c r="O205">
        <v>2025</v>
      </c>
      <c r="P205">
        <v>1.522285714285714</v>
      </c>
    </row>
    <row r="206" spans="1:16" x14ac:dyDescent="0.3">
      <c r="A206" t="str">
        <f t="shared" si="3"/>
        <v>PD|AccumulatedNewCapacity|RE1|PWRBGS|2026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O206">
        <v>2026</v>
      </c>
    </row>
    <row r="207" spans="1:16" x14ac:dyDescent="0.3">
      <c r="A207" t="str">
        <f t="shared" si="3"/>
        <v>PD|AccumulatedNewCapacity|RE1|PWRCOA|2026</v>
      </c>
      <c r="B207" t="s">
        <v>16</v>
      </c>
      <c r="C207" t="s">
        <v>17</v>
      </c>
      <c r="D207" t="s">
        <v>18</v>
      </c>
      <c r="E207" t="s">
        <v>19</v>
      </c>
      <c r="F207" t="s">
        <v>21</v>
      </c>
      <c r="O207">
        <v>2026</v>
      </c>
    </row>
    <row r="208" spans="1:16" x14ac:dyDescent="0.3">
      <c r="A208" t="str">
        <f t="shared" si="3"/>
        <v>PD|AccumulatedNewCapacity|RE1|PWRDSL|2026</v>
      </c>
      <c r="B208" t="s">
        <v>16</v>
      </c>
      <c r="C208" t="s">
        <v>17</v>
      </c>
      <c r="D208" t="s">
        <v>18</v>
      </c>
      <c r="E208" t="s">
        <v>19</v>
      </c>
      <c r="F208" t="s">
        <v>22</v>
      </c>
      <c r="O208">
        <v>2026</v>
      </c>
    </row>
    <row r="209" spans="1:16" x14ac:dyDescent="0.3">
      <c r="A209" t="str">
        <f t="shared" si="3"/>
        <v>PD|AccumulatedNewCapacity|RE1|PWRFOL|2026</v>
      </c>
      <c r="B209" t="s">
        <v>16</v>
      </c>
      <c r="C209" t="s">
        <v>17</v>
      </c>
      <c r="D209" t="s">
        <v>18</v>
      </c>
      <c r="E209" t="s">
        <v>19</v>
      </c>
      <c r="F209" t="s">
        <v>23</v>
      </c>
      <c r="O209">
        <v>2026</v>
      </c>
    </row>
    <row r="210" spans="1:16" x14ac:dyDescent="0.3">
      <c r="A210" t="str">
        <f t="shared" si="3"/>
        <v>PD|AccumulatedNewCapacity|RE1|PWRHYDDAM|2026</v>
      </c>
      <c r="B210" t="s">
        <v>16</v>
      </c>
      <c r="C210" t="s">
        <v>17</v>
      </c>
      <c r="D210" t="s">
        <v>18</v>
      </c>
      <c r="E210" t="s">
        <v>19</v>
      </c>
      <c r="F210" t="s">
        <v>24</v>
      </c>
      <c r="O210">
        <v>2026</v>
      </c>
    </row>
    <row r="211" spans="1:16" x14ac:dyDescent="0.3">
      <c r="A211" t="str">
        <f t="shared" si="3"/>
        <v>PD|AccumulatedNewCapacity|RE1|PWRHYDROR|2026</v>
      </c>
      <c r="B211" t="s">
        <v>16</v>
      </c>
      <c r="C211" t="s">
        <v>17</v>
      </c>
      <c r="D211" t="s">
        <v>18</v>
      </c>
      <c r="E211" t="s">
        <v>19</v>
      </c>
      <c r="F211" t="s">
        <v>25</v>
      </c>
      <c r="O211">
        <v>2026</v>
      </c>
    </row>
    <row r="212" spans="1:16" x14ac:dyDescent="0.3">
      <c r="A212" t="str">
        <f t="shared" si="3"/>
        <v>PD|AccumulatedNewCapacity|RE1|PWRHYDROR_NDC|2026</v>
      </c>
      <c r="B212" t="s">
        <v>16</v>
      </c>
      <c r="C212" t="s">
        <v>17</v>
      </c>
      <c r="D212" t="s">
        <v>18</v>
      </c>
      <c r="E212" t="s">
        <v>19</v>
      </c>
      <c r="F212" t="s">
        <v>26</v>
      </c>
      <c r="O212">
        <v>2026</v>
      </c>
    </row>
    <row r="213" spans="1:16" x14ac:dyDescent="0.3">
      <c r="A213" t="str">
        <f t="shared" si="3"/>
        <v>PD|AccumulatedNewCapacity|RE1|PWRJET|2026</v>
      </c>
      <c r="B213" t="s">
        <v>16</v>
      </c>
      <c r="C213" t="s">
        <v>17</v>
      </c>
      <c r="D213" t="s">
        <v>18</v>
      </c>
      <c r="E213" t="s">
        <v>19</v>
      </c>
      <c r="F213" t="s">
        <v>27</v>
      </c>
      <c r="O213">
        <v>2026</v>
      </c>
    </row>
    <row r="214" spans="1:16" x14ac:dyDescent="0.3">
      <c r="A214" t="str">
        <f t="shared" si="3"/>
        <v>PD|AccumulatedNewCapacity|RE1|PWRLPG|2026</v>
      </c>
      <c r="B214" t="s">
        <v>16</v>
      </c>
      <c r="C214" t="s">
        <v>17</v>
      </c>
      <c r="D214" t="s">
        <v>18</v>
      </c>
      <c r="E214" t="s">
        <v>19</v>
      </c>
      <c r="F214" t="s">
        <v>28</v>
      </c>
      <c r="O214">
        <v>2026</v>
      </c>
    </row>
    <row r="215" spans="1:16" x14ac:dyDescent="0.3">
      <c r="A215" t="str">
        <f t="shared" si="3"/>
        <v>PD|AccumulatedNewCapacity|RE1|PWRNGS_CC|2026</v>
      </c>
      <c r="B215" t="s">
        <v>16</v>
      </c>
      <c r="C215" t="s">
        <v>17</v>
      </c>
      <c r="D215" t="s">
        <v>18</v>
      </c>
      <c r="E215" t="s">
        <v>19</v>
      </c>
      <c r="F215" t="s">
        <v>29</v>
      </c>
      <c r="O215">
        <v>2026</v>
      </c>
    </row>
    <row r="216" spans="1:16" x14ac:dyDescent="0.3">
      <c r="A216" t="str">
        <f t="shared" si="3"/>
        <v>PD|AccumulatedNewCapacity|RE1|PWRNGS_CS|2026</v>
      </c>
      <c r="B216" t="s">
        <v>16</v>
      </c>
      <c r="C216" t="s">
        <v>17</v>
      </c>
      <c r="D216" t="s">
        <v>18</v>
      </c>
      <c r="E216" t="s">
        <v>19</v>
      </c>
      <c r="F216" t="s">
        <v>30</v>
      </c>
      <c r="O216">
        <v>2026</v>
      </c>
    </row>
    <row r="217" spans="1:16" x14ac:dyDescent="0.3">
      <c r="A217" t="str">
        <f t="shared" si="3"/>
        <v>PD|AccumulatedNewCapacity|RE1|PWRSOLRTP|2026</v>
      </c>
      <c r="B217" t="s">
        <v>16</v>
      </c>
      <c r="C217" t="s">
        <v>17</v>
      </c>
      <c r="D217" t="s">
        <v>18</v>
      </c>
      <c r="E217" t="s">
        <v>19</v>
      </c>
      <c r="F217" t="s">
        <v>31</v>
      </c>
      <c r="O217">
        <v>2026</v>
      </c>
      <c r="P217">
        <v>7.9387888395688</v>
      </c>
    </row>
    <row r="218" spans="1:16" x14ac:dyDescent="0.3">
      <c r="A218" t="str">
        <f t="shared" si="3"/>
        <v>PD|AccumulatedNewCapacity|RE1|PWRSOLRTP_ZNI|2026</v>
      </c>
      <c r="B218" t="s">
        <v>16</v>
      </c>
      <c r="C218" t="s">
        <v>17</v>
      </c>
      <c r="D218" t="s">
        <v>18</v>
      </c>
      <c r="E218" t="s">
        <v>19</v>
      </c>
      <c r="F218" t="s">
        <v>32</v>
      </c>
      <c r="O218">
        <v>2026</v>
      </c>
    </row>
    <row r="219" spans="1:16" x14ac:dyDescent="0.3">
      <c r="A219" t="str">
        <f t="shared" si="3"/>
        <v>PD|AccumulatedNewCapacity|RE1|PWRSOLUGE|2026</v>
      </c>
      <c r="B219" t="s">
        <v>16</v>
      </c>
      <c r="C219" t="s">
        <v>17</v>
      </c>
      <c r="D219" t="s">
        <v>18</v>
      </c>
      <c r="E219" t="s">
        <v>19</v>
      </c>
      <c r="F219" t="s">
        <v>33</v>
      </c>
      <c r="O219">
        <v>2026</v>
      </c>
      <c r="P219">
        <v>62.504351999999997</v>
      </c>
    </row>
    <row r="220" spans="1:16" x14ac:dyDescent="0.3">
      <c r="A220" t="str">
        <f t="shared" si="3"/>
        <v>PD|AccumulatedNewCapacity|RE1|PWRSOLUPE|2026</v>
      </c>
      <c r="B220" t="s">
        <v>16</v>
      </c>
      <c r="C220" t="s">
        <v>17</v>
      </c>
      <c r="D220" t="s">
        <v>18</v>
      </c>
      <c r="E220" t="s">
        <v>19</v>
      </c>
      <c r="F220" t="s">
        <v>34</v>
      </c>
      <c r="O220">
        <v>2026</v>
      </c>
      <c r="P220">
        <v>8.6752382399999313</v>
      </c>
    </row>
    <row r="221" spans="1:16" x14ac:dyDescent="0.3">
      <c r="A221" t="str">
        <f t="shared" si="3"/>
        <v>PD|AccumulatedNewCapacity|RE1|PWRSTD|2026</v>
      </c>
      <c r="B221" t="s">
        <v>16</v>
      </c>
      <c r="C221" t="s">
        <v>17</v>
      </c>
      <c r="D221" t="s">
        <v>18</v>
      </c>
      <c r="E221" t="s">
        <v>19</v>
      </c>
      <c r="F221" t="s">
        <v>35</v>
      </c>
      <c r="O221">
        <v>2026</v>
      </c>
    </row>
    <row r="222" spans="1:16" x14ac:dyDescent="0.3">
      <c r="A222" t="str">
        <f t="shared" si="3"/>
        <v>PD|AccumulatedNewCapacity|RE1|PWRWNDONS|2026</v>
      </c>
      <c r="B222" t="s">
        <v>16</v>
      </c>
      <c r="C222" t="s">
        <v>17</v>
      </c>
      <c r="D222" t="s">
        <v>18</v>
      </c>
      <c r="E222" t="s">
        <v>19</v>
      </c>
      <c r="F222" t="s">
        <v>36</v>
      </c>
      <c r="O222">
        <v>2026</v>
      </c>
      <c r="P222">
        <v>0.15362331428571441</v>
      </c>
    </row>
    <row r="223" spans="1:16" x14ac:dyDescent="0.3">
      <c r="A223" t="str">
        <f t="shared" si="3"/>
        <v>PD|NewCapacity|RE1|PWRBGS|2026</v>
      </c>
      <c r="B223" t="s">
        <v>16</v>
      </c>
      <c r="C223" t="s">
        <v>17</v>
      </c>
      <c r="D223" t="s">
        <v>37</v>
      </c>
      <c r="E223" t="s">
        <v>19</v>
      </c>
      <c r="F223" t="s">
        <v>20</v>
      </c>
      <c r="O223">
        <v>2026</v>
      </c>
    </row>
    <row r="224" spans="1:16" x14ac:dyDescent="0.3">
      <c r="A224" t="str">
        <f t="shared" si="3"/>
        <v>PD|NewCapacity|RE1|PWRCOA|2026</v>
      </c>
      <c r="B224" t="s">
        <v>16</v>
      </c>
      <c r="C224" t="s">
        <v>17</v>
      </c>
      <c r="D224" t="s">
        <v>37</v>
      </c>
      <c r="E224" t="s">
        <v>19</v>
      </c>
      <c r="F224" t="s">
        <v>21</v>
      </c>
      <c r="O224">
        <v>2026</v>
      </c>
    </row>
    <row r="225" spans="1:16" x14ac:dyDescent="0.3">
      <c r="A225" t="str">
        <f t="shared" si="3"/>
        <v>PD|NewCapacity|RE1|PWRDSL|2026</v>
      </c>
      <c r="B225" t="s">
        <v>16</v>
      </c>
      <c r="C225" t="s">
        <v>17</v>
      </c>
      <c r="D225" t="s">
        <v>37</v>
      </c>
      <c r="E225" t="s">
        <v>19</v>
      </c>
      <c r="F225" t="s">
        <v>22</v>
      </c>
      <c r="O225">
        <v>2026</v>
      </c>
    </row>
    <row r="226" spans="1:16" x14ac:dyDescent="0.3">
      <c r="A226" t="str">
        <f t="shared" si="3"/>
        <v>PD|NewCapacity|RE1|PWRFOL|2026</v>
      </c>
      <c r="B226" t="s">
        <v>16</v>
      </c>
      <c r="C226" t="s">
        <v>17</v>
      </c>
      <c r="D226" t="s">
        <v>37</v>
      </c>
      <c r="E226" t="s">
        <v>19</v>
      </c>
      <c r="F226" t="s">
        <v>23</v>
      </c>
      <c r="O226">
        <v>2026</v>
      </c>
    </row>
    <row r="227" spans="1:16" x14ac:dyDescent="0.3">
      <c r="A227" t="str">
        <f t="shared" si="3"/>
        <v>PD|NewCapacity|RE1|PWRHYDDAM|2026</v>
      </c>
      <c r="B227" t="s">
        <v>16</v>
      </c>
      <c r="C227" t="s">
        <v>17</v>
      </c>
      <c r="D227" t="s">
        <v>37</v>
      </c>
      <c r="E227" t="s">
        <v>19</v>
      </c>
      <c r="F227" t="s">
        <v>24</v>
      </c>
      <c r="O227">
        <v>2026</v>
      </c>
    </row>
    <row r="228" spans="1:16" x14ac:dyDescent="0.3">
      <c r="A228" t="str">
        <f t="shared" si="3"/>
        <v>PD|NewCapacity|RE1|PWRHYDROR|2026</v>
      </c>
      <c r="B228" t="s">
        <v>16</v>
      </c>
      <c r="C228" t="s">
        <v>17</v>
      </c>
      <c r="D228" t="s">
        <v>37</v>
      </c>
      <c r="E228" t="s">
        <v>19</v>
      </c>
      <c r="F228" t="s">
        <v>25</v>
      </c>
      <c r="O228">
        <v>2026</v>
      </c>
    </row>
    <row r="229" spans="1:16" x14ac:dyDescent="0.3">
      <c r="A229" t="str">
        <f t="shared" si="3"/>
        <v>PD|NewCapacity|RE1|PWRHYDROR_NDC|2026</v>
      </c>
      <c r="B229" t="s">
        <v>16</v>
      </c>
      <c r="C229" t="s">
        <v>17</v>
      </c>
      <c r="D229" t="s">
        <v>37</v>
      </c>
      <c r="E229" t="s">
        <v>19</v>
      </c>
      <c r="F229" t="s">
        <v>26</v>
      </c>
      <c r="O229">
        <v>2026</v>
      </c>
    </row>
    <row r="230" spans="1:16" x14ac:dyDescent="0.3">
      <c r="A230" t="str">
        <f t="shared" si="3"/>
        <v>PD|NewCapacity|RE1|PWRJET|2026</v>
      </c>
      <c r="B230" t="s">
        <v>16</v>
      </c>
      <c r="C230" t="s">
        <v>17</v>
      </c>
      <c r="D230" t="s">
        <v>37</v>
      </c>
      <c r="E230" t="s">
        <v>19</v>
      </c>
      <c r="F230" t="s">
        <v>27</v>
      </c>
      <c r="O230">
        <v>2026</v>
      </c>
    </row>
    <row r="231" spans="1:16" x14ac:dyDescent="0.3">
      <c r="A231" t="str">
        <f t="shared" si="3"/>
        <v>PD|NewCapacity|RE1|PWRLPG|2026</v>
      </c>
      <c r="B231" t="s">
        <v>16</v>
      </c>
      <c r="C231" t="s">
        <v>17</v>
      </c>
      <c r="D231" t="s">
        <v>37</v>
      </c>
      <c r="E231" t="s">
        <v>19</v>
      </c>
      <c r="F231" t="s">
        <v>28</v>
      </c>
      <c r="O231">
        <v>2026</v>
      </c>
    </row>
    <row r="232" spans="1:16" x14ac:dyDescent="0.3">
      <c r="A232" t="str">
        <f t="shared" si="3"/>
        <v>PD|NewCapacity|RE1|PWRNGS_CC|2026</v>
      </c>
      <c r="B232" t="s">
        <v>16</v>
      </c>
      <c r="C232" t="s">
        <v>17</v>
      </c>
      <c r="D232" t="s">
        <v>37</v>
      </c>
      <c r="E232" t="s">
        <v>19</v>
      </c>
      <c r="F232" t="s">
        <v>29</v>
      </c>
      <c r="O232">
        <v>2026</v>
      </c>
    </row>
    <row r="233" spans="1:16" x14ac:dyDescent="0.3">
      <c r="A233" t="str">
        <f t="shared" si="3"/>
        <v>PD|NewCapacity|RE1|PWRNGS_CS|2026</v>
      </c>
      <c r="B233" t="s">
        <v>16</v>
      </c>
      <c r="C233" t="s">
        <v>17</v>
      </c>
      <c r="D233" t="s">
        <v>37</v>
      </c>
      <c r="E233" t="s">
        <v>19</v>
      </c>
      <c r="F233" t="s">
        <v>30</v>
      </c>
      <c r="O233">
        <v>2026</v>
      </c>
    </row>
    <row r="234" spans="1:16" x14ac:dyDescent="0.3">
      <c r="A234" t="str">
        <f t="shared" si="3"/>
        <v>PD|NewCapacity|RE1|PWRSOLRTP|2026</v>
      </c>
      <c r="B234" t="s">
        <v>16</v>
      </c>
      <c r="C234" t="s">
        <v>17</v>
      </c>
      <c r="D234" t="s">
        <v>37</v>
      </c>
      <c r="E234" t="s">
        <v>19</v>
      </c>
      <c r="F234" t="s">
        <v>31</v>
      </c>
      <c r="O234">
        <v>2026</v>
      </c>
      <c r="P234">
        <v>7.9387888395688</v>
      </c>
    </row>
    <row r="235" spans="1:16" x14ac:dyDescent="0.3">
      <c r="A235" t="str">
        <f t="shared" si="3"/>
        <v>PD|NewCapacity|RE1|PWRSOLRTP_ZNI|2026</v>
      </c>
      <c r="B235" t="s">
        <v>16</v>
      </c>
      <c r="C235" t="s">
        <v>17</v>
      </c>
      <c r="D235" t="s">
        <v>37</v>
      </c>
      <c r="E235" t="s">
        <v>19</v>
      </c>
      <c r="F235" t="s">
        <v>32</v>
      </c>
      <c r="O235">
        <v>2026</v>
      </c>
    </row>
    <row r="236" spans="1:16" x14ac:dyDescent="0.3">
      <c r="A236" t="str">
        <f t="shared" si="3"/>
        <v>PD|NewCapacity|RE1|PWRSOLUGE|2026</v>
      </c>
      <c r="B236" t="s">
        <v>16</v>
      </c>
      <c r="C236" t="s">
        <v>17</v>
      </c>
      <c r="D236" t="s">
        <v>37</v>
      </c>
      <c r="E236" t="s">
        <v>19</v>
      </c>
      <c r="F236" t="s">
        <v>33</v>
      </c>
      <c r="O236">
        <v>2026</v>
      </c>
      <c r="P236">
        <v>55.787184000000003</v>
      </c>
    </row>
    <row r="237" spans="1:16" x14ac:dyDescent="0.3">
      <c r="A237" t="str">
        <f t="shared" si="3"/>
        <v>PD|NewCapacity|RE1|PWRSOLUPE|2026</v>
      </c>
      <c r="B237" t="s">
        <v>16</v>
      </c>
      <c r="C237" t="s">
        <v>17</v>
      </c>
      <c r="D237" t="s">
        <v>37</v>
      </c>
      <c r="E237" t="s">
        <v>19</v>
      </c>
      <c r="F237" t="s">
        <v>34</v>
      </c>
      <c r="O237">
        <v>2026</v>
      </c>
      <c r="P237">
        <v>3.364575839999973</v>
      </c>
    </row>
    <row r="238" spans="1:16" x14ac:dyDescent="0.3">
      <c r="A238" t="str">
        <f t="shared" si="3"/>
        <v>PD|NewCapacity|RE1|PWRSTD|2026</v>
      </c>
      <c r="B238" t="s">
        <v>16</v>
      </c>
      <c r="C238" t="s">
        <v>17</v>
      </c>
      <c r="D238" t="s">
        <v>37</v>
      </c>
      <c r="E238" t="s">
        <v>19</v>
      </c>
      <c r="F238" t="s">
        <v>35</v>
      </c>
      <c r="O238">
        <v>2026</v>
      </c>
    </row>
    <row r="239" spans="1:16" x14ac:dyDescent="0.3">
      <c r="A239" t="str">
        <f t="shared" si="3"/>
        <v>PD|NewCapacity|RE1|PWRWNDONS|2026</v>
      </c>
      <c r="B239" t="s">
        <v>16</v>
      </c>
      <c r="C239" t="s">
        <v>17</v>
      </c>
      <c r="D239" t="s">
        <v>37</v>
      </c>
      <c r="E239" t="s">
        <v>19</v>
      </c>
      <c r="F239" t="s">
        <v>36</v>
      </c>
      <c r="O239">
        <v>2026</v>
      </c>
    </row>
    <row r="240" spans="1:16" x14ac:dyDescent="0.3">
      <c r="A240" t="str">
        <f t="shared" si="3"/>
        <v>PD|TotalCapacityAnnual|RE1|PWRBGS|2026</v>
      </c>
      <c r="B240" t="s">
        <v>16</v>
      </c>
      <c r="C240" t="s">
        <v>17</v>
      </c>
      <c r="D240" t="s">
        <v>38</v>
      </c>
      <c r="E240" t="s">
        <v>19</v>
      </c>
      <c r="F240" t="s">
        <v>20</v>
      </c>
      <c r="O240">
        <v>2026</v>
      </c>
      <c r="P240">
        <v>2.5488587520000001E-2</v>
      </c>
    </row>
    <row r="241" spans="1:16" x14ac:dyDescent="0.3">
      <c r="A241" t="str">
        <f t="shared" si="3"/>
        <v>PD|TotalCapacityAnnual|RE1|PWRCOA|2026</v>
      </c>
      <c r="B241" t="s">
        <v>16</v>
      </c>
      <c r="C241" t="s">
        <v>17</v>
      </c>
      <c r="D241" t="s">
        <v>38</v>
      </c>
      <c r="E241" t="s">
        <v>19</v>
      </c>
      <c r="F241" t="s">
        <v>21</v>
      </c>
      <c r="O241">
        <v>2026</v>
      </c>
      <c r="P241">
        <v>50.867567999999991</v>
      </c>
    </row>
    <row r="242" spans="1:16" x14ac:dyDescent="0.3">
      <c r="A242" t="str">
        <f t="shared" si="3"/>
        <v>PD|TotalCapacityAnnual|RE1|PWRDSL|2026</v>
      </c>
      <c r="B242" t="s">
        <v>16</v>
      </c>
      <c r="C242" t="s">
        <v>17</v>
      </c>
      <c r="D242" t="s">
        <v>38</v>
      </c>
      <c r="E242" t="s">
        <v>19</v>
      </c>
      <c r="F242" t="s">
        <v>22</v>
      </c>
      <c r="O242">
        <v>2026</v>
      </c>
      <c r="P242">
        <v>28.477008000000001</v>
      </c>
    </row>
    <row r="243" spans="1:16" x14ac:dyDescent="0.3">
      <c r="A243" t="str">
        <f t="shared" si="3"/>
        <v>PD|TotalCapacityAnnual|RE1|PWRFOL|2026</v>
      </c>
      <c r="B243" t="s">
        <v>16</v>
      </c>
      <c r="C243" t="s">
        <v>17</v>
      </c>
      <c r="D243" t="s">
        <v>38</v>
      </c>
      <c r="E243" t="s">
        <v>19</v>
      </c>
      <c r="F243" t="s">
        <v>23</v>
      </c>
      <c r="O243">
        <v>2026</v>
      </c>
      <c r="P243">
        <v>8.3885759999999987</v>
      </c>
    </row>
    <row r="244" spans="1:16" x14ac:dyDescent="0.3">
      <c r="A244" t="str">
        <f t="shared" si="3"/>
        <v>PD|TotalCapacityAnnual|RE1|PWRHYDDAM|2026</v>
      </c>
      <c r="B244" t="s">
        <v>16</v>
      </c>
      <c r="C244" t="s">
        <v>17</v>
      </c>
      <c r="D244" t="s">
        <v>38</v>
      </c>
      <c r="E244" t="s">
        <v>19</v>
      </c>
      <c r="F244" t="s">
        <v>24</v>
      </c>
      <c r="O244">
        <v>2026</v>
      </c>
      <c r="P244">
        <v>364.808448</v>
      </c>
    </row>
    <row r="245" spans="1:16" x14ac:dyDescent="0.3">
      <c r="A245" t="str">
        <f t="shared" si="3"/>
        <v>PD|TotalCapacityAnnual|RE1|PWRHYDROR|2026</v>
      </c>
      <c r="B245" t="s">
        <v>16</v>
      </c>
      <c r="C245" t="s">
        <v>17</v>
      </c>
      <c r="D245" t="s">
        <v>38</v>
      </c>
      <c r="E245" t="s">
        <v>19</v>
      </c>
      <c r="F245" t="s">
        <v>25</v>
      </c>
      <c r="O245">
        <v>2026</v>
      </c>
      <c r="P245">
        <v>21.097584000000001</v>
      </c>
    </row>
    <row r="246" spans="1:16" x14ac:dyDescent="0.3">
      <c r="A246" t="str">
        <f t="shared" si="3"/>
        <v>PD|TotalCapacityAnnual|RE1|PWRHYDROR_NDC|2026</v>
      </c>
      <c r="B246" t="s">
        <v>16</v>
      </c>
      <c r="C246" t="s">
        <v>17</v>
      </c>
      <c r="D246" t="s">
        <v>38</v>
      </c>
      <c r="E246" t="s">
        <v>19</v>
      </c>
      <c r="F246" t="s">
        <v>26</v>
      </c>
      <c r="O246">
        <v>2026</v>
      </c>
      <c r="P246">
        <v>29.725108271999989</v>
      </c>
    </row>
    <row r="247" spans="1:16" x14ac:dyDescent="0.3">
      <c r="A247" t="str">
        <f t="shared" si="3"/>
        <v>PD|TotalCapacityAnnual|RE1|PWRJET|2026</v>
      </c>
      <c r="B247" t="s">
        <v>16</v>
      </c>
      <c r="C247" t="s">
        <v>17</v>
      </c>
      <c r="D247" t="s">
        <v>38</v>
      </c>
      <c r="E247" t="s">
        <v>19</v>
      </c>
      <c r="F247" t="s">
        <v>27</v>
      </c>
      <c r="O247">
        <v>2026</v>
      </c>
      <c r="P247">
        <v>1.5768</v>
      </c>
    </row>
    <row r="248" spans="1:16" x14ac:dyDescent="0.3">
      <c r="A248" t="str">
        <f t="shared" si="3"/>
        <v>PD|TotalCapacityAnnual|RE1|PWRLPG|2026</v>
      </c>
      <c r="B248" t="s">
        <v>16</v>
      </c>
      <c r="C248" t="s">
        <v>17</v>
      </c>
      <c r="D248" t="s">
        <v>38</v>
      </c>
      <c r="E248" t="s">
        <v>19</v>
      </c>
      <c r="F248" t="s">
        <v>28</v>
      </c>
      <c r="O248">
        <v>2026</v>
      </c>
      <c r="P248">
        <v>1.639872</v>
      </c>
    </row>
    <row r="249" spans="1:16" x14ac:dyDescent="0.3">
      <c r="A249" t="str">
        <f t="shared" si="3"/>
        <v>PD|TotalCapacityAnnual|RE1|PWRNGS_CC|2026</v>
      </c>
      <c r="B249" t="s">
        <v>16</v>
      </c>
      <c r="C249" t="s">
        <v>17</v>
      </c>
      <c r="D249" t="s">
        <v>38</v>
      </c>
      <c r="E249" t="s">
        <v>19</v>
      </c>
      <c r="F249" t="s">
        <v>29</v>
      </c>
      <c r="O249">
        <v>2026</v>
      </c>
      <c r="P249">
        <v>70.104500000000002</v>
      </c>
    </row>
    <row r="250" spans="1:16" x14ac:dyDescent="0.3">
      <c r="A250" t="str">
        <f t="shared" si="3"/>
        <v>PD|TotalCapacityAnnual|RE1|PWRNGS_CS|2026</v>
      </c>
      <c r="B250" t="s">
        <v>16</v>
      </c>
      <c r="C250" t="s">
        <v>17</v>
      </c>
      <c r="D250" t="s">
        <v>38</v>
      </c>
      <c r="E250" t="s">
        <v>19</v>
      </c>
      <c r="F250" t="s">
        <v>30</v>
      </c>
      <c r="O250">
        <v>2026</v>
      </c>
      <c r="P250">
        <v>23.967359999999999</v>
      </c>
    </row>
    <row r="251" spans="1:16" x14ac:dyDescent="0.3">
      <c r="A251" t="str">
        <f t="shared" si="3"/>
        <v>PD|TotalCapacityAnnual|RE1|PWRSOLRTP|2026</v>
      </c>
      <c r="B251" t="s">
        <v>16</v>
      </c>
      <c r="C251" t="s">
        <v>17</v>
      </c>
      <c r="D251" t="s">
        <v>38</v>
      </c>
      <c r="E251" t="s">
        <v>19</v>
      </c>
      <c r="F251" t="s">
        <v>31</v>
      </c>
      <c r="O251">
        <v>2026</v>
      </c>
      <c r="P251">
        <v>31.2228888395688</v>
      </c>
    </row>
    <row r="252" spans="1:16" x14ac:dyDescent="0.3">
      <c r="A252" t="str">
        <f t="shared" si="3"/>
        <v>PD|TotalCapacityAnnual|RE1|PWRSOLRTP_ZNI|2026</v>
      </c>
      <c r="B252" t="s">
        <v>16</v>
      </c>
      <c r="C252" t="s">
        <v>17</v>
      </c>
      <c r="D252" t="s">
        <v>38</v>
      </c>
      <c r="E252" t="s">
        <v>19</v>
      </c>
      <c r="F252" t="s">
        <v>32</v>
      </c>
      <c r="O252">
        <v>2026</v>
      </c>
      <c r="P252">
        <v>0.46074095999999998</v>
      </c>
    </row>
    <row r="253" spans="1:16" x14ac:dyDescent="0.3">
      <c r="A253" t="str">
        <f t="shared" si="3"/>
        <v>PD|TotalCapacityAnnual|RE1|PWRSOLUGE|2026</v>
      </c>
      <c r="B253" t="s">
        <v>16</v>
      </c>
      <c r="C253" t="s">
        <v>17</v>
      </c>
      <c r="D253" t="s">
        <v>38</v>
      </c>
      <c r="E253" t="s">
        <v>19</v>
      </c>
      <c r="F253" t="s">
        <v>33</v>
      </c>
      <c r="O253">
        <v>2026</v>
      </c>
      <c r="P253">
        <v>110.90202048</v>
      </c>
    </row>
    <row r="254" spans="1:16" x14ac:dyDescent="0.3">
      <c r="A254" t="str">
        <f t="shared" si="3"/>
        <v>PD|TotalCapacityAnnual|RE1|PWRSOLUPE|2026</v>
      </c>
      <c r="B254" t="s">
        <v>16</v>
      </c>
      <c r="C254" t="s">
        <v>17</v>
      </c>
      <c r="D254" t="s">
        <v>38</v>
      </c>
      <c r="E254" t="s">
        <v>19</v>
      </c>
      <c r="F254" t="s">
        <v>34</v>
      </c>
      <c r="O254">
        <v>2026</v>
      </c>
      <c r="P254">
        <v>35.703640079999929</v>
      </c>
    </row>
    <row r="255" spans="1:16" x14ac:dyDescent="0.3">
      <c r="A255" t="str">
        <f t="shared" si="3"/>
        <v>PD|TotalCapacityAnnual|RE1|PWRSTD|2026</v>
      </c>
      <c r="B255" t="s">
        <v>16</v>
      </c>
      <c r="C255" t="s">
        <v>17</v>
      </c>
      <c r="D255" t="s">
        <v>38</v>
      </c>
      <c r="E255" t="s">
        <v>19</v>
      </c>
      <c r="F255" t="s">
        <v>35</v>
      </c>
      <c r="O255">
        <v>2026</v>
      </c>
      <c r="P255">
        <v>8.163062064</v>
      </c>
    </row>
    <row r="256" spans="1:16" x14ac:dyDescent="0.3">
      <c r="A256" t="str">
        <f t="shared" si="3"/>
        <v>PD|TotalCapacityAnnual|RE1|PWRWNDONS|2026</v>
      </c>
      <c r="B256" t="s">
        <v>16</v>
      </c>
      <c r="C256" t="s">
        <v>17</v>
      </c>
      <c r="D256" t="s">
        <v>38</v>
      </c>
      <c r="E256" t="s">
        <v>19</v>
      </c>
      <c r="F256" t="s">
        <v>36</v>
      </c>
      <c r="O256">
        <v>2026</v>
      </c>
      <c r="P256">
        <v>1.522285714285714</v>
      </c>
    </row>
    <row r="257" spans="1:16" x14ac:dyDescent="0.3">
      <c r="A257" t="str">
        <f t="shared" si="3"/>
        <v>PD|AccumulatedNewCapacity|RE1|PWRBGS|2027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O257">
        <v>2027</v>
      </c>
    </row>
    <row r="258" spans="1:16" x14ac:dyDescent="0.3">
      <c r="A258" t="str">
        <f t="shared" ref="A258:A321" si="4">B258&amp;"|"&amp;D258&amp;"|"&amp;E258&amp;"|"&amp;F258&amp;"|"&amp;O258</f>
        <v>PD|AccumulatedNewCapacity|RE1|PWRCOA|2027</v>
      </c>
      <c r="B258" t="s">
        <v>16</v>
      </c>
      <c r="C258" t="s">
        <v>17</v>
      </c>
      <c r="D258" t="s">
        <v>18</v>
      </c>
      <c r="E258" t="s">
        <v>19</v>
      </c>
      <c r="F258" t="s">
        <v>21</v>
      </c>
      <c r="O258">
        <v>2027</v>
      </c>
    </row>
    <row r="259" spans="1:16" x14ac:dyDescent="0.3">
      <c r="A259" t="str">
        <f t="shared" si="4"/>
        <v>PD|AccumulatedNewCapacity|RE1|PWRDSL|2027</v>
      </c>
      <c r="B259" t="s">
        <v>16</v>
      </c>
      <c r="C259" t="s">
        <v>17</v>
      </c>
      <c r="D259" t="s">
        <v>18</v>
      </c>
      <c r="E259" t="s">
        <v>19</v>
      </c>
      <c r="F259" t="s">
        <v>22</v>
      </c>
      <c r="O259">
        <v>2027</v>
      </c>
    </row>
    <row r="260" spans="1:16" x14ac:dyDescent="0.3">
      <c r="A260" t="str">
        <f t="shared" si="4"/>
        <v>PD|AccumulatedNewCapacity|RE1|PWRFOL|2027</v>
      </c>
      <c r="B260" t="s">
        <v>16</v>
      </c>
      <c r="C260" t="s">
        <v>17</v>
      </c>
      <c r="D260" t="s">
        <v>18</v>
      </c>
      <c r="E260" t="s">
        <v>19</v>
      </c>
      <c r="F260" t="s">
        <v>23</v>
      </c>
      <c r="O260">
        <v>2027</v>
      </c>
    </row>
    <row r="261" spans="1:16" x14ac:dyDescent="0.3">
      <c r="A261" t="str">
        <f t="shared" si="4"/>
        <v>PD|AccumulatedNewCapacity|RE1|PWRHYDDAM|2027</v>
      </c>
      <c r="B261" t="s">
        <v>16</v>
      </c>
      <c r="C261" t="s">
        <v>17</v>
      </c>
      <c r="D261" t="s">
        <v>18</v>
      </c>
      <c r="E261" t="s">
        <v>19</v>
      </c>
      <c r="F261" t="s">
        <v>24</v>
      </c>
      <c r="O261">
        <v>2027</v>
      </c>
    </row>
    <row r="262" spans="1:16" x14ac:dyDescent="0.3">
      <c r="A262" t="str">
        <f t="shared" si="4"/>
        <v>PD|AccumulatedNewCapacity|RE1|PWRHYDROR|2027</v>
      </c>
      <c r="B262" t="s">
        <v>16</v>
      </c>
      <c r="C262" t="s">
        <v>17</v>
      </c>
      <c r="D262" t="s">
        <v>18</v>
      </c>
      <c r="E262" t="s">
        <v>19</v>
      </c>
      <c r="F262" t="s">
        <v>25</v>
      </c>
      <c r="O262">
        <v>2027</v>
      </c>
    </row>
    <row r="263" spans="1:16" x14ac:dyDescent="0.3">
      <c r="A263" t="str">
        <f t="shared" si="4"/>
        <v>PD|AccumulatedNewCapacity|RE1|PWRHYDROR_NDC|2027</v>
      </c>
      <c r="B263" t="s">
        <v>16</v>
      </c>
      <c r="C263" t="s">
        <v>17</v>
      </c>
      <c r="D263" t="s">
        <v>18</v>
      </c>
      <c r="E263" t="s">
        <v>19</v>
      </c>
      <c r="F263" t="s">
        <v>26</v>
      </c>
      <c r="O263">
        <v>2027</v>
      </c>
    </row>
    <row r="264" spans="1:16" x14ac:dyDescent="0.3">
      <c r="A264" t="str">
        <f t="shared" si="4"/>
        <v>PD|AccumulatedNewCapacity|RE1|PWRJET|2027</v>
      </c>
      <c r="B264" t="s">
        <v>16</v>
      </c>
      <c r="C264" t="s">
        <v>17</v>
      </c>
      <c r="D264" t="s">
        <v>18</v>
      </c>
      <c r="E264" t="s">
        <v>19</v>
      </c>
      <c r="F264" t="s">
        <v>27</v>
      </c>
      <c r="O264">
        <v>2027</v>
      </c>
    </row>
    <row r="265" spans="1:16" x14ac:dyDescent="0.3">
      <c r="A265" t="str">
        <f t="shared" si="4"/>
        <v>PD|AccumulatedNewCapacity|RE1|PWRLPG|2027</v>
      </c>
      <c r="B265" t="s">
        <v>16</v>
      </c>
      <c r="C265" t="s">
        <v>17</v>
      </c>
      <c r="D265" t="s">
        <v>18</v>
      </c>
      <c r="E265" t="s">
        <v>19</v>
      </c>
      <c r="F265" t="s">
        <v>28</v>
      </c>
      <c r="O265">
        <v>2027</v>
      </c>
    </row>
    <row r="266" spans="1:16" x14ac:dyDescent="0.3">
      <c r="A266" t="str">
        <f t="shared" si="4"/>
        <v>PD|AccumulatedNewCapacity|RE1|PWRNGS_CC|2027</v>
      </c>
      <c r="B266" t="s">
        <v>16</v>
      </c>
      <c r="C266" t="s">
        <v>17</v>
      </c>
      <c r="D266" t="s">
        <v>18</v>
      </c>
      <c r="E266" t="s">
        <v>19</v>
      </c>
      <c r="F266" t="s">
        <v>29</v>
      </c>
      <c r="O266">
        <v>2027</v>
      </c>
    </row>
    <row r="267" spans="1:16" x14ac:dyDescent="0.3">
      <c r="A267" t="str">
        <f t="shared" si="4"/>
        <v>PD|AccumulatedNewCapacity|RE1|PWRNGS_CS|2027</v>
      </c>
      <c r="B267" t="s">
        <v>16</v>
      </c>
      <c r="C267" t="s">
        <v>17</v>
      </c>
      <c r="D267" t="s">
        <v>18</v>
      </c>
      <c r="E267" t="s">
        <v>19</v>
      </c>
      <c r="F267" t="s">
        <v>30</v>
      </c>
      <c r="O267">
        <v>2027</v>
      </c>
    </row>
    <row r="268" spans="1:16" x14ac:dyDescent="0.3">
      <c r="A268" t="str">
        <f t="shared" si="4"/>
        <v>PD|AccumulatedNewCapacity|RE1|PWRSOLRTP|2027</v>
      </c>
      <c r="B268" t="s">
        <v>16</v>
      </c>
      <c r="C268" t="s">
        <v>17</v>
      </c>
      <c r="D268" t="s">
        <v>18</v>
      </c>
      <c r="E268" t="s">
        <v>19</v>
      </c>
      <c r="F268" t="s">
        <v>31</v>
      </c>
      <c r="O268">
        <v>2027</v>
      </c>
      <c r="P268">
        <v>18.718750792644261</v>
      </c>
    </row>
    <row r="269" spans="1:16" x14ac:dyDescent="0.3">
      <c r="A269" t="str">
        <f t="shared" si="4"/>
        <v>PD|AccumulatedNewCapacity|RE1|PWRSOLRTP_ZNI|2027</v>
      </c>
      <c r="B269" t="s">
        <v>16</v>
      </c>
      <c r="C269" t="s">
        <v>17</v>
      </c>
      <c r="D269" t="s">
        <v>18</v>
      </c>
      <c r="E269" t="s">
        <v>19</v>
      </c>
      <c r="F269" t="s">
        <v>32</v>
      </c>
      <c r="O269">
        <v>2027</v>
      </c>
    </row>
    <row r="270" spans="1:16" x14ac:dyDescent="0.3">
      <c r="A270" t="str">
        <f t="shared" si="4"/>
        <v>PD|AccumulatedNewCapacity|RE1|PWRSOLUGE|2027</v>
      </c>
      <c r="B270" t="s">
        <v>16</v>
      </c>
      <c r="C270" t="s">
        <v>17</v>
      </c>
      <c r="D270" t="s">
        <v>18</v>
      </c>
      <c r="E270" t="s">
        <v>19</v>
      </c>
      <c r="F270" t="s">
        <v>33</v>
      </c>
      <c r="O270">
        <v>2027</v>
      </c>
      <c r="P270">
        <v>135.51019199999999</v>
      </c>
    </row>
    <row r="271" spans="1:16" x14ac:dyDescent="0.3">
      <c r="A271" t="str">
        <f t="shared" si="4"/>
        <v>PD|AccumulatedNewCapacity|RE1|PWRSOLUPE|2027</v>
      </c>
      <c r="B271" t="s">
        <v>16</v>
      </c>
      <c r="C271" t="s">
        <v>17</v>
      </c>
      <c r="D271" t="s">
        <v>18</v>
      </c>
      <c r="E271" t="s">
        <v>19</v>
      </c>
      <c r="F271" t="s">
        <v>34</v>
      </c>
      <c r="O271">
        <v>2027</v>
      </c>
      <c r="P271">
        <v>12.14419823999993</v>
      </c>
    </row>
    <row r="272" spans="1:16" x14ac:dyDescent="0.3">
      <c r="A272" t="str">
        <f t="shared" si="4"/>
        <v>PD|AccumulatedNewCapacity|RE1|PWRSTD|2027</v>
      </c>
      <c r="B272" t="s">
        <v>16</v>
      </c>
      <c r="C272" t="s">
        <v>17</v>
      </c>
      <c r="D272" t="s">
        <v>18</v>
      </c>
      <c r="E272" t="s">
        <v>19</v>
      </c>
      <c r="F272" t="s">
        <v>35</v>
      </c>
      <c r="O272">
        <v>2027</v>
      </c>
    </row>
    <row r="273" spans="1:16" x14ac:dyDescent="0.3">
      <c r="A273" t="str">
        <f t="shared" si="4"/>
        <v>PD|AccumulatedNewCapacity|RE1|PWRWNDONS|2027</v>
      </c>
      <c r="B273" t="s">
        <v>16</v>
      </c>
      <c r="C273" t="s">
        <v>17</v>
      </c>
      <c r="D273" t="s">
        <v>18</v>
      </c>
      <c r="E273" t="s">
        <v>19</v>
      </c>
      <c r="F273" t="s">
        <v>36</v>
      </c>
      <c r="O273">
        <v>2027</v>
      </c>
      <c r="P273">
        <v>17.46688731428571</v>
      </c>
    </row>
    <row r="274" spans="1:16" x14ac:dyDescent="0.3">
      <c r="A274" t="str">
        <f t="shared" si="4"/>
        <v>PD|NewCapacity|RE1|PWRBGS|2027</v>
      </c>
      <c r="B274" t="s">
        <v>16</v>
      </c>
      <c r="C274" t="s">
        <v>17</v>
      </c>
      <c r="D274" t="s">
        <v>37</v>
      </c>
      <c r="E274" t="s">
        <v>19</v>
      </c>
      <c r="F274" t="s">
        <v>20</v>
      </c>
      <c r="O274">
        <v>2027</v>
      </c>
    </row>
    <row r="275" spans="1:16" x14ac:dyDescent="0.3">
      <c r="A275" t="str">
        <f t="shared" si="4"/>
        <v>PD|NewCapacity|RE1|PWRCOA|2027</v>
      </c>
      <c r="B275" t="s">
        <v>16</v>
      </c>
      <c r="C275" t="s">
        <v>17</v>
      </c>
      <c r="D275" t="s">
        <v>37</v>
      </c>
      <c r="E275" t="s">
        <v>19</v>
      </c>
      <c r="F275" t="s">
        <v>21</v>
      </c>
      <c r="O275">
        <v>2027</v>
      </c>
    </row>
    <row r="276" spans="1:16" x14ac:dyDescent="0.3">
      <c r="A276" t="str">
        <f t="shared" si="4"/>
        <v>PD|NewCapacity|RE1|PWRDSL|2027</v>
      </c>
      <c r="B276" t="s">
        <v>16</v>
      </c>
      <c r="C276" t="s">
        <v>17</v>
      </c>
      <c r="D276" t="s">
        <v>37</v>
      </c>
      <c r="E276" t="s">
        <v>19</v>
      </c>
      <c r="F276" t="s">
        <v>22</v>
      </c>
      <c r="O276">
        <v>2027</v>
      </c>
    </row>
    <row r="277" spans="1:16" x14ac:dyDescent="0.3">
      <c r="A277" t="str">
        <f t="shared" si="4"/>
        <v>PD|NewCapacity|RE1|PWRFOL|2027</v>
      </c>
      <c r="B277" t="s">
        <v>16</v>
      </c>
      <c r="C277" t="s">
        <v>17</v>
      </c>
      <c r="D277" t="s">
        <v>37</v>
      </c>
      <c r="E277" t="s">
        <v>19</v>
      </c>
      <c r="F277" t="s">
        <v>23</v>
      </c>
      <c r="O277">
        <v>2027</v>
      </c>
    </row>
    <row r="278" spans="1:16" x14ac:dyDescent="0.3">
      <c r="A278" t="str">
        <f t="shared" si="4"/>
        <v>PD|NewCapacity|RE1|PWRHYDDAM|2027</v>
      </c>
      <c r="B278" t="s">
        <v>16</v>
      </c>
      <c r="C278" t="s">
        <v>17</v>
      </c>
      <c r="D278" t="s">
        <v>37</v>
      </c>
      <c r="E278" t="s">
        <v>19</v>
      </c>
      <c r="F278" t="s">
        <v>24</v>
      </c>
      <c r="O278">
        <v>2027</v>
      </c>
    </row>
    <row r="279" spans="1:16" x14ac:dyDescent="0.3">
      <c r="A279" t="str">
        <f t="shared" si="4"/>
        <v>PD|NewCapacity|RE1|PWRHYDROR|2027</v>
      </c>
      <c r="B279" t="s">
        <v>16</v>
      </c>
      <c r="C279" t="s">
        <v>17</v>
      </c>
      <c r="D279" t="s">
        <v>37</v>
      </c>
      <c r="E279" t="s">
        <v>19</v>
      </c>
      <c r="F279" t="s">
        <v>25</v>
      </c>
      <c r="O279">
        <v>2027</v>
      </c>
    </row>
    <row r="280" spans="1:16" x14ac:dyDescent="0.3">
      <c r="A280" t="str">
        <f t="shared" si="4"/>
        <v>PD|NewCapacity|RE1|PWRHYDROR_NDC|2027</v>
      </c>
      <c r="B280" t="s">
        <v>16</v>
      </c>
      <c r="C280" t="s">
        <v>17</v>
      </c>
      <c r="D280" t="s">
        <v>37</v>
      </c>
      <c r="E280" t="s">
        <v>19</v>
      </c>
      <c r="F280" t="s">
        <v>26</v>
      </c>
      <c r="O280">
        <v>2027</v>
      </c>
    </row>
    <row r="281" spans="1:16" x14ac:dyDescent="0.3">
      <c r="A281" t="str">
        <f t="shared" si="4"/>
        <v>PD|NewCapacity|RE1|PWRJET|2027</v>
      </c>
      <c r="B281" t="s">
        <v>16</v>
      </c>
      <c r="C281" t="s">
        <v>17</v>
      </c>
      <c r="D281" t="s">
        <v>37</v>
      </c>
      <c r="E281" t="s">
        <v>19</v>
      </c>
      <c r="F281" t="s">
        <v>27</v>
      </c>
      <c r="O281">
        <v>2027</v>
      </c>
    </row>
    <row r="282" spans="1:16" x14ac:dyDescent="0.3">
      <c r="A282" t="str">
        <f t="shared" si="4"/>
        <v>PD|NewCapacity|RE1|PWRLPG|2027</v>
      </c>
      <c r="B282" t="s">
        <v>16</v>
      </c>
      <c r="C282" t="s">
        <v>17</v>
      </c>
      <c r="D282" t="s">
        <v>37</v>
      </c>
      <c r="E282" t="s">
        <v>19</v>
      </c>
      <c r="F282" t="s">
        <v>28</v>
      </c>
      <c r="O282">
        <v>2027</v>
      </c>
    </row>
    <row r="283" spans="1:16" x14ac:dyDescent="0.3">
      <c r="A283" t="str">
        <f t="shared" si="4"/>
        <v>PD|NewCapacity|RE1|PWRNGS_CC|2027</v>
      </c>
      <c r="B283" t="s">
        <v>16</v>
      </c>
      <c r="C283" t="s">
        <v>17</v>
      </c>
      <c r="D283" t="s">
        <v>37</v>
      </c>
      <c r="E283" t="s">
        <v>19</v>
      </c>
      <c r="F283" t="s">
        <v>29</v>
      </c>
      <c r="O283">
        <v>2027</v>
      </c>
    </row>
    <row r="284" spans="1:16" x14ac:dyDescent="0.3">
      <c r="A284" t="str">
        <f t="shared" si="4"/>
        <v>PD|NewCapacity|RE1|PWRNGS_CS|2027</v>
      </c>
      <c r="B284" t="s">
        <v>16</v>
      </c>
      <c r="C284" t="s">
        <v>17</v>
      </c>
      <c r="D284" t="s">
        <v>37</v>
      </c>
      <c r="E284" t="s">
        <v>19</v>
      </c>
      <c r="F284" t="s">
        <v>30</v>
      </c>
      <c r="O284">
        <v>2027</v>
      </c>
    </row>
    <row r="285" spans="1:16" x14ac:dyDescent="0.3">
      <c r="A285" t="str">
        <f t="shared" si="4"/>
        <v>PD|NewCapacity|RE1|PWRSOLRTP|2027</v>
      </c>
      <c r="B285" t="s">
        <v>16</v>
      </c>
      <c r="C285" t="s">
        <v>17</v>
      </c>
      <c r="D285" t="s">
        <v>37</v>
      </c>
      <c r="E285" t="s">
        <v>19</v>
      </c>
      <c r="F285" t="s">
        <v>31</v>
      </c>
      <c r="O285">
        <v>2027</v>
      </c>
      <c r="P285">
        <v>10.77996195307546</v>
      </c>
    </row>
    <row r="286" spans="1:16" x14ac:dyDescent="0.3">
      <c r="A286" t="str">
        <f t="shared" si="4"/>
        <v>PD|NewCapacity|RE1|PWRSOLRTP_ZNI|2027</v>
      </c>
      <c r="B286" t="s">
        <v>16</v>
      </c>
      <c r="C286" t="s">
        <v>17</v>
      </c>
      <c r="D286" t="s">
        <v>37</v>
      </c>
      <c r="E286" t="s">
        <v>19</v>
      </c>
      <c r="F286" t="s">
        <v>32</v>
      </c>
      <c r="O286">
        <v>2027</v>
      </c>
    </row>
    <row r="287" spans="1:16" x14ac:dyDescent="0.3">
      <c r="A287" t="str">
        <f t="shared" si="4"/>
        <v>PD|NewCapacity|RE1|PWRSOLUGE|2027</v>
      </c>
      <c r="B287" t="s">
        <v>16</v>
      </c>
      <c r="C287" t="s">
        <v>17</v>
      </c>
      <c r="D287" t="s">
        <v>37</v>
      </c>
      <c r="E287" t="s">
        <v>19</v>
      </c>
      <c r="F287" t="s">
        <v>33</v>
      </c>
      <c r="O287">
        <v>2027</v>
      </c>
      <c r="P287">
        <v>73.005840000000006</v>
      </c>
    </row>
    <row r="288" spans="1:16" x14ac:dyDescent="0.3">
      <c r="A288" t="str">
        <f t="shared" si="4"/>
        <v>PD|NewCapacity|RE1|PWRSOLUPE|2027</v>
      </c>
      <c r="B288" t="s">
        <v>16</v>
      </c>
      <c r="C288" t="s">
        <v>17</v>
      </c>
      <c r="D288" t="s">
        <v>37</v>
      </c>
      <c r="E288" t="s">
        <v>19</v>
      </c>
      <c r="F288" t="s">
        <v>34</v>
      </c>
      <c r="O288">
        <v>2027</v>
      </c>
      <c r="P288">
        <v>3.46896</v>
      </c>
    </row>
    <row r="289" spans="1:16" x14ac:dyDescent="0.3">
      <c r="A289" t="str">
        <f t="shared" si="4"/>
        <v>PD|NewCapacity|RE1|PWRSTD|2027</v>
      </c>
      <c r="B289" t="s">
        <v>16</v>
      </c>
      <c r="C289" t="s">
        <v>17</v>
      </c>
      <c r="D289" t="s">
        <v>37</v>
      </c>
      <c r="E289" t="s">
        <v>19</v>
      </c>
      <c r="F289" t="s">
        <v>35</v>
      </c>
      <c r="O289">
        <v>2027</v>
      </c>
    </row>
    <row r="290" spans="1:16" x14ac:dyDescent="0.3">
      <c r="A290" t="str">
        <f t="shared" si="4"/>
        <v>PD|NewCapacity|RE1|PWRWNDONS|2027</v>
      </c>
      <c r="B290" t="s">
        <v>16</v>
      </c>
      <c r="C290" t="s">
        <v>17</v>
      </c>
      <c r="D290" t="s">
        <v>37</v>
      </c>
      <c r="E290" t="s">
        <v>19</v>
      </c>
      <c r="F290" t="s">
        <v>36</v>
      </c>
      <c r="O290">
        <v>2027</v>
      </c>
      <c r="P290">
        <v>17.313264</v>
      </c>
    </row>
    <row r="291" spans="1:16" x14ac:dyDescent="0.3">
      <c r="A291" t="str">
        <f t="shared" si="4"/>
        <v>PD|TotalCapacityAnnual|RE1|PWRBGS|2027</v>
      </c>
      <c r="B291" t="s">
        <v>16</v>
      </c>
      <c r="C291" t="s">
        <v>17</v>
      </c>
      <c r="D291" t="s">
        <v>38</v>
      </c>
      <c r="E291" t="s">
        <v>19</v>
      </c>
      <c r="F291" t="s">
        <v>20</v>
      </c>
      <c r="O291">
        <v>2027</v>
      </c>
      <c r="P291">
        <v>2.5488587520000001E-2</v>
      </c>
    </row>
    <row r="292" spans="1:16" x14ac:dyDescent="0.3">
      <c r="A292" t="str">
        <f t="shared" si="4"/>
        <v>PD|TotalCapacityAnnual|RE1|PWRCOA|2027</v>
      </c>
      <c r="B292" t="s">
        <v>16</v>
      </c>
      <c r="C292" t="s">
        <v>17</v>
      </c>
      <c r="D292" t="s">
        <v>38</v>
      </c>
      <c r="E292" t="s">
        <v>19</v>
      </c>
      <c r="F292" t="s">
        <v>21</v>
      </c>
      <c r="O292">
        <v>2027</v>
      </c>
      <c r="P292">
        <v>50.867567999999991</v>
      </c>
    </row>
    <row r="293" spans="1:16" x14ac:dyDescent="0.3">
      <c r="A293" t="str">
        <f t="shared" si="4"/>
        <v>PD|TotalCapacityAnnual|RE1|PWRDSL|2027</v>
      </c>
      <c r="B293" t="s">
        <v>16</v>
      </c>
      <c r="C293" t="s">
        <v>17</v>
      </c>
      <c r="D293" t="s">
        <v>38</v>
      </c>
      <c r="E293" t="s">
        <v>19</v>
      </c>
      <c r="F293" t="s">
        <v>22</v>
      </c>
      <c r="O293">
        <v>2027</v>
      </c>
      <c r="P293">
        <v>24.944976</v>
      </c>
    </row>
    <row r="294" spans="1:16" x14ac:dyDescent="0.3">
      <c r="A294" t="str">
        <f t="shared" si="4"/>
        <v>PD|TotalCapacityAnnual|RE1|PWRFOL|2027</v>
      </c>
      <c r="B294" t="s">
        <v>16</v>
      </c>
      <c r="C294" t="s">
        <v>17</v>
      </c>
      <c r="D294" t="s">
        <v>38</v>
      </c>
      <c r="E294" t="s">
        <v>19</v>
      </c>
      <c r="F294" t="s">
        <v>23</v>
      </c>
      <c r="O294">
        <v>2027</v>
      </c>
      <c r="P294">
        <v>8.3885759999999987</v>
      </c>
    </row>
    <row r="295" spans="1:16" x14ac:dyDescent="0.3">
      <c r="A295" t="str">
        <f t="shared" si="4"/>
        <v>PD|TotalCapacityAnnual|RE1|PWRHYDDAM|2027</v>
      </c>
      <c r="B295" t="s">
        <v>16</v>
      </c>
      <c r="C295" t="s">
        <v>17</v>
      </c>
      <c r="D295" t="s">
        <v>38</v>
      </c>
      <c r="E295" t="s">
        <v>19</v>
      </c>
      <c r="F295" t="s">
        <v>24</v>
      </c>
      <c r="O295">
        <v>2027</v>
      </c>
      <c r="P295">
        <v>402.65164800000002</v>
      </c>
    </row>
    <row r="296" spans="1:16" x14ac:dyDescent="0.3">
      <c r="A296" t="str">
        <f t="shared" si="4"/>
        <v>PD|TotalCapacityAnnual|RE1|PWRHYDROR|2027</v>
      </c>
      <c r="B296" t="s">
        <v>16</v>
      </c>
      <c r="C296" t="s">
        <v>17</v>
      </c>
      <c r="D296" t="s">
        <v>38</v>
      </c>
      <c r="E296" t="s">
        <v>19</v>
      </c>
      <c r="F296" t="s">
        <v>25</v>
      </c>
      <c r="O296">
        <v>2027</v>
      </c>
      <c r="P296">
        <v>21.097584000000001</v>
      </c>
    </row>
    <row r="297" spans="1:16" x14ac:dyDescent="0.3">
      <c r="A297" t="str">
        <f t="shared" si="4"/>
        <v>PD|TotalCapacityAnnual|RE1|PWRHYDROR_NDC|2027</v>
      </c>
      <c r="B297" t="s">
        <v>16</v>
      </c>
      <c r="C297" t="s">
        <v>17</v>
      </c>
      <c r="D297" t="s">
        <v>38</v>
      </c>
      <c r="E297" t="s">
        <v>19</v>
      </c>
      <c r="F297" t="s">
        <v>26</v>
      </c>
      <c r="O297">
        <v>2027</v>
      </c>
      <c r="P297">
        <v>29.725108271999989</v>
      </c>
    </row>
    <row r="298" spans="1:16" x14ac:dyDescent="0.3">
      <c r="A298" t="str">
        <f t="shared" si="4"/>
        <v>PD|TotalCapacityAnnual|RE1|PWRJET|2027</v>
      </c>
      <c r="B298" t="s">
        <v>16</v>
      </c>
      <c r="C298" t="s">
        <v>17</v>
      </c>
      <c r="D298" t="s">
        <v>38</v>
      </c>
      <c r="E298" t="s">
        <v>19</v>
      </c>
      <c r="F298" t="s">
        <v>27</v>
      </c>
      <c r="O298">
        <v>2027</v>
      </c>
      <c r="P298">
        <v>1.5768</v>
      </c>
    </row>
    <row r="299" spans="1:16" x14ac:dyDescent="0.3">
      <c r="A299" t="str">
        <f t="shared" si="4"/>
        <v>PD|TotalCapacityAnnual|RE1|PWRLPG|2027</v>
      </c>
      <c r="B299" t="s">
        <v>16</v>
      </c>
      <c r="C299" t="s">
        <v>17</v>
      </c>
      <c r="D299" t="s">
        <v>38</v>
      </c>
      <c r="E299" t="s">
        <v>19</v>
      </c>
      <c r="F299" t="s">
        <v>28</v>
      </c>
      <c r="O299">
        <v>2027</v>
      </c>
      <c r="P299">
        <v>1.639872</v>
      </c>
    </row>
    <row r="300" spans="1:16" x14ac:dyDescent="0.3">
      <c r="A300" t="str">
        <f t="shared" si="4"/>
        <v>PD|TotalCapacityAnnual|RE1|PWRNGS_CC|2027</v>
      </c>
      <c r="B300" t="s">
        <v>16</v>
      </c>
      <c r="C300" t="s">
        <v>17</v>
      </c>
      <c r="D300" t="s">
        <v>38</v>
      </c>
      <c r="E300" t="s">
        <v>19</v>
      </c>
      <c r="F300" t="s">
        <v>29</v>
      </c>
      <c r="O300">
        <v>2027</v>
      </c>
      <c r="P300">
        <v>70.104500000000002</v>
      </c>
    </row>
    <row r="301" spans="1:16" x14ac:dyDescent="0.3">
      <c r="A301" t="str">
        <f t="shared" si="4"/>
        <v>PD|TotalCapacityAnnual|RE1|PWRNGS_CS|2027</v>
      </c>
      <c r="B301" t="s">
        <v>16</v>
      </c>
      <c r="C301" t="s">
        <v>17</v>
      </c>
      <c r="D301" t="s">
        <v>38</v>
      </c>
      <c r="E301" t="s">
        <v>19</v>
      </c>
      <c r="F301" t="s">
        <v>30</v>
      </c>
      <c r="O301">
        <v>2027</v>
      </c>
      <c r="P301">
        <v>23.084351999999999</v>
      </c>
    </row>
    <row r="302" spans="1:16" x14ac:dyDescent="0.3">
      <c r="A302" t="str">
        <f t="shared" si="4"/>
        <v>PD|TotalCapacityAnnual|RE1|PWRSOLRTP|2027</v>
      </c>
      <c r="B302" t="s">
        <v>16</v>
      </c>
      <c r="C302" t="s">
        <v>17</v>
      </c>
      <c r="D302" t="s">
        <v>38</v>
      </c>
      <c r="E302" t="s">
        <v>19</v>
      </c>
      <c r="F302" t="s">
        <v>31</v>
      </c>
      <c r="O302">
        <v>2027</v>
      </c>
      <c r="P302">
        <v>42.00285079264426</v>
      </c>
    </row>
    <row r="303" spans="1:16" x14ac:dyDescent="0.3">
      <c r="A303" t="str">
        <f t="shared" si="4"/>
        <v>PD|TotalCapacityAnnual|RE1|PWRSOLRTP_ZNI|2027</v>
      </c>
      <c r="B303" t="s">
        <v>16</v>
      </c>
      <c r="C303" t="s">
        <v>17</v>
      </c>
      <c r="D303" t="s">
        <v>38</v>
      </c>
      <c r="E303" t="s">
        <v>19</v>
      </c>
      <c r="F303" t="s">
        <v>32</v>
      </c>
      <c r="O303">
        <v>2027</v>
      </c>
      <c r="P303">
        <v>0.46074095999999998</v>
      </c>
    </row>
    <row r="304" spans="1:16" x14ac:dyDescent="0.3">
      <c r="A304" t="str">
        <f t="shared" si="4"/>
        <v>PD|TotalCapacityAnnual|RE1|PWRSOLUGE|2027</v>
      </c>
      <c r="B304" t="s">
        <v>16</v>
      </c>
      <c r="C304" t="s">
        <v>17</v>
      </c>
      <c r="D304" t="s">
        <v>38</v>
      </c>
      <c r="E304" t="s">
        <v>19</v>
      </c>
      <c r="F304" t="s">
        <v>33</v>
      </c>
      <c r="O304">
        <v>2027</v>
      </c>
      <c r="P304">
        <v>183.90786048000001</v>
      </c>
    </row>
    <row r="305" spans="1:16" x14ac:dyDescent="0.3">
      <c r="A305" t="str">
        <f t="shared" si="4"/>
        <v>PD|TotalCapacityAnnual|RE1|PWRSOLUPE|2027</v>
      </c>
      <c r="B305" t="s">
        <v>16</v>
      </c>
      <c r="C305" t="s">
        <v>17</v>
      </c>
      <c r="D305" t="s">
        <v>38</v>
      </c>
      <c r="E305" t="s">
        <v>19</v>
      </c>
      <c r="F305" t="s">
        <v>34</v>
      </c>
      <c r="O305">
        <v>2027</v>
      </c>
      <c r="P305">
        <v>39.172600079999931</v>
      </c>
    </row>
    <row r="306" spans="1:16" x14ac:dyDescent="0.3">
      <c r="A306" t="str">
        <f t="shared" si="4"/>
        <v>PD|TotalCapacityAnnual|RE1|PWRSTD|2027</v>
      </c>
      <c r="B306" t="s">
        <v>16</v>
      </c>
      <c r="C306" t="s">
        <v>17</v>
      </c>
      <c r="D306" t="s">
        <v>38</v>
      </c>
      <c r="E306" t="s">
        <v>19</v>
      </c>
      <c r="F306" t="s">
        <v>35</v>
      </c>
      <c r="O306">
        <v>2027</v>
      </c>
      <c r="P306">
        <v>8.163062064</v>
      </c>
    </row>
    <row r="307" spans="1:16" x14ac:dyDescent="0.3">
      <c r="A307" t="str">
        <f t="shared" si="4"/>
        <v>PD|TotalCapacityAnnual|RE1|PWRWNDONS|2027</v>
      </c>
      <c r="B307" t="s">
        <v>16</v>
      </c>
      <c r="C307" t="s">
        <v>17</v>
      </c>
      <c r="D307" t="s">
        <v>38</v>
      </c>
      <c r="E307" t="s">
        <v>19</v>
      </c>
      <c r="F307" t="s">
        <v>36</v>
      </c>
      <c r="O307">
        <v>2027</v>
      </c>
      <c r="P307">
        <v>18.835549714285719</v>
      </c>
    </row>
    <row r="308" spans="1:16" x14ac:dyDescent="0.3">
      <c r="A308" t="str">
        <f t="shared" si="4"/>
        <v>PD|AccumulatedNewCapacity|RE1|PWRBGS|2028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O308">
        <v>2028</v>
      </c>
    </row>
    <row r="309" spans="1:16" x14ac:dyDescent="0.3">
      <c r="A309" t="str">
        <f t="shared" si="4"/>
        <v>PD|AccumulatedNewCapacity|RE1|PWRCOA|2028</v>
      </c>
      <c r="B309" t="s">
        <v>16</v>
      </c>
      <c r="C309" t="s">
        <v>17</v>
      </c>
      <c r="D309" t="s">
        <v>18</v>
      </c>
      <c r="E309" t="s">
        <v>19</v>
      </c>
      <c r="F309" t="s">
        <v>21</v>
      </c>
      <c r="O309">
        <v>2028</v>
      </c>
    </row>
    <row r="310" spans="1:16" x14ac:dyDescent="0.3">
      <c r="A310" t="str">
        <f t="shared" si="4"/>
        <v>PD|AccumulatedNewCapacity|RE1|PWRDSL|2028</v>
      </c>
      <c r="B310" t="s">
        <v>16</v>
      </c>
      <c r="C310" t="s">
        <v>17</v>
      </c>
      <c r="D310" t="s">
        <v>18</v>
      </c>
      <c r="E310" t="s">
        <v>19</v>
      </c>
      <c r="F310" t="s">
        <v>22</v>
      </c>
      <c r="O310">
        <v>2028</v>
      </c>
    </row>
    <row r="311" spans="1:16" x14ac:dyDescent="0.3">
      <c r="A311" t="str">
        <f t="shared" si="4"/>
        <v>PD|AccumulatedNewCapacity|RE1|PWRFOL|2028</v>
      </c>
      <c r="B311" t="s">
        <v>16</v>
      </c>
      <c r="C311" t="s">
        <v>17</v>
      </c>
      <c r="D311" t="s">
        <v>18</v>
      </c>
      <c r="E311" t="s">
        <v>19</v>
      </c>
      <c r="F311" t="s">
        <v>23</v>
      </c>
      <c r="O311">
        <v>2028</v>
      </c>
    </row>
    <row r="312" spans="1:16" x14ac:dyDescent="0.3">
      <c r="A312" t="str">
        <f t="shared" si="4"/>
        <v>PD|AccumulatedNewCapacity|RE1|PWRHYDDAM|2028</v>
      </c>
      <c r="B312" t="s">
        <v>16</v>
      </c>
      <c r="C312" t="s">
        <v>17</v>
      </c>
      <c r="D312" t="s">
        <v>18</v>
      </c>
      <c r="E312" t="s">
        <v>19</v>
      </c>
      <c r="F312" t="s">
        <v>24</v>
      </c>
      <c r="O312">
        <v>2028</v>
      </c>
      <c r="P312">
        <v>37.840000000000003</v>
      </c>
    </row>
    <row r="313" spans="1:16" x14ac:dyDescent="0.3">
      <c r="A313" t="str">
        <f t="shared" si="4"/>
        <v>PD|AccumulatedNewCapacity|RE1|PWRHYDROR|2028</v>
      </c>
      <c r="B313" t="s">
        <v>16</v>
      </c>
      <c r="C313" t="s">
        <v>17</v>
      </c>
      <c r="D313" t="s">
        <v>18</v>
      </c>
      <c r="E313" t="s">
        <v>19</v>
      </c>
      <c r="F313" t="s">
        <v>25</v>
      </c>
      <c r="O313">
        <v>2028</v>
      </c>
    </row>
    <row r="314" spans="1:16" x14ac:dyDescent="0.3">
      <c r="A314" t="str">
        <f t="shared" si="4"/>
        <v>PD|AccumulatedNewCapacity|RE1|PWRHYDROR_NDC|2028</v>
      </c>
      <c r="B314" t="s">
        <v>16</v>
      </c>
      <c r="C314" t="s">
        <v>17</v>
      </c>
      <c r="D314" t="s">
        <v>18</v>
      </c>
      <c r="E314" t="s">
        <v>19</v>
      </c>
      <c r="F314" t="s">
        <v>26</v>
      </c>
      <c r="O314">
        <v>2028</v>
      </c>
    </row>
    <row r="315" spans="1:16" x14ac:dyDescent="0.3">
      <c r="A315" t="str">
        <f t="shared" si="4"/>
        <v>PD|AccumulatedNewCapacity|RE1|PWRJET|2028</v>
      </c>
      <c r="B315" t="s">
        <v>16</v>
      </c>
      <c r="C315" t="s">
        <v>17</v>
      </c>
      <c r="D315" t="s">
        <v>18</v>
      </c>
      <c r="E315" t="s">
        <v>19</v>
      </c>
      <c r="F315" t="s">
        <v>27</v>
      </c>
      <c r="O315">
        <v>2028</v>
      </c>
    </row>
    <row r="316" spans="1:16" x14ac:dyDescent="0.3">
      <c r="A316" t="str">
        <f t="shared" si="4"/>
        <v>PD|AccumulatedNewCapacity|RE1|PWRLPG|2028</v>
      </c>
      <c r="B316" t="s">
        <v>16</v>
      </c>
      <c r="C316" t="s">
        <v>17</v>
      </c>
      <c r="D316" t="s">
        <v>18</v>
      </c>
      <c r="E316" t="s">
        <v>19</v>
      </c>
      <c r="F316" t="s">
        <v>28</v>
      </c>
      <c r="O316">
        <v>2028</v>
      </c>
    </row>
    <row r="317" spans="1:16" x14ac:dyDescent="0.3">
      <c r="A317" t="str">
        <f t="shared" si="4"/>
        <v>PD|AccumulatedNewCapacity|RE1|PWRNGS_CC|2028</v>
      </c>
      <c r="B317" t="s">
        <v>16</v>
      </c>
      <c r="C317" t="s">
        <v>17</v>
      </c>
      <c r="D317" t="s">
        <v>18</v>
      </c>
      <c r="E317" t="s">
        <v>19</v>
      </c>
      <c r="F317" t="s">
        <v>29</v>
      </c>
      <c r="O317">
        <v>2028</v>
      </c>
    </row>
    <row r="318" spans="1:16" x14ac:dyDescent="0.3">
      <c r="A318" t="str">
        <f t="shared" si="4"/>
        <v>PD|AccumulatedNewCapacity|RE1|PWRNGS_CS|2028</v>
      </c>
      <c r="B318" t="s">
        <v>16</v>
      </c>
      <c r="C318" t="s">
        <v>17</v>
      </c>
      <c r="D318" t="s">
        <v>18</v>
      </c>
      <c r="E318" t="s">
        <v>19</v>
      </c>
      <c r="F318" t="s">
        <v>30</v>
      </c>
      <c r="O318">
        <v>2028</v>
      </c>
    </row>
    <row r="319" spans="1:16" x14ac:dyDescent="0.3">
      <c r="A319" t="str">
        <f t="shared" si="4"/>
        <v>PD|AccumulatedNewCapacity|RE1|PWRSOLRTP|2028</v>
      </c>
      <c r="B319" t="s">
        <v>16</v>
      </c>
      <c r="C319" t="s">
        <v>17</v>
      </c>
      <c r="D319" t="s">
        <v>18</v>
      </c>
      <c r="E319" t="s">
        <v>19</v>
      </c>
      <c r="F319" t="s">
        <v>31</v>
      </c>
      <c r="O319">
        <v>2028</v>
      </c>
      <c r="P319">
        <v>30.132828154724159</v>
      </c>
    </row>
    <row r="320" spans="1:16" x14ac:dyDescent="0.3">
      <c r="A320" t="str">
        <f t="shared" si="4"/>
        <v>PD|AccumulatedNewCapacity|RE1|PWRSOLRTP_ZNI|2028</v>
      </c>
      <c r="B320" t="s">
        <v>16</v>
      </c>
      <c r="C320" t="s">
        <v>17</v>
      </c>
      <c r="D320" t="s">
        <v>18</v>
      </c>
      <c r="E320" t="s">
        <v>19</v>
      </c>
      <c r="F320" t="s">
        <v>32</v>
      </c>
      <c r="O320">
        <v>2028</v>
      </c>
    </row>
    <row r="321" spans="1:16" x14ac:dyDescent="0.3">
      <c r="A321" t="str">
        <f t="shared" si="4"/>
        <v>PD|AccumulatedNewCapacity|RE1|PWRSOLUGE|2028</v>
      </c>
      <c r="B321" t="s">
        <v>16</v>
      </c>
      <c r="C321" t="s">
        <v>17</v>
      </c>
      <c r="D321" t="s">
        <v>18</v>
      </c>
      <c r="E321" t="s">
        <v>19</v>
      </c>
      <c r="F321" t="s">
        <v>33</v>
      </c>
      <c r="O321">
        <v>2028</v>
      </c>
      <c r="P321">
        <v>135.51019199999999</v>
      </c>
    </row>
    <row r="322" spans="1:16" x14ac:dyDescent="0.3">
      <c r="A322" t="str">
        <f t="shared" ref="A322:A385" si="5">B322&amp;"|"&amp;D322&amp;"|"&amp;E322&amp;"|"&amp;F322&amp;"|"&amp;O322</f>
        <v>PD|AccumulatedNewCapacity|RE1|PWRSOLUPE|2028</v>
      </c>
      <c r="B322" t="s">
        <v>16</v>
      </c>
      <c r="C322" t="s">
        <v>17</v>
      </c>
      <c r="D322" t="s">
        <v>18</v>
      </c>
      <c r="E322" t="s">
        <v>19</v>
      </c>
      <c r="F322" t="s">
        <v>34</v>
      </c>
      <c r="O322">
        <v>2028</v>
      </c>
      <c r="P322">
        <v>12.14419823999993</v>
      </c>
    </row>
    <row r="323" spans="1:16" x14ac:dyDescent="0.3">
      <c r="A323" t="str">
        <f t="shared" si="5"/>
        <v>PD|AccumulatedNewCapacity|RE1|PWRSTD|2028</v>
      </c>
      <c r="B323" t="s">
        <v>16</v>
      </c>
      <c r="C323" t="s">
        <v>17</v>
      </c>
      <c r="D323" t="s">
        <v>18</v>
      </c>
      <c r="E323" t="s">
        <v>19</v>
      </c>
      <c r="F323" t="s">
        <v>35</v>
      </c>
      <c r="O323">
        <v>2028</v>
      </c>
    </row>
    <row r="324" spans="1:16" x14ac:dyDescent="0.3">
      <c r="A324" t="str">
        <f t="shared" si="5"/>
        <v>PD|AccumulatedNewCapacity|RE1|PWRWNDONS|2028</v>
      </c>
      <c r="B324" t="s">
        <v>16</v>
      </c>
      <c r="C324" t="s">
        <v>17</v>
      </c>
      <c r="D324" t="s">
        <v>18</v>
      </c>
      <c r="E324" t="s">
        <v>19</v>
      </c>
      <c r="F324" t="s">
        <v>36</v>
      </c>
      <c r="O324">
        <v>2028</v>
      </c>
      <c r="P324">
        <v>23.805623314285711</v>
      </c>
    </row>
    <row r="325" spans="1:16" x14ac:dyDescent="0.3">
      <c r="A325" t="str">
        <f t="shared" si="5"/>
        <v>PD|NewCapacity|RE1|PWRBGS|2028</v>
      </c>
      <c r="B325" t="s">
        <v>16</v>
      </c>
      <c r="C325" t="s">
        <v>17</v>
      </c>
      <c r="D325" t="s">
        <v>37</v>
      </c>
      <c r="E325" t="s">
        <v>19</v>
      </c>
      <c r="F325" t="s">
        <v>20</v>
      </c>
      <c r="O325">
        <v>2028</v>
      </c>
    </row>
    <row r="326" spans="1:16" x14ac:dyDescent="0.3">
      <c r="A326" t="str">
        <f t="shared" si="5"/>
        <v>PD|NewCapacity|RE1|PWRCOA|2028</v>
      </c>
      <c r="B326" t="s">
        <v>16</v>
      </c>
      <c r="C326" t="s">
        <v>17</v>
      </c>
      <c r="D326" t="s">
        <v>37</v>
      </c>
      <c r="E326" t="s">
        <v>19</v>
      </c>
      <c r="F326" t="s">
        <v>21</v>
      </c>
      <c r="O326">
        <v>2028</v>
      </c>
    </row>
    <row r="327" spans="1:16" x14ac:dyDescent="0.3">
      <c r="A327" t="str">
        <f t="shared" si="5"/>
        <v>PD|NewCapacity|RE1|PWRDSL|2028</v>
      </c>
      <c r="B327" t="s">
        <v>16</v>
      </c>
      <c r="C327" t="s">
        <v>17</v>
      </c>
      <c r="D327" t="s">
        <v>37</v>
      </c>
      <c r="E327" t="s">
        <v>19</v>
      </c>
      <c r="F327" t="s">
        <v>22</v>
      </c>
      <c r="O327">
        <v>2028</v>
      </c>
    </row>
    <row r="328" spans="1:16" x14ac:dyDescent="0.3">
      <c r="A328" t="str">
        <f t="shared" si="5"/>
        <v>PD|NewCapacity|RE1|PWRFOL|2028</v>
      </c>
      <c r="B328" t="s">
        <v>16</v>
      </c>
      <c r="C328" t="s">
        <v>17</v>
      </c>
      <c r="D328" t="s">
        <v>37</v>
      </c>
      <c r="E328" t="s">
        <v>19</v>
      </c>
      <c r="F328" t="s">
        <v>23</v>
      </c>
      <c r="O328">
        <v>2028</v>
      </c>
    </row>
    <row r="329" spans="1:16" x14ac:dyDescent="0.3">
      <c r="A329" t="str">
        <f t="shared" si="5"/>
        <v>PD|NewCapacity|RE1|PWRHYDDAM|2028</v>
      </c>
      <c r="B329" t="s">
        <v>16</v>
      </c>
      <c r="C329" t="s">
        <v>17</v>
      </c>
      <c r="D329" t="s">
        <v>37</v>
      </c>
      <c r="E329" t="s">
        <v>19</v>
      </c>
      <c r="F329" t="s">
        <v>24</v>
      </c>
      <c r="O329">
        <v>2028</v>
      </c>
      <c r="P329">
        <v>37.840000000000003</v>
      </c>
    </row>
    <row r="330" spans="1:16" x14ac:dyDescent="0.3">
      <c r="A330" t="str">
        <f t="shared" si="5"/>
        <v>PD|NewCapacity|RE1|PWRHYDROR|2028</v>
      </c>
      <c r="B330" t="s">
        <v>16</v>
      </c>
      <c r="C330" t="s">
        <v>17</v>
      </c>
      <c r="D330" t="s">
        <v>37</v>
      </c>
      <c r="E330" t="s">
        <v>19</v>
      </c>
      <c r="F330" t="s">
        <v>25</v>
      </c>
      <c r="O330">
        <v>2028</v>
      </c>
    </row>
    <row r="331" spans="1:16" x14ac:dyDescent="0.3">
      <c r="A331" t="str">
        <f t="shared" si="5"/>
        <v>PD|NewCapacity|RE1|PWRHYDROR_NDC|2028</v>
      </c>
      <c r="B331" t="s">
        <v>16</v>
      </c>
      <c r="C331" t="s">
        <v>17</v>
      </c>
      <c r="D331" t="s">
        <v>37</v>
      </c>
      <c r="E331" t="s">
        <v>19</v>
      </c>
      <c r="F331" t="s">
        <v>26</v>
      </c>
      <c r="O331">
        <v>2028</v>
      </c>
    </row>
    <row r="332" spans="1:16" x14ac:dyDescent="0.3">
      <c r="A332" t="str">
        <f t="shared" si="5"/>
        <v>PD|NewCapacity|RE1|PWRJET|2028</v>
      </c>
      <c r="B332" t="s">
        <v>16</v>
      </c>
      <c r="C332" t="s">
        <v>17</v>
      </c>
      <c r="D332" t="s">
        <v>37</v>
      </c>
      <c r="E332" t="s">
        <v>19</v>
      </c>
      <c r="F332" t="s">
        <v>27</v>
      </c>
      <c r="O332">
        <v>2028</v>
      </c>
    </row>
    <row r="333" spans="1:16" x14ac:dyDescent="0.3">
      <c r="A333" t="str">
        <f t="shared" si="5"/>
        <v>PD|NewCapacity|RE1|PWRLPG|2028</v>
      </c>
      <c r="B333" t="s">
        <v>16</v>
      </c>
      <c r="C333" t="s">
        <v>17</v>
      </c>
      <c r="D333" t="s">
        <v>37</v>
      </c>
      <c r="E333" t="s">
        <v>19</v>
      </c>
      <c r="F333" t="s">
        <v>28</v>
      </c>
      <c r="O333">
        <v>2028</v>
      </c>
    </row>
    <row r="334" spans="1:16" x14ac:dyDescent="0.3">
      <c r="A334" t="str">
        <f t="shared" si="5"/>
        <v>PD|NewCapacity|RE1|PWRNGS_CC|2028</v>
      </c>
      <c r="B334" t="s">
        <v>16</v>
      </c>
      <c r="C334" t="s">
        <v>17</v>
      </c>
      <c r="D334" t="s">
        <v>37</v>
      </c>
      <c r="E334" t="s">
        <v>19</v>
      </c>
      <c r="F334" t="s">
        <v>29</v>
      </c>
      <c r="O334">
        <v>2028</v>
      </c>
    </row>
    <row r="335" spans="1:16" x14ac:dyDescent="0.3">
      <c r="A335" t="str">
        <f t="shared" si="5"/>
        <v>PD|NewCapacity|RE1|PWRNGS_CS|2028</v>
      </c>
      <c r="B335" t="s">
        <v>16</v>
      </c>
      <c r="C335" t="s">
        <v>17</v>
      </c>
      <c r="D335" t="s">
        <v>37</v>
      </c>
      <c r="E335" t="s">
        <v>19</v>
      </c>
      <c r="F335" t="s">
        <v>30</v>
      </c>
      <c r="O335">
        <v>2028</v>
      </c>
    </row>
    <row r="336" spans="1:16" x14ac:dyDescent="0.3">
      <c r="A336" t="str">
        <f t="shared" si="5"/>
        <v>PD|NewCapacity|RE1|PWRSOLRTP|2028</v>
      </c>
      <c r="B336" t="s">
        <v>16</v>
      </c>
      <c r="C336" t="s">
        <v>17</v>
      </c>
      <c r="D336" t="s">
        <v>37</v>
      </c>
      <c r="E336" t="s">
        <v>19</v>
      </c>
      <c r="F336" t="s">
        <v>31</v>
      </c>
      <c r="O336">
        <v>2028</v>
      </c>
      <c r="P336">
        <v>11.414077362079899</v>
      </c>
    </row>
    <row r="337" spans="1:16" x14ac:dyDescent="0.3">
      <c r="A337" t="str">
        <f t="shared" si="5"/>
        <v>PD|NewCapacity|RE1|PWRSOLRTP_ZNI|2028</v>
      </c>
      <c r="B337" t="s">
        <v>16</v>
      </c>
      <c r="C337" t="s">
        <v>17</v>
      </c>
      <c r="D337" t="s">
        <v>37</v>
      </c>
      <c r="E337" t="s">
        <v>19</v>
      </c>
      <c r="F337" t="s">
        <v>32</v>
      </c>
      <c r="O337">
        <v>2028</v>
      </c>
    </row>
    <row r="338" spans="1:16" x14ac:dyDescent="0.3">
      <c r="A338" t="str">
        <f t="shared" si="5"/>
        <v>PD|NewCapacity|RE1|PWRSOLUGE|2028</v>
      </c>
      <c r="B338" t="s">
        <v>16</v>
      </c>
      <c r="C338" t="s">
        <v>17</v>
      </c>
      <c r="D338" t="s">
        <v>37</v>
      </c>
      <c r="E338" t="s">
        <v>19</v>
      </c>
      <c r="F338" t="s">
        <v>33</v>
      </c>
      <c r="O338">
        <v>2028</v>
      </c>
    </row>
    <row r="339" spans="1:16" x14ac:dyDescent="0.3">
      <c r="A339" t="str">
        <f t="shared" si="5"/>
        <v>PD|NewCapacity|RE1|PWRSOLUPE|2028</v>
      </c>
      <c r="B339" t="s">
        <v>16</v>
      </c>
      <c r="C339" t="s">
        <v>17</v>
      </c>
      <c r="D339" t="s">
        <v>37</v>
      </c>
      <c r="E339" t="s">
        <v>19</v>
      </c>
      <c r="F339" t="s">
        <v>34</v>
      </c>
      <c r="O339">
        <v>2028</v>
      </c>
    </row>
    <row r="340" spans="1:16" x14ac:dyDescent="0.3">
      <c r="A340" t="str">
        <f t="shared" si="5"/>
        <v>PD|NewCapacity|RE1|PWRSTD|2028</v>
      </c>
      <c r="B340" t="s">
        <v>16</v>
      </c>
      <c r="C340" t="s">
        <v>17</v>
      </c>
      <c r="D340" t="s">
        <v>37</v>
      </c>
      <c r="E340" t="s">
        <v>19</v>
      </c>
      <c r="F340" t="s">
        <v>35</v>
      </c>
      <c r="O340">
        <v>2028</v>
      </c>
    </row>
    <row r="341" spans="1:16" x14ac:dyDescent="0.3">
      <c r="A341" t="str">
        <f t="shared" si="5"/>
        <v>PD|NewCapacity|RE1|PWRWNDONS|2028</v>
      </c>
      <c r="B341" t="s">
        <v>16</v>
      </c>
      <c r="C341" t="s">
        <v>17</v>
      </c>
      <c r="D341" t="s">
        <v>37</v>
      </c>
      <c r="E341" t="s">
        <v>19</v>
      </c>
      <c r="F341" t="s">
        <v>36</v>
      </c>
      <c r="O341">
        <v>2028</v>
      </c>
      <c r="P341">
        <v>6.3387359999999999</v>
      </c>
    </row>
    <row r="342" spans="1:16" x14ac:dyDescent="0.3">
      <c r="A342" t="str">
        <f t="shared" si="5"/>
        <v>PD|TotalCapacityAnnual|RE1|PWRBGS|2028</v>
      </c>
      <c r="B342" t="s">
        <v>16</v>
      </c>
      <c r="C342" t="s">
        <v>17</v>
      </c>
      <c r="D342" t="s">
        <v>38</v>
      </c>
      <c r="E342" t="s">
        <v>19</v>
      </c>
      <c r="F342" t="s">
        <v>20</v>
      </c>
      <c r="O342">
        <v>2028</v>
      </c>
      <c r="P342">
        <v>2.5488587520000001E-2</v>
      </c>
    </row>
    <row r="343" spans="1:16" x14ac:dyDescent="0.3">
      <c r="A343" t="str">
        <f t="shared" si="5"/>
        <v>PD|TotalCapacityAnnual|RE1|PWRCOA|2028</v>
      </c>
      <c r="B343" t="s">
        <v>16</v>
      </c>
      <c r="C343" t="s">
        <v>17</v>
      </c>
      <c r="D343" t="s">
        <v>38</v>
      </c>
      <c r="E343" t="s">
        <v>19</v>
      </c>
      <c r="F343" t="s">
        <v>21</v>
      </c>
      <c r="O343">
        <v>2028</v>
      </c>
      <c r="P343">
        <v>19.047744000000002</v>
      </c>
    </row>
    <row r="344" spans="1:16" x14ac:dyDescent="0.3">
      <c r="A344" t="str">
        <f t="shared" si="5"/>
        <v>PD|TotalCapacityAnnual|RE1|PWRDSL|2028</v>
      </c>
      <c r="B344" t="s">
        <v>16</v>
      </c>
      <c r="C344" t="s">
        <v>17</v>
      </c>
      <c r="D344" t="s">
        <v>38</v>
      </c>
      <c r="E344" t="s">
        <v>19</v>
      </c>
      <c r="F344" t="s">
        <v>22</v>
      </c>
      <c r="O344">
        <v>2028</v>
      </c>
      <c r="P344">
        <v>24.944976</v>
      </c>
    </row>
    <row r="345" spans="1:16" x14ac:dyDescent="0.3">
      <c r="A345" t="str">
        <f t="shared" si="5"/>
        <v>PD|TotalCapacityAnnual|RE1|PWRFOL|2028</v>
      </c>
      <c r="B345" t="s">
        <v>16</v>
      </c>
      <c r="C345" t="s">
        <v>17</v>
      </c>
      <c r="D345" t="s">
        <v>38</v>
      </c>
      <c r="E345" t="s">
        <v>19</v>
      </c>
      <c r="F345" t="s">
        <v>23</v>
      </c>
      <c r="O345">
        <v>2028</v>
      </c>
      <c r="P345">
        <v>8.3885759999999987</v>
      </c>
    </row>
    <row r="346" spans="1:16" x14ac:dyDescent="0.3">
      <c r="A346" t="str">
        <f t="shared" si="5"/>
        <v>PD|TotalCapacityAnnual|RE1|PWRHYDDAM|2028</v>
      </c>
      <c r="B346" t="s">
        <v>16</v>
      </c>
      <c r="C346" t="s">
        <v>17</v>
      </c>
      <c r="D346" t="s">
        <v>38</v>
      </c>
      <c r="E346" t="s">
        <v>19</v>
      </c>
      <c r="F346" t="s">
        <v>24</v>
      </c>
      <c r="O346">
        <v>2028</v>
      </c>
      <c r="P346">
        <v>440.49164800000011</v>
      </c>
    </row>
    <row r="347" spans="1:16" x14ac:dyDescent="0.3">
      <c r="A347" t="str">
        <f t="shared" si="5"/>
        <v>PD|TotalCapacityAnnual|RE1|PWRHYDROR|2028</v>
      </c>
      <c r="B347" t="s">
        <v>16</v>
      </c>
      <c r="C347" t="s">
        <v>17</v>
      </c>
      <c r="D347" t="s">
        <v>38</v>
      </c>
      <c r="E347" t="s">
        <v>19</v>
      </c>
      <c r="F347" t="s">
        <v>25</v>
      </c>
      <c r="O347">
        <v>2028</v>
      </c>
      <c r="P347">
        <v>21.097584000000001</v>
      </c>
    </row>
    <row r="348" spans="1:16" x14ac:dyDescent="0.3">
      <c r="A348" t="str">
        <f t="shared" si="5"/>
        <v>PD|TotalCapacityAnnual|RE1|PWRHYDROR_NDC|2028</v>
      </c>
      <c r="B348" t="s">
        <v>16</v>
      </c>
      <c r="C348" t="s">
        <v>17</v>
      </c>
      <c r="D348" t="s">
        <v>38</v>
      </c>
      <c r="E348" t="s">
        <v>19</v>
      </c>
      <c r="F348" t="s">
        <v>26</v>
      </c>
      <c r="O348">
        <v>2028</v>
      </c>
      <c r="P348">
        <v>29.725108271999989</v>
      </c>
    </row>
    <row r="349" spans="1:16" x14ac:dyDescent="0.3">
      <c r="A349" t="str">
        <f t="shared" si="5"/>
        <v>PD|TotalCapacityAnnual|RE1|PWRJET|2028</v>
      </c>
      <c r="B349" t="s">
        <v>16</v>
      </c>
      <c r="C349" t="s">
        <v>17</v>
      </c>
      <c r="D349" t="s">
        <v>38</v>
      </c>
      <c r="E349" t="s">
        <v>19</v>
      </c>
      <c r="F349" t="s">
        <v>27</v>
      </c>
      <c r="O349">
        <v>2028</v>
      </c>
      <c r="P349">
        <v>1.5768</v>
      </c>
    </row>
    <row r="350" spans="1:16" x14ac:dyDescent="0.3">
      <c r="A350" t="str">
        <f t="shared" si="5"/>
        <v>PD|TotalCapacityAnnual|RE1|PWRLPG|2028</v>
      </c>
      <c r="B350" t="s">
        <v>16</v>
      </c>
      <c r="C350" t="s">
        <v>17</v>
      </c>
      <c r="D350" t="s">
        <v>38</v>
      </c>
      <c r="E350" t="s">
        <v>19</v>
      </c>
      <c r="F350" t="s">
        <v>28</v>
      </c>
      <c r="O350">
        <v>2028</v>
      </c>
      <c r="P350">
        <v>1.639872</v>
      </c>
    </row>
    <row r="351" spans="1:16" x14ac:dyDescent="0.3">
      <c r="A351" t="str">
        <f t="shared" si="5"/>
        <v>PD|TotalCapacityAnnual|RE1|PWRNGS_CC|2028</v>
      </c>
      <c r="B351" t="s">
        <v>16</v>
      </c>
      <c r="C351" t="s">
        <v>17</v>
      </c>
      <c r="D351" t="s">
        <v>38</v>
      </c>
      <c r="E351" t="s">
        <v>19</v>
      </c>
      <c r="F351" t="s">
        <v>29</v>
      </c>
      <c r="O351">
        <v>2028</v>
      </c>
      <c r="P351">
        <v>70.104500000000002</v>
      </c>
    </row>
    <row r="352" spans="1:16" x14ac:dyDescent="0.3">
      <c r="A352" t="str">
        <f t="shared" si="5"/>
        <v>PD|TotalCapacityAnnual|RE1|PWRNGS_CS|2028</v>
      </c>
      <c r="B352" t="s">
        <v>16</v>
      </c>
      <c r="C352" t="s">
        <v>17</v>
      </c>
      <c r="D352" t="s">
        <v>38</v>
      </c>
      <c r="E352" t="s">
        <v>19</v>
      </c>
      <c r="F352" t="s">
        <v>30</v>
      </c>
      <c r="O352">
        <v>2028</v>
      </c>
      <c r="P352">
        <v>23.084351999999999</v>
      </c>
    </row>
    <row r="353" spans="1:16" x14ac:dyDescent="0.3">
      <c r="A353" t="str">
        <f t="shared" si="5"/>
        <v>PD|TotalCapacityAnnual|RE1|PWRSOLRTP|2028</v>
      </c>
      <c r="B353" t="s">
        <v>16</v>
      </c>
      <c r="C353" t="s">
        <v>17</v>
      </c>
      <c r="D353" t="s">
        <v>38</v>
      </c>
      <c r="E353" t="s">
        <v>19</v>
      </c>
      <c r="F353" t="s">
        <v>31</v>
      </c>
      <c r="O353">
        <v>2028</v>
      </c>
      <c r="P353">
        <v>53.416928154724161</v>
      </c>
    </row>
    <row r="354" spans="1:16" x14ac:dyDescent="0.3">
      <c r="A354" t="str">
        <f t="shared" si="5"/>
        <v>PD|TotalCapacityAnnual|RE1|PWRSOLRTP_ZNI|2028</v>
      </c>
      <c r="B354" t="s">
        <v>16</v>
      </c>
      <c r="C354" t="s">
        <v>17</v>
      </c>
      <c r="D354" t="s">
        <v>38</v>
      </c>
      <c r="E354" t="s">
        <v>19</v>
      </c>
      <c r="F354" t="s">
        <v>32</v>
      </c>
      <c r="O354">
        <v>2028</v>
      </c>
      <c r="P354">
        <v>0.46074095999999998</v>
      </c>
    </row>
    <row r="355" spans="1:16" x14ac:dyDescent="0.3">
      <c r="A355" t="str">
        <f t="shared" si="5"/>
        <v>PD|TotalCapacityAnnual|RE1|PWRSOLUGE|2028</v>
      </c>
      <c r="B355" t="s">
        <v>16</v>
      </c>
      <c r="C355" t="s">
        <v>17</v>
      </c>
      <c r="D355" t="s">
        <v>38</v>
      </c>
      <c r="E355" t="s">
        <v>19</v>
      </c>
      <c r="F355" t="s">
        <v>33</v>
      </c>
      <c r="O355">
        <v>2028</v>
      </c>
      <c r="P355">
        <v>183.90786048000001</v>
      </c>
    </row>
    <row r="356" spans="1:16" x14ac:dyDescent="0.3">
      <c r="A356" t="str">
        <f t="shared" si="5"/>
        <v>PD|TotalCapacityAnnual|RE1|PWRSOLUPE|2028</v>
      </c>
      <c r="B356" t="s">
        <v>16</v>
      </c>
      <c r="C356" t="s">
        <v>17</v>
      </c>
      <c r="D356" t="s">
        <v>38</v>
      </c>
      <c r="E356" t="s">
        <v>19</v>
      </c>
      <c r="F356" t="s">
        <v>34</v>
      </c>
      <c r="O356">
        <v>2028</v>
      </c>
      <c r="P356">
        <v>39.172600079999931</v>
      </c>
    </row>
    <row r="357" spans="1:16" x14ac:dyDescent="0.3">
      <c r="A357" t="str">
        <f t="shared" si="5"/>
        <v>PD|TotalCapacityAnnual|RE1|PWRSTD|2028</v>
      </c>
      <c r="B357" t="s">
        <v>16</v>
      </c>
      <c r="C357" t="s">
        <v>17</v>
      </c>
      <c r="D357" t="s">
        <v>38</v>
      </c>
      <c r="E357" t="s">
        <v>19</v>
      </c>
      <c r="F357" t="s">
        <v>35</v>
      </c>
      <c r="O357">
        <v>2028</v>
      </c>
      <c r="P357">
        <v>8.163062064</v>
      </c>
    </row>
    <row r="358" spans="1:16" x14ac:dyDescent="0.3">
      <c r="A358" t="str">
        <f t="shared" si="5"/>
        <v>PD|TotalCapacityAnnual|RE1|PWRWNDONS|2028</v>
      </c>
      <c r="B358" t="s">
        <v>16</v>
      </c>
      <c r="C358" t="s">
        <v>17</v>
      </c>
      <c r="D358" t="s">
        <v>38</v>
      </c>
      <c r="E358" t="s">
        <v>19</v>
      </c>
      <c r="F358" t="s">
        <v>36</v>
      </c>
      <c r="O358">
        <v>2028</v>
      </c>
      <c r="P358">
        <v>25.17428571428572</v>
      </c>
    </row>
    <row r="359" spans="1:16" x14ac:dyDescent="0.3">
      <c r="A359" t="str">
        <f t="shared" si="5"/>
        <v>PD|AccumulatedNewCapacity|RE1|PWRBGS|2029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O359">
        <v>2029</v>
      </c>
    </row>
    <row r="360" spans="1:16" x14ac:dyDescent="0.3">
      <c r="A360" t="str">
        <f t="shared" si="5"/>
        <v>PD|AccumulatedNewCapacity|RE1|PWRCOA|2029</v>
      </c>
      <c r="B360" t="s">
        <v>16</v>
      </c>
      <c r="C360" t="s">
        <v>17</v>
      </c>
      <c r="D360" t="s">
        <v>18</v>
      </c>
      <c r="E360" t="s">
        <v>19</v>
      </c>
      <c r="F360" t="s">
        <v>21</v>
      </c>
      <c r="O360">
        <v>2029</v>
      </c>
    </row>
    <row r="361" spans="1:16" x14ac:dyDescent="0.3">
      <c r="A361" t="str">
        <f t="shared" si="5"/>
        <v>PD|AccumulatedNewCapacity|RE1|PWRDSL|2029</v>
      </c>
      <c r="B361" t="s">
        <v>16</v>
      </c>
      <c r="C361" t="s">
        <v>17</v>
      </c>
      <c r="D361" t="s">
        <v>18</v>
      </c>
      <c r="E361" t="s">
        <v>19</v>
      </c>
      <c r="F361" t="s">
        <v>22</v>
      </c>
      <c r="O361">
        <v>2029</v>
      </c>
    </row>
    <row r="362" spans="1:16" x14ac:dyDescent="0.3">
      <c r="A362" t="str">
        <f t="shared" si="5"/>
        <v>PD|AccumulatedNewCapacity|RE1|PWRFOL|2029</v>
      </c>
      <c r="B362" t="s">
        <v>16</v>
      </c>
      <c r="C362" t="s">
        <v>17</v>
      </c>
      <c r="D362" t="s">
        <v>18</v>
      </c>
      <c r="E362" t="s">
        <v>19</v>
      </c>
      <c r="F362" t="s">
        <v>23</v>
      </c>
      <c r="O362">
        <v>2029</v>
      </c>
    </row>
    <row r="363" spans="1:16" x14ac:dyDescent="0.3">
      <c r="A363" t="str">
        <f t="shared" si="5"/>
        <v>PD|AccumulatedNewCapacity|RE1|PWRHYDDAM|2029</v>
      </c>
      <c r="B363" t="s">
        <v>16</v>
      </c>
      <c r="C363" t="s">
        <v>17</v>
      </c>
      <c r="D363" t="s">
        <v>18</v>
      </c>
      <c r="E363" t="s">
        <v>19</v>
      </c>
      <c r="F363" t="s">
        <v>24</v>
      </c>
      <c r="O363">
        <v>2029</v>
      </c>
      <c r="P363">
        <v>37.840000000000003</v>
      </c>
    </row>
    <row r="364" spans="1:16" x14ac:dyDescent="0.3">
      <c r="A364" t="str">
        <f t="shared" si="5"/>
        <v>PD|AccumulatedNewCapacity|RE1|PWRHYDROR|2029</v>
      </c>
      <c r="B364" t="s">
        <v>16</v>
      </c>
      <c r="C364" t="s">
        <v>17</v>
      </c>
      <c r="D364" t="s">
        <v>18</v>
      </c>
      <c r="E364" t="s">
        <v>19</v>
      </c>
      <c r="F364" t="s">
        <v>25</v>
      </c>
      <c r="O364">
        <v>2029</v>
      </c>
    </row>
    <row r="365" spans="1:16" x14ac:dyDescent="0.3">
      <c r="A365" t="str">
        <f t="shared" si="5"/>
        <v>PD|AccumulatedNewCapacity|RE1|PWRHYDROR_NDC|2029</v>
      </c>
      <c r="B365" t="s">
        <v>16</v>
      </c>
      <c r="C365" t="s">
        <v>17</v>
      </c>
      <c r="D365" t="s">
        <v>18</v>
      </c>
      <c r="E365" t="s">
        <v>19</v>
      </c>
      <c r="F365" t="s">
        <v>26</v>
      </c>
      <c r="O365">
        <v>2029</v>
      </c>
    </row>
    <row r="366" spans="1:16" x14ac:dyDescent="0.3">
      <c r="A366" t="str">
        <f t="shared" si="5"/>
        <v>PD|AccumulatedNewCapacity|RE1|PWRJET|2029</v>
      </c>
      <c r="B366" t="s">
        <v>16</v>
      </c>
      <c r="C366" t="s">
        <v>17</v>
      </c>
      <c r="D366" t="s">
        <v>18</v>
      </c>
      <c r="E366" t="s">
        <v>19</v>
      </c>
      <c r="F366" t="s">
        <v>27</v>
      </c>
      <c r="O366">
        <v>2029</v>
      </c>
    </row>
    <row r="367" spans="1:16" x14ac:dyDescent="0.3">
      <c r="A367" t="str">
        <f t="shared" si="5"/>
        <v>PD|AccumulatedNewCapacity|RE1|PWRLPG|2029</v>
      </c>
      <c r="B367" t="s">
        <v>16</v>
      </c>
      <c r="C367" t="s">
        <v>17</v>
      </c>
      <c r="D367" t="s">
        <v>18</v>
      </c>
      <c r="E367" t="s">
        <v>19</v>
      </c>
      <c r="F367" t="s">
        <v>28</v>
      </c>
      <c r="O367">
        <v>2029</v>
      </c>
    </row>
    <row r="368" spans="1:16" x14ac:dyDescent="0.3">
      <c r="A368" t="str">
        <f t="shared" si="5"/>
        <v>PD|AccumulatedNewCapacity|RE1|PWRNGS_CC|2029</v>
      </c>
      <c r="B368" t="s">
        <v>16</v>
      </c>
      <c r="C368" t="s">
        <v>17</v>
      </c>
      <c r="D368" t="s">
        <v>18</v>
      </c>
      <c r="E368" t="s">
        <v>19</v>
      </c>
      <c r="F368" t="s">
        <v>29</v>
      </c>
      <c r="O368">
        <v>2029</v>
      </c>
    </row>
    <row r="369" spans="1:16" x14ac:dyDescent="0.3">
      <c r="A369" t="str">
        <f t="shared" si="5"/>
        <v>PD|AccumulatedNewCapacity|RE1|PWRNGS_CS|2029</v>
      </c>
      <c r="B369" t="s">
        <v>16</v>
      </c>
      <c r="C369" t="s">
        <v>17</v>
      </c>
      <c r="D369" t="s">
        <v>18</v>
      </c>
      <c r="E369" t="s">
        <v>19</v>
      </c>
      <c r="F369" t="s">
        <v>30</v>
      </c>
      <c r="O369">
        <v>2029</v>
      </c>
    </row>
    <row r="370" spans="1:16" x14ac:dyDescent="0.3">
      <c r="A370" t="str">
        <f t="shared" si="5"/>
        <v>PD|AccumulatedNewCapacity|RE1|PWRSOLRTP|2029</v>
      </c>
      <c r="B370" t="s">
        <v>16</v>
      </c>
      <c r="C370" t="s">
        <v>17</v>
      </c>
      <c r="D370" t="s">
        <v>18</v>
      </c>
      <c r="E370" t="s">
        <v>19</v>
      </c>
      <c r="F370" t="s">
        <v>31</v>
      </c>
      <c r="O370">
        <v>2029</v>
      </c>
      <c r="P370">
        <v>41.388376664552951</v>
      </c>
    </row>
    <row r="371" spans="1:16" x14ac:dyDescent="0.3">
      <c r="A371" t="str">
        <f t="shared" si="5"/>
        <v>PD|AccumulatedNewCapacity|RE1|PWRSOLRTP_ZNI|2029</v>
      </c>
      <c r="B371" t="s">
        <v>16</v>
      </c>
      <c r="C371" t="s">
        <v>17</v>
      </c>
      <c r="D371" t="s">
        <v>18</v>
      </c>
      <c r="E371" t="s">
        <v>19</v>
      </c>
      <c r="F371" t="s">
        <v>32</v>
      </c>
      <c r="O371">
        <v>2029</v>
      </c>
    </row>
    <row r="372" spans="1:16" x14ac:dyDescent="0.3">
      <c r="A372" t="str">
        <f t="shared" si="5"/>
        <v>PD|AccumulatedNewCapacity|RE1|PWRSOLUGE|2029</v>
      </c>
      <c r="B372" t="s">
        <v>16</v>
      </c>
      <c r="C372" t="s">
        <v>17</v>
      </c>
      <c r="D372" t="s">
        <v>18</v>
      </c>
      <c r="E372" t="s">
        <v>19</v>
      </c>
      <c r="F372" t="s">
        <v>33</v>
      </c>
      <c r="O372">
        <v>2029</v>
      </c>
      <c r="P372">
        <v>135.51019199999999</v>
      </c>
    </row>
    <row r="373" spans="1:16" x14ac:dyDescent="0.3">
      <c r="A373" t="str">
        <f t="shared" si="5"/>
        <v>PD|AccumulatedNewCapacity|RE1|PWRSOLUPE|2029</v>
      </c>
      <c r="B373" t="s">
        <v>16</v>
      </c>
      <c r="C373" t="s">
        <v>17</v>
      </c>
      <c r="D373" t="s">
        <v>18</v>
      </c>
      <c r="E373" t="s">
        <v>19</v>
      </c>
      <c r="F373" t="s">
        <v>34</v>
      </c>
      <c r="O373">
        <v>2029</v>
      </c>
      <c r="P373">
        <v>12.14419823999993</v>
      </c>
    </row>
    <row r="374" spans="1:16" x14ac:dyDescent="0.3">
      <c r="A374" t="str">
        <f t="shared" si="5"/>
        <v>PD|AccumulatedNewCapacity|RE1|PWRSTD|2029</v>
      </c>
      <c r="B374" t="s">
        <v>16</v>
      </c>
      <c r="C374" t="s">
        <v>17</v>
      </c>
      <c r="D374" t="s">
        <v>18</v>
      </c>
      <c r="E374" t="s">
        <v>19</v>
      </c>
      <c r="F374" t="s">
        <v>35</v>
      </c>
      <c r="O374">
        <v>2029</v>
      </c>
    </row>
    <row r="375" spans="1:16" x14ac:dyDescent="0.3">
      <c r="A375" t="str">
        <f t="shared" si="5"/>
        <v>PD|AccumulatedNewCapacity|RE1|PWRWNDONS|2029</v>
      </c>
      <c r="B375" t="s">
        <v>16</v>
      </c>
      <c r="C375" t="s">
        <v>17</v>
      </c>
      <c r="D375" t="s">
        <v>18</v>
      </c>
      <c r="E375" t="s">
        <v>19</v>
      </c>
      <c r="F375" t="s">
        <v>36</v>
      </c>
      <c r="O375">
        <v>2029</v>
      </c>
      <c r="P375">
        <v>33.266423314285717</v>
      </c>
    </row>
    <row r="376" spans="1:16" x14ac:dyDescent="0.3">
      <c r="A376" t="str">
        <f t="shared" si="5"/>
        <v>PD|NewCapacity|RE1|PWRBGS|2029</v>
      </c>
      <c r="B376" t="s">
        <v>16</v>
      </c>
      <c r="C376" t="s">
        <v>17</v>
      </c>
      <c r="D376" t="s">
        <v>37</v>
      </c>
      <c r="E376" t="s">
        <v>19</v>
      </c>
      <c r="F376" t="s">
        <v>20</v>
      </c>
      <c r="O376">
        <v>2029</v>
      </c>
    </row>
    <row r="377" spans="1:16" x14ac:dyDescent="0.3">
      <c r="A377" t="str">
        <f t="shared" si="5"/>
        <v>PD|NewCapacity|RE1|PWRCOA|2029</v>
      </c>
      <c r="B377" t="s">
        <v>16</v>
      </c>
      <c r="C377" t="s">
        <v>17</v>
      </c>
      <c r="D377" t="s">
        <v>37</v>
      </c>
      <c r="E377" t="s">
        <v>19</v>
      </c>
      <c r="F377" t="s">
        <v>21</v>
      </c>
      <c r="O377">
        <v>2029</v>
      </c>
    </row>
    <row r="378" spans="1:16" x14ac:dyDescent="0.3">
      <c r="A378" t="str">
        <f t="shared" si="5"/>
        <v>PD|NewCapacity|RE1|PWRDSL|2029</v>
      </c>
      <c r="B378" t="s">
        <v>16</v>
      </c>
      <c r="C378" t="s">
        <v>17</v>
      </c>
      <c r="D378" t="s">
        <v>37</v>
      </c>
      <c r="E378" t="s">
        <v>19</v>
      </c>
      <c r="F378" t="s">
        <v>22</v>
      </c>
      <c r="O378">
        <v>2029</v>
      </c>
    </row>
    <row r="379" spans="1:16" x14ac:dyDescent="0.3">
      <c r="A379" t="str">
        <f t="shared" si="5"/>
        <v>PD|NewCapacity|RE1|PWRFOL|2029</v>
      </c>
      <c r="B379" t="s">
        <v>16</v>
      </c>
      <c r="C379" t="s">
        <v>17</v>
      </c>
      <c r="D379" t="s">
        <v>37</v>
      </c>
      <c r="E379" t="s">
        <v>19</v>
      </c>
      <c r="F379" t="s">
        <v>23</v>
      </c>
      <c r="O379">
        <v>2029</v>
      </c>
    </row>
    <row r="380" spans="1:16" x14ac:dyDescent="0.3">
      <c r="A380" t="str">
        <f t="shared" si="5"/>
        <v>PD|NewCapacity|RE1|PWRHYDDAM|2029</v>
      </c>
      <c r="B380" t="s">
        <v>16</v>
      </c>
      <c r="C380" t="s">
        <v>17</v>
      </c>
      <c r="D380" t="s">
        <v>37</v>
      </c>
      <c r="E380" t="s">
        <v>19</v>
      </c>
      <c r="F380" t="s">
        <v>24</v>
      </c>
      <c r="O380">
        <v>2029</v>
      </c>
    </row>
    <row r="381" spans="1:16" x14ac:dyDescent="0.3">
      <c r="A381" t="str">
        <f t="shared" si="5"/>
        <v>PD|NewCapacity|RE1|PWRHYDROR|2029</v>
      </c>
      <c r="B381" t="s">
        <v>16</v>
      </c>
      <c r="C381" t="s">
        <v>17</v>
      </c>
      <c r="D381" t="s">
        <v>37</v>
      </c>
      <c r="E381" t="s">
        <v>19</v>
      </c>
      <c r="F381" t="s">
        <v>25</v>
      </c>
      <c r="O381">
        <v>2029</v>
      </c>
    </row>
    <row r="382" spans="1:16" x14ac:dyDescent="0.3">
      <c r="A382" t="str">
        <f t="shared" si="5"/>
        <v>PD|NewCapacity|RE1|PWRHYDROR_NDC|2029</v>
      </c>
      <c r="B382" t="s">
        <v>16</v>
      </c>
      <c r="C382" t="s">
        <v>17</v>
      </c>
      <c r="D382" t="s">
        <v>37</v>
      </c>
      <c r="E382" t="s">
        <v>19</v>
      </c>
      <c r="F382" t="s">
        <v>26</v>
      </c>
      <c r="O382">
        <v>2029</v>
      </c>
    </row>
    <row r="383" spans="1:16" x14ac:dyDescent="0.3">
      <c r="A383" t="str">
        <f t="shared" si="5"/>
        <v>PD|NewCapacity|RE1|PWRJET|2029</v>
      </c>
      <c r="B383" t="s">
        <v>16</v>
      </c>
      <c r="C383" t="s">
        <v>17</v>
      </c>
      <c r="D383" t="s">
        <v>37</v>
      </c>
      <c r="E383" t="s">
        <v>19</v>
      </c>
      <c r="F383" t="s">
        <v>27</v>
      </c>
      <c r="O383">
        <v>2029</v>
      </c>
    </row>
    <row r="384" spans="1:16" x14ac:dyDescent="0.3">
      <c r="A384" t="str">
        <f t="shared" si="5"/>
        <v>PD|NewCapacity|RE1|PWRLPG|2029</v>
      </c>
      <c r="B384" t="s">
        <v>16</v>
      </c>
      <c r="C384" t="s">
        <v>17</v>
      </c>
      <c r="D384" t="s">
        <v>37</v>
      </c>
      <c r="E384" t="s">
        <v>19</v>
      </c>
      <c r="F384" t="s">
        <v>28</v>
      </c>
      <c r="O384">
        <v>2029</v>
      </c>
    </row>
    <row r="385" spans="1:16" x14ac:dyDescent="0.3">
      <c r="A385" t="str">
        <f t="shared" si="5"/>
        <v>PD|NewCapacity|RE1|PWRNGS_CC|2029</v>
      </c>
      <c r="B385" t="s">
        <v>16</v>
      </c>
      <c r="C385" t="s">
        <v>17</v>
      </c>
      <c r="D385" t="s">
        <v>37</v>
      </c>
      <c r="E385" t="s">
        <v>19</v>
      </c>
      <c r="F385" t="s">
        <v>29</v>
      </c>
      <c r="O385">
        <v>2029</v>
      </c>
    </row>
    <row r="386" spans="1:16" x14ac:dyDescent="0.3">
      <c r="A386" t="str">
        <f t="shared" ref="A386:A449" si="6">B386&amp;"|"&amp;D386&amp;"|"&amp;E386&amp;"|"&amp;F386&amp;"|"&amp;O386</f>
        <v>PD|NewCapacity|RE1|PWRNGS_CS|2029</v>
      </c>
      <c r="B386" t="s">
        <v>16</v>
      </c>
      <c r="C386" t="s">
        <v>17</v>
      </c>
      <c r="D386" t="s">
        <v>37</v>
      </c>
      <c r="E386" t="s">
        <v>19</v>
      </c>
      <c r="F386" t="s">
        <v>30</v>
      </c>
      <c r="O386">
        <v>2029</v>
      </c>
    </row>
    <row r="387" spans="1:16" x14ac:dyDescent="0.3">
      <c r="A387" t="str">
        <f t="shared" si="6"/>
        <v>PD|NewCapacity|RE1|PWRSOLRTP|2029</v>
      </c>
      <c r="B387" t="s">
        <v>16</v>
      </c>
      <c r="C387" t="s">
        <v>17</v>
      </c>
      <c r="D387" t="s">
        <v>37</v>
      </c>
      <c r="E387" t="s">
        <v>19</v>
      </c>
      <c r="F387" t="s">
        <v>31</v>
      </c>
      <c r="O387">
        <v>2029</v>
      </c>
      <c r="P387">
        <v>11.25554850982879</v>
      </c>
    </row>
    <row r="388" spans="1:16" x14ac:dyDescent="0.3">
      <c r="A388" t="str">
        <f t="shared" si="6"/>
        <v>PD|NewCapacity|RE1|PWRSOLRTP_ZNI|2029</v>
      </c>
      <c r="B388" t="s">
        <v>16</v>
      </c>
      <c r="C388" t="s">
        <v>17</v>
      </c>
      <c r="D388" t="s">
        <v>37</v>
      </c>
      <c r="E388" t="s">
        <v>19</v>
      </c>
      <c r="F388" t="s">
        <v>32</v>
      </c>
      <c r="O388">
        <v>2029</v>
      </c>
    </row>
    <row r="389" spans="1:16" x14ac:dyDescent="0.3">
      <c r="A389" t="str">
        <f t="shared" si="6"/>
        <v>PD|NewCapacity|RE1|PWRSOLUGE|2029</v>
      </c>
      <c r="B389" t="s">
        <v>16</v>
      </c>
      <c r="C389" t="s">
        <v>17</v>
      </c>
      <c r="D389" t="s">
        <v>37</v>
      </c>
      <c r="E389" t="s">
        <v>19</v>
      </c>
      <c r="F389" t="s">
        <v>33</v>
      </c>
      <c r="O389">
        <v>2029</v>
      </c>
    </row>
    <row r="390" spans="1:16" x14ac:dyDescent="0.3">
      <c r="A390" t="str">
        <f t="shared" si="6"/>
        <v>PD|NewCapacity|RE1|PWRSOLUPE|2029</v>
      </c>
      <c r="B390" t="s">
        <v>16</v>
      </c>
      <c r="C390" t="s">
        <v>17</v>
      </c>
      <c r="D390" t="s">
        <v>37</v>
      </c>
      <c r="E390" t="s">
        <v>19</v>
      </c>
      <c r="F390" t="s">
        <v>34</v>
      </c>
      <c r="O390">
        <v>2029</v>
      </c>
    </row>
    <row r="391" spans="1:16" x14ac:dyDescent="0.3">
      <c r="A391" t="str">
        <f t="shared" si="6"/>
        <v>PD|NewCapacity|RE1|PWRSTD|2029</v>
      </c>
      <c r="B391" t="s">
        <v>16</v>
      </c>
      <c r="C391" t="s">
        <v>17</v>
      </c>
      <c r="D391" t="s">
        <v>37</v>
      </c>
      <c r="E391" t="s">
        <v>19</v>
      </c>
      <c r="F391" t="s">
        <v>35</v>
      </c>
      <c r="O391">
        <v>2029</v>
      </c>
    </row>
    <row r="392" spans="1:16" x14ac:dyDescent="0.3">
      <c r="A392" t="str">
        <f t="shared" si="6"/>
        <v>PD|NewCapacity|RE1|PWRWNDONS|2029</v>
      </c>
      <c r="B392" t="s">
        <v>16</v>
      </c>
      <c r="C392" t="s">
        <v>17</v>
      </c>
      <c r="D392" t="s">
        <v>37</v>
      </c>
      <c r="E392" t="s">
        <v>19</v>
      </c>
      <c r="F392" t="s">
        <v>36</v>
      </c>
      <c r="O392">
        <v>2029</v>
      </c>
      <c r="P392">
        <v>9.4608000000000008</v>
      </c>
    </row>
    <row r="393" spans="1:16" x14ac:dyDescent="0.3">
      <c r="A393" t="str">
        <f t="shared" si="6"/>
        <v>PD|TotalCapacityAnnual|RE1|PWRBGS|2029</v>
      </c>
      <c r="B393" t="s">
        <v>16</v>
      </c>
      <c r="C393" t="s">
        <v>17</v>
      </c>
      <c r="D393" t="s">
        <v>38</v>
      </c>
      <c r="E393" t="s">
        <v>19</v>
      </c>
      <c r="F393" t="s">
        <v>20</v>
      </c>
      <c r="O393">
        <v>2029</v>
      </c>
      <c r="P393">
        <v>2.5488587520000001E-2</v>
      </c>
    </row>
    <row r="394" spans="1:16" x14ac:dyDescent="0.3">
      <c r="A394" t="str">
        <f t="shared" si="6"/>
        <v>PD|TotalCapacityAnnual|RE1|PWRCOA|2029</v>
      </c>
      <c r="B394" t="s">
        <v>16</v>
      </c>
      <c r="C394" t="s">
        <v>17</v>
      </c>
      <c r="D394" t="s">
        <v>38</v>
      </c>
      <c r="E394" t="s">
        <v>19</v>
      </c>
      <c r="F394" t="s">
        <v>21</v>
      </c>
      <c r="O394">
        <v>2029</v>
      </c>
      <c r="P394">
        <v>19.047744000000002</v>
      </c>
    </row>
    <row r="395" spans="1:16" x14ac:dyDescent="0.3">
      <c r="A395" t="str">
        <f t="shared" si="6"/>
        <v>PD|TotalCapacityAnnual|RE1|PWRDSL|2029</v>
      </c>
      <c r="B395" t="s">
        <v>16</v>
      </c>
      <c r="C395" t="s">
        <v>17</v>
      </c>
      <c r="D395" t="s">
        <v>38</v>
      </c>
      <c r="E395" t="s">
        <v>19</v>
      </c>
      <c r="F395" t="s">
        <v>22</v>
      </c>
      <c r="O395">
        <v>2029</v>
      </c>
      <c r="P395">
        <v>24.944976</v>
      </c>
    </row>
    <row r="396" spans="1:16" x14ac:dyDescent="0.3">
      <c r="A396" t="str">
        <f t="shared" si="6"/>
        <v>PD|TotalCapacityAnnual|RE1|PWRFOL|2029</v>
      </c>
      <c r="B396" t="s">
        <v>16</v>
      </c>
      <c r="C396" t="s">
        <v>17</v>
      </c>
      <c r="D396" t="s">
        <v>38</v>
      </c>
      <c r="E396" t="s">
        <v>19</v>
      </c>
      <c r="F396" t="s">
        <v>23</v>
      </c>
      <c r="O396">
        <v>2029</v>
      </c>
      <c r="P396">
        <v>8.3885759999999987</v>
      </c>
    </row>
    <row r="397" spans="1:16" x14ac:dyDescent="0.3">
      <c r="A397" t="str">
        <f t="shared" si="6"/>
        <v>PD|TotalCapacityAnnual|RE1|PWRHYDDAM|2029</v>
      </c>
      <c r="B397" t="s">
        <v>16</v>
      </c>
      <c r="C397" t="s">
        <v>17</v>
      </c>
      <c r="D397" t="s">
        <v>38</v>
      </c>
      <c r="E397" t="s">
        <v>19</v>
      </c>
      <c r="F397" t="s">
        <v>24</v>
      </c>
      <c r="O397">
        <v>2029</v>
      </c>
      <c r="P397">
        <v>440.49164800000011</v>
      </c>
    </row>
    <row r="398" spans="1:16" x14ac:dyDescent="0.3">
      <c r="A398" t="str">
        <f t="shared" si="6"/>
        <v>PD|TotalCapacityAnnual|RE1|PWRHYDROR|2029</v>
      </c>
      <c r="B398" t="s">
        <v>16</v>
      </c>
      <c r="C398" t="s">
        <v>17</v>
      </c>
      <c r="D398" t="s">
        <v>38</v>
      </c>
      <c r="E398" t="s">
        <v>19</v>
      </c>
      <c r="F398" t="s">
        <v>25</v>
      </c>
      <c r="O398">
        <v>2029</v>
      </c>
      <c r="P398">
        <v>21.097584000000001</v>
      </c>
    </row>
    <row r="399" spans="1:16" x14ac:dyDescent="0.3">
      <c r="A399" t="str">
        <f t="shared" si="6"/>
        <v>PD|TotalCapacityAnnual|RE1|PWRHYDROR_NDC|2029</v>
      </c>
      <c r="B399" t="s">
        <v>16</v>
      </c>
      <c r="C399" t="s">
        <v>17</v>
      </c>
      <c r="D399" t="s">
        <v>38</v>
      </c>
      <c r="E399" t="s">
        <v>19</v>
      </c>
      <c r="F399" t="s">
        <v>26</v>
      </c>
      <c r="O399">
        <v>2029</v>
      </c>
      <c r="P399">
        <v>29.725108271999989</v>
      </c>
    </row>
    <row r="400" spans="1:16" x14ac:dyDescent="0.3">
      <c r="A400" t="str">
        <f t="shared" si="6"/>
        <v>PD|TotalCapacityAnnual|RE1|PWRJET|2029</v>
      </c>
      <c r="B400" t="s">
        <v>16</v>
      </c>
      <c r="C400" t="s">
        <v>17</v>
      </c>
      <c r="D400" t="s">
        <v>38</v>
      </c>
      <c r="E400" t="s">
        <v>19</v>
      </c>
      <c r="F400" t="s">
        <v>27</v>
      </c>
      <c r="O400">
        <v>2029</v>
      </c>
      <c r="P400">
        <v>1.5768</v>
      </c>
    </row>
    <row r="401" spans="1:16" x14ac:dyDescent="0.3">
      <c r="A401" t="str">
        <f t="shared" si="6"/>
        <v>PD|TotalCapacityAnnual|RE1|PWRLPG|2029</v>
      </c>
      <c r="B401" t="s">
        <v>16</v>
      </c>
      <c r="C401" t="s">
        <v>17</v>
      </c>
      <c r="D401" t="s">
        <v>38</v>
      </c>
      <c r="E401" t="s">
        <v>19</v>
      </c>
      <c r="F401" t="s">
        <v>28</v>
      </c>
      <c r="O401">
        <v>2029</v>
      </c>
      <c r="P401">
        <v>1.639872</v>
      </c>
    </row>
    <row r="402" spans="1:16" x14ac:dyDescent="0.3">
      <c r="A402" t="str">
        <f t="shared" si="6"/>
        <v>PD|TotalCapacityAnnual|RE1|PWRNGS_CC|2029</v>
      </c>
      <c r="B402" t="s">
        <v>16</v>
      </c>
      <c r="C402" t="s">
        <v>17</v>
      </c>
      <c r="D402" t="s">
        <v>38</v>
      </c>
      <c r="E402" t="s">
        <v>19</v>
      </c>
      <c r="F402" t="s">
        <v>29</v>
      </c>
      <c r="O402">
        <v>2029</v>
      </c>
      <c r="P402">
        <v>70.104500000000002</v>
      </c>
    </row>
    <row r="403" spans="1:16" x14ac:dyDescent="0.3">
      <c r="A403" t="str">
        <f t="shared" si="6"/>
        <v>PD|TotalCapacityAnnual|RE1|PWRNGS_CS|2029</v>
      </c>
      <c r="B403" t="s">
        <v>16</v>
      </c>
      <c r="C403" t="s">
        <v>17</v>
      </c>
      <c r="D403" t="s">
        <v>38</v>
      </c>
      <c r="E403" t="s">
        <v>19</v>
      </c>
      <c r="F403" t="s">
        <v>30</v>
      </c>
      <c r="O403">
        <v>2029</v>
      </c>
      <c r="P403">
        <v>23.084351999999999</v>
      </c>
    </row>
    <row r="404" spans="1:16" x14ac:dyDescent="0.3">
      <c r="A404" t="str">
        <f t="shared" si="6"/>
        <v>PD|TotalCapacityAnnual|RE1|PWRSOLRTP|2029</v>
      </c>
      <c r="B404" t="s">
        <v>16</v>
      </c>
      <c r="C404" t="s">
        <v>17</v>
      </c>
      <c r="D404" t="s">
        <v>38</v>
      </c>
      <c r="E404" t="s">
        <v>19</v>
      </c>
      <c r="F404" t="s">
        <v>31</v>
      </c>
      <c r="O404">
        <v>2029</v>
      </c>
      <c r="P404">
        <v>64.672476664552946</v>
      </c>
    </row>
    <row r="405" spans="1:16" x14ac:dyDescent="0.3">
      <c r="A405" t="str">
        <f t="shared" si="6"/>
        <v>PD|TotalCapacityAnnual|RE1|PWRSOLRTP_ZNI|2029</v>
      </c>
      <c r="B405" t="s">
        <v>16</v>
      </c>
      <c r="C405" t="s">
        <v>17</v>
      </c>
      <c r="D405" t="s">
        <v>38</v>
      </c>
      <c r="E405" t="s">
        <v>19</v>
      </c>
      <c r="F405" t="s">
        <v>32</v>
      </c>
      <c r="O405">
        <v>2029</v>
      </c>
      <c r="P405">
        <v>0.46074095999999998</v>
      </c>
    </row>
    <row r="406" spans="1:16" x14ac:dyDescent="0.3">
      <c r="A406" t="str">
        <f t="shared" si="6"/>
        <v>PD|TotalCapacityAnnual|RE1|PWRSOLUGE|2029</v>
      </c>
      <c r="B406" t="s">
        <v>16</v>
      </c>
      <c r="C406" t="s">
        <v>17</v>
      </c>
      <c r="D406" t="s">
        <v>38</v>
      </c>
      <c r="E406" t="s">
        <v>19</v>
      </c>
      <c r="F406" t="s">
        <v>33</v>
      </c>
      <c r="O406">
        <v>2029</v>
      </c>
      <c r="P406">
        <v>183.90786048000001</v>
      </c>
    </row>
    <row r="407" spans="1:16" x14ac:dyDescent="0.3">
      <c r="A407" t="str">
        <f t="shared" si="6"/>
        <v>PD|TotalCapacityAnnual|RE1|PWRSOLUPE|2029</v>
      </c>
      <c r="B407" t="s">
        <v>16</v>
      </c>
      <c r="C407" t="s">
        <v>17</v>
      </c>
      <c r="D407" t="s">
        <v>38</v>
      </c>
      <c r="E407" t="s">
        <v>19</v>
      </c>
      <c r="F407" t="s">
        <v>34</v>
      </c>
      <c r="O407">
        <v>2029</v>
      </c>
      <c r="P407">
        <v>39.172600079999931</v>
      </c>
    </row>
    <row r="408" spans="1:16" x14ac:dyDescent="0.3">
      <c r="A408" t="str">
        <f t="shared" si="6"/>
        <v>PD|TotalCapacityAnnual|RE1|PWRSTD|2029</v>
      </c>
      <c r="B408" t="s">
        <v>16</v>
      </c>
      <c r="C408" t="s">
        <v>17</v>
      </c>
      <c r="D408" t="s">
        <v>38</v>
      </c>
      <c r="E408" t="s">
        <v>19</v>
      </c>
      <c r="F408" t="s">
        <v>35</v>
      </c>
      <c r="O408">
        <v>2029</v>
      </c>
      <c r="P408">
        <v>8.163062064</v>
      </c>
    </row>
    <row r="409" spans="1:16" x14ac:dyDescent="0.3">
      <c r="A409" t="str">
        <f t="shared" si="6"/>
        <v>PD|TotalCapacityAnnual|RE1|PWRWNDONS|2029</v>
      </c>
      <c r="B409" t="s">
        <v>16</v>
      </c>
      <c r="C409" t="s">
        <v>17</v>
      </c>
      <c r="D409" t="s">
        <v>38</v>
      </c>
      <c r="E409" t="s">
        <v>19</v>
      </c>
      <c r="F409" t="s">
        <v>36</v>
      </c>
      <c r="O409">
        <v>2029</v>
      </c>
      <c r="P409">
        <v>34.635085714285722</v>
      </c>
    </row>
    <row r="410" spans="1:16" x14ac:dyDescent="0.3">
      <c r="A410" t="str">
        <f t="shared" si="6"/>
        <v>PD|AccumulatedNewCapacity|RE1|PWRBGS|2030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O410">
        <v>2030</v>
      </c>
    </row>
    <row r="411" spans="1:16" x14ac:dyDescent="0.3">
      <c r="A411" t="str">
        <f t="shared" si="6"/>
        <v>PD|AccumulatedNewCapacity|RE1|PWRCOA|2030</v>
      </c>
      <c r="B411" t="s">
        <v>16</v>
      </c>
      <c r="C411" t="s">
        <v>17</v>
      </c>
      <c r="D411" t="s">
        <v>18</v>
      </c>
      <c r="E411" t="s">
        <v>19</v>
      </c>
      <c r="F411" t="s">
        <v>21</v>
      </c>
      <c r="O411">
        <v>2030</v>
      </c>
    </row>
    <row r="412" spans="1:16" x14ac:dyDescent="0.3">
      <c r="A412" t="str">
        <f t="shared" si="6"/>
        <v>PD|AccumulatedNewCapacity|RE1|PWRDSL|2030</v>
      </c>
      <c r="B412" t="s">
        <v>16</v>
      </c>
      <c r="C412" t="s">
        <v>17</v>
      </c>
      <c r="D412" t="s">
        <v>18</v>
      </c>
      <c r="E412" t="s">
        <v>19</v>
      </c>
      <c r="F412" t="s">
        <v>22</v>
      </c>
      <c r="O412">
        <v>2030</v>
      </c>
    </row>
    <row r="413" spans="1:16" x14ac:dyDescent="0.3">
      <c r="A413" t="str">
        <f t="shared" si="6"/>
        <v>PD|AccumulatedNewCapacity|RE1|PWRFOL|2030</v>
      </c>
      <c r="B413" t="s">
        <v>16</v>
      </c>
      <c r="C413" t="s">
        <v>17</v>
      </c>
      <c r="D413" t="s">
        <v>18</v>
      </c>
      <c r="E413" t="s">
        <v>19</v>
      </c>
      <c r="F413" t="s">
        <v>23</v>
      </c>
      <c r="O413">
        <v>2030</v>
      </c>
    </row>
    <row r="414" spans="1:16" x14ac:dyDescent="0.3">
      <c r="A414" t="str">
        <f t="shared" si="6"/>
        <v>PD|AccumulatedNewCapacity|RE1|PWRHYDDAM|2030</v>
      </c>
      <c r="B414" t="s">
        <v>16</v>
      </c>
      <c r="C414" t="s">
        <v>17</v>
      </c>
      <c r="D414" t="s">
        <v>18</v>
      </c>
      <c r="E414" t="s">
        <v>19</v>
      </c>
      <c r="F414" t="s">
        <v>24</v>
      </c>
      <c r="O414">
        <v>2030</v>
      </c>
      <c r="P414">
        <v>37.840000000000003</v>
      </c>
    </row>
    <row r="415" spans="1:16" x14ac:dyDescent="0.3">
      <c r="A415" t="str">
        <f t="shared" si="6"/>
        <v>PD|AccumulatedNewCapacity|RE1|PWRHYDROR|2030</v>
      </c>
      <c r="B415" t="s">
        <v>16</v>
      </c>
      <c r="C415" t="s">
        <v>17</v>
      </c>
      <c r="D415" t="s">
        <v>18</v>
      </c>
      <c r="E415" t="s">
        <v>19</v>
      </c>
      <c r="F415" t="s">
        <v>25</v>
      </c>
      <c r="O415">
        <v>2030</v>
      </c>
    </row>
    <row r="416" spans="1:16" x14ac:dyDescent="0.3">
      <c r="A416" t="str">
        <f t="shared" si="6"/>
        <v>PD|AccumulatedNewCapacity|RE1|PWRHYDROR_NDC|2030</v>
      </c>
      <c r="B416" t="s">
        <v>16</v>
      </c>
      <c r="C416" t="s">
        <v>17</v>
      </c>
      <c r="D416" t="s">
        <v>18</v>
      </c>
      <c r="E416" t="s">
        <v>19</v>
      </c>
      <c r="F416" t="s">
        <v>26</v>
      </c>
      <c r="O416">
        <v>2030</v>
      </c>
    </row>
    <row r="417" spans="1:16" x14ac:dyDescent="0.3">
      <c r="A417" t="str">
        <f t="shared" si="6"/>
        <v>PD|AccumulatedNewCapacity|RE1|PWRJET|2030</v>
      </c>
      <c r="B417" t="s">
        <v>16</v>
      </c>
      <c r="C417" t="s">
        <v>17</v>
      </c>
      <c r="D417" t="s">
        <v>18</v>
      </c>
      <c r="E417" t="s">
        <v>19</v>
      </c>
      <c r="F417" t="s">
        <v>27</v>
      </c>
      <c r="O417">
        <v>2030</v>
      </c>
    </row>
    <row r="418" spans="1:16" x14ac:dyDescent="0.3">
      <c r="A418" t="str">
        <f t="shared" si="6"/>
        <v>PD|AccumulatedNewCapacity|RE1|PWRLPG|2030</v>
      </c>
      <c r="B418" t="s">
        <v>16</v>
      </c>
      <c r="C418" t="s">
        <v>17</v>
      </c>
      <c r="D418" t="s">
        <v>18</v>
      </c>
      <c r="E418" t="s">
        <v>19</v>
      </c>
      <c r="F418" t="s">
        <v>28</v>
      </c>
      <c r="O418">
        <v>2030</v>
      </c>
    </row>
    <row r="419" spans="1:16" x14ac:dyDescent="0.3">
      <c r="A419" t="str">
        <f t="shared" si="6"/>
        <v>PD|AccumulatedNewCapacity|RE1|PWRNGS_CC|2030</v>
      </c>
      <c r="B419" t="s">
        <v>16</v>
      </c>
      <c r="C419" t="s">
        <v>17</v>
      </c>
      <c r="D419" t="s">
        <v>18</v>
      </c>
      <c r="E419" t="s">
        <v>19</v>
      </c>
      <c r="F419" t="s">
        <v>29</v>
      </c>
      <c r="O419">
        <v>2030</v>
      </c>
    </row>
    <row r="420" spans="1:16" x14ac:dyDescent="0.3">
      <c r="A420" t="str">
        <f t="shared" si="6"/>
        <v>PD|AccumulatedNewCapacity|RE1|PWRNGS_CS|2030</v>
      </c>
      <c r="B420" t="s">
        <v>16</v>
      </c>
      <c r="C420" t="s">
        <v>17</v>
      </c>
      <c r="D420" t="s">
        <v>18</v>
      </c>
      <c r="E420" t="s">
        <v>19</v>
      </c>
      <c r="F420" t="s">
        <v>30</v>
      </c>
      <c r="O420">
        <v>2030</v>
      </c>
    </row>
    <row r="421" spans="1:16" x14ac:dyDescent="0.3">
      <c r="A421" t="str">
        <f t="shared" si="6"/>
        <v>PD|AccumulatedNewCapacity|RE1|PWRSOLRTP|2030</v>
      </c>
      <c r="B421" t="s">
        <v>16</v>
      </c>
      <c r="C421" t="s">
        <v>17</v>
      </c>
      <c r="D421" t="s">
        <v>18</v>
      </c>
      <c r="E421" t="s">
        <v>19</v>
      </c>
      <c r="F421" t="s">
        <v>31</v>
      </c>
      <c r="O421">
        <v>2030</v>
      </c>
      <c r="P421">
        <v>52.009809765377298</v>
      </c>
    </row>
    <row r="422" spans="1:16" x14ac:dyDescent="0.3">
      <c r="A422" t="str">
        <f t="shared" si="6"/>
        <v>PD|AccumulatedNewCapacity|RE1|PWRSOLRTP_ZNI|2030</v>
      </c>
      <c r="B422" t="s">
        <v>16</v>
      </c>
      <c r="C422" t="s">
        <v>17</v>
      </c>
      <c r="D422" t="s">
        <v>18</v>
      </c>
      <c r="E422" t="s">
        <v>19</v>
      </c>
      <c r="F422" t="s">
        <v>32</v>
      </c>
      <c r="O422">
        <v>2030</v>
      </c>
    </row>
    <row r="423" spans="1:16" x14ac:dyDescent="0.3">
      <c r="A423" t="str">
        <f t="shared" si="6"/>
        <v>PD|AccumulatedNewCapacity|RE1|PWRSOLUGE|2030</v>
      </c>
      <c r="B423" t="s">
        <v>16</v>
      </c>
      <c r="C423" t="s">
        <v>17</v>
      </c>
      <c r="D423" t="s">
        <v>18</v>
      </c>
      <c r="E423" t="s">
        <v>19</v>
      </c>
      <c r="F423" t="s">
        <v>33</v>
      </c>
      <c r="O423">
        <v>2030</v>
      </c>
      <c r="P423">
        <v>143.394192</v>
      </c>
    </row>
    <row r="424" spans="1:16" x14ac:dyDescent="0.3">
      <c r="A424" t="str">
        <f t="shared" si="6"/>
        <v>PD|AccumulatedNewCapacity|RE1|PWRSOLUPE|2030</v>
      </c>
      <c r="B424" t="s">
        <v>16</v>
      </c>
      <c r="C424" t="s">
        <v>17</v>
      </c>
      <c r="D424" t="s">
        <v>18</v>
      </c>
      <c r="E424" t="s">
        <v>19</v>
      </c>
      <c r="F424" t="s">
        <v>34</v>
      </c>
      <c r="O424">
        <v>2030</v>
      </c>
      <c r="P424">
        <v>12.14419823999993</v>
      </c>
    </row>
    <row r="425" spans="1:16" x14ac:dyDescent="0.3">
      <c r="A425" t="str">
        <f t="shared" si="6"/>
        <v>PD|AccumulatedNewCapacity|RE1|PWRSTD|2030</v>
      </c>
      <c r="B425" t="s">
        <v>16</v>
      </c>
      <c r="C425" t="s">
        <v>17</v>
      </c>
      <c r="D425" t="s">
        <v>18</v>
      </c>
      <c r="E425" t="s">
        <v>19</v>
      </c>
      <c r="F425" t="s">
        <v>35</v>
      </c>
      <c r="O425">
        <v>2030</v>
      </c>
    </row>
    <row r="426" spans="1:16" x14ac:dyDescent="0.3">
      <c r="A426" t="str">
        <f t="shared" si="6"/>
        <v>PD|AccumulatedNewCapacity|RE1|PWRWNDONS|2030</v>
      </c>
      <c r="B426" t="s">
        <v>16</v>
      </c>
      <c r="C426" t="s">
        <v>17</v>
      </c>
      <c r="D426" t="s">
        <v>18</v>
      </c>
      <c r="E426" t="s">
        <v>19</v>
      </c>
      <c r="F426" t="s">
        <v>36</v>
      </c>
      <c r="O426">
        <v>2030</v>
      </c>
      <c r="P426">
        <v>33.266423314285717</v>
      </c>
    </row>
    <row r="427" spans="1:16" x14ac:dyDescent="0.3">
      <c r="A427" t="str">
        <f t="shared" si="6"/>
        <v>PD|NewCapacity|RE1|PWRBGS|2030</v>
      </c>
      <c r="B427" t="s">
        <v>16</v>
      </c>
      <c r="C427" t="s">
        <v>17</v>
      </c>
      <c r="D427" t="s">
        <v>37</v>
      </c>
      <c r="E427" t="s">
        <v>19</v>
      </c>
      <c r="F427" t="s">
        <v>20</v>
      </c>
      <c r="O427">
        <v>2030</v>
      </c>
    </row>
    <row r="428" spans="1:16" x14ac:dyDescent="0.3">
      <c r="A428" t="str">
        <f t="shared" si="6"/>
        <v>PD|NewCapacity|RE1|PWRCOA|2030</v>
      </c>
      <c r="B428" t="s">
        <v>16</v>
      </c>
      <c r="C428" t="s">
        <v>17</v>
      </c>
      <c r="D428" t="s">
        <v>37</v>
      </c>
      <c r="E428" t="s">
        <v>19</v>
      </c>
      <c r="F428" t="s">
        <v>21</v>
      </c>
      <c r="O428">
        <v>2030</v>
      </c>
    </row>
    <row r="429" spans="1:16" x14ac:dyDescent="0.3">
      <c r="A429" t="str">
        <f t="shared" si="6"/>
        <v>PD|NewCapacity|RE1|PWRDSL|2030</v>
      </c>
      <c r="B429" t="s">
        <v>16</v>
      </c>
      <c r="C429" t="s">
        <v>17</v>
      </c>
      <c r="D429" t="s">
        <v>37</v>
      </c>
      <c r="E429" t="s">
        <v>19</v>
      </c>
      <c r="F429" t="s">
        <v>22</v>
      </c>
      <c r="O429">
        <v>2030</v>
      </c>
    </row>
    <row r="430" spans="1:16" x14ac:dyDescent="0.3">
      <c r="A430" t="str">
        <f t="shared" si="6"/>
        <v>PD|NewCapacity|RE1|PWRFOL|2030</v>
      </c>
      <c r="B430" t="s">
        <v>16</v>
      </c>
      <c r="C430" t="s">
        <v>17</v>
      </c>
      <c r="D430" t="s">
        <v>37</v>
      </c>
      <c r="E430" t="s">
        <v>19</v>
      </c>
      <c r="F430" t="s">
        <v>23</v>
      </c>
      <c r="O430">
        <v>2030</v>
      </c>
    </row>
    <row r="431" spans="1:16" x14ac:dyDescent="0.3">
      <c r="A431" t="str">
        <f t="shared" si="6"/>
        <v>PD|NewCapacity|RE1|PWRHYDDAM|2030</v>
      </c>
      <c r="B431" t="s">
        <v>16</v>
      </c>
      <c r="C431" t="s">
        <v>17</v>
      </c>
      <c r="D431" t="s">
        <v>37</v>
      </c>
      <c r="E431" t="s">
        <v>19</v>
      </c>
      <c r="F431" t="s">
        <v>24</v>
      </c>
      <c r="O431">
        <v>2030</v>
      </c>
    </row>
    <row r="432" spans="1:16" x14ac:dyDescent="0.3">
      <c r="A432" t="str">
        <f t="shared" si="6"/>
        <v>PD|NewCapacity|RE1|PWRHYDROR|2030</v>
      </c>
      <c r="B432" t="s">
        <v>16</v>
      </c>
      <c r="C432" t="s">
        <v>17</v>
      </c>
      <c r="D432" t="s">
        <v>37</v>
      </c>
      <c r="E432" t="s">
        <v>19</v>
      </c>
      <c r="F432" t="s">
        <v>25</v>
      </c>
      <c r="O432">
        <v>2030</v>
      </c>
    </row>
    <row r="433" spans="1:16" x14ac:dyDescent="0.3">
      <c r="A433" t="str">
        <f t="shared" si="6"/>
        <v>PD|NewCapacity|RE1|PWRHYDROR_NDC|2030</v>
      </c>
      <c r="B433" t="s">
        <v>16</v>
      </c>
      <c r="C433" t="s">
        <v>17</v>
      </c>
      <c r="D433" t="s">
        <v>37</v>
      </c>
      <c r="E433" t="s">
        <v>19</v>
      </c>
      <c r="F433" t="s">
        <v>26</v>
      </c>
      <c r="O433">
        <v>2030</v>
      </c>
    </row>
    <row r="434" spans="1:16" x14ac:dyDescent="0.3">
      <c r="A434" t="str">
        <f t="shared" si="6"/>
        <v>PD|NewCapacity|RE1|PWRJET|2030</v>
      </c>
      <c r="B434" t="s">
        <v>16</v>
      </c>
      <c r="C434" t="s">
        <v>17</v>
      </c>
      <c r="D434" t="s">
        <v>37</v>
      </c>
      <c r="E434" t="s">
        <v>19</v>
      </c>
      <c r="F434" t="s">
        <v>27</v>
      </c>
      <c r="O434">
        <v>2030</v>
      </c>
    </row>
    <row r="435" spans="1:16" x14ac:dyDescent="0.3">
      <c r="A435" t="str">
        <f t="shared" si="6"/>
        <v>PD|NewCapacity|RE1|PWRLPG|2030</v>
      </c>
      <c r="B435" t="s">
        <v>16</v>
      </c>
      <c r="C435" t="s">
        <v>17</v>
      </c>
      <c r="D435" t="s">
        <v>37</v>
      </c>
      <c r="E435" t="s">
        <v>19</v>
      </c>
      <c r="F435" t="s">
        <v>28</v>
      </c>
      <c r="O435">
        <v>2030</v>
      </c>
    </row>
    <row r="436" spans="1:16" x14ac:dyDescent="0.3">
      <c r="A436" t="str">
        <f t="shared" si="6"/>
        <v>PD|NewCapacity|RE1|PWRNGS_CC|2030</v>
      </c>
      <c r="B436" t="s">
        <v>16</v>
      </c>
      <c r="C436" t="s">
        <v>17</v>
      </c>
      <c r="D436" t="s">
        <v>37</v>
      </c>
      <c r="E436" t="s">
        <v>19</v>
      </c>
      <c r="F436" t="s">
        <v>29</v>
      </c>
      <c r="O436">
        <v>2030</v>
      </c>
    </row>
    <row r="437" spans="1:16" x14ac:dyDescent="0.3">
      <c r="A437" t="str">
        <f t="shared" si="6"/>
        <v>PD|NewCapacity|RE1|PWRNGS_CS|2030</v>
      </c>
      <c r="B437" t="s">
        <v>16</v>
      </c>
      <c r="C437" t="s">
        <v>17</v>
      </c>
      <c r="D437" t="s">
        <v>37</v>
      </c>
      <c r="E437" t="s">
        <v>19</v>
      </c>
      <c r="F437" t="s">
        <v>30</v>
      </c>
      <c r="O437">
        <v>2030</v>
      </c>
    </row>
    <row r="438" spans="1:16" x14ac:dyDescent="0.3">
      <c r="A438" t="str">
        <f t="shared" si="6"/>
        <v>PD|NewCapacity|RE1|PWRSOLRTP|2030</v>
      </c>
      <c r="B438" t="s">
        <v>16</v>
      </c>
      <c r="C438" t="s">
        <v>17</v>
      </c>
      <c r="D438" t="s">
        <v>37</v>
      </c>
      <c r="E438" t="s">
        <v>19</v>
      </c>
      <c r="F438" t="s">
        <v>31</v>
      </c>
      <c r="O438">
        <v>2030</v>
      </c>
      <c r="P438">
        <v>10.621433100824349</v>
      </c>
    </row>
    <row r="439" spans="1:16" x14ac:dyDescent="0.3">
      <c r="A439" t="str">
        <f t="shared" si="6"/>
        <v>PD|NewCapacity|RE1|PWRSOLRTP_ZNI|2030</v>
      </c>
      <c r="B439" t="s">
        <v>16</v>
      </c>
      <c r="C439" t="s">
        <v>17</v>
      </c>
      <c r="D439" t="s">
        <v>37</v>
      </c>
      <c r="E439" t="s">
        <v>19</v>
      </c>
      <c r="F439" t="s">
        <v>32</v>
      </c>
      <c r="O439">
        <v>2030</v>
      </c>
    </row>
    <row r="440" spans="1:16" x14ac:dyDescent="0.3">
      <c r="A440" t="str">
        <f t="shared" si="6"/>
        <v>PD|NewCapacity|RE1|PWRSOLUGE|2030</v>
      </c>
      <c r="B440" t="s">
        <v>16</v>
      </c>
      <c r="C440" t="s">
        <v>17</v>
      </c>
      <c r="D440" t="s">
        <v>37</v>
      </c>
      <c r="E440" t="s">
        <v>19</v>
      </c>
      <c r="F440" t="s">
        <v>33</v>
      </c>
      <c r="O440">
        <v>2030</v>
      </c>
      <c r="P440">
        <v>7.8840000000000003</v>
      </c>
    </row>
    <row r="441" spans="1:16" x14ac:dyDescent="0.3">
      <c r="A441" t="str">
        <f t="shared" si="6"/>
        <v>PD|NewCapacity|RE1|PWRSOLUPE|2030</v>
      </c>
      <c r="B441" t="s">
        <v>16</v>
      </c>
      <c r="C441" t="s">
        <v>17</v>
      </c>
      <c r="D441" t="s">
        <v>37</v>
      </c>
      <c r="E441" t="s">
        <v>19</v>
      </c>
      <c r="F441" t="s">
        <v>34</v>
      </c>
      <c r="O441">
        <v>2030</v>
      </c>
    </row>
    <row r="442" spans="1:16" x14ac:dyDescent="0.3">
      <c r="A442" t="str">
        <f t="shared" si="6"/>
        <v>PD|NewCapacity|RE1|PWRSTD|2030</v>
      </c>
      <c r="B442" t="s">
        <v>16</v>
      </c>
      <c r="C442" t="s">
        <v>17</v>
      </c>
      <c r="D442" t="s">
        <v>37</v>
      </c>
      <c r="E442" t="s">
        <v>19</v>
      </c>
      <c r="F442" t="s">
        <v>35</v>
      </c>
      <c r="O442">
        <v>2030</v>
      </c>
    </row>
    <row r="443" spans="1:16" x14ac:dyDescent="0.3">
      <c r="A443" t="str">
        <f t="shared" si="6"/>
        <v>PD|NewCapacity|RE1|PWRWNDONS|2030</v>
      </c>
      <c r="B443" t="s">
        <v>16</v>
      </c>
      <c r="C443" t="s">
        <v>17</v>
      </c>
      <c r="D443" t="s">
        <v>37</v>
      </c>
      <c r="E443" t="s">
        <v>19</v>
      </c>
      <c r="F443" t="s">
        <v>36</v>
      </c>
      <c r="O443">
        <v>2030</v>
      </c>
    </row>
    <row r="444" spans="1:16" x14ac:dyDescent="0.3">
      <c r="A444" t="str">
        <f t="shared" si="6"/>
        <v>PD|TotalCapacityAnnual|RE1|PWRBGS|2030</v>
      </c>
      <c r="B444" t="s">
        <v>16</v>
      </c>
      <c r="C444" t="s">
        <v>17</v>
      </c>
      <c r="D444" t="s">
        <v>38</v>
      </c>
      <c r="E444" t="s">
        <v>19</v>
      </c>
      <c r="F444" t="s">
        <v>20</v>
      </c>
      <c r="O444">
        <v>2030</v>
      </c>
      <c r="P444">
        <v>2.5488587520000001E-2</v>
      </c>
    </row>
    <row r="445" spans="1:16" x14ac:dyDescent="0.3">
      <c r="A445" t="str">
        <f t="shared" si="6"/>
        <v>PD|TotalCapacityAnnual|RE1|PWRCOA|2030</v>
      </c>
      <c r="B445" t="s">
        <v>16</v>
      </c>
      <c r="C445" t="s">
        <v>17</v>
      </c>
      <c r="D445" t="s">
        <v>38</v>
      </c>
      <c r="E445" t="s">
        <v>19</v>
      </c>
      <c r="F445" t="s">
        <v>21</v>
      </c>
      <c r="O445">
        <v>2030</v>
      </c>
      <c r="P445">
        <v>19.047744000000002</v>
      </c>
    </row>
    <row r="446" spans="1:16" x14ac:dyDescent="0.3">
      <c r="A446" t="str">
        <f t="shared" si="6"/>
        <v>PD|TotalCapacityAnnual|RE1|PWRDSL|2030</v>
      </c>
      <c r="B446" t="s">
        <v>16</v>
      </c>
      <c r="C446" t="s">
        <v>17</v>
      </c>
      <c r="D446" t="s">
        <v>38</v>
      </c>
      <c r="E446" t="s">
        <v>19</v>
      </c>
      <c r="F446" t="s">
        <v>22</v>
      </c>
      <c r="O446">
        <v>2030</v>
      </c>
      <c r="P446">
        <v>24.944976</v>
      </c>
    </row>
    <row r="447" spans="1:16" x14ac:dyDescent="0.3">
      <c r="A447" t="str">
        <f t="shared" si="6"/>
        <v>PD|TotalCapacityAnnual|RE1|PWRFOL|2030</v>
      </c>
      <c r="B447" t="s">
        <v>16</v>
      </c>
      <c r="C447" t="s">
        <v>17</v>
      </c>
      <c r="D447" t="s">
        <v>38</v>
      </c>
      <c r="E447" t="s">
        <v>19</v>
      </c>
      <c r="F447" t="s">
        <v>23</v>
      </c>
      <c r="O447">
        <v>2030</v>
      </c>
      <c r="P447">
        <v>8.3885759999999987</v>
      </c>
    </row>
    <row r="448" spans="1:16" x14ac:dyDescent="0.3">
      <c r="A448" t="str">
        <f t="shared" si="6"/>
        <v>PD|TotalCapacityAnnual|RE1|PWRHYDDAM|2030</v>
      </c>
      <c r="B448" t="s">
        <v>16</v>
      </c>
      <c r="C448" t="s">
        <v>17</v>
      </c>
      <c r="D448" t="s">
        <v>38</v>
      </c>
      <c r="E448" t="s">
        <v>19</v>
      </c>
      <c r="F448" t="s">
        <v>24</v>
      </c>
      <c r="O448">
        <v>2030</v>
      </c>
      <c r="P448">
        <v>440.49164800000011</v>
      </c>
    </row>
    <row r="449" spans="1:16" x14ac:dyDescent="0.3">
      <c r="A449" t="str">
        <f t="shared" si="6"/>
        <v>PD|TotalCapacityAnnual|RE1|PWRHYDROR|2030</v>
      </c>
      <c r="B449" t="s">
        <v>16</v>
      </c>
      <c r="C449" t="s">
        <v>17</v>
      </c>
      <c r="D449" t="s">
        <v>38</v>
      </c>
      <c r="E449" t="s">
        <v>19</v>
      </c>
      <c r="F449" t="s">
        <v>25</v>
      </c>
      <c r="O449">
        <v>2030</v>
      </c>
      <c r="P449">
        <v>21.097584000000001</v>
      </c>
    </row>
    <row r="450" spans="1:16" x14ac:dyDescent="0.3">
      <c r="A450" t="str">
        <f t="shared" ref="A450:A513" si="7">B450&amp;"|"&amp;D450&amp;"|"&amp;E450&amp;"|"&amp;F450&amp;"|"&amp;O450</f>
        <v>PD|TotalCapacityAnnual|RE1|PWRHYDROR_NDC|2030</v>
      </c>
      <c r="B450" t="s">
        <v>16</v>
      </c>
      <c r="C450" t="s">
        <v>17</v>
      </c>
      <c r="D450" t="s">
        <v>38</v>
      </c>
      <c r="E450" t="s">
        <v>19</v>
      </c>
      <c r="F450" t="s">
        <v>26</v>
      </c>
      <c r="O450">
        <v>2030</v>
      </c>
      <c r="P450">
        <v>29.725108271999989</v>
      </c>
    </row>
    <row r="451" spans="1:16" x14ac:dyDescent="0.3">
      <c r="A451" t="str">
        <f t="shared" si="7"/>
        <v>PD|TotalCapacityAnnual|RE1|PWRJET|2030</v>
      </c>
      <c r="B451" t="s">
        <v>16</v>
      </c>
      <c r="C451" t="s">
        <v>17</v>
      </c>
      <c r="D451" t="s">
        <v>38</v>
      </c>
      <c r="E451" t="s">
        <v>19</v>
      </c>
      <c r="F451" t="s">
        <v>27</v>
      </c>
      <c r="O451">
        <v>2030</v>
      </c>
      <c r="P451">
        <v>1.5768</v>
      </c>
    </row>
    <row r="452" spans="1:16" x14ac:dyDescent="0.3">
      <c r="A452" t="str">
        <f t="shared" si="7"/>
        <v>PD|TotalCapacityAnnual|RE1|PWRLPG|2030</v>
      </c>
      <c r="B452" t="s">
        <v>16</v>
      </c>
      <c r="C452" t="s">
        <v>17</v>
      </c>
      <c r="D452" t="s">
        <v>38</v>
      </c>
      <c r="E452" t="s">
        <v>19</v>
      </c>
      <c r="F452" t="s">
        <v>28</v>
      </c>
      <c r="O452">
        <v>2030</v>
      </c>
      <c r="P452">
        <v>1.639872</v>
      </c>
    </row>
    <row r="453" spans="1:16" x14ac:dyDescent="0.3">
      <c r="A453" t="str">
        <f t="shared" si="7"/>
        <v>PD|TotalCapacityAnnual|RE1|PWRNGS_CC|2030</v>
      </c>
      <c r="B453" t="s">
        <v>16</v>
      </c>
      <c r="C453" t="s">
        <v>17</v>
      </c>
      <c r="D453" t="s">
        <v>38</v>
      </c>
      <c r="E453" t="s">
        <v>19</v>
      </c>
      <c r="F453" t="s">
        <v>29</v>
      </c>
      <c r="O453">
        <v>2030</v>
      </c>
      <c r="P453">
        <v>70.104500000000002</v>
      </c>
    </row>
    <row r="454" spans="1:16" x14ac:dyDescent="0.3">
      <c r="A454" t="str">
        <f t="shared" si="7"/>
        <v>PD|TotalCapacityAnnual|RE1|PWRNGS_CS|2030</v>
      </c>
      <c r="B454" t="s">
        <v>16</v>
      </c>
      <c r="C454" t="s">
        <v>17</v>
      </c>
      <c r="D454" t="s">
        <v>38</v>
      </c>
      <c r="E454" t="s">
        <v>19</v>
      </c>
      <c r="F454" t="s">
        <v>30</v>
      </c>
      <c r="O454">
        <v>2030</v>
      </c>
      <c r="P454">
        <v>23.084351999999999</v>
      </c>
    </row>
    <row r="455" spans="1:16" x14ac:dyDescent="0.3">
      <c r="A455" t="str">
        <f t="shared" si="7"/>
        <v>PD|TotalCapacityAnnual|RE1|PWRSOLRTP|2030</v>
      </c>
      <c r="B455" t="s">
        <v>16</v>
      </c>
      <c r="C455" t="s">
        <v>17</v>
      </c>
      <c r="D455" t="s">
        <v>38</v>
      </c>
      <c r="E455" t="s">
        <v>19</v>
      </c>
      <c r="F455" t="s">
        <v>31</v>
      </c>
      <c r="O455">
        <v>2030</v>
      </c>
      <c r="P455">
        <v>75.293909765377293</v>
      </c>
    </row>
    <row r="456" spans="1:16" x14ac:dyDescent="0.3">
      <c r="A456" t="str">
        <f t="shared" si="7"/>
        <v>PD|TotalCapacityAnnual|RE1|PWRSOLRTP_ZNI|2030</v>
      </c>
      <c r="B456" t="s">
        <v>16</v>
      </c>
      <c r="C456" t="s">
        <v>17</v>
      </c>
      <c r="D456" t="s">
        <v>38</v>
      </c>
      <c r="E456" t="s">
        <v>19</v>
      </c>
      <c r="F456" t="s">
        <v>32</v>
      </c>
      <c r="O456">
        <v>2030</v>
      </c>
      <c r="P456">
        <v>0.46074095999999998</v>
      </c>
    </row>
    <row r="457" spans="1:16" x14ac:dyDescent="0.3">
      <c r="A457" t="str">
        <f t="shared" si="7"/>
        <v>PD|TotalCapacityAnnual|RE1|PWRSOLUGE|2030</v>
      </c>
      <c r="B457" t="s">
        <v>16</v>
      </c>
      <c r="C457" t="s">
        <v>17</v>
      </c>
      <c r="D457" t="s">
        <v>38</v>
      </c>
      <c r="E457" t="s">
        <v>19</v>
      </c>
      <c r="F457" t="s">
        <v>33</v>
      </c>
      <c r="O457">
        <v>2030</v>
      </c>
      <c r="P457">
        <v>191.79186048</v>
      </c>
    </row>
    <row r="458" spans="1:16" x14ac:dyDescent="0.3">
      <c r="A458" t="str">
        <f t="shared" si="7"/>
        <v>PD|TotalCapacityAnnual|RE1|PWRSOLUPE|2030</v>
      </c>
      <c r="B458" t="s">
        <v>16</v>
      </c>
      <c r="C458" t="s">
        <v>17</v>
      </c>
      <c r="D458" t="s">
        <v>38</v>
      </c>
      <c r="E458" t="s">
        <v>19</v>
      </c>
      <c r="F458" t="s">
        <v>34</v>
      </c>
      <c r="O458">
        <v>2030</v>
      </c>
      <c r="P458">
        <v>39.172600079999931</v>
      </c>
    </row>
    <row r="459" spans="1:16" x14ac:dyDescent="0.3">
      <c r="A459" t="str">
        <f t="shared" si="7"/>
        <v>PD|TotalCapacityAnnual|RE1|PWRSTD|2030</v>
      </c>
      <c r="B459" t="s">
        <v>16</v>
      </c>
      <c r="C459" t="s">
        <v>17</v>
      </c>
      <c r="D459" t="s">
        <v>38</v>
      </c>
      <c r="E459" t="s">
        <v>19</v>
      </c>
      <c r="F459" t="s">
        <v>35</v>
      </c>
      <c r="O459">
        <v>2030</v>
      </c>
      <c r="P459">
        <v>8.163062064</v>
      </c>
    </row>
    <row r="460" spans="1:16" x14ac:dyDescent="0.3">
      <c r="A460" t="str">
        <f t="shared" si="7"/>
        <v>PD|TotalCapacityAnnual|RE1|PWRWNDONS|2030</v>
      </c>
      <c r="B460" t="s">
        <v>16</v>
      </c>
      <c r="C460" t="s">
        <v>17</v>
      </c>
      <c r="D460" t="s">
        <v>38</v>
      </c>
      <c r="E460" t="s">
        <v>19</v>
      </c>
      <c r="F460" t="s">
        <v>36</v>
      </c>
      <c r="O460">
        <v>2030</v>
      </c>
      <c r="P460">
        <v>34.635085714285722</v>
      </c>
    </row>
    <row r="461" spans="1:16" x14ac:dyDescent="0.3">
      <c r="A461" t="str">
        <f t="shared" si="7"/>
        <v>PD|AccumulatedNewCapacity|RE1|PWRBGS|2031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O461">
        <v>2031</v>
      </c>
    </row>
    <row r="462" spans="1:16" x14ac:dyDescent="0.3">
      <c r="A462" t="str">
        <f t="shared" si="7"/>
        <v>PD|AccumulatedNewCapacity|RE1|PWRCOA|2031</v>
      </c>
      <c r="B462" t="s">
        <v>16</v>
      </c>
      <c r="C462" t="s">
        <v>17</v>
      </c>
      <c r="D462" t="s">
        <v>18</v>
      </c>
      <c r="E462" t="s">
        <v>19</v>
      </c>
      <c r="F462" t="s">
        <v>21</v>
      </c>
      <c r="O462">
        <v>2031</v>
      </c>
    </row>
    <row r="463" spans="1:16" x14ac:dyDescent="0.3">
      <c r="A463" t="str">
        <f t="shared" si="7"/>
        <v>PD|AccumulatedNewCapacity|RE1|PWRDSL|2031</v>
      </c>
      <c r="B463" t="s">
        <v>16</v>
      </c>
      <c r="C463" t="s">
        <v>17</v>
      </c>
      <c r="D463" t="s">
        <v>18</v>
      </c>
      <c r="E463" t="s">
        <v>19</v>
      </c>
      <c r="F463" t="s">
        <v>22</v>
      </c>
      <c r="O463">
        <v>2031</v>
      </c>
    </row>
    <row r="464" spans="1:16" x14ac:dyDescent="0.3">
      <c r="A464" t="str">
        <f t="shared" si="7"/>
        <v>PD|AccumulatedNewCapacity|RE1|PWRFOL|2031</v>
      </c>
      <c r="B464" t="s">
        <v>16</v>
      </c>
      <c r="C464" t="s">
        <v>17</v>
      </c>
      <c r="D464" t="s">
        <v>18</v>
      </c>
      <c r="E464" t="s">
        <v>19</v>
      </c>
      <c r="F464" t="s">
        <v>23</v>
      </c>
      <c r="O464">
        <v>2031</v>
      </c>
    </row>
    <row r="465" spans="1:16" x14ac:dyDescent="0.3">
      <c r="A465" t="str">
        <f t="shared" si="7"/>
        <v>PD|AccumulatedNewCapacity|RE1|PWRHYDDAM|2031</v>
      </c>
      <c r="B465" t="s">
        <v>16</v>
      </c>
      <c r="C465" t="s">
        <v>17</v>
      </c>
      <c r="D465" t="s">
        <v>18</v>
      </c>
      <c r="E465" t="s">
        <v>19</v>
      </c>
      <c r="F465" t="s">
        <v>24</v>
      </c>
      <c r="O465">
        <v>2031</v>
      </c>
      <c r="P465">
        <v>37.840000000000003</v>
      </c>
    </row>
    <row r="466" spans="1:16" x14ac:dyDescent="0.3">
      <c r="A466" t="str">
        <f t="shared" si="7"/>
        <v>PD|AccumulatedNewCapacity|RE1|PWRHYDROR|2031</v>
      </c>
      <c r="B466" t="s">
        <v>16</v>
      </c>
      <c r="C466" t="s">
        <v>17</v>
      </c>
      <c r="D466" t="s">
        <v>18</v>
      </c>
      <c r="E466" t="s">
        <v>19</v>
      </c>
      <c r="F466" t="s">
        <v>25</v>
      </c>
      <c r="O466">
        <v>2031</v>
      </c>
    </row>
    <row r="467" spans="1:16" x14ac:dyDescent="0.3">
      <c r="A467" t="str">
        <f t="shared" si="7"/>
        <v>PD|AccumulatedNewCapacity|RE1|PWRHYDROR_NDC|2031</v>
      </c>
      <c r="B467" t="s">
        <v>16</v>
      </c>
      <c r="C467" t="s">
        <v>17</v>
      </c>
      <c r="D467" t="s">
        <v>18</v>
      </c>
      <c r="E467" t="s">
        <v>19</v>
      </c>
      <c r="F467" t="s">
        <v>26</v>
      </c>
      <c r="O467">
        <v>2031</v>
      </c>
    </row>
    <row r="468" spans="1:16" x14ac:dyDescent="0.3">
      <c r="A468" t="str">
        <f t="shared" si="7"/>
        <v>PD|AccumulatedNewCapacity|RE1|PWRJET|2031</v>
      </c>
      <c r="B468" t="s">
        <v>16</v>
      </c>
      <c r="C468" t="s">
        <v>17</v>
      </c>
      <c r="D468" t="s">
        <v>18</v>
      </c>
      <c r="E468" t="s">
        <v>19</v>
      </c>
      <c r="F468" t="s">
        <v>27</v>
      </c>
      <c r="O468">
        <v>2031</v>
      </c>
    </row>
    <row r="469" spans="1:16" x14ac:dyDescent="0.3">
      <c r="A469" t="str">
        <f t="shared" si="7"/>
        <v>PD|AccumulatedNewCapacity|RE1|PWRLPG|2031</v>
      </c>
      <c r="B469" t="s">
        <v>16</v>
      </c>
      <c r="C469" t="s">
        <v>17</v>
      </c>
      <c r="D469" t="s">
        <v>18</v>
      </c>
      <c r="E469" t="s">
        <v>19</v>
      </c>
      <c r="F469" t="s">
        <v>28</v>
      </c>
      <c r="O469">
        <v>2031</v>
      </c>
    </row>
    <row r="470" spans="1:16" x14ac:dyDescent="0.3">
      <c r="A470" t="str">
        <f t="shared" si="7"/>
        <v>PD|AccumulatedNewCapacity|RE1|PWRNGS_CC|2031</v>
      </c>
      <c r="B470" t="s">
        <v>16</v>
      </c>
      <c r="C470" t="s">
        <v>17</v>
      </c>
      <c r="D470" t="s">
        <v>18</v>
      </c>
      <c r="E470" t="s">
        <v>19</v>
      </c>
      <c r="F470" t="s">
        <v>29</v>
      </c>
      <c r="O470">
        <v>2031</v>
      </c>
    </row>
    <row r="471" spans="1:16" x14ac:dyDescent="0.3">
      <c r="A471" t="str">
        <f t="shared" si="7"/>
        <v>PD|AccumulatedNewCapacity|RE1|PWRNGS_CS|2031</v>
      </c>
      <c r="B471" t="s">
        <v>16</v>
      </c>
      <c r="C471" t="s">
        <v>17</v>
      </c>
      <c r="D471" t="s">
        <v>18</v>
      </c>
      <c r="E471" t="s">
        <v>19</v>
      </c>
      <c r="F471" t="s">
        <v>30</v>
      </c>
      <c r="O471">
        <v>2031</v>
      </c>
    </row>
    <row r="472" spans="1:16" x14ac:dyDescent="0.3">
      <c r="A472" t="str">
        <f t="shared" si="7"/>
        <v>PD|AccumulatedNewCapacity|RE1|PWRSOLRTP|2031</v>
      </c>
      <c r="B472" t="s">
        <v>16</v>
      </c>
      <c r="C472" t="s">
        <v>17</v>
      </c>
      <c r="D472" t="s">
        <v>18</v>
      </c>
      <c r="E472" t="s">
        <v>19</v>
      </c>
      <c r="F472" t="s">
        <v>31</v>
      </c>
      <c r="O472">
        <v>2031</v>
      </c>
      <c r="P472">
        <v>61.68006975269499</v>
      </c>
    </row>
    <row r="473" spans="1:16" x14ac:dyDescent="0.3">
      <c r="A473" t="str">
        <f t="shared" si="7"/>
        <v>PD|AccumulatedNewCapacity|RE1|PWRSOLRTP_ZNI|2031</v>
      </c>
      <c r="B473" t="s">
        <v>16</v>
      </c>
      <c r="C473" t="s">
        <v>17</v>
      </c>
      <c r="D473" t="s">
        <v>18</v>
      </c>
      <c r="E473" t="s">
        <v>19</v>
      </c>
      <c r="F473" t="s">
        <v>32</v>
      </c>
      <c r="O473">
        <v>2031</v>
      </c>
    </row>
    <row r="474" spans="1:16" x14ac:dyDescent="0.3">
      <c r="A474" t="str">
        <f t="shared" si="7"/>
        <v>PD|AccumulatedNewCapacity|RE1|PWRSOLUGE|2031</v>
      </c>
      <c r="B474" t="s">
        <v>16</v>
      </c>
      <c r="C474" t="s">
        <v>17</v>
      </c>
      <c r="D474" t="s">
        <v>18</v>
      </c>
      <c r="E474" t="s">
        <v>19</v>
      </c>
      <c r="F474" t="s">
        <v>33</v>
      </c>
      <c r="O474">
        <v>2031</v>
      </c>
      <c r="P474">
        <v>143.394192</v>
      </c>
    </row>
    <row r="475" spans="1:16" x14ac:dyDescent="0.3">
      <c r="A475" t="str">
        <f t="shared" si="7"/>
        <v>PD|AccumulatedNewCapacity|RE1|PWRSOLUPE|2031</v>
      </c>
      <c r="B475" t="s">
        <v>16</v>
      </c>
      <c r="C475" t="s">
        <v>17</v>
      </c>
      <c r="D475" t="s">
        <v>18</v>
      </c>
      <c r="E475" t="s">
        <v>19</v>
      </c>
      <c r="F475" t="s">
        <v>34</v>
      </c>
      <c r="O475">
        <v>2031</v>
      </c>
      <c r="P475">
        <v>12.14419823999993</v>
      </c>
    </row>
    <row r="476" spans="1:16" x14ac:dyDescent="0.3">
      <c r="A476" t="str">
        <f t="shared" si="7"/>
        <v>PD|AccumulatedNewCapacity|RE1|PWRSTD|2031</v>
      </c>
      <c r="B476" t="s">
        <v>16</v>
      </c>
      <c r="C476" t="s">
        <v>17</v>
      </c>
      <c r="D476" t="s">
        <v>18</v>
      </c>
      <c r="E476" t="s">
        <v>19</v>
      </c>
      <c r="F476" t="s">
        <v>35</v>
      </c>
      <c r="O476">
        <v>2031</v>
      </c>
    </row>
    <row r="477" spans="1:16" x14ac:dyDescent="0.3">
      <c r="A477" t="str">
        <f t="shared" si="7"/>
        <v>PD|AccumulatedNewCapacity|RE1|PWRWNDONS|2031</v>
      </c>
      <c r="B477" t="s">
        <v>16</v>
      </c>
      <c r="C477" t="s">
        <v>17</v>
      </c>
      <c r="D477" t="s">
        <v>18</v>
      </c>
      <c r="E477" t="s">
        <v>19</v>
      </c>
      <c r="F477" t="s">
        <v>36</v>
      </c>
      <c r="O477">
        <v>2031</v>
      </c>
      <c r="P477">
        <v>33.266423314285717</v>
      </c>
    </row>
    <row r="478" spans="1:16" x14ac:dyDescent="0.3">
      <c r="A478" t="str">
        <f t="shared" si="7"/>
        <v>PD|NewCapacity|RE1|PWRBGS|2031</v>
      </c>
      <c r="B478" t="s">
        <v>16</v>
      </c>
      <c r="C478" t="s">
        <v>17</v>
      </c>
      <c r="D478" t="s">
        <v>37</v>
      </c>
      <c r="E478" t="s">
        <v>19</v>
      </c>
      <c r="F478" t="s">
        <v>20</v>
      </c>
      <c r="O478">
        <v>2031</v>
      </c>
    </row>
    <row r="479" spans="1:16" x14ac:dyDescent="0.3">
      <c r="A479" t="str">
        <f t="shared" si="7"/>
        <v>PD|NewCapacity|RE1|PWRCOA|2031</v>
      </c>
      <c r="B479" t="s">
        <v>16</v>
      </c>
      <c r="C479" t="s">
        <v>17</v>
      </c>
      <c r="D479" t="s">
        <v>37</v>
      </c>
      <c r="E479" t="s">
        <v>19</v>
      </c>
      <c r="F479" t="s">
        <v>21</v>
      </c>
      <c r="O479">
        <v>2031</v>
      </c>
    </row>
    <row r="480" spans="1:16" x14ac:dyDescent="0.3">
      <c r="A480" t="str">
        <f t="shared" si="7"/>
        <v>PD|NewCapacity|RE1|PWRDSL|2031</v>
      </c>
      <c r="B480" t="s">
        <v>16</v>
      </c>
      <c r="C480" t="s">
        <v>17</v>
      </c>
      <c r="D480" t="s">
        <v>37</v>
      </c>
      <c r="E480" t="s">
        <v>19</v>
      </c>
      <c r="F480" t="s">
        <v>22</v>
      </c>
      <c r="O480">
        <v>2031</v>
      </c>
    </row>
    <row r="481" spans="1:16" x14ac:dyDescent="0.3">
      <c r="A481" t="str">
        <f t="shared" si="7"/>
        <v>PD|NewCapacity|RE1|PWRFOL|2031</v>
      </c>
      <c r="B481" t="s">
        <v>16</v>
      </c>
      <c r="C481" t="s">
        <v>17</v>
      </c>
      <c r="D481" t="s">
        <v>37</v>
      </c>
      <c r="E481" t="s">
        <v>19</v>
      </c>
      <c r="F481" t="s">
        <v>23</v>
      </c>
      <c r="O481">
        <v>2031</v>
      </c>
    </row>
    <row r="482" spans="1:16" x14ac:dyDescent="0.3">
      <c r="A482" t="str">
        <f t="shared" si="7"/>
        <v>PD|NewCapacity|RE1|PWRHYDDAM|2031</v>
      </c>
      <c r="B482" t="s">
        <v>16</v>
      </c>
      <c r="C482" t="s">
        <v>17</v>
      </c>
      <c r="D482" t="s">
        <v>37</v>
      </c>
      <c r="E482" t="s">
        <v>19</v>
      </c>
      <c r="F482" t="s">
        <v>24</v>
      </c>
      <c r="O482">
        <v>2031</v>
      </c>
    </row>
    <row r="483" spans="1:16" x14ac:dyDescent="0.3">
      <c r="A483" t="str">
        <f t="shared" si="7"/>
        <v>PD|NewCapacity|RE1|PWRHYDROR|2031</v>
      </c>
      <c r="B483" t="s">
        <v>16</v>
      </c>
      <c r="C483" t="s">
        <v>17</v>
      </c>
      <c r="D483" t="s">
        <v>37</v>
      </c>
      <c r="E483" t="s">
        <v>19</v>
      </c>
      <c r="F483" t="s">
        <v>25</v>
      </c>
      <c r="O483">
        <v>2031</v>
      </c>
    </row>
    <row r="484" spans="1:16" x14ac:dyDescent="0.3">
      <c r="A484" t="str">
        <f t="shared" si="7"/>
        <v>PD|NewCapacity|RE1|PWRHYDROR_NDC|2031</v>
      </c>
      <c r="B484" t="s">
        <v>16</v>
      </c>
      <c r="C484" t="s">
        <v>17</v>
      </c>
      <c r="D484" t="s">
        <v>37</v>
      </c>
      <c r="E484" t="s">
        <v>19</v>
      </c>
      <c r="F484" t="s">
        <v>26</v>
      </c>
      <c r="O484">
        <v>2031</v>
      </c>
    </row>
    <row r="485" spans="1:16" x14ac:dyDescent="0.3">
      <c r="A485" t="str">
        <f t="shared" si="7"/>
        <v>PD|NewCapacity|RE1|PWRJET|2031</v>
      </c>
      <c r="B485" t="s">
        <v>16</v>
      </c>
      <c r="C485" t="s">
        <v>17</v>
      </c>
      <c r="D485" t="s">
        <v>37</v>
      </c>
      <c r="E485" t="s">
        <v>19</v>
      </c>
      <c r="F485" t="s">
        <v>27</v>
      </c>
      <c r="O485">
        <v>2031</v>
      </c>
    </row>
    <row r="486" spans="1:16" x14ac:dyDescent="0.3">
      <c r="A486" t="str">
        <f t="shared" si="7"/>
        <v>PD|NewCapacity|RE1|PWRLPG|2031</v>
      </c>
      <c r="B486" t="s">
        <v>16</v>
      </c>
      <c r="C486" t="s">
        <v>17</v>
      </c>
      <c r="D486" t="s">
        <v>37</v>
      </c>
      <c r="E486" t="s">
        <v>19</v>
      </c>
      <c r="F486" t="s">
        <v>28</v>
      </c>
      <c r="O486">
        <v>2031</v>
      </c>
    </row>
    <row r="487" spans="1:16" x14ac:dyDescent="0.3">
      <c r="A487" t="str">
        <f t="shared" si="7"/>
        <v>PD|NewCapacity|RE1|PWRNGS_CC|2031</v>
      </c>
      <c r="B487" t="s">
        <v>16</v>
      </c>
      <c r="C487" t="s">
        <v>17</v>
      </c>
      <c r="D487" t="s">
        <v>37</v>
      </c>
      <c r="E487" t="s">
        <v>19</v>
      </c>
      <c r="F487" t="s">
        <v>29</v>
      </c>
      <c r="O487">
        <v>2031</v>
      </c>
    </row>
    <row r="488" spans="1:16" x14ac:dyDescent="0.3">
      <c r="A488" t="str">
        <f t="shared" si="7"/>
        <v>PD|NewCapacity|RE1|PWRNGS_CS|2031</v>
      </c>
      <c r="B488" t="s">
        <v>16</v>
      </c>
      <c r="C488" t="s">
        <v>17</v>
      </c>
      <c r="D488" t="s">
        <v>37</v>
      </c>
      <c r="E488" t="s">
        <v>19</v>
      </c>
      <c r="F488" t="s">
        <v>30</v>
      </c>
      <c r="O488">
        <v>2031</v>
      </c>
    </row>
    <row r="489" spans="1:16" x14ac:dyDescent="0.3">
      <c r="A489" t="str">
        <f t="shared" si="7"/>
        <v>PD|NewCapacity|RE1|PWRSOLRTP|2031</v>
      </c>
      <c r="B489" t="s">
        <v>16</v>
      </c>
      <c r="C489" t="s">
        <v>17</v>
      </c>
      <c r="D489" t="s">
        <v>37</v>
      </c>
      <c r="E489" t="s">
        <v>19</v>
      </c>
      <c r="F489" t="s">
        <v>31</v>
      </c>
      <c r="O489">
        <v>2031</v>
      </c>
      <c r="P489">
        <v>9.6702599873176922</v>
      </c>
    </row>
    <row r="490" spans="1:16" x14ac:dyDescent="0.3">
      <c r="A490" t="str">
        <f t="shared" si="7"/>
        <v>PD|NewCapacity|RE1|PWRSOLRTP_ZNI|2031</v>
      </c>
      <c r="B490" t="s">
        <v>16</v>
      </c>
      <c r="C490" t="s">
        <v>17</v>
      </c>
      <c r="D490" t="s">
        <v>37</v>
      </c>
      <c r="E490" t="s">
        <v>19</v>
      </c>
      <c r="F490" t="s">
        <v>32</v>
      </c>
      <c r="O490">
        <v>2031</v>
      </c>
    </row>
    <row r="491" spans="1:16" x14ac:dyDescent="0.3">
      <c r="A491" t="str">
        <f t="shared" si="7"/>
        <v>PD|NewCapacity|RE1|PWRSOLUGE|2031</v>
      </c>
      <c r="B491" t="s">
        <v>16</v>
      </c>
      <c r="C491" t="s">
        <v>17</v>
      </c>
      <c r="D491" t="s">
        <v>37</v>
      </c>
      <c r="E491" t="s">
        <v>19</v>
      </c>
      <c r="F491" t="s">
        <v>33</v>
      </c>
      <c r="O491">
        <v>2031</v>
      </c>
    </row>
    <row r="492" spans="1:16" x14ac:dyDescent="0.3">
      <c r="A492" t="str">
        <f t="shared" si="7"/>
        <v>PD|NewCapacity|RE1|PWRSOLUPE|2031</v>
      </c>
      <c r="B492" t="s">
        <v>16</v>
      </c>
      <c r="C492" t="s">
        <v>17</v>
      </c>
      <c r="D492" t="s">
        <v>37</v>
      </c>
      <c r="E492" t="s">
        <v>19</v>
      </c>
      <c r="F492" t="s">
        <v>34</v>
      </c>
      <c r="O492">
        <v>2031</v>
      </c>
    </row>
    <row r="493" spans="1:16" x14ac:dyDescent="0.3">
      <c r="A493" t="str">
        <f t="shared" si="7"/>
        <v>PD|NewCapacity|RE1|PWRSTD|2031</v>
      </c>
      <c r="B493" t="s">
        <v>16</v>
      </c>
      <c r="C493" t="s">
        <v>17</v>
      </c>
      <c r="D493" t="s">
        <v>37</v>
      </c>
      <c r="E493" t="s">
        <v>19</v>
      </c>
      <c r="F493" t="s">
        <v>35</v>
      </c>
      <c r="O493">
        <v>2031</v>
      </c>
    </row>
    <row r="494" spans="1:16" x14ac:dyDescent="0.3">
      <c r="A494" t="str">
        <f t="shared" si="7"/>
        <v>PD|NewCapacity|RE1|PWRWNDONS|2031</v>
      </c>
      <c r="B494" t="s">
        <v>16</v>
      </c>
      <c r="C494" t="s">
        <v>17</v>
      </c>
      <c r="D494" t="s">
        <v>37</v>
      </c>
      <c r="E494" t="s">
        <v>19</v>
      </c>
      <c r="F494" t="s">
        <v>36</v>
      </c>
      <c r="O494">
        <v>2031</v>
      </c>
    </row>
    <row r="495" spans="1:16" x14ac:dyDescent="0.3">
      <c r="A495" t="str">
        <f t="shared" si="7"/>
        <v>PD|TotalCapacityAnnual|RE1|PWRBGS|2031</v>
      </c>
      <c r="B495" t="s">
        <v>16</v>
      </c>
      <c r="C495" t="s">
        <v>17</v>
      </c>
      <c r="D495" t="s">
        <v>38</v>
      </c>
      <c r="E495" t="s">
        <v>19</v>
      </c>
      <c r="F495" t="s">
        <v>20</v>
      </c>
      <c r="O495">
        <v>2031</v>
      </c>
      <c r="P495">
        <v>2.5488587520000001E-2</v>
      </c>
    </row>
    <row r="496" spans="1:16" x14ac:dyDescent="0.3">
      <c r="A496" t="str">
        <f t="shared" si="7"/>
        <v>PD|TotalCapacityAnnual|RE1|PWRCOA|2031</v>
      </c>
      <c r="B496" t="s">
        <v>16</v>
      </c>
      <c r="C496" t="s">
        <v>17</v>
      </c>
      <c r="D496" t="s">
        <v>38</v>
      </c>
      <c r="E496" t="s">
        <v>19</v>
      </c>
      <c r="F496" t="s">
        <v>21</v>
      </c>
      <c r="O496">
        <v>2031</v>
      </c>
      <c r="P496">
        <v>19.047744000000002</v>
      </c>
    </row>
    <row r="497" spans="1:16" x14ac:dyDescent="0.3">
      <c r="A497" t="str">
        <f t="shared" si="7"/>
        <v>PD|TotalCapacityAnnual|RE1|PWRDSL|2031</v>
      </c>
      <c r="B497" t="s">
        <v>16</v>
      </c>
      <c r="C497" t="s">
        <v>17</v>
      </c>
      <c r="D497" t="s">
        <v>38</v>
      </c>
      <c r="E497" t="s">
        <v>19</v>
      </c>
      <c r="F497" t="s">
        <v>22</v>
      </c>
      <c r="O497">
        <v>2031</v>
      </c>
      <c r="P497">
        <v>24.944976</v>
      </c>
    </row>
    <row r="498" spans="1:16" x14ac:dyDescent="0.3">
      <c r="A498" t="str">
        <f t="shared" si="7"/>
        <v>PD|TotalCapacityAnnual|RE1|PWRFOL|2031</v>
      </c>
      <c r="B498" t="s">
        <v>16</v>
      </c>
      <c r="C498" t="s">
        <v>17</v>
      </c>
      <c r="D498" t="s">
        <v>38</v>
      </c>
      <c r="E498" t="s">
        <v>19</v>
      </c>
      <c r="F498" t="s">
        <v>23</v>
      </c>
      <c r="O498">
        <v>2031</v>
      </c>
      <c r="P498">
        <v>8.3885759999999987</v>
      </c>
    </row>
    <row r="499" spans="1:16" x14ac:dyDescent="0.3">
      <c r="A499" t="str">
        <f t="shared" si="7"/>
        <v>PD|TotalCapacityAnnual|RE1|PWRHYDDAM|2031</v>
      </c>
      <c r="B499" t="s">
        <v>16</v>
      </c>
      <c r="C499" t="s">
        <v>17</v>
      </c>
      <c r="D499" t="s">
        <v>38</v>
      </c>
      <c r="E499" t="s">
        <v>19</v>
      </c>
      <c r="F499" t="s">
        <v>24</v>
      </c>
      <c r="O499">
        <v>2031</v>
      </c>
      <c r="P499">
        <v>440.49164800000011</v>
      </c>
    </row>
    <row r="500" spans="1:16" x14ac:dyDescent="0.3">
      <c r="A500" t="str">
        <f t="shared" si="7"/>
        <v>PD|TotalCapacityAnnual|RE1|PWRHYDROR|2031</v>
      </c>
      <c r="B500" t="s">
        <v>16</v>
      </c>
      <c r="C500" t="s">
        <v>17</v>
      </c>
      <c r="D500" t="s">
        <v>38</v>
      </c>
      <c r="E500" t="s">
        <v>19</v>
      </c>
      <c r="F500" t="s">
        <v>25</v>
      </c>
      <c r="O500">
        <v>2031</v>
      </c>
      <c r="P500">
        <v>21.097584000000001</v>
      </c>
    </row>
    <row r="501" spans="1:16" x14ac:dyDescent="0.3">
      <c r="A501" t="str">
        <f t="shared" si="7"/>
        <v>PD|TotalCapacityAnnual|RE1|PWRHYDROR_NDC|2031</v>
      </c>
      <c r="B501" t="s">
        <v>16</v>
      </c>
      <c r="C501" t="s">
        <v>17</v>
      </c>
      <c r="D501" t="s">
        <v>38</v>
      </c>
      <c r="E501" t="s">
        <v>19</v>
      </c>
      <c r="F501" t="s">
        <v>26</v>
      </c>
      <c r="O501">
        <v>2031</v>
      </c>
      <c r="P501">
        <v>29.725108271999989</v>
      </c>
    </row>
    <row r="502" spans="1:16" x14ac:dyDescent="0.3">
      <c r="A502" t="str">
        <f t="shared" si="7"/>
        <v>PD|TotalCapacityAnnual|RE1|PWRJET|2031</v>
      </c>
      <c r="B502" t="s">
        <v>16</v>
      </c>
      <c r="C502" t="s">
        <v>17</v>
      </c>
      <c r="D502" t="s">
        <v>38</v>
      </c>
      <c r="E502" t="s">
        <v>19</v>
      </c>
      <c r="F502" t="s">
        <v>27</v>
      </c>
      <c r="O502">
        <v>2031</v>
      </c>
      <c r="P502">
        <v>1.5768</v>
      </c>
    </row>
    <row r="503" spans="1:16" x14ac:dyDescent="0.3">
      <c r="A503" t="str">
        <f t="shared" si="7"/>
        <v>PD|TotalCapacityAnnual|RE1|PWRLPG|2031</v>
      </c>
      <c r="B503" t="s">
        <v>16</v>
      </c>
      <c r="C503" t="s">
        <v>17</v>
      </c>
      <c r="D503" t="s">
        <v>38</v>
      </c>
      <c r="E503" t="s">
        <v>19</v>
      </c>
      <c r="F503" t="s">
        <v>28</v>
      </c>
      <c r="O503">
        <v>2031</v>
      </c>
      <c r="P503">
        <v>1.639872</v>
      </c>
    </row>
    <row r="504" spans="1:16" x14ac:dyDescent="0.3">
      <c r="A504" t="str">
        <f t="shared" si="7"/>
        <v>PD|TotalCapacityAnnual|RE1|PWRNGS_CC|2031</v>
      </c>
      <c r="B504" t="s">
        <v>16</v>
      </c>
      <c r="C504" t="s">
        <v>17</v>
      </c>
      <c r="D504" t="s">
        <v>38</v>
      </c>
      <c r="E504" t="s">
        <v>19</v>
      </c>
      <c r="F504" t="s">
        <v>29</v>
      </c>
      <c r="O504">
        <v>2031</v>
      </c>
      <c r="P504">
        <v>70.104500000000002</v>
      </c>
    </row>
    <row r="505" spans="1:16" x14ac:dyDescent="0.3">
      <c r="A505" t="str">
        <f t="shared" si="7"/>
        <v>PD|TotalCapacityAnnual|RE1|PWRNGS_CS|2031</v>
      </c>
      <c r="B505" t="s">
        <v>16</v>
      </c>
      <c r="C505" t="s">
        <v>17</v>
      </c>
      <c r="D505" t="s">
        <v>38</v>
      </c>
      <c r="E505" t="s">
        <v>19</v>
      </c>
      <c r="F505" t="s">
        <v>30</v>
      </c>
      <c r="O505">
        <v>2031</v>
      </c>
      <c r="P505">
        <v>23.084351999999999</v>
      </c>
    </row>
    <row r="506" spans="1:16" x14ac:dyDescent="0.3">
      <c r="A506" t="str">
        <f t="shared" si="7"/>
        <v>PD|TotalCapacityAnnual|RE1|PWRSOLRTP|2031</v>
      </c>
      <c r="B506" t="s">
        <v>16</v>
      </c>
      <c r="C506" t="s">
        <v>17</v>
      </c>
      <c r="D506" t="s">
        <v>38</v>
      </c>
      <c r="E506" t="s">
        <v>19</v>
      </c>
      <c r="F506" t="s">
        <v>31</v>
      </c>
      <c r="O506">
        <v>2031</v>
      </c>
      <c r="P506">
        <v>84.964169752694986</v>
      </c>
    </row>
    <row r="507" spans="1:16" x14ac:dyDescent="0.3">
      <c r="A507" t="str">
        <f t="shared" si="7"/>
        <v>PD|TotalCapacityAnnual|RE1|PWRSOLRTP_ZNI|2031</v>
      </c>
      <c r="B507" t="s">
        <v>16</v>
      </c>
      <c r="C507" t="s">
        <v>17</v>
      </c>
      <c r="D507" t="s">
        <v>38</v>
      </c>
      <c r="E507" t="s">
        <v>19</v>
      </c>
      <c r="F507" t="s">
        <v>32</v>
      </c>
      <c r="O507">
        <v>2031</v>
      </c>
      <c r="P507">
        <v>0.46074095999999998</v>
      </c>
    </row>
    <row r="508" spans="1:16" x14ac:dyDescent="0.3">
      <c r="A508" t="str">
        <f t="shared" si="7"/>
        <v>PD|TotalCapacityAnnual|RE1|PWRSOLUGE|2031</v>
      </c>
      <c r="B508" t="s">
        <v>16</v>
      </c>
      <c r="C508" t="s">
        <v>17</v>
      </c>
      <c r="D508" t="s">
        <v>38</v>
      </c>
      <c r="E508" t="s">
        <v>19</v>
      </c>
      <c r="F508" t="s">
        <v>33</v>
      </c>
      <c r="O508">
        <v>2031</v>
      </c>
      <c r="P508">
        <v>191.79186048</v>
      </c>
    </row>
    <row r="509" spans="1:16" x14ac:dyDescent="0.3">
      <c r="A509" t="str">
        <f t="shared" si="7"/>
        <v>PD|TotalCapacityAnnual|RE1|PWRSOLUPE|2031</v>
      </c>
      <c r="B509" t="s">
        <v>16</v>
      </c>
      <c r="C509" t="s">
        <v>17</v>
      </c>
      <c r="D509" t="s">
        <v>38</v>
      </c>
      <c r="E509" t="s">
        <v>19</v>
      </c>
      <c r="F509" t="s">
        <v>34</v>
      </c>
      <c r="O509">
        <v>2031</v>
      </c>
      <c r="P509">
        <v>39.172600079999931</v>
      </c>
    </row>
    <row r="510" spans="1:16" x14ac:dyDescent="0.3">
      <c r="A510" t="str">
        <f t="shared" si="7"/>
        <v>PD|TotalCapacityAnnual|RE1|PWRSTD|2031</v>
      </c>
      <c r="B510" t="s">
        <v>16</v>
      </c>
      <c r="C510" t="s">
        <v>17</v>
      </c>
      <c r="D510" t="s">
        <v>38</v>
      </c>
      <c r="E510" t="s">
        <v>19</v>
      </c>
      <c r="F510" t="s">
        <v>35</v>
      </c>
      <c r="O510">
        <v>2031</v>
      </c>
      <c r="P510">
        <v>8.163062064</v>
      </c>
    </row>
    <row r="511" spans="1:16" x14ac:dyDescent="0.3">
      <c r="A511" t="str">
        <f t="shared" si="7"/>
        <v>PD|TotalCapacityAnnual|RE1|PWRWNDONS|2031</v>
      </c>
      <c r="B511" t="s">
        <v>16</v>
      </c>
      <c r="C511" t="s">
        <v>17</v>
      </c>
      <c r="D511" t="s">
        <v>38</v>
      </c>
      <c r="E511" t="s">
        <v>19</v>
      </c>
      <c r="F511" t="s">
        <v>36</v>
      </c>
      <c r="O511">
        <v>2031</v>
      </c>
      <c r="P511">
        <v>34.635085714285722</v>
      </c>
    </row>
    <row r="512" spans="1:16" x14ac:dyDescent="0.3">
      <c r="A512" t="str">
        <f t="shared" si="7"/>
        <v>PD|AccumulatedNewCapacity|RE1|PWRBGS|2032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O512">
        <v>2032</v>
      </c>
    </row>
    <row r="513" spans="1:16" x14ac:dyDescent="0.3">
      <c r="A513" t="str">
        <f t="shared" si="7"/>
        <v>PD|AccumulatedNewCapacity|RE1|PWRCOA|2032</v>
      </c>
      <c r="B513" t="s">
        <v>16</v>
      </c>
      <c r="C513" t="s">
        <v>17</v>
      </c>
      <c r="D513" t="s">
        <v>18</v>
      </c>
      <c r="E513" t="s">
        <v>19</v>
      </c>
      <c r="F513" t="s">
        <v>21</v>
      </c>
      <c r="O513">
        <v>2032</v>
      </c>
    </row>
    <row r="514" spans="1:16" x14ac:dyDescent="0.3">
      <c r="A514" t="str">
        <f t="shared" ref="A514:A577" si="8">B514&amp;"|"&amp;D514&amp;"|"&amp;E514&amp;"|"&amp;F514&amp;"|"&amp;O514</f>
        <v>PD|AccumulatedNewCapacity|RE1|PWRDSL|2032</v>
      </c>
      <c r="B514" t="s">
        <v>16</v>
      </c>
      <c r="C514" t="s">
        <v>17</v>
      </c>
      <c r="D514" t="s">
        <v>18</v>
      </c>
      <c r="E514" t="s">
        <v>19</v>
      </c>
      <c r="F514" t="s">
        <v>22</v>
      </c>
      <c r="O514">
        <v>2032</v>
      </c>
    </row>
    <row r="515" spans="1:16" x14ac:dyDescent="0.3">
      <c r="A515" t="str">
        <f t="shared" si="8"/>
        <v>PD|AccumulatedNewCapacity|RE1|PWRFOL|2032</v>
      </c>
      <c r="B515" t="s">
        <v>16</v>
      </c>
      <c r="C515" t="s">
        <v>17</v>
      </c>
      <c r="D515" t="s">
        <v>18</v>
      </c>
      <c r="E515" t="s">
        <v>19</v>
      </c>
      <c r="F515" t="s">
        <v>23</v>
      </c>
      <c r="O515">
        <v>2032</v>
      </c>
    </row>
    <row r="516" spans="1:16" x14ac:dyDescent="0.3">
      <c r="A516" t="str">
        <f t="shared" si="8"/>
        <v>PD|AccumulatedNewCapacity|RE1|PWRHYDDAM|2032</v>
      </c>
      <c r="B516" t="s">
        <v>16</v>
      </c>
      <c r="C516" t="s">
        <v>17</v>
      </c>
      <c r="D516" t="s">
        <v>18</v>
      </c>
      <c r="E516" t="s">
        <v>19</v>
      </c>
      <c r="F516" t="s">
        <v>24</v>
      </c>
      <c r="O516">
        <v>2032</v>
      </c>
      <c r="P516">
        <v>37.840000000000003</v>
      </c>
    </row>
    <row r="517" spans="1:16" x14ac:dyDescent="0.3">
      <c r="A517" t="str">
        <f t="shared" si="8"/>
        <v>PD|AccumulatedNewCapacity|RE1|PWRHYDROR|2032</v>
      </c>
      <c r="B517" t="s">
        <v>16</v>
      </c>
      <c r="C517" t="s">
        <v>17</v>
      </c>
      <c r="D517" t="s">
        <v>18</v>
      </c>
      <c r="E517" t="s">
        <v>19</v>
      </c>
      <c r="F517" t="s">
        <v>25</v>
      </c>
      <c r="O517">
        <v>2032</v>
      </c>
    </row>
    <row r="518" spans="1:16" x14ac:dyDescent="0.3">
      <c r="A518" t="str">
        <f t="shared" si="8"/>
        <v>PD|AccumulatedNewCapacity|RE1|PWRHYDROR_NDC|2032</v>
      </c>
      <c r="B518" t="s">
        <v>16</v>
      </c>
      <c r="C518" t="s">
        <v>17</v>
      </c>
      <c r="D518" t="s">
        <v>18</v>
      </c>
      <c r="E518" t="s">
        <v>19</v>
      </c>
      <c r="F518" t="s">
        <v>26</v>
      </c>
      <c r="O518">
        <v>2032</v>
      </c>
    </row>
    <row r="519" spans="1:16" x14ac:dyDescent="0.3">
      <c r="A519" t="str">
        <f t="shared" si="8"/>
        <v>PD|AccumulatedNewCapacity|RE1|PWRJET|2032</v>
      </c>
      <c r="B519" t="s">
        <v>16</v>
      </c>
      <c r="C519" t="s">
        <v>17</v>
      </c>
      <c r="D519" t="s">
        <v>18</v>
      </c>
      <c r="E519" t="s">
        <v>19</v>
      </c>
      <c r="F519" t="s">
        <v>27</v>
      </c>
      <c r="O519">
        <v>2032</v>
      </c>
    </row>
    <row r="520" spans="1:16" x14ac:dyDescent="0.3">
      <c r="A520" t="str">
        <f t="shared" si="8"/>
        <v>PD|AccumulatedNewCapacity|RE1|PWRLPG|2032</v>
      </c>
      <c r="B520" t="s">
        <v>16</v>
      </c>
      <c r="C520" t="s">
        <v>17</v>
      </c>
      <c r="D520" t="s">
        <v>18</v>
      </c>
      <c r="E520" t="s">
        <v>19</v>
      </c>
      <c r="F520" t="s">
        <v>28</v>
      </c>
      <c r="O520">
        <v>2032</v>
      </c>
    </row>
    <row r="521" spans="1:16" x14ac:dyDescent="0.3">
      <c r="A521" t="str">
        <f t="shared" si="8"/>
        <v>PD|AccumulatedNewCapacity|RE1|PWRNGS_CC|2032</v>
      </c>
      <c r="B521" t="s">
        <v>16</v>
      </c>
      <c r="C521" t="s">
        <v>17</v>
      </c>
      <c r="D521" t="s">
        <v>18</v>
      </c>
      <c r="E521" t="s">
        <v>19</v>
      </c>
      <c r="F521" t="s">
        <v>29</v>
      </c>
      <c r="O521">
        <v>2032</v>
      </c>
    </row>
    <row r="522" spans="1:16" x14ac:dyDescent="0.3">
      <c r="A522" t="str">
        <f t="shared" si="8"/>
        <v>PD|AccumulatedNewCapacity|RE1|PWRNGS_CS|2032</v>
      </c>
      <c r="B522" t="s">
        <v>16</v>
      </c>
      <c r="C522" t="s">
        <v>17</v>
      </c>
      <c r="D522" t="s">
        <v>18</v>
      </c>
      <c r="E522" t="s">
        <v>19</v>
      </c>
      <c r="F522" t="s">
        <v>30</v>
      </c>
      <c r="O522">
        <v>2032</v>
      </c>
    </row>
    <row r="523" spans="1:16" x14ac:dyDescent="0.3">
      <c r="A523" t="str">
        <f t="shared" si="8"/>
        <v>PD|AccumulatedNewCapacity|RE1|PWRSOLRTP|2032</v>
      </c>
      <c r="B523" t="s">
        <v>16</v>
      </c>
      <c r="C523" t="s">
        <v>17</v>
      </c>
      <c r="D523" t="s">
        <v>18</v>
      </c>
      <c r="E523" t="s">
        <v>19</v>
      </c>
      <c r="F523" t="s">
        <v>31</v>
      </c>
      <c r="O523">
        <v>2032</v>
      </c>
      <c r="P523">
        <v>70.240627774254918</v>
      </c>
    </row>
    <row r="524" spans="1:16" x14ac:dyDescent="0.3">
      <c r="A524" t="str">
        <f t="shared" si="8"/>
        <v>PD|AccumulatedNewCapacity|RE1|PWRSOLRTP_ZNI|2032</v>
      </c>
      <c r="B524" t="s">
        <v>16</v>
      </c>
      <c r="C524" t="s">
        <v>17</v>
      </c>
      <c r="D524" t="s">
        <v>18</v>
      </c>
      <c r="E524" t="s">
        <v>19</v>
      </c>
      <c r="F524" t="s">
        <v>32</v>
      </c>
      <c r="O524">
        <v>2032</v>
      </c>
    </row>
    <row r="525" spans="1:16" x14ac:dyDescent="0.3">
      <c r="A525" t="str">
        <f t="shared" si="8"/>
        <v>PD|AccumulatedNewCapacity|RE1|PWRSOLUGE|2032</v>
      </c>
      <c r="B525" t="s">
        <v>16</v>
      </c>
      <c r="C525" t="s">
        <v>17</v>
      </c>
      <c r="D525" t="s">
        <v>18</v>
      </c>
      <c r="E525" t="s">
        <v>19</v>
      </c>
      <c r="F525" t="s">
        <v>33</v>
      </c>
      <c r="O525">
        <v>2032</v>
      </c>
      <c r="P525">
        <v>143.394192</v>
      </c>
    </row>
    <row r="526" spans="1:16" x14ac:dyDescent="0.3">
      <c r="A526" t="str">
        <f t="shared" si="8"/>
        <v>PD|AccumulatedNewCapacity|RE1|PWRSOLUPE|2032</v>
      </c>
      <c r="B526" t="s">
        <v>16</v>
      </c>
      <c r="C526" t="s">
        <v>17</v>
      </c>
      <c r="D526" t="s">
        <v>18</v>
      </c>
      <c r="E526" t="s">
        <v>19</v>
      </c>
      <c r="F526" t="s">
        <v>34</v>
      </c>
      <c r="O526">
        <v>2032</v>
      </c>
      <c r="P526">
        <v>12.14419823999993</v>
      </c>
    </row>
    <row r="527" spans="1:16" x14ac:dyDescent="0.3">
      <c r="A527" t="str">
        <f t="shared" si="8"/>
        <v>PD|AccumulatedNewCapacity|RE1|PWRSTD|2032</v>
      </c>
      <c r="B527" t="s">
        <v>16</v>
      </c>
      <c r="C527" t="s">
        <v>17</v>
      </c>
      <c r="D527" t="s">
        <v>18</v>
      </c>
      <c r="E527" t="s">
        <v>19</v>
      </c>
      <c r="F527" t="s">
        <v>35</v>
      </c>
      <c r="O527">
        <v>2032</v>
      </c>
    </row>
    <row r="528" spans="1:16" x14ac:dyDescent="0.3">
      <c r="A528" t="str">
        <f t="shared" si="8"/>
        <v>PD|AccumulatedNewCapacity|RE1|PWRWNDONS|2032</v>
      </c>
      <c r="B528" t="s">
        <v>16</v>
      </c>
      <c r="C528" t="s">
        <v>17</v>
      </c>
      <c r="D528" t="s">
        <v>18</v>
      </c>
      <c r="E528" t="s">
        <v>19</v>
      </c>
      <c r="F528" t="s">
        <v>36</v>
      </c>
      <c r="O528">
        <v>2032</v>
      </c>
      <c r="P528">
        <v>33.266423314285717</v>
      </c>
    </row>
    <row r="529" spans="1:16" x14ac:dyDescent="0.3">
      <c r="A529" t="str">
        <f t="shared" si="8"/>
        <v>PD|NewCapacity|RE1|PWRBGS|2032</v>
      </c>
      <c r="B529" t="s">
        <v>16</v>
      </c>
      <c r="C529" t="s">
        <v>17</v>
      </c>
      <c r="D529" t="s">
        <v>37</v>
      </c>
      <c r="E529" t="s">
        <v>19</v>
      </c>
      <c r="F529" t="s">
        <v>20</v>
      </c>
      <c r="O529">
        <v>2032</v>
      </c>
    </row>
    <row r="530" spans="1:16" x14ac:dyDescent="0.3">
      <c r="A530" t="str">
        <f t="shared" si="8"/>
        <v>PD|NewCapacity|RE1|PWRCOA|2032</v>
      </c>
      <c r="B530" t="s">
        <v>16</v>
      </c>
      <c r="C530" t="s">
        <v>17</v>
      </c>
      <c r="D530" t="s">
        <v>37</v>
      </c>
      <c r="E530" t="s">
        <v>19</v>
      </c>
      <c r="F530" t="s">
        <v>21</v>
      </c>
      <c r="O530">
        <v>2032</v>
      </c>
    </row>
    <row r="531" spans="1:16" x14ac:dyDescent="0.3">
      <c r="A531" t="str">
        <f t="shared" si="8"/>
        <v>PD|NewCapacity|RE1|PWRDSL|2032</v>
      </c>
      <c r="B531" t="s">
        <v>16</v>
      </c>
      <c r="C531" t="s">
        <v>17</v>
      </c>
      <c r="D531" t="s">
        <v>37</v>
      </c>
      <c r="E531" t="s">
        <v>19</v>
      </c>
      <c r="F531" t="s">
        <v>22</v>
      </c>
      <c r="O531">
        <v>2032</v>
      </c>
    </row>
    <row r="532" spans="1:16" x14ac:dyDescent="0.3">
      <c r="A532" t="str">
        <f t="shared" si="8"/>
        <v>PD|NewCapacity|RE1|PWRFOL|2032</v>
      </c>
      <c r="B532" t="s">
        <v>16</v>
      </c>
      <c r="C532" t="s">
        <v>17</v>
      </c>
      <c r="D532" t="s">
        <v>37</v>
      </c>
      <c r="E532" t="s">
        <v>19</v>
      </c>
      <c r="F532" t="s">
        <v>23</v>
      </c>
      <c r="O532">
        <v>2032</v>
      </c>
    </row>
    <row r="533" spans="1:16" x14ac:dyDescent="0.3">
      <c r="A533" t="str">
        <f t="shared" si="8"/>
        <v>PD|NewCapacity|RE1|PWRHYDDAM|2032</v>
      </c>
      <c r="B533" t="s">
        <v>16</v>
      </c>
      <c r="C533" t="s">
        <v>17</v>
      </c>
      <c r="D533" t="s">
        <v>37</v>
      </c>
      <c r="E533" t="s">
        <v>19</v>
      </c>
      <c r="F533" t="s">
        <v>24</v>
      </c>
      <c r="O533">
        <v>2032</v>
      </c>
    </row>
    <row r="534" spans="1:16" x14ac:dyDescent="0.3">
      <c r="A534" t="str">
        <f t="shared" si="8"/>
        <v>PD|NewCapacity|RE1|PWRHYDROR|2032</v>
      </c>
      <c r="B534" t="s">
        <v>16</v>
      </c>
      <c r="C534" t="s">
        <v>17</v>
      </c>
      <c r="D534" t="s">
        <v>37</v>
      </c>
      <c r="E534" t="s">
        <v>19</v>
      </c>
      <c r="F534" t="s">
        <v>25</v>
      </c>
      <c r="O534">
        <v>2032</v>
      </c>
    </row>
    <row r="535" spans="1:16" x14ac:dyDescent="0.3">
      <c r="A535" t="str">
        <f t="shared" si="8"/>
        <v>PD|NewCapacity|RE1|PWRHYDROR_NDC|2032</v>
      </c>
      <c r="B535" t="s">
        <v>16</v>
      </c>
      <c r="C535" t="s">
        <v>17</v>
      </c>
      <c r="D535" t="s">
        <v>37</v>
      </c>
      <c r="E535" t="s">
        <v>19</v>
      </c>
      <c r="F535" t="s">
        <v>26</v>
      </c>
      <c r="O535">
        <v>2032</v>
      </c>
    </row>
    <row r="536" spans="1:16" x14ac:dyDescent="0.3">
      <c r="A536" t="str">
        <f t="shared" si="8"/>
        <v>PD|NewCapacity|RE1|PWRJET|2032</v>
      </c>
      <c r="B536" t="s">
        <v>16</v>
      </c>
      <c r="C536" t="s">
        <v>17</v>
      </c>
      <c r="D536" t="s">
        <v>37</v>
      </c>
      <c r="E536" t="s">
        <v>19</v>
      </c>
      <c r="F536" t="s">
        <v>27</v>
      </c>
      <c r="O536">
        <v>2032</v>
      </c>
    </row>
    <row r="537" spans="1:16" x14ac:dyDescent="0.3">
      <c r="A537" t="str">
        <f t="shared" si="8"/>
        <v>PD|NewCapacity|RE1|PWRLPG|2032</v>
      </c>
      <c r="B537" t="s">
        <v>16</v>
      </c>
      <c r="C537" t="s">
        <v>17</v>
      </c>
      <c r="D537" t="s">
        <v>37</v>
      </c>
      <c r="E537" t="s">
        <v>19</v>
      </c>
      <c r="F537" t="s">
        <v>28</v>
      </c>
      <c r="O537">
        <v>2032</v>
      </c>
    </row>
    <row r="538" spans="1:16" x14ac:dyDescent="0.3">
      <c r="A538" t="str">
        <f t="shared" si="8"/>
        <v>PD|NewCapacity|RE1|PWRNGS_CC|2032</v>
      </c>
      <c r="B538" t="s">
        <v>16</v>
      </c>
      <c r="C538" t="s">
        <v>17</v>
      </c>
      <c r="D538" t="s">
        <v>37</v>
      </c>
      <c r="E538" t="s">
        <v>19</v>
      </c>
      <c r="F538" t="s">
        <v>29</v>
      </c>
      <c r="O538">
        <v>2032</v>
      </c>
    </row>
    <row r="539" spans="1:16" x14ac:dyDescent="0.3">
      <c r="A539" t="str">
        <f t="shared" si="8"/>
        <v>PD|NewCapacity|RE1|PWRNGS_CS|2032</v>
      </c>
      <c r="B539" t="s">
        <v>16</v>
      </c>
      <c r="C539" t="s">
        <v>17</v>
      </c>
      <c r="D539" t="s">
        <v>37</v>
      </c>
      <c r="E539" t="s">
        <v>19</v>
      </c>
      <c r="F539" t="s">
        <v>30</v>
      </c>
      <c r="O539">
        <v>2032</v>
      </c>
    </row>
    <row r="540" spans="1:16" x14ac:dyDescent="0.3">
      <c r="A540" t="str">
        <f t="shared" si="8"/>
        <v>PD|NewCapacity|RE1|PWRSOLRTP|2032</v>
      </c>
      <c r="B540" t="s">
        <v>16</v>
      </c>
      <c r="C540" t="s">
        <v>17</v>
      </c>
      <c r="D540" t="s">
        <v>37</v>
      </c>
      <c r="E540" t="s">
        <v>19</v>
      </c>
      <c r="F540" t="s">
        <v>31</v>
      </c>
      <c r="O540">
        <v>2032</v>
      </c>
      <c r="P540">
        <v>8.560558021559924</v>
      </c>
    </row>
    <row r="541" spans="1:16" x14ac:dyDescent="0.3">
      <c r="A541" t="str">
        <f t="shared" si="8"/>
        <v>PD|NewCapacity|RE1|PWRSOLRTP_ZNI|2032</v>
      </c>
      <c r="B541" t="s">
        <v>16</v>
      </c>
      <c r="C541" t="s">
        <v>17</v>
      </c>
      <c r="D541" t="s">
        <v>37</v>
      </c>
      <c r="E541" t="s">
        <v>19</v>
      </c>
      <c r="F541" t="s">
        <v>32</v>
      </c>
      <c r="O541">
        <v>2032</v>
      </c>
    </row>
    <row r="542" spans="1:16" x14ac:dyDescent="0.3">
      <c r="A542" t="str">
        <f t="shared" si="8"/>
        <v>PD|NewCapacity|RE1|PWRSOLUGE|2032</v>
      </c>
      <c r="B542" t="s">
        <v>16</v>
      </c>
      <c r="C542" t="s">
        <v>17</v>
      </c>
      <c r="D542" t="s">
        <v>37</v>
      </c>
      <c r="E542" t="s">
        <v>19</v>
      </c>
      <c r="F542" t="s">
        <v>33</v>
      </c>
      <c r="O542">
        <v>2032</v>
      </c>
    </row>
    <row r="543" spans="1:16" x14ac:dyDescent="0.3">
      <c r="A543" t="str">
        <f t="shared" si="8"/>
        <v>PD|NewCapacity|RE1|PWRSOLUPE|2032</v>
      </c>
      <c r="B543" t="s">
        <v>16</v>
      </c>
      <c r="C543" t="s">
        <v>17</v>
      </c>
      <c r="D543" t="s">
        <v>37</v>
      </c>
      <c r="E543" t="s">
        <v>19</v>
      </c>
      <c r="F543" t="s">
        <v>34</v>
      </c>
      <c r="O543">
        <v>2032</v>
      </c>
    </row>
    <row r="544" spans="1:16" x14ac:dyDescent="0.3">
      <c r="A544" t="str">
        <f t="shared" si="8"/>
        <v>PD|NewCapacity|RE1|PWRSTD|2032</v>
      </c>
      <c r="B544" t="s">
        <v>16</v>
      </c>
      <c r="C544" t="s">
        <v>17</v>
      </c>
      <c r="D544" t="s">
        <v>37</v>
      </c>
      <c r="E544" t="s">
        <v>19</v>
      </c>
      <c r="F544" t="s">
        <v>35</v>
      </c>
      <c r="O544">
        <v>2032</v>
      </c>
    </row>
    <row r="545" spans="1:16" x14ac:dyDescent="0.3">
      <c r="A545" t="str">
        <f t="shared" si="8"/>
        <v>PD|NewCapacity|RE1|PWRWNDONS|2032</v>
      </c>
      <c r="B545" t="s">
        <v>16</v>
      </c>
      <c r="C545" t="s">
        <v>17</v>
      </c>
      <c r="D545" t="s">
        <v>37</v>
      </c>
      <c r="E545" t="s">
        <v>19</v>
      </c>
      <c r="F545" t="s">
        <v>36</v>
      </c>
      <c r="O545">
        <v>2032</v>
      </c>
    </row>
    <row r="546" spans="1:16" x14ac:dyDescent="0.3">
      <c r="A546" t="str">
        <f t="shared" si="8"/>
        <v>PD|TotalCapacityAnnual|RE1|PWRBGS|2032</v>
      </c>
      <c r="B546" t="s">
        <v>16</v>
      </c>
      <c r="C546" t="s">
        <v>17</v>
      </c>
      <c r="D546" t="s">
        <v>38</v>
      </c>
      <c r="E546" t="s">
        <v>19</v>
      </c>
      <c r="F546" t="s">
        <v>20</v>
      </c>
      <c r="O546">
        <v>2032</v>
      </c>
      <c r="P546">
        <v>2.5488587520000001E-2</v>
      </c>
    </row>
    <row r="547" spans="1:16" x14ac:dyDescent="0.3">
      <c r="A547" t="str">
        <f t="shared" si="8"/>
        <v>PD|TotalCapacityAnnual|RE1|PWRCOA|2032</v>
      </c>
      <c r="B547" t="s">
        <v>16</v>
      </c>
      <c r="C547" t="s">
        <v>17</v>
      </c>
      <c r="D547" t="s">
        <v>38</v>
      </c>
      <c r="E547" t="s">
        <v>19</v>
      </c>
      <c r="F547" t="s">
        <v>21</v>
      </c>
      <c r="O547">
        <v>2032</v>
      </c>
      <c r="P547">
        <v>13.87584</v>
      </c>
    </row>
    <row r="548" spans="1:16" x14ac:dyDescent="0.3">
      <c r="A548" t="str">
        <f t="shared" si="8"/>
        <v>PD|TotalCapacityAnnual|RE1|PWRDSL|2032</v>
      </c>
      <c r="B548" t="s">
        <v>16</v>
      </c>
      <c r="C548" t="s">
        <v>17</v>
      </c>
      <c r="D548" t="s">
        <v>38</v>
      </c>
      <c r="E548" t="s">
        <v>19</v>
      </c>
      <c r="F548" t="s">
        <v>22</v>
      </c>
      <c r="O548">
        <v>2032</v>
      </c>
      <c r="P548">
        <v>24.944976</v>
      </c>
    </row>
    <row r="549" spans="1:16" x14ac:dyDescent="0.3">
      <c r="A549" t="str">
        <f t="shared" si="8"/>
        <v>PD|TotalCapacityAnnual|RE1|PWRFOL|2032</v>
      </c>
      <c r="B549" t="s">
        <v>16</v>
      </c>
      <c r="C549" t="s">
        <v>17</v>
      </c>
      <c r="D549" t="s">
        <v>38</v>
      </c>
      <c r="E549" t="s">
        <v>19</v>
      </c>
      <c r="F549" t="s">
        <v>23</v>
      </c>
      <c r="O549">
        <v>2032</v>
      </c>
      <c r="P549">
        <v>8.3885759999999987</v>
      </c>
    </row>
    <row r="550" spans="1:16" x14ac:dyDescent="0.3">
      <c r="A550" t="str">
        <f t="shared" si="8"/>
        <v>PD|TotalCapacityAnnual|RE1|PWRHYDDAM|2032</v>
      </c>
      <c r="B550" t="s">
        <v>16</v>
      </c>
      <c r="C550" t="s">
        <v>17</v>
      </c>
      <c r="D550" t="s">
        <v>38</v>
      </c>
      <c r="E550" t="s">
        <v>19</v>
      </c>
      <c r="F550" t="s">
        <v>24</v>
      </c>
      <c r="O550">
        <v>2032</v>
      </c>
      <c r="P550">
        <v>440.49164800000011</v>
      </c>
    </row>
    <row r="551" spans="1:16" x14ac:dyDescent="0.3">
      <c r="A551" t="str">
        <f t="shared" si="8"/>
        <v>PD|TotalCapacityAnnual|RE1|PWRHYDROR|2032</v>
      </c>
      <c r="B551" t="s">
        <v>16</v>
      </c>
      <c r="C551" t="s">
        <v>17</v>
      </c>
      <c r="D551" t="s">
        <v>38</v>
      </c>
      <c r="E551" t="s">
        <v>19</v>
      </c>
      <c r="F551" t="s">
        <v>25</v>
      </c>
      <c r="O551">
        <v>2032</v>
      </c>
      <c r="P551">
        <v>21.097584000000001</v>
      </c>
    </row>
    <row r="552" spans="1:16" x14ac:dyDescent="0.3">
      <c r="A552" t="str">
        <f t="shared" si="8"/>
        <v>PD|TotalCapacityAnnual|RE1|PWRHYDROR_NDC|2032</v>
      </c>
      <c r="B552" t="s">
        <v>16</v>
      </c>
      <c r="C552" t="s">
        <v>17</v>
      </c>
      <c r="D552" t="s">
        <v>38</v>
      </c>
      <c r="E552" t="s">
        <v>19</v>
      </c>
      <c r="F552" t="s">
        <v>26</v>
      </c>
      <c r="O552">
        <v>2032</v>
      </c>
      <c r="P552">
        <v>29.725108271999989</v>
      </c>
    </row>
    <row r="553" spans="1:16" x14ac:dyDescent="0.3">
      <c r="A553" t="str">
        <f t="shared" si="8"/>
        <v>PD|TotalCapacityAnnual|RE1|PWRJET|2032</v>
      </c>
      <c r="B553" t="s">
        <v>16</v>
      </c>
      <c r="C553" t="s">
        <v>17</v>
      </c>
      <c r="D553" t="s">
        <v>38</v>
      </c>
      <c r="E553" t="s">
        <v>19</v>
      </c>
      <c r="F553" t="s">
        <v>27</v>
      </c>
      <c r="O553">
        <v>2032</v>
      </c>
      <c r="P553">
        <v>1.5768</v>
      </c>
    </row>
    <row r="554" spans="1:16" x14ac:dyDescent="0.3">
      <c r="A554" t="str">
        <f t="shared" si="8"/>
        <v>PD|TotalCapacityAnnual|RE1|PWRLPG|2032</v>
      </c>
      <c r="B554" t="s">
        <v>16</v>
      </c>
      <c r="C554" t="s">
        <v>17</v>
      </c>
      <c r="D554" t="s">
        <v>38</v>
      </c>
      <c r="E554" t="s">
        <v>19</v>
      </c>
      <c r="F554" t="s">
        <v>28</v>
      </c>
      <c r="O554">
        <v>2032</v>
      </c>
      <c r="P554">
        <v>1.639872</v>
      </c>
    </row>
    <row r="555" spans="1:16" x14ac:dyDescent="0.3">
      <c r="A555" t="str">
        <f t="shared" si="8"/>
        <v>PD|TotalCapacityAnnual|RE1|PWRNGS_CC|2032</v>
      </c>
      <c r="B555" t="s">
        <v>16</v>
      </c>
      <c r="C555" t="s">
        <v>17</v>
      </c>
      <c r="D555" t="s">
        <v>38</v>
      </c>
      <c r="E555" t="s">
        <v>19</v>
      </c>
      <c r="F555" t="s">
        <v>29</v>
      </c>
      <c r="O555">
        <v>2032</v>
      </c>
      <c r="P555">
        <v>70.104500000000002</v>
      </c>
    </row>
    <row r="556" spans="1:16" x14ac:dyDescent="0.3">
      <c r="A556" t="str">
        <f t="shared" si="8"/>
        <v>PD|TotalCapacityAnnual|RE1|PWRNGS_CS|2032</v>
      </c>
      <c r="B556" t="s">
        <v>16</v>
      </c>
      <c r="C556" t="s">
        <v>17</v>
      </c>
      <c r="D556" t="s">
        <v>38</v>
      </c>
      <c r="E556" t="s">
        <v>19</v>
      </c>
      <c r="F556" t="s">
        <v>30</v>
      </c>
      <c r="O556">
        <v>2032</v>
      </c>
      <c r="P556">
        <v>23.084351999999999</v>
      </c>
    </row>
    <row r="557" spans="1:16" x14ac:dyDescent="0.3">
      <c r="A557" t="str">
        <f t="shared" si="8"/>
        <v>PD|TotalCapacityAnnual|RE1|PWRSOLRTP|2032</v>
      </c>
      <c r="B557" t="s">
        <v>16</v>
      </c>
      <c r="C557" t="s">
        <v>17</v>
      </c>
      <c r="D557" t="s">
        <v>38</v>
      </c>
      <c r="E557" t="s">
        <v>19</v>
      </c>
      <c r="F557" t="s">
        <v>31</v>
      </c>
      <c r="O557">
        <v>2032</v>
      </c>
      <c r="P557">
        <v>93.524727774254913</v>
      </c>
    </row>
    <row r="558" spans="1:16" x14ac:dyDescent="0.3">
      <c r="A558" t="str">
        <f t="shared" si="8"/>
        <v>PD|TotalCapacityAnnual|RE1|PWRSOLRTP_ZNI|2032</v>
      </c>
      <c r="B558" t="s">
        <v>16</v>
      </c>
      <c r="C558" t="s">
        <v>17</v>
      </c>
      <c r="D558" t="s">
        <v>38</v>
      </c>
      <c r="E558" t="s">
        <v>19</v>
      </c>
      <c r="F558" t="s">
        <v>32</v>
      </c>
      <c r="O558">
        <v>2032</v>
      </c>
      <c r="P558">
        <v>0.46074095999999998</v>
      </c>
    </row>
    <row r="559" spans="1:16" x14ac:dyDescent="0.3">
      <c r="A559" t="str">
        <f t="shared" si="8"/>
        <v>PD|TotalCapacityAnnual|RE1|PWRSOLUGE|2032</v>
      </c>
      <c r="B559" t="s">
        <v>16</v>
      </c>
      <c r="C559" t="s">
        <v>17</v>
      </c>
      <c r="D559" t="s">
        <v>38</v>
      </c>
      <c r="E559" t="s">
        <v>19</v>
      </c>
      <c r="F559" t="s">
        <v>33</v>
      </c>
      <c r="O559">
        <v>2032</v>
      </c>
      <c r="P559">
        <v>191.79186048</v>
      </c>
    </row>
    <row r="560" spans="1:16" x14ac:dyDescent="0.3">
      <c r="A560" t="str">
        <f t="shared" si="8"/>
        <v>PD|TotalCapacityAnnual|RE1|PWRSOLUPE|2032</v>
      </c>
      <c r="B560" t="s">
        <v>16</v>
      </c>
      <c r="C560" t="s">
        <v>17</v>
      </c>
      <c r="D560" t="s">
        <v>38</v>
      </c>
      <c r="E560" t="s">
        <v>19</v>
      </c>
      <c r="F560" t="s">
        <v>34</v>
      </c>
      <c r="O560">
        <v>2032</v>
      </c>
      <c r="P560">
        <v>39.172600079999931</v>
      </c>
    </row>
    <row r="561" spans="1:16" x14ac:dyDescent="0.3">
      <c r="A561" t="str">
        <f t="shared" si="8"/>
        <v>PD|TotalCapacityAnnual|RE1|PWRSTD|2032</v>
      </c>
      <c r="B561" t="s">
        <v>16</v>
      </c>
      <c r="C561" t="s">
        <v>17</v>
      </c>
      <c r="D561" t="s">
        <v>38</v>
      </c>
      <c r="E561" t="s">
        <v>19</v>
      </c>
      <c r="F561" t="s">
        <v>35</v>
      </c>
      <c r="O561">
        <v>2032</v>
      </c>
      <c r="P561">
        <v>8.163062064</v>
      </c>
    </row>
    <row r="562" spans="1:16" x14ac:dyDescent="0.3">
      <c r="A562" t="str">
        <f t="shared" si="8"/>
        <v>PD|TotalCapacityAnnual|RE1|PWRWNDONS|2032</v>
      </c>
      <c r="B562" t="s">
        <v>16</v>
      </c>
      <c r="C562" t="s">
        <v>17</v>
      </c>
      <c r="D562" t="s">
        <v>38</v>
      </c>
      <c r="E562" t="s">
        <v>19</v>
      </c>
      <c r="F562" t="s">
        <v>36</v>
      </c>
      <c r="O562">
        <v>2032</v>
      </c>
      <c r="P562">
        <v>34.635085714285722</v>
      </c>
    </row>
    <row r="563" spans="1:16" x14ac:dyDescent="0.3">
      <c r="A563" t="str">
        <f t="shared" si="8"/>
        <v>PD|AccumulatedNewCapacity|RE1|PWRBGS|2033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O563">
        <v>2033</v>
      </c>
    </row>
    <row r="564" spans="1:16" x14ac:dyDescent="0.3">
      <c r="A564" t="str">
        <f t="shared" si="8"/>
        <v>PD|AccumulatedNewCapacity|RE1|PWRCOA|2033</v>
      </c>
      <c r="B564" t="s">
        <v>16</v>
      </c>
      <c r="C564" t="s">
        <v>17</v>
      </c>
      <c r="D564" t="s">
        <v>18</v>
      </c>
      <c r="E564" t="s">
        <v>19</v>
      </c>
      <c r="F564" t="s">
        <v>21</v>
      </c>
      <c r="O564">
        <v>2033</v>
      </c>
    </row>
    <row r="565" spans="1:16" x14ac:dyDescent="0.3">
      <c r="A565" t="str">
        <f t="shared" si="8"/>
        <v>PD|AccumulatedNewCapacity|RE1|PWRDSL|2033</v>
      </c>
      <c r="B565" t="s">
        <v>16</v>
      </c>
      <c r="C565" t="s">
        <v>17</v>
      </c>
      <c r="D565" t="s">
        <v>18</v>
      </c>
      <c r="E565" t="s">
        <v>19</v>
      </c>
      <c r="F565" t="s">
        <v>22</v>
      </c>
      <c r="O565">
        <v>2033</v>
      </c>
    </row>
    <row r="566" spans="1:16" x14ac:dyDescent="0.3">
      <c r="A566" t="str">
        <f t="shared" si="8"/>
        <v>PD|AccumulatedNewCapacity|RE1|PWRFOL|2033</v>
      </c>
      <c r="B566" t="s">
        <v>16</v>
      </c>
      <c r="C566" t="s">
        <v>17</v>
      </c>
      <c r="D566" t="s">
        <v>18</v>
      </c>
      <c r="E566" t="s">
        <v>19</v>
      </c>
      <c r="F566" t="s">
        <v>23</v>
      </c>
      <c r="O566">
        <v>2033</v>
      </c>
    </row>
    <row r="567" spans="1:16" x14ac:dyDescent="0.3">
      <c r="A567" t="str">
        <f t="shared" si="8"/>
        <v>PD|AccumulatedNewCapacity|RE1|PWRHYDDAM|2033</v>
      </c>
      <c r="B567" t="s">
        <v>16</v>
      </c>
      <c r="C567" t="s">
        <v>17</v>
      </c>
      <c r="D567" t="s">
        <v>18</v>
      </c>
      <c r="E567" t="s">
        <v>19</v>
      </c>
      <c r="F567" t="s">
        <v>24</v>
      </c>
      <c r="O567">
        <v>2033</v>
      </c>
      <c r="P567">
        <v>37.840000000000003</v>
      </c>
    </row>
    <row r="568" spans="1:16" x14ac:dyDescent="0.3">
      <c r="A568" t="str">
        <f t="shared" si="8"/>
        <v>PD|AccumulatedNewCapacity|RE1|PWRHYDROR|2033</v>
      </c>
      <c r="B568" t="s">
        <v>16</v>
      </c>
      <c r="C568" t="s">
        <v>17</v>
      </c>
      <c r="D568" t="s">
        <v>18</v>
      </c>
      <c r="E568" t="s">
        <v>19</v>
      </c>
      <c r="F568" t="s">
        <v>25</v>
      </c>
      <c r="O568">
        <v>2033</v>
      </c>
    </row>
    <row r="569" spans="1:16" x14ac:dyDescent="0.3">
      <c r="A569" t="str">
        <f t="shared" si="8"/>
        <v>PD|AccumulatedNewCapacity|RE1|PWRHYDROR_NDC|2033</v>
      </c>
      <c r="B569" t="s">
        <v>16</v>
      </c>
      <c r="C569" t="s">
        <v>17</v>
      </c>
      <c r="D569" t="s">
        <v>18</v>
      </c>
      <c r="E569" t="s">
        <v>19</v>
      </c>
      <c r="F569" t="s">
        <v>26</v>
      </c>
      <c r="O569">
        <v>2033</v>
      </c>
    </row>
    <row r="570" spans="1:16" x14ac:dyDescent="0.3">
      <c r="A570" t="str">
        <f t="shared" si="8"/>
        <v>PD|AccumulatedNewCapacity|RE1|PWRJET|2033</v>
      </c>
      <c r="B570" t="s">
        <v>16</v>
      </c>
      <c r="C570" t="s">
        <v>17</v>
      </c>
      <c r="D570" t="s">
        <v>18</v>
      </c>
      <c r="E570" t="s">
        <v>19</v>
      </c>
      <c r="F570" t="s">
        <v>27</v>
      </c>
      <c r="O570">
        <v>2033</v>
      </c>
    </row>
    <row r="571" spans="1:16" x14ac:dyDescent="0.3">
      <c r="A571" t="str">
        <f t="shared" si="8"/>
        <v>PD|AccumulatedNewCapacity|RE1|PWRLPG|2033</v>
      </c>
      <c r="B571" t="s">
        <v>16</v>
      </c>
      <c r="C571" t="s">
        <v>17</v>
      </c>
      <c r="D571" t="s">
        <v>18</v>
      </c>
      <c r="E571" t="s">
        <v>19</v>
      </c>
      <c r="F571" t="s">
        <v>28</v>
      </c>
      <c r="O571">
        <v>2033</v>
      </c>
    </row>
    <row r="572" spans="1:16" x14ac:dyDescent="0.3">
      <c r="A572" t="str">
        <f t="shared" si="8"/>
        <v>PD|AccumulatedNewCapacity|RE1|PWRNGS_CC|2033</v>
      </c>
      <c r="B572" t="s">
        <v>16</v>
      </c>
      <c r="C572" t="s">
        <v>17</v>
      </c>
      <c r="D572" t="s">
        <v>18</v>
      </c>
      <c r="E572" t="s">
        <v>19</v>
      </c>
      <c r="F572" t="s">
        <v>29</v>
      </c>
      <c r="O572">
        <v>2033</v>
      </c>
    </row>
    <row r="573" spans="1:16" x14ac:dyDescent="0.3">
      <c r="A573" t="str">
        <f t="shared" si="8"/>
        <v>PD|AccumulatedNewCapacity|RE1|PWRNGS_CS|2033</v>
      </c>
      <c r="B573" t="s">
        <v>16</v>
      </c>
      <c r="C573" t="s">
        <v>17</v>
      </c>
      <c r="D573" t="s">
        <v>18</v>
      </c>
      <c r="E573" t="s">
        <v>19</v>
      </c>
      <c r="F573" t="s">
        <v>30</v>
      </c>
      <c r="O573">
        <v>2033</v>
      </c>
    </row>
    <row r="574" spans="1:16" x14ac:dyDescent="0.3">
      <c r="A574" t="str">
        <f t="shared" si="8"/>
        <v>PD|AccumulatedNewCapacity|RE1|PWRSOLRTP|2033</v>
      </c>
      <c r="B574" t="s">
        <v>16</v>
      </c>
      <c r="C574" t="s">
        <v>17</v>
      </c>
      <c r="D574" t="s">
        <v>18</v>
      </c>
      <c r="E574" t="s">
        <v>19</v>
      </c>
      <c r="F574" t="s">
        <v>31</v>
      </c>
      <c r="O574">
        <v>2033</v>
      </c>
      <c r="P574">
        <v>77.691483830057081</v>
      </c>
    </row>
    <row r="575" spans="1:16" x14ac:dyDescent="0.3">
      <c r="A575" t="str">
        <f t="shared" si="8"/>
        <v>PD|AccumulatedNewCapacity|RE1|PWRSOLRTP_ZNI|2033</v>
      </c>
      <c r="B575" t="s">
        <v>16</v>
      </c>
      <c r="C575" t="s">
        <v>17</v>
      </c>
      <c r="D575" t="s">
        <v>18</v>
      </c>
      <c r="E575" t="s">
        <v>19</v>
      </c>
      <c r="F575" t="s">
        <v>32</v>
      </c>
      <c r="O575">
        <v>2033</v>
      </c>
      <c r="P575">
        <v>0.69954823626465812</v>
      </c>
    </row>
    <row r="576" spans="1:16" x14ac:dyDescent="0.3">
      <c r="A576" t="str">
        <f t="shared" si="8"/>
        <v>PD|AccumulatedNewCapacity|RE1|PWRSOLUGE|2033</v>
      </c>
      <c r="B576" t="s">
        <v>16</v>
      </c>
      <c r="C576" t="s">
        <v>17</v>
      </c>
      <c r="D576" t="s">
        <v>18</v>
      </c>
      <c r="E576" t="s">
        <v>19</v>
      </c>
      <c r="F576" t="s">
        <v>33</v>
      </c>
      <c r="O576">
        <v>2033</v>
      </c>
      <c r="P576">
        <v>143.394192</v>
      </c>
    </row>
    <row r="577" spans="1:16" x14ac:dyDescent="0.3">
      <c r="A577" t="str">
        <f t="shared" si="8"/>
        <v>PD|AccumulatedNewCapacity|RE1|PWRSOLUPE|2033</v>
      </c>
      <c r="B577" t="s">
        <v>16</v>
      </c>
      <c r="C577" t="s">
        <v>17</v>
      </c>
      <c r="D577" t="s">
        <v>18</v>
      </c>
      <c r="E577" t="s">
        <v>19</v>
      </c>
      <c r="F577" t="s">
        <v>34</v>
      </c>
      <c r="O577">
        <v>2033</v>
      </c>
      <c r="P577">
        <v>12.14419823999993</v>
      </c>
    </row>
    <row r="578" spans="1:16" x14ac:dyDescent="0.3">
      <c r="A578" t="str">
        <f t="shared" ref="A578:A641" si="9">B578&amp;"|"&amp;D578&amp;"|"&amp;E578&amp;"|"&amp;F578&amp;"|"&amp;O578</f>
        <v>PD|AccumulatedNewCapacity|RE1|PWRSTD|2033</v>
      </c>
      <c r="B578" t="s">
        <v>16</v>
      </c>
      <c r="C578" t="s">
        <v>17</v>
      </c>
      <c r="D578" t="s">
        <v>18</v>
      </c>
      <c r="E578" t="s">
        <v>19</v>
      </c>
      <c r="F578" t="s">
        <v>35</v>
      </c>
      <c r="O578">
        <v>2033</v>
      </c>
    </row>
    <row r="579" spans="1:16" x14ac:dyDescent="0.3">
      <c r="A579" t="str">
        <f t="shared" si="9"/>
        <v>PD|AccumulatedNewCapacity|RE1|PWRWNDONS|2033</v>
      </c>
      <c r="B579" t="s">
        <v>16</v>
      </c>
      <c r="C579" t="s">
        <v>17</v>
      </c>
      <c r="D579" t="s">
        <v>18</v>
      </c>
      <c r="E579" t="s">
        <v>19</v>
      </c>
      <c r="F579" t="s">
        <v>36</v>
      </c>
      <c r="O579">
        <v>2033</v>
      </c>
      <c r="P579">
        <v>33.266423314285717</v>
      </c>
    </row>
    <row r="580" spans="1:16" x14ac:dyDescent="0.3">
      <c r="A580" t="str">
        <f t="shared" si="9"/>
        <v>PD|NewCapacity|RE1|PWRBGS|2033</v>
      </c>
      <c r="B580" t="s">
        <v>16</v>
      </c>
      <c r="C580" t="s">
        <v>17</v>
      </c>
      <c r="D580" t="s">
        <v>37</v>
      </c>
      <c r="E580" t="s">
        <v>19</v>
      </c>
      <c r="F580" t="s">
        <v>20</v>
      </c>
      <c r="O580">
        <v>2033</v>
      </c>
    </row>
    <row r="581" spans="1:16" x14ac:dyDescent="0.3">
      <c r="A581" t="str">
        <f t="shared" si="9"/>
        <v>PD|NewCapacity|RE1|PWRCOA|2033</v>
      </c>
      <c r="B581" t="s">
        <v>16</v>
      </c>
      <c r="C581" t="s">
        <v>17</v>
      </c>
      <c r="D581" t="s">
        <v>37</v>
      </c>
      <c r="E581" t="s">
        <v>19</v>
      </c>
      <c r="F581" t="s">
        <v>21</v>
      </c>
      <c r="O581">
        <v>2033</v>
      </c>
    </row>
    <row r="582" spans="1:16" x14ac:dyDescent="0.3">
      <c r="A582" t="str">
        <f t="shared" si="9"/>
        <v>PD|NewCapacity|RE1|PWRDSL|2033</v>
      </c>
      <c r="B582" t="s">
        <v>16</v>
      </c>
      <c r="C582" t="s">
        <v>17</v>
      </c>
      <c r="D582" t="s">
        <v>37</v>
      </c>
      <c r="E582" t="s">
        <v>19</v>
      </c>
      <c r="F582" t="s">
        <v>22</v>
      </c>
      <c r="O582">
        <v>2033</v>
      </c>
    </row>
    <row r="583" spans="1:16" x14ac:dyDescent="0.3">
      <c r="A583" t="str">
        <f t="shared" si="9"/>
        <v>PD|NewCapacity|RE1|PWRFOL|2033</v>
      </c>
      <c r="B583" t="s">
        <v>16</v>
      </c>
      <c r="C583" t="s">
        <v>17</v>
      </c>
      <c r="D583" t="s">
        <v>37</v>
      </c>
      <c r="E583" t="s">
        <v>19</v>
      </c>
      <c r="F583" t="s">
        <v>23</v>
      </c>
      <c r="O583">
        <v>2033</v>
      </c>
    </row>
    <row r="584" spans="1:16" x14ac:dyDescent="0.3">
      <c r="A584" t="str">
        <f t="shared" si="9"/>
        <v>PD|NewCapacity|RE1|PWRHYDDAM|2033</v>
      </c>
      <c r="B584" t="s">
        <v>16</v>
      </c>
      <c r="C584" t="s">
        <v>17</v>
      </c>
      <c r="D584" t="s">
        <v>37</v>
      </c>
      <c r="E584" t="s">
        <v>19</v>
      </c>
      <c r="F584" t="s">
        <v>24</v>
      </c>
      <c r="O584">
        <v>2033</v>
      </c>
    </row>
    <row r="585" spans="1:16" x14ac:dyDescent="0.3">
      <c r="A585" t="str">
        <f t="shared" si="9"/>
        <v>PD|NewCapacity|RE1|PWRHYDROR|2033</v>
      </c>
      <c r="B585" t="s">
        <v>16</v>
      </c>
      <c r="C585" t="s">
        <v>17</v>
      </c>
      <c r="D585" t="s">
        <v>37</v>
      </c>
      <c r="E585" t="s">
        <v>19</v>
      </c>
      <c r="F585" t="s">
        <v>25</v>
      </c>
      <c r="O585">
        <v>2033</v>
      </c>
    </row>
    <row r="586" spans="1:16" x14ac:dyDescent="0.3">
      <c r="A586" t="str">
        <f t="shared" si="9"/>
        <v>PD|NewCapacity|RE1|PWRHYDROR_NDC|2033</v>
      </c>
      <c r="B586" t="s">
        <v>16</v>
      </c>
      <c r="C586" t="s">
        <v>17</v>
      </c>
      <c r="D586" t="s">
        <v>37</v>
      </c>
      <c r="E586" t="s">
        <v>19</v>
      </c>
      <c r="F586" t="s">
        <v>26</v>
      </c>
      <c r="O586">
        <v>2033</v>
      </c>
    </row>
    <row r="587" spans="1:16" x14ac:dyDescent="0.3">
      <c r="A587" t="str">
        <f t="shared" si="9"/>
        <v>PD|NewCapacity|RE1|PWRJET|2033</v>
      </c>
      <c r="B587" t="s">
        <v>16</v>
      </c>
      <c r="C587" t="s">
        <v>17</v>
      </c>
      <c r="D587" t="s">
        <v>37</v>
      </c>
      <c r="E587" t="s">
        <v>19</v>
      </c>
      <c r="F587" t="s">
        <v>27</v>
      </c>
      <c r="O587">
        <v>2033</v>
      </c>
    </row>
    <row r="588" spans="1:16" x14ac:dyDescent="0.3">
      <c r="A588" t="str">
        <f t="shared" si="9"/>
        <v>PD|NewCapacity|RE1|PWRLPG|2033</v>
      </c>
      <c r="B588" t="s">
        <v>16</v>
      </c>
      <c r="C588" t="s">
        <v>17</v>
      </c>
      <c r="D588" t="s">
        <v>37</v>
      </c>
      <c r="E588" t="s">
        <v>19</v>
      </c>
      <c r="F588" t="s">
        <v>28</v>
      </c>
      <c r="O588">
        <v>2033</v>
      </c>
    </row>
    <row r="589" spans="1:16" x14ac:dyDescent="0.3">
      <c r="A589" t="str">
        <f t="shared" si="9"/>
        <v>PD|NewCapacity|RE1|PWRNGS_CC|2033</v>
      </c>
      <c r="B589" t="s">
        <v>16</v>
      </c>
      <c r="C589" t="s">
        <v>17</v>
      </c>
      <c r="D589" t="s">
        <v>37</v>
      </c>
      <c r="E589" t="s">
        <v>19</v>
      </c>
      <c r="F589" t="s">
        <v>29</v>
      </c>
      <c r="O589">
        <v>2033</v>
      </c>
    </row>
    <row r="590" spans="1:16" x14ac:dyDescent="0.3">
      <c r="A590" t="str">
        <f t="shared" si="9"/>
        <v>PD|NewCapacity|RE1|PWRNGS_CS|2033</v>
      </c>
      <c r="B590" t="s">
        <v>16</v>
      </c>
      <c r="C590" t="s">
        <v>17</v>
      </c>
      <c r="D590" t="s">
        <v>37</v>
      </c>
      <c r="E590" t="s">
        <v>19</v>
      </c>
      <c r="F590" t="s">
        <v>30</v>
      </c>
      <c r="O590">
        <v>2033</v>
      </c>
    </row>
    <row r="591" spans="1:16" x14ac:dyDescent="0.3">
      <c r="A591" t="str">
        <f t="shared" si="9"/>
        <v>PD|NewCapacity|RE1|PWRSOLRTP|2033</v>
      </c>
      <c r="B591" t="s">
        <v>16</v>
      </c>
      <c r="C591" t="s">
        <v>17</v>
      </c>
      <c r="D591" t="s">
        <v>37</v>
      </c>
      <c r="E591" t="s">
        <v>19</v>
      </c>
      <c r="F591" t="s">
        <v>31</v>
      </c>
      <c r="O591">
        <v>2033</v>
      </c>
      <c r="P591">
        <v>7.4508560558021566</v>
      </c>
    </row>
    <row r="592" spans="1:16" x14ac:dyDescent="0.3">
      <c r="A592" t="str">
        <f t="shared" si="9"/>
        <v>PD|NewCapacity|RE1|PWRSOLRTP_ZNI|2033</v>
      </c>
      <c r="B592" t="s">
        <v>16</v>
      </c>
      <c r="C592" t="s">
        <v>17</v>
      </c>
      <c r="D592" t="s">
        <v>37</v>
      </c>
      <c r="E592" t="s">
        <v>19</v>
      </c>
      <c r="F592" t="s">
        <v>32</v>
      </c>
      <c r="O592">
        <v>2033</v>
      </c>
      <c r="P592">
        <v>0.69954823626465812</v>
      </c>
    </row>
    <row r="593" spans="1:16" x14ac:dyDescent="0.3">
      <c r="A593" t="str">
        <f t="shared" si="9"/>
        <v>PD|NewCapacity|RE1|PWRSOLUGE|2033</v>
      </c>
      <c r="B593" t="s">
        <v>16</v>
      </c>
      <c r="C593" t="s">
        <v>17</v>
      </c>
      <c r="D593" t="s">
        <v>37</v>
      </c>
      <c r="E593" t="s">
        <v>19</v>
      </c>
      <c r="F593" t="s">
        <v>33</v>
      </c>
      <c r="O593">
        <v>2033</v>
      </c>
    </row>
    <row r="594" spans="1:16" x14ac:dyDescent="0.3">
      <c r="A594" t="str">
        <f t="shared" si="9"/>
        <v>PD|NewCapacity|RE1|PWRSOLUPE|2033</v>
      </c>
      <c r="B594" t="s">
        <v>16</v>
      </c>
      <c r="C594" t="s">
        <v>17</v>
      </c>
      <c r="D594" t="s">
        <v>37</v>
      </c>
      <c r="E594" t="s">
        <v>19</v>
      </c>
      <c r="F594" t="s">
        <v>34</v>
      </c>
      <c r="O594">
        <v>2033</v>
      </c>
    </row>
    <row r="595" spans="1:16" x14ac:dyDescent="0.3">
      <c r="A595" t="str">
        <f t="shared" si="9"/>
        <v>PD|NewCapacity|RE1|PWRSTD|2033</v>
      </c>
      <c r="B595" t="s">
        <v>16</v>
      </c>
      <c r="C595" t="s">
        <v>17</v>
      </c>
      <c r="D595" t="s">
        <v>37</v>
      </c>
      <c r="E595" t="s">
        <v>19</v>
      </c>
      <c r="F595" t="s">
        <v>35</v>
      </c>
      <c r="O595">
        <v>2033</v>
      </c>
    </row>
    <row r="596" spans="1:16" x14ac:dyDescent="0.3">
      <c r="A596" t="str">
        <f t="shared" si="9"/>
        <v>PD|NewCapacity|RE1|PWRWNDONS|2033</v>
      </c>
      <c r="B596" t="s">
        <v>16</v>
      </c>
      <c r="C596" t="s">
        <v>17</v>
      </c>
      <c r="D596" t="s">
        <v>37</v>
      </c>
      <c r="E596" t="s">
        <v>19</v>
      </c>
      <c r="F596" t="s">
        <v>36</v>
      </c>
      <c r="O596">
        <v>2033</v>
      </c>
    </row>
    <row r="597" spans="1:16" x14ac:dyDescent="0.3">
      <c r="A597" t="str">
        <f t="shared" si="9"/>
        <v>PD|TotalCapacityAnnual|RE1|PWRBGS|2033</v>
      </c>
      <c r="B597" t="s">
        <v>16</v>
      </c>
      <c r="C597" t="s">
        <v>17</v>
      </c>
      <c r="D597" t="s">
        <v>38</v>
      </c>
      <c r="E597" t="s">
        <v>19</v>
      </c>
      <c r="F597" t="s">
        <v>20</v>
      </c>
      <c r="O597">
        <v>2033</v>
      </c>
      <c r="P597">
        <v>2.5488587520000001E-2</v>
      </c>
    </row>
    <row r="598" spans="1:16" x14ac:dyDescent="0.3">
      <c r="A598" t="str">
        <f t="shared" si="9"/>
        <v>PD|TotalCapacityAnnual|RE1|PWRCOA|2033</v>
      </c>
      <c r="B598" t="s">
        <v>16</v>
      </c>
      <c r="C598" t="s">
        <v>17</v>
      </c>
      <c r="D598" t="s">
        <v>38</v>
      </c>
      <c r="E598" t="s">
        <v>19</v>
      </c>
      <c r="F598" t="s">
        <v>21</v>
      </c>
      <c r="O598">
        <v>2033</v>
      </c>
      <c r="P598">
        <v>13.87584</v>
      </c>
    </row>
    <row r="599" spans="1:16" x14ac:dyDescent="0.3">
      <c r="A599" t="str">
        <f t="shared" si="9"/>
        <v>PD|TotalCapacityAnnual|RE1|PWRDSL|2033</v>
      </c>
      <c r="B599" t="s">
        <v>16</v>
      </c>
      <c r="C599" t="s">
        <v>17</v>
      </c>
      <c r="D599" t="s">
        <v>38</v>
      </c>
      <c r="E599" t="s">
        <v>19</v>
      </c>
      <c r="F599" t="s">
        <v>22</v>
      </c>
      <c r="O599">
        <v>2033</v>
      </c>
      <c r="P599">
        <v>24.944976</v>
      </c>
    </row>
    <row r="600" spans="1:16" x14ac:dyDescent="0.3">
      <c r="A600" t="str">
        <f t="shared" si="9"/>
        <v>PD|TotalCapacityAnnual|RE1|PWRFOL|2033</v>
      </c>
      <c r="B600" t="s">
        <v>16</v>
      </c>
      <c r="C600" t="s">
        <v>17</v>
      </c>
      <c r="D600" t="s">
        <v>38</v>
      </c>
      <c r="E600" t="s">
        <v>19</v>
      </c>
      <c r="F600" t="s">
        <v>23</v>
      </c>
      <c r="O600">
        <v>2033</v>
      </c>
      <c r="P600">
        <v>8.3885759999999987</v>
      </c>
    </row>
    <row r="601" spans="1:16" x14ac:dyDescent="0.3">
      <c r="A601" t="str">
        <f t="shared" si="9"/>
        <v>PD|TotalCapacityAnnual|RE1|PWRHYDDAM|2033</v>
      </c>
      <c r="B601" t="s">
        <v>16</v>
      </c>
      <c r="C601" t="s">
        <v>17</v>
      </c>
      <c r="D601" t="s">
        <v>38</v>
      </c>
      <c r="E601" t="s">
        <v>19</v>
      </c>
      <c r="F601" t="s">
        <v>24</v>
      </c>
      <c r="O601">
        <v>2033</v>
      </c>
      <c r="P601">
        <v>440.49164800000011</v>
      </c>
    </row>
    <row r="602" spans="1:16" x14ac:dyDescent="0.3">
      <c r="A602" t="str">
        <f t="shared" si="9"/>
        <v>PD|TotalCapacityAnnual|RE1|PWRHYDROR|2033</v>
      </c>
      <c r="B602" t="s">
        <v>16</v>
      </c>
      <c r="C602" t="s">
        <v>17</v>
      </c>
      <c r="D602" t="s">
        <v>38</v>
      </c>
      <c r="E602" t="s">
        <v>19</v>
      </c>
      <c r="F602" t="s">
        <v>25</v>
      </c>
      <c r="O602">
        <v>2033</v>
      </c>
      <c r="P602">
        <v>21.097584000000001</v>
      </c>
    </row>
    <row r="603" spans="1:16" x14ac:dyDescent="0.3">
      <c r="A603" t="str">
        <f t="shared" si="9"/>
        <v>PD|TotalCapacityAnnual|RE1|PWRHYDROR_NDC|2033</v>
      </c>
      <c r="B603" t="s">
        <v>16</v>
      </c>
      <c r="C603" t="s">
        <v>17</v>
      </c>
      <c r="D603" t="s">
        <v>38</v>
      </c>
      <c r="E603" t="s">
        <v>19</v>
      </c>
      <c r="F603" t="s">
        <v>26</v>
      </c>
      <c r="O603">
        <v>2033</v>
      </c>
      <c r="P603">
        <v>29.725108271999989</v>
      </c>
    </row>
    <row r="604" spans="1:16" x14ac:dyDescent="0.3">
      <c r="A604" t="str">
        <f t="shared" si="9"/>
        <v>PD|TotalCapacityAnnual|RE1|PWRJET|2033</v>
      </c>
      <c r="B604" t="s">
        <v>16</v>
      </c>
      <c r="C604" t="s">
        <v>17</v>
      </c>
      <c r="D604" t="s">
        <v>38</v>
      </c>
      <c r="E604" t="s">
        <v>19</v>
      </c>
      <c r="F604" t="s">
        <v>27</v>
      </c>
      <c r="O604">
        <v>2033</v>
      </c>
      <c r="P604">
        <v>1.5768</v>
      </c>
    </row>
    <row r="605" spans="1:16" x14ac:dyDescent="0.3">
      <c r="A605" t="str">
        <f t="shared" si="9"/>
        <v>PD|TotalCapacityAnnual|RE1|PWRLPG|2033</v>
      </c>
      <c r="B605" t="s">
        <v>16</v>
      </c>
      <c r="C605" t="s">
        <v>17</v>
      </c>
      <c r="D605" t="s">
        <v>38</v>
      </c>
      <c r="E605" t="s">
        <v>19</v>
      </c>
      <c r="F605" t="s">
        <v>28</v>
      </c>
      <c r="O605">
        <v>2033</v>
      </c>
      <c r="P605">
        <v>1.639872</v>
      </c>
    </row>
    <row r="606" spans="1:16" x14ac:dyDescent="0.3">
      <c r="A606" t="str">
        <f t="shared" si="9"/>
        <v>PD|TotalCapacityAnnual|RE1|PWRNGS_CC|2033</v>
      </c>
      <c r="B606" t="s">
        <v>16</v>
      </c>
      <c r="C606" t="s">
        <v>17</v>
      </c>
      <c r="D606" t="s">
        <v>38</v>
      </c>
      <c r="E606" t="s">
        <v>19</v>
      </c>
      <c r="F606" t="s">
        <v>29</v>
      </c>
      <c r="O606">
        <v>2033</v>
      </c>
      <c r="P606">
        <v>70.104500000000002</v>
      </c>
    </row>
    <row r="607" spans="1:16" x14ac:dyDescent="0.3">
      <c r="A607" t="str">
        <f t="shared" si="9"/>
        <v>PD|TotalCapacityAnnual|RE1|PWRNGS_CS|2033</v>
      </c>
      <c r="B607" t="s">
        <v>16</v>
      </c>
      <c r="C607" t="s">
        <v>17</v>
      </c>
      <c r="D607" t="s">
        <v>38</v>
      </c>
      <c r="E607" t="s">
        <v>19</v>
      </c>
      <c r="F607" t="s">
        <v>30</v>
      </c>
      <c r="O607">
        <v>2033</v>
      </c>
      <c r="P607">
        <v>23.084351999999999</v>
      </c>
    </row>
    <row r="608" spans="1:16" x14ac:dyDescent="0.3">
      <c r="A608" t="str">
        <f t="shared" si="9"/>
        <v>PD|TotalCapacityAnnual|RE1|PWRSOLRTP|2033</v>
      </c>
      <c r="B608" t="s">
        <v>16</v>
      </c>
      <c r="C608" t="s">
        <v>17</v>
      </c>
      <c r="D608" t="s">
        <v>38</v>
      </c>
      <c r="E608" t="s">
        <v>19</v>
      </c>
      <c r="F608" t="s">
        <v>31</v>
      </c>
      <c r="O608">
        <v>2033</v>
      </c>
      <c r="P608">
        <v>100.9755838300571</v>
      </c>
    </row>
    <row r="609" spans="1:16" x14ac:dyDescent="0.3">
      <c r="A609" t="str">
        <f t="shared" si="9"/>
        <v>PD|TotalCapacityAnnual|RE1|PWRSOLRTP_ZNI|2033</v>
      </c>
      <c r="B609" t="s">
        <v>16</v>
      </c>
      <c r="C609" t="s">
        <v>17</v>
      </c>
      <c r="D609" t="s">
        <v>38</v>
      </c>
      <c r="E609" t="s">
        <v>19</v>
      </c>
      <c r="F609" t="s">
        <v>32</v>
      </c>
      <c r="O609">
        <v>2033</v>
      </c>
      <c r="P609">
        <v>1.160289196264658</v>
      </c>
    </row>
    <row r="610" spans="1:16" x14ac:dyDescent="0.3">
      <c r="A610" t="str">
        <f t="shared" si="9"/>
        <v>PD|TotalCapacityAnnual|RE1|PWRSOLUGE|2033</v>
      </c>
      <c r="B610" t="s">
        <v>16</v>
      </c>
      <c r="C610" t="s">
        <v>17</v>
      </c>
      <c r="D610" t="s">
        <v>38</v>
      </c>
      <c r="E610" t="s">
        <v>19</v>
      </c>
      <c r="F610" t="s">
        <v>33</v>
      </c>
      <c r="O610">
        <v>2033</v>
      </c>
      <c r="P610">
        <v>191.79186048</v>
      </c>
    </row>
    <row r="611" spans="1:16" x14ac:dyDescent="0.3">
      <c r="A611" t="str">
        <f t="shared" si="9"/>
        <v>PD|TotalCapacityAnnual|RE1|PWRSOLUPE|2033</v>
      </c>
      <c r="B611" t="s">
        <v>16</v>
      </c>
      <c r="C611" t="s">
        <v>17</v>
      </c>
      <c r="D611" t="s">
        <v>38</v>
      </c>
      <c r="E611" t="s">
        <v>19</v>
      </c>
      <c r="F611" t="s">
        <v>34</v>
      </c>
      <c r="O611">
        <v>2033</v>
      </c>
      <c r="P611">
        <v>39.172600079999931</v>
      </c>
    </row>
    <row r="612" spans="1:16" x14ac:dyDescent="0.3">
      <c r="A612" t="str">
        <f t="shared" si="9"/>
        <v>PD|TotalCapacityAnnual|RE1|PWRSTD|2033</v>
      </c>
      <c r="B612" t="s">
        <v>16</v>
      </c>
      <c r="C612" t="s">
        <v>17</v>
      </c>
      <c r="D612" t="s">
        <v>38</v>
      </c>
      <c r="E612" t="s">
        <v>19</v>
      </c>
      <c r="F612" t="s">
        <v>35</v>
      </c>
      <c r="O612">
        <v>2033</v>
      </c>
      <c r="P612">
        <v>8.163062064</v>
      </c>
    </row>
    <row r="613" spans="1:16" x14ac:dyDescent="0.3">
      <c r="A613" t="str">
        <f t="shared" si="9"/>
        <v>PD|TotalCapacityAnnual|RE1|PWRWNDONS|2033</v>
      </c>
      <c r="B613" t="s">
        <v>16</v>
      </c>
      <c r="C613" t="s">
        <v>17</v>
      </c>
      <c r="D613" t="s">
        <v>38</v>
      </c>
      <c r="E613" t="s">
        <v>19</v>
      </c>
      <c r="F613" t="s">
        <v>36</v>
      </c>
      <c r="O613">
        <v>2033</v>
      </c>
      <c r="P613">
        <v>34.635085714285722</v>
      </c>
    </row>
    <row r="614" spans="1:16" x14ac:dyDescent="0.3">
      <c r="A614" t="str">
        <f t="shared" si="9"/>
        <v>PD|AccumulatedNewCapacity|RE1|PWRBGS|2034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O614">
        <v>2034</v>
      </c>
    </row>
    <row r="615" spans="1:16" x14ac:dyDescent="0.3">
      <c r="A615" t="str">
        <f t="shared" si="9"/>
        <v>PD|AccumulatedNewCapacity|RE1|PWRCOA|2034</v>
      </c>
      <c r="B615" t="s">
        <v>16</v>
      </c>
      <c r="C615" t="s">
        <v>17</v>
      </c>
      <c r="D615" t="s">
        <v>18</v>
      </c>
      <c r="E615" t="s">
        <v>19</v>
      </c>
      <c r="F615" t="s">
        <v>21</v>
      </c>
      <c r="O615">
        <v>2034</v>
      </c>
    </row>
    <row r="616" spans="1:16" x14ac:dyDescent="0.3">
      <c r="A616" t="str">
        <f t="shared" si="9"/>
        <v>PD|AccumulatedNewCapacity|RE1|PWRDSL|2034</v>
      </c>
      <c r="B616" t="s">
        <v>16</v>
      </c>
      <c r="C616" t="s">
        <v>17</v>
      </c>
      <c r="D616" t="s">
        <v>18</v>
      </c>
      <c r="E616" t="s">
        <v>19</v>
      </c>
      <c r="F616" t="s">
        <v>22</v>
      </c>
      <c r="O616">
        <v>2034</v>
      </c>
    </row>
    <row r="617" spans="1:16" x14ac:dyDescent="0.3">
      <c r="A617" t="str">
        <f t="shared" si="9"/>
        <v>PD|AccumulatedNewCapacity|RE1|PWRFOL|2034</v>
      </c>
      <c r="B617" t="s">
        <v>16</v>
      </c>
      <c r="C617" t="s">
        <v>17</v>
      </c>
      <c r="D617" t="s">
        <v>18</v>
      </c>
      <c r="E617" t="s">
        <v>19</v>
      </c>
      <c r="F617" t="s">
        <v>23</v>
      </c>
      <c r="O617">
        <v>2034</v>
      </c>
    </row>
    <row r="618" spans="1:16" x14ac:dyDescent="0.3">
      <c r="A618" t="str">
        <f t="shared" si="9"/>
        <v>PD|AccumulatedNewCapacity|RE1|PWRHYDDAM|2034</v>
      </c>
      <c r="B618" t="s">
        <v>16</v>
      </c>
      <c r="C618" t="s">
        <v>17</v>
      </c>
      <c r="D618" t="s">
        <v>18</v>
      </c>
      <c r="E618" t="s">
        <v>19</v>
      </c>
      <c r="F618" t="s">
        <v>24</v>
      </c>
      <c r="O618">
        <v>2034</v>
      </c>
      <c r="P618">
        <v>37.840000000000003</v>
      </c>
    </row>
    <row r="619" spans="1:16" x14ac:dyDescent="0.3">
      <c r="A619" t="str">
        <f t="shared" si="9"/>
        <v>PD|AccumulatedNewCapacity|RE1|PWRHYDROR|2034</v>
      </c>
      <c r="B619" t="s">
        <v>16</v>
      </c>
      <c r="C619" t="s">
        <v>17</v>
      </c>
      <c r="D619" t="s">
        <v>18</v>
      </c>
      <c r="E619" t="s">
        <v>19</v>
      </c>
      <c r="F619" t="s">
        <v>25</v>
      </c>
      <c r="O619">
        <v>2034</v>
      </c>
    </row>
    <row r="620" spans="1:16" x14ac:dyDescent="0.3">
      <c r="A620" t="str">
        <f t="shared" si="9"/>
        <v>PD|AccumulatedNewCapacity|RE1|PWRHYDROR_NDC|2034</v>
      </c>
      <c r="B620" t="s">
        <v>16</v>
      </c>
      <c r="C620" t="s">
        <v>17</v>
      </c>
      <c r="D620" t="s">
        <v>18</v>
      </c>
      <c r="E620" t="s">
        <v>19</v>
      </c>
      <c r="F620" t="s">
        <v>26</v>
      </c>
      <c r="O620">
        <v>2034</v>
      </c>
    </row>
    <row r="621" spans="1:16" x14ac:dyDescent="0.3">
      <c r="A621" t="str">
        <f t="shared" si="9"/>
        <v>PD|AccumulatedNewCapacity|RE1|PWRJET|2034</v>
      </c>
      <c r="B621" t="s">
        <v>16</v>
      </c>
      <c r="C621" t="s">
        <v>17</v>
      </c>
      <c r="D621" t="s">
        <v>18</v>
      </c>
      <c r="E621" t="s">
        <v>19</v>
      </c>
      <c r="F621" t="s">
        <v>27</v>
      </c>
      <c r="O621">
        <v>2034</v>
      </c>
    </row>
    <row r="622" spans="1:16" x14ac:dyDescent="0.3">
      <c r="A622" t="str">
        <f t="shared" si="9"/>
        <v>PD|AccumulatedNewCapacity|RE1|PWRLPG|2034</v>
      </c>
      <c r="B622" t="s">
        <v>16</v>
      </c>
      <c r="C622" t="s">
        <v>17</v>
      </c>
      <c r="D622" t="s">
        <v>18</v>
      </c>
      <c r="E622" t="s">
        <v>19</v>
      </c>
      <c r="F622" t="s">
        <v>28</v>
      </c>
      <c r="O622">
        <v>2034</v>
      </c>
    </row>
    <row r="623" spans="1:16" x14ac:dyDescent="0.3">
      <c r="A623" t="str">
        <f t="shared" si="9"/>
        <v>PD|AccumulatedNewCapacity|RE1|PWRNGS_CC|2034</v>
      </c>
      <c r="B623" t="s">
        <v>16</v>
      </c>
      <c r="C623" t="s">
        <v>17</v>
      </c>
      <c r="D623" t="s">
        <v>18</v>
      </c>
      <c r="E623" t="s">
        <v>19</v>
      </c>
      <c r="F623" t="s">
        <v>29</v>
      </c>
      <c r="O623">
        <v>2034</v>
      </c>
    </row>
    <row r="624" spans="1:16" x14ac:dyDescent="0.3">
      <c r="A624" t="str">
        <f t="shared" si="9"/>
        <v>PD|AccumulatedNewCapacity|RE1|PWRNGS_CS|2034</v>
      </c>
      <c r="B624" t="s">
        <v>16</v>
      </c>
      <c r="C624" t="s">
        <v>17</v>
      </c>
      <c r="D624" t="s">
        <v>18</v>
      </c>
      <c r="E624" t="s">
        <v>19</v>
      </c>
      <c r="F624" t="s">
        <v>30</v>
      </c>
      <c r="O624">
        <v>2034</v>
      </c>
    </row>
    <row r="625" spans="1:16" x14ac:dyDescent="0.3">
      <c r="A625" t="str">
        <f t="shared" si="9"/>
        <v>PD|AccumulatedNewCapacity|RE1|PWRSOLRTP|2034</v>
      </c>
      <c r="B625" t="s">
        <v>16</v>
      </c>
      <c r="C625" t="s">
        <v>17</v>
      </c>
      <c r="D625" t="s">
        <v>18</v>
      </c>
      <c r="E625" t="s">
        <v>19</v>
      </c>
      <c r="F625" t="s">
        <v>31</v>
      </c>
      <c r="O625">
        <v>2034</v>
      </c>
      <c r="P625">
        <v>84.032637920101465</v>
      </c>
    </row>
    <row r="626" spans="1:16" x14ac:dyDescent="0.3">
      <c r="A626" t="str">
        <f t="shared" si="9"/>
        <v>PD|AccumulatedNewCapacity|RE1|PWRSOLRTP_ZNI|2034</v>
      </c>
      <c r="B626" t="s">
        <v>16</v>
      </c>
      <c r="C626" t="s">
        <v>17</v>
      </c>
      <c r="D626" t="s">
        <v>18</v>
      </c>
      <c r="E626" t="s">
        <v>19</v>
      </c>
      <c r="F626" t="s">
        <v>32</v>
      </c>
      <c r="O626">
        <v>2034</v>
      </c>
      <c r="P626">
        <v>0.73595292932613798</v>
      </c>
    </row>
    <row r="627" spans="1:16" x14ac:dyDescent="0.3">
      <c r="A627" t="str">
        <f t="shared" si="9"/>
        <v>PD|AccumulatedNewCapacity|RE1|PWRSOLUGE|2034</v>
      </c>
      <c r="B627" t="s">
        <v>16</v>
      </c>
      <c r="C627" t="s">
        <v>17</v>
      </c>
      <c r="D627" t="s">
        <v>18</v>
      </c>
      <c r="E627" t="s">
        <v>19</v>
      </c>
      <c r="F627" t="s">
        <v>33</v>
      </c>
      <c r="O627">
        <v>2034</v>
      </c>
      <c r="P627">
        <v>143.394192</v>
      </c>
    </row>
    <row r="628" spans="1:16" x14ac:dyDescent="0.3">
      <c r="A628" t="str">
        <f t="shared" si="9"/>
        <v>PD|AccumulatedNewCapacity|RE1|PWRSOLUPE|2034</v>
      </c>
      <c r="B628" t="s">
        <v>16</v>
      </c>
      <c r="C628" t="s">
        <v>17</v>
      </c>
      <c r="D628" t="s">
        <v>18</v>
      </c>
      <c r="E628" t="s">
        <v>19</v>
      </c>
      <c r="F628" t="s">
        <v>34</v>
      </c>
      <c r="O628">
        <v>2034</v>
      </c>
      <c r="P628">
        <v>12.14419823999993</v>
      </c>
    </row>
    <row r="629" spans="1:16" x14ac:dyDescent="0.3">
      <c r="A629" t="str">
        <f t="shared" si="9"/>
        <v>PD|AccumulatedNewCapacity|RE1|PWRSTD|2034</v>
      </c>
      <c r="B629" t="s">
        <v>16</v>
      </c>
      <c r="C629" t="s">
        <v>17</v>
      </c>
      <c r="D629" t="s">
        <v>18</v>
      </c>
      <c r="E629" t="s">
        <v>19</v>
      </c>
      <c r="F629" t="s">
        <v>35</v>
      </c>
      <c r="O629">
        <v>2034</v>
      </c>
    </row>
    <row r="630" spans="1:16" x14ac:dyDescent="0.3">
      <c r="A630" t="str">
        <f t="shared" si="9"/>
        <v>PD|AccumulatedNewCapacity|RE1|PWRWNDONS|2034</v>
      </c>
      <c r="B630" t="s">
        <v>16</v>
      </c>
      <c r="C630" t="s">
        <v>17</v>
      </c>
      <c r="D630" t="s">
        <v>18</v>
      </c>
      <c r="E630" t="s">
        <v>19</v>
      </c>
      <c r="F630" t="s">
        <v>36</v>
      </c>
      <c r="O630">
        <v>2034</v>
      </c>
      <c r="P630">
        <v>33.266423314285717</v>
      </c>
    </row>
    <row r="631" spans="1:16" x14ac:dyDescent="0.3">
      <c r="A631" t="str">
        <f t="shared" si="9"/>
        <v>PD|NewCapacity|RE1|PWRBGS|2034</v>
      </c>
      <c r="B631" t="s">
        <v>16</v>
      </c>
      <c r="C631" t="s">
        <v>17</v>
      </c>
      <c r="D631" t="s">
        <v>37</v>
      </c>
      <c r="E631" t="s">
        <v>19</v>
      </c>
      <c r="F631" t="s">
        <v>20</v>
      </c>
      <c r="O631">
        <v>2034</v>
      </c>
    </row>
    <row r="632" spans="1:16" x14ac:dyDescent="0.3">
      <c r="A632" t="str">
        <f t="shared" si="9"/>
        <v>PD|NewCapacity|RE1|PWRCOA|2034</v>
      </c>
      <c r="B632" t="s">
        <v>16</v>
      </c>
      <c r="C632" t="s">
        <v>17</v>
      </c>
      <c r="D632" t="s">
        <v>37</v>
      </c>
      <c r="E632" t="s">
        <v>19</v>
      </c>
      <c r="F632" t="s">
        <v>21</v>
      </c>
      <c r="O632">
        <v>2034</v>
      </c>
    </row>
    <row r="633" spans="1:16" x14ac:dyDescent="0.3">
      <c r="A633" t="str">
        <f t="shared" si="9"/>
        <v>PD|NewCapacity|RE1|PWRDSL|2034</v>
      </c>
      <c r="B633" t="s">
        <v>16</v>
      </c>
      <c r="C633" t="s">
        <v>17</v>
      </c>
      <c r="D633" t="s">
        <v>37</v>
      </c>
      <c r="E633" t="s">
        <v>19</v>
      </c>
      <c r="F633" t="s">
        <v>22</v>
      </c>
      <c r="O633">
        <v>2034</v>
      </c>
    </row>
    <row r="634" spans="1:16" x14ac:dyDescent="0.3">
      <c r="A634" t="str">
        <f t="shared" si="9"/>
        <v>PD|NewCapacity|RE1|PWRFOL|2034</v>
      </c>
      <c r="B634" t="s">
        <v>16</v>
      </c>
      <c r="C634" t="s">
        <v>17</v>
      </c>
      <c r="D634" t="s">
        <v>37</v>
      </c>
      <c r="E634" t="s">
        <v>19</v>
      </c>
      <c r="F634" t="s">
        <v>23</v>
      </c>
      <c r="O634">
        <v>2034</v>
      </c>
    </row>
    <row r="635" spans="1:16" x14ac:dyDescent="0.3">
      <c r="A635" t="str">
        <f t="shared" si="9"/>
        <v>PD|NewCapacity|RE1|PWRHYDDAM|2034</v>
      </c>
      <c r="B635" t="s">
        <v>16</v>
      </c>
      <c r="C635" t="s">
        <v>17</v>
      </c>
      <c r="D635" t="s">
        <v>37</v>
      </c>
      <c r="E635" t="s">
        <v>19</v>
      </c>
      <c r="F635" t="s">
        <v>24</v>
      </c>
      <c r="O635">
        <v>2034</v>
      </c>
    </row>
    <row r="636" spans="1:16" x14ac:dyDescent="0.3">
      <c r="A636" t="str">
        <f t="shared" si="9"/>
        <v>PD|NewCapacity|RE1|PWRHYDROR|2034</v>
      </c>
      <c r="B636" t="s">
        <v>16</v>
      </c>
      <c r="C636" t="s">
        <v>17</v>
      </c>
      <c r="D636" t="s">
        <v>37</v>
      </c>
      <c r="E636" t="s">
        <v>19</v>
      </c>
      <c r="F636" t="s">
        <v>25</v>
      </c>
      <c r="O636">
        <v>2034</v>
      </c>
    </row>
    <row r="637" spans="1:16" x14ac:dyDescent="0.3">
      <c r="A637" t="str">
        <f t="shared" si="9"/>
        <v>PD|NewCapacity|RE1|PWRHYDROR_NDC|2034</v>
      </c>
      <c r="B637" t="s">
        <v>16</v>
      </c>
      <c r="C637" t="s">
        <v>17</v>
      </c>
      <c r="D637" t="s">
        <v>37</v>
      </c>
      <c r="E637" t="s">
        <v>19</v>
      </c>
      <c r="F637" t="s">
        <v>26</v>
      </c>
      <c r="O637">
        <v>2034</v>
      </c>
    </row>
    <row r="638" spans="1:16" x14ac:dyDescent="0.3">
      <c r="A638" t="str">
        <f t="shared" si="9"/>
        <v>PD|NewCapacity|RE1|PWRJET|2034</v>
      </c>
      <c r="B638" t="s">
        <v>16</v>
      </c>
      <c r="C638" t="s">
        <v>17</v>
      </c>
      <c r="D638" t="s">
        <v>37</v>
      </c>
      <c r="E638" t="s">
        <v>19</v>
      </c>
      <c r="F638" t="s">
        <v>27</v>
      </c>
      <c r="O638">
        <v>2034</v>
      </c>
    </row>
    <row r="639" spans="1:16" x14ac:dyDescent="0.3">
      <c r="A639" t="str">
        <f t="shared" si="9"/>
        <v>PD|NewCapacity|RE1|PWRLPG|2034</v>
      </c>
      <c r="B639" t="s">
        <v>16</v>
      </c>
      <c r="C639" t="s">
        <v>17</v>
      </c>
      <c r="D639" t="s">
        <v>37</v>
      </c>
      <c r="E639" t="s">
        <v>19</v>
      </c>
      <c r="F639" t="s">
        <v>28</v>
      </c>
      <c r="O639">
        <v>2034</v>
      </c>
    </row>
    <row r="640" spans="1:16" x14ac:dyDescent="0.3">
      <c r="A640" t="str">
        <f t="shared" si="9"/>
        <v>PD|NewCapacity|RE1|PWRNGS_CC|2034</v>
      </c>
      <c r="B640" t="s">
        <v>16</v>
      </c>
      <c r="C640" t="s">
        <v>17</v>
      </c>
      <c r="D640" t="s">
        <v>37</v>
      </c>
      <c r="E640" t="s">
        <v>19</v>
      </c>
      <c r="F640" t="s">
        <v>29</v>
      </c>
      <c r="O640">
        <v>2034</v>
      </c>
    </row>
    <row r="641" spans="1:16" x14ac:dyDescent="0.3">
      <c r="A641" t="str">
        <f t="shared" si="9"/>
        <v>PD|NewCapacity|RE1|PWRNGS_CS|2034</v>
      </c>
      <c r="B641" t="s">
        <v>16</v>
      </c>
      <c r="C641" t="s">
        <v>17</v>
      </c>
      <c r="D641" t="s">
        <v>37</v>
      </c>
      <c r="E641" t="s">
        <v>19</v>
      </c>
      <c r="F641" t="s">
        <v>30</v>
      </c>
      <c r="O641">
        <v>2034</v>
      </c>
    </row>
    <row r="642" spans="1:16" x14ac:dyDescent="0.3">
      <c r="A642" t="str">
        <f t="shared" ref="A642:A705" si="10">B642&amp;"|"&amp;D642&amp;"|"&amp;E642&amp;"|"&amp;F642&amp;"|"&amp;O642</f>
        <v>PD|NewCapacity|RE1|PWRSOLRTP|2034</v>
      </c>
      <c r="B642" t="s">
        <v>16</v>
      </c>
      <c r="C642" t="s">
        <v>17</v>
      </c>
      <c r="D642" t="s">
        <v>37</v>
      </c>
      <c r="E642" t="s">
        <v>19</v>
      </c>
      <c r="F642" t="s">
        <v>31</v>
      </c>
      <c r="O642">
        <v>2034</v>
      </c>
      <c r="P642">
        <v>6.3411540900443883</v>
      </c>
    </row>
    <row r="643" spans="1:16" x14ac:dyDescent="0.3">
      <c r="A643" t="str">
        <f t="shared" si="10"/>
        <v>PD|NewCapacity|RE1|PWRSOLRTP_ZNI|2034</v>
      </c>
      <c r="B643" t="s">
        <v>16</v>
      </c>
      <c r="C643" t="s">
        <v>17</v>
      </c>
      <c r="D643" t="s">
        <v>37</v>
      </c>
      <c r="E643" t="s">
        <v>19</v>
      </c>
      <c r="F643" t="s">
        <v>32</v>
      </c>
      <c r="O643">
        <v>2034</v>
      </c>
      <c r="P643">
        <v>3.640469306147992E-2</v>
      </c>
    </row>
    <row r="644" spans="1:16" x14ac:dyDescent="0.3">
      <c r="A644" t="str">
        <f t="shared" si="10"/>
        <v>PD|NewCapacity|RE1|PWRSOLUGE|2034</v>
      </c>
      <c r="B644" t="s">
        <v>16</v>
      </c>
      <c r="C644" t="s">
        <v>17</v>
      </c>
      <c r="D644" t="s">
        <v>37</v>
      </c>
      <c r="E644" t="s">
        <v>19</v>
      </c>
      <c r="F644" t="s">
        <v>33</v>
      </c>
      <c r="O644">
        <v>2034</v>
      </c>
    </row>
    <row r="645" spans="1:16" x14ac:dyDescent="0.3">
      <c r="A645" t="str">
        <f t="shared" si="10"/>
        <v>PD|NewCapacity|RE1|PWRSOLUPE|2034</v>
      </c>
      <c r="B645" t="s">
        <v>16</v>
      </c>
      <c r="C645" t="s">
        <v>17</v>
      </c>
      <c r="D645" t="s">
        <v>37</v>
      </c>
      <c r="E645" t="s">
        <v>19</v>
      </c>
      <c r="F645" t="s">
        <v>34</v>
      </c>
      <c r="O645">
        <v>2034</v>
      </c>
    </row>
    <row r="646" spans="1:16" x14ac:dyDescent="0.3">
      <c r="A646" t="str">
        <f t="shared" si="10"/>
        <v>PD|NewCapacity|RE1|PWRSTD|2034</v>
      </c>
      <c r="B646" t="s">
        <v>16</v>
      </c>
      <c r="C646" t="s">
        <v>17</v>
      </c>
      <c r="D646" t="s">
        <v>37</v>
      </c>
      <c r="E646" t="s">
        <v>19</v>
      </c>
      <c r="F646" t="s">
        <v>35</v>
      </c>
      <c r="O646">
        <v>2034</v>
      </c>
    </row>
    <row r="647" spans="1:16" x14ac:dyDescent="0.3">
      <c r="A647" t="str">
        <f t="shared" si="10"/>
        <v>PD|NewCapacity|RE1|PWRWNDONS|2034</v>
      </c>
      <c r="B647" t="s">
        <v>16</v>
      </c>
      <c r="C647" t="s">
        <v>17</v>
      </c>
      <c r="D647" t="s">
        <v>37</v>
      </c>
      <c r="E647" t="s">
        <v>19</v>
      </c>
      <c r="F647" t="s">
        <v>36</v>
      </c>
      <c r="O647">
        <v>2034</v>
      </c>
    </row>
    <row r="648" spans="1:16" x14ac:dyDescent="0.3">
      <c r="A648" t="str">
        <f t="shared" si="10"/>
        <v>PD|TotalCapacityAnnual|RE1|PWRBGS|2034</v>
      </c>
      <c r="B648" t="s">
        <v>16</v>
      </c>
      <c r="C648" t="s">
        <v>17</v>
      </c>
      <c r="D648" t="s">
        <v>38</v>
      </c>
      <c r="E648" t="s">
        <v>19</v>
      </c>
      <c r="F648" t="s">
        <v>20</v>
      </c>
      <c r="O648">
        <v>2034</v>
      </c>
      <c r="P648">
        <v>2.5488587520000001E-2</v>
      </c>
    </row>
    <row r="649" spans="1:16" x14ac:dyDescent="0.3">
      <c r="A649" t="str">
        <f t="shared" si="10"/>
        <v>PD|TotalCapacityAnnual|RE1|PWRCOA|2034</v>
      </c>
      <c r="B649" t="s">
        <v>16</v>
      </c>
      <c r="C649" t="s">
        <v>17</v>
      </c>
      <c r="D649" t="s">
        <v>38</v>
      </c>
      <c r="E649" t="s">
        <v>19</v>
      </c>
      <c r="F649" t="s">
        <v>21</v>
      </c>
      <c r="O649">
        <v>2034</v>
      </c>
      <c r="P649">
        <v>13.87584</v>
      </c>
    </row>
    <row r="650" spans="1:16" x14ac:dyDescent="0.3">
      <c r="A650" t="str">
        <f t="shared" si="10"/>
        <v>PD|TotalCapacityAnnual|RE1|PWRDSL|2034</v>
      </c>
      <c r="B650" t="s">
        <v>16</v>
      </c>
      <c r="C650" t="s">
        <v>17</v>
      </c>
      <c r="D650" t="s">
        <v>38</v>
      </c>
      <c r="E650" t="s">
        <v>19</v>
      </c>
      <c r="F650" t="s">
        <v>22</v>
      </c>
      <c r="O650">
        <v>2034</v>
      </c>
      <c r="P650">
        <v>24.944976</v>
      </c>
    </row>
    <row r="651" spans="1:16" x14ac:dyDescent="0.3">
      <c r="A651" t="str">
        <f t="shared" si="10"/>
        <v>PD|TotalCapacityAnnual|RE1|PWRFOL|2034</v>
      </c>
      <c r="B651" t="s">
        <v>16</v>
      </c>
      <c r="C651" t="s">
        <v>17</v>
      </c>
      <c r="D651" t="s">
        <v>38</v>
      </c>
      <c r="E651" t="s">
        <v>19</v>
      </c>
      <c r="F651" t="s">
        <v>23</v>
      </c>
      <c r="O651">
        <v>2034</v>
      </c>
      <c r="P651">
        <v>8.3885759999999987</v>
      </c>
    </row>
    <row r="652" spans="1:16" x14ac:dyDescent="0.3">
      <c r="A652" t="str">
        <f t="shared" si="10"/>
        <v>PD|TotalCapacityAnnual|RE1|PWRHYDDAM|2034</v>
      </c>
      <c r="B652" t="s">
        <v>16</v>
      </c>
      <c r="C652" t="s">
        <v>17</v>
      </c>
      <c r="D652" t="s">
        <v>38</v>
      </c>
      <c r="E652" t="s">
        <v>19</v>
      </c>
      <c r="F652" t="s">
        <v>24</v>
      </c>
      <c r="O652">
        <v>2034</v>
      </c>
      <c r="P652">
        <v>440.49164800000011</v>
      </c>
    </row>
    <row r="653" spans="1:16" x14ac:dyDescent="0.3">
      <c r="A653" t="str">
        <f t="shared" si="10"/>
        <v>PD|TotalCapacityAnnual|RE1|PWRHYDROR|2034</v>
      </c>
      <c r="B653" t="s">
        <v>16</v>
      </c>
      <c r="C653" t="s">
        <v>17</v>
      </c>
      <c r="D653" t="s">
        <v>38</v>
      </c>
      <c r="E653" t="s">
        <v>19</v>
      </c>
      <c r="F653" t="s">
        <v>25</v>
      </c>
      <c r="O653">
        <v>2034</v>
      </c>
      <c r="P653">
        <v>21.097584000000001</v>
      </c>
    </row>
    <row r="654" spans="1:16" x14ac:dyDescent="0.3">
      <c r="A654" t="str">
        <f t="shared" si="10"/>
        <v>PD|TotalCapacityAnnual|RE1|PWRHYDROR_NDC|2034</v>
      </c>
      <c r="B654" t="s">
        <v>16</v>
      </c>
      <c r="C654" t="s">
        <v>17</v>
      </c>
      <c r="D654" t="s">
        <v>38</v>
      </c>
      <c r="E654" t="s">
        <v>19</v>
      </c>
      <c r="F654" t="s">
        <v>26</v>
      </c>
      <c r="O654">
        <v>2034</v>
      </c>
      <c r="P654">
        <v>29.725108271999989</v>
      </c>
    </row>
    <row r="655" spans="1:16" x14ac:dyDescent="0.3">
      <c r="A655" t="str">
        <f t="shared" si="10"/>
        <v>PD|TotalCapacityAnnual|RE1|PWRJET|2034</v>
      </c>
      <c r="B655" t="s">
        <v>16</v>
      </c>
      <c r="C655" t="s">
        <v>17</v>
      </c>
      <c r="D655" t="s">
        <v>38</v>
      </c>
      <c r="E655" t="s">
        <v>19</v>
      </c>
      <c r="F655" t="s">
        <v>27</v>
      </c>
      <c r="O655">
        <v>2034</v>
      </c>
      <c r="P655">
        <v>1.5768</v>
      </c>
    </row>
    <row r="656" spans="1:16" x14ac:dyDescent="0.3">
      <c r="A656" t="str">
        <f t="shared" si="10"/>
        <v>PD|TotalCapacityAnnual|RE1|PWRLPG|2034</v>
      </c>
      <c r="B656" t="s">
        <v>16</v>
      </c>
      <c r="C656" t="s">
        <v>17</v>
      </c>
      <c r="D656" t="s">
        <v>38</v>
      </c>
      <c r="E656" t="s">
        <v>19</v>
      </c>
      <c r="F656" t="s">
        <v>28</v>
      </c>
      <c r="O656">
        <v>2034</v>
      </c>
      <c r="P656">
        <v>1.639872</v>
      </c>
    </row>
    <row r="657" spans="1:16" x14ac:dyDescent="0.3">
      <c r="A657" t="str">
        <f t="shared" si="10"/>
        <v>PD|TotalCapacityAnnual|RE1|PWRNGS_CC|2034</v>
      </c>
      <c r="B657" t="s">
        <v>16</v>
      </c>
      <c r="C657" t="s">
        <v>17</v>
      </c>
      <c r="D657" t="s">
        <v>38</v>
      </c>
      <c r="E657" t="s">
        <v>19</v>
      </c>
      <c r="F657" t="s">
        <v>29</v>
      </c>
      <c r="O657">
        <v>2034</v>
      </c>
      <c r="P657">
        <v>70.104500000000002</v>
      </c>
    </row>
    <row r="658" spans="1:16" x14ac:dyDescent="0.3">
      <c r="A658" t="str">
        <f t="shared" si="10"/>
        <v>PD|TotalCapacityAnnual|RE1|PWRNGS_CS|2034</v>
      </c>
      <c r="B658" t="s">
        <v>16</v>
      </c>
      <c r="C658" t="s">
        <v>17</v>
      </c>
      <c r="D658" t="s">
        <v>38</v>
      </c>
      <c r="E658" t="s">
        <v>19</v>
      </c>
      <c r="F658" t="s">
        <v>30</v>
      </c>
      <c r="O658">
        <v>2034</v>
      </c>
      <c r="P658">
        <v>23.084351999999999</v>
      </c>
    </row>
    <row r="659" spans="1:16" x14ac:dyDescent="0.3">
      <c r="A659" t="str">
        <f t="shared" si="10"/>
        <v>PD|TotalCapacityAnnual|RE1|PWRSOLRTP|2034</v>
      </c>
      <c r="B659" t="s">
        <v>16</v>
      </c>
      <c r="C659" t="s">
        <v>17</v>
      </c>
      <c r="D659" t="s">
        <v>38</v>
      </c>
      <c r="E659" t="s">
        <v>19</v>
      </c>
      <c r="F659" t="s">
        <v>31</v>
      </c>
      <c r="O659">
        <v>2034</v>
      </c>
      <c r="P659">
        <v>107.3167379201015</v>
      </c>
    </row>
    <row r="660" spans="1:16" x14ac:dyDescent="0.3">
      <c r="A660" t="str">
        <f t="shared" si="10"/>
        <v>PD|TotalCapacityAnnual|RE1|PWRSOLRTP_ZNI|2034</v>
      </c>
      <c r="B660" t="s">
        <v>16</v>
      </c>
      <c r="C660" t="s">
        <v>17</v>
      </c>
      <c r="D660" t="s">
        <v>38</v>
      </c>
      <c r="E660" t="s">
        <v>19</v>
      </c>
      <c r="F660" t="s">
        <v>32</v>
      </c>
      <c r="O660">
        <v>2034</v>
      </c>
      <c r="P660">
        <v>1.1966938893261381</v>
      </c>
    </row>
    <row r="661" spans="1:16" x14ac:dyDescent="0.3">
      <c r="A661" t="str">
        <f t="shared" si="10"/>
        <v>PD|TotalCapacityAnnual|RE1|PWRSOLUGE|2034</v>
      </c>
      <c r="B661" t="s">
        <v>16</v>
      </c>
      <c r="C661" t="s">
        <v>17</v>
      </c>
      <c r="D661" t="s">
        <v>38</v>
      </c>
      <c r="E661" t="s">
        <v>19</v>
      </c>
      <c r="F661" t="s">
        <v>33</v>
      </c>
      <c r="O661">
        <v>2034</v>
      </c>
      <c r="P661">
        <v>191.79186048</v>
      </c>
    </row>
    <row r="662" spans="1:16" x14ac:dyDescent="0.3">
      <c r="A662" t="str">
        <f t="shared" si="10"/>
        <v>PD|TotalCapacityAnnual|RE1|PWRSOLUPE|2034</v>
      </c>
      <c r="B662" t="s">
        <v>16</v>
      </c>
      <c r="C662" t="s">
        <v>17</v>
      </c>
      <c r="D662" t="s">
        <v>38</v>
      </c>
      <c r="E662" t="s">
        <v>19</v>
      </c>
      <c r="F662" t="s">
        <v>34</v>
      </c>
      <c r="O662">
        <v>2034</v>
      </c>
      <c r="P662">
        <v>39.172600079999931</v>
      </c>
    </row>
    <row r="663" spans="1:16" x14ac:dyDescent="0.3">
      <c r="A663" t="str">
        <f t="shared" si="10"/>
        <v>PD|TotalCapacityAnnual|RE1|PWRSTD|2034</v>
      </c>
      <c r="B663" t="s">
        <v>16</v>
      </c>
      <c r="C663" t="s">
        <v>17</v>
      </c>
      <c r="D663" t="s">
        <v>38</v>
      </c>
      <c r="E663" t="s">
        <v>19</v>
      </c>
      <c r="F663" t="s">
        <v>35</v>
      </c>
      <c r="O663">
        <v>2034</v>
      </c>
      <c r="P663">
        <v>8.163062064</v>
      </c>
    </row>
    <row r="664" spans="1:16" x14ac:dyDescent="0.3">
      <c r="A664" t="str">
        <f t="shared" si="10"/>
        <v>PD|TotalCapacityAnnual|RE1|PWRWNDONS|2034</v>
      </c>
      <c r="B664" t="s">
        <v>16</v>
      </c>
      <c r="C664" t="s">
        <v>17</v>
      </c>
      <c r="D664" t="s">
        <v>38</v>
      </c>
      <c r="E664" t="s">
        <v>19</v>
      </c>
      <c r="F664" t="s">
        <v>36</v>
      </c>
      <c r="O664">
        <v>2034</v>
      </c>
      <c r="P664">
        <v>34.635085714285722</v>
      </c>
    </row>
    <row r="665" spans="1:16" x14ac:dyDescent="0.3">
      <c r="A665" t="str">
        <f t="shared" si="10"/>
        <v>PD|AccumulatedNewCapacity|RE1|PWRBGS|2035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O665">
        <v>2035</v>
      </c>
    </row>
    <row r="666" spans="1:16" x14ac:dyDescent="0.3">
      <c r="A666" t="str">
        <f t="shared" si="10"/>
        <v>PD|AccumulatedNewCapacity|RE1|PWRCOA|2035</v>
      </c>
      <c r="B666" t="s">
        <v>16</v>
      </c>
      <c r="C666" t="s">
        <v>17</v>
      </c>
      <c r="D666" t="s">
        <v>18</v>
      </c>
      <c r="E666" t="s">
        <v>19</v>
      </c>
      <c r="F666" t="s">
        <v>21</v>
      </c>
      <c r="O666">
        <v>2035</v>
      </c>
    </row>
    <row r="667" spans="1:16" x14ac:dyDescent="0.3">
      <c r="A667" t="str">
        <f t="shared" si="10"/>
        <v>PD|AccumulatedNewCapacity|RE1|PWRDSL|2035</v>
      </c>
      <c r="B667" t="s">
        <v>16</v>
      </c>
      <c r="C667" t="s">
        <v>17</v>
      </c>
      <c r="D667" t="s">
        <v>18</v>
      </c>
      <c r="E667" t="s">
        <v>19</v>
      </c>
      <c r="F667" t="s">
        <v>22</v>
      </c>
      <c r="O667">
        <v>2035</v>
      </c>
    </row>
    <row r="668" spans="1:16" x14ac:dyDescent="0.3">
      <c r="A668" t="str">
        <f t="shared" si="10"/>
        <v>PD|AccumulatedNewCapacity|RE1|PWRFOL|2035</v>
      </c>
      <c r="B668" t="s">
        <v>16</v>
      </c>
      <c r="C668" t="s">
        <v>17</v>
      </c>
      <c r="D668" t="s">
        <v>18</v>
      </c>
      <c r="E668" t="s">
        <v>19</v>
      </c>
      <c r="F668" t="s">
        <v>23</v>
      </c>
      <c r="O668">
        <v>2035</v>
      </c>
    </row>
    <row r="669" spans="1:16" x14ac:dyDescent="0.3">
      <c r="A669" t="str">
        <f t="shared" si="10"/>
        <v>PD|AccumulatedNewCapacity|RE1|PWRHYDDAM|2035</v>
      </c>
      <c r="B669" t="s">
        <v>16</v>
      </c>
      <c r="C669" t="s">
        <v>17</v>
      </c>
      <c r="D669" t="s">
        <v>18</v>
      </c>
      <c r="E669" t="s">
        <v>19</v>
      </c>
      <c r="F669" t="s">
        <v>24</v>
      </c>
      <c r="O669">
        <v>2035</v>
      </c>
      <c r="P669">
        <v>37.840000000000003</v>
      </c>
    </row>
    <row r="670" spans="1:16" x14ac:dyDescent="0.3">
      <c r="A670" t="str">
        <f t="shared" si="10"/>
        <v>PD|AccumulatedNewCapacity|RE1|PWRHYDROR|2035</v>
      </c>
      <c r="B670" t="s">
        <v>16</v>
      </c>
      <c r="C670" t="s">
        <v>17</v>
      </c>
      <c r="D670" t="s">
        <v>18</v>
      </c>
      <c r="E670" t="s">
        <v>19</v>
      </c>
      <c r="F670" t="s">
        <v>25</v>
      </c>
      <c r="O670">
        <v>2035</v>
      </c>
    </row>
    <row r="671" spans="1:16" x14ac:dyDescent="0.3">
      <c r="A671" t="str">
        <f t="shared" si="10"/>
        <v>PD|AccumulatedNewCapacity|RE1|PWRHYDROR_NDC|2035</v>
      </c>
      <c r="B671" t="s">
        <v>16</v>
      </c>
      <c r="C671" t="s">
        <v>17</v>
      </c>
      <c r="D671" t="s">
        <v>18</v>
      </c>
      <c r="E671" t="s">
        <v>19</v>
      </c>
      <c r="F671" t="s">
        <v>26</v>
      </c>
      <c r="O671">
        <v>2035</v>
      </c>
    </row>
    <row r="672" spans="1:16" x14ac:dyDescent="0.3">
      <c r="A672" t="str">
        <f t="shared" si="10"/>
        <v>PD|AccumulatedNewCapacity|RE1|PWRJET|2035</v>
      </c>
      <c r="B672" t="s">
        <v>16</v>
      </c>
      <c r="C672" t="s">
        <v>17</v>
      </c>
      <c r="D672" t="s">
        <v>18</v>
      </c>
      <c r="E672" t="s">
        <v>19</v>
      </c>
      <c r="F672" t="s">
        <v>27</v>
      </c>
      <c r="O672">
        <v>2035</v>
      </c>
    </row>
    <row r="673" spans="1:16" x14ac:dyDescent="0.3">
      <c r="A673" t="str">
        <f t="shared" si="10"/>
        <v>PD|AccumulatedNewCapacity|RE1|PWRLPG|2035</v>
      </c>
      <c r="B673" t="s">
        <v>16</v>
      </c>
      <c r="C673" t="s">
        <v>17</v>
      </c>
      <c r="D673" t="s">
        <v>18</v>
      </c>
      <c r="E673" t="s">
        <v>19</v>
      </c>
      <c r="F673" t="s">
        <v>28</v>
      </c>
      <c r="O673">
        <v>2035</v>
      </c>
    </row>
    <row r="674" spans="1:16" x14ac:dyDescent="0.3">
      <c r="A674" t="str">
        <f t="shared" si="10"/>
        <v>PD|AccumulatedNewCapacity|RE1|PWRNGS_CC|2035</v>
      </c>
      <c r="B674" t="s">
        <v>16</v>
      </c>
      <c r="C674" t="s">
        <v>17</v>
      </c>
      <c r="D674" t="s">
        <v>18</v>
      </c>
      <c r="E674" t="s">
        <v>19</v>
      </c>
      <c r="F674" t="s">
        <v>29</v>
      </c>
      <c r="O674">
        <v>2035</v>
      </c>
    </row>
    <row r="675" spans="1:16" x14ac:dyDescent="0.3">
      <c r="A675" t="str">
        <f t="shared" si="10"/>
        <v>PD|AccumulatedNewCapacity|RE1|PWRNGS_CS|2035</v>
      </c>
      <c r="B675" t="s">
        <v>16</v>
      </c>
      <c r="C675" t="s">
        <v>17</v>
      </c>
      <c r="D675" t="s">
        <v>18</v>
      </c>
      <c r="E675" t="s">
        <v>19</v>
      </c>
      <c r="F675" t="s">
        <v>30</v>
      </c>
      <c r="O675">
        <v>2035</v>
      </c>
    </row>
    <row r="676" spans="1:16" x14ac:dyDescent="0.3">
      <c r="A676" t="str">
        <f t="shared" si="10"/>
        <v>PD|AccumulatedNewCapacity|RE1|PWRSOLRTP|2035</v>
      </c>
      <c r="B676" t="s">
        <v>16</v>
      </c>
      <c r="C676" t="s">
        <v>17</v>
      </c>
      <c r="D676" t="s">
        <v>18</v>
      </c>
      <c r="E676" t="s">
        <v>19</v>
      </c>
      <c r="F676" t="s">
        <v>31</v>
      </c>
      <c r="O676">
        <v>2035</v>
      </c>
      <c r="P676">
        <v>89.264090044388084</v>
      </c>
    </row>
    <row r="677" spans="1:16" x14ac:dyDescent="0.3">
      <c r="A677" t="str">
        <f t="shared" si="10"/>
        <v>PD|AccumulatedNewCapacity|RE1|PWRSOLRTP_ZNI|2035</v>
      </c>
      <c r="B677" t="s">
        <v>16</v>
      </c>
      <c r="C677" t="s">
        <v>17</v>
      </c>
      <c r="D677" t="s">
        <v>18</v>
      </c>
      <c r="E677" t="s">
        <v>19</v>
      </c>
      <c r="F677" t="s">
        <v>32</v>
      </c>
      <c r="O677">
        <v>2035</v>
      </c>
      <c r="P677">
        <v>0.77268918493450534</v>
      </c>
    </row>
    <row r="678" spans="1:16" x14ac:dyDescent="0.3">
      <c r="A678" t="str">
        <f t="shared" si="10"/>
        <v>PD|AccumulatedNewCapacity|RE1|PWRSOLUGE|2035</v>
      </c>
      <c r="B678" t="s">
        <v>16</v>
      </c>
      <c r="C678" t="s">
        <v>17</v>
      </c>
      <c r="D678" t="s">
        <v>18</v>
      </c>
      <c r="E678" t="s">
        <v>19</v>
      </c>
      <c r="F678" t="s">
        <v>33</v>
      </c>
      <c r="O678">
        <v>2035</v>
      </c>
      <c r="P678">
        <v>143.394192</v>
      </c>
    </row>
    <row r="679" spans="1:16" x14ac:dyDescent="0.3">
      <c r="A679" t="str">
        <f t="shared" si="10"/>
        <v>PD|AccumulatedNewCapacity|RE1|PWRSOLUPE|2035</v>
      </c>
      <c r="B679" t="s">
        <v>16</v>
      </c>
      <c r="C679" t="s">
        <v>17</v>
      </c>
      <c r="D679" t="s">
        <v>18</v>
      </c>
      <c r="E679" t="s">
        <v>19</v>
      </c>
      <c r="F679" t="s">
        <v>34</v>
      </c>
      <c r="O679">
        <v>2035</v>
      </c>
      <c r="P679">
        <v>12.14419823999993</v>
      </c>
    </row>
    <row r="680" spans="1:16" x14ac:dyDescent="0.3">
      <c r="A680" t="str">
        <f t="shared" si="10"/>
        <v>PD|AccumulatedNewCapacity|RE1|PWRSTD|2035</v>
      </c>
      <c r="B680" t="s">
        <v>16</v>
      </c>
      <c r="C680" t="s">
        <v>17</v>
      </c>
      <c r="D680" t="s">
        <v>18</v>
      </c>
      <c r="E680" t="s">
        <v>19</v>
      </c>
      <c r="F680" t="s">
        <v>35</v>
      </c>
      <c r="O680">
        <v>2035</v>
      </c>
    </row>
    <row r="681" spans="1:16" x14ac:dyDescent="0.3">
      <c r="A681" t="str">
        <f t="shared" si="10"/>
        <v>PD|AccumulatedNewCapacity|RE1|PWRWNDONS|2035</v>
      </c>
      <c r="B681" t="s">
        <v>16</v>
      </c>
      <c r="C681" t="s">
        <v>17</v>
      </c>
      <c r="D681" t="s">
        <v>18</v>
      </c>
      <c r="E681" t="s">
        <v>19</v>
      </c>
      <c r="F681" t="s">
        <v>36</v>
      </c>
      <c r="O681">
        <v>2035</v>
      </c>
      <c r="P681">
        <v>80.576423314285719</v>
      </c>
    </row>
    <row r="682" spans="1:16" x14ac:dyDescent="0.3">
      <c r="A682" t="str">
        <f t="shared" si="10"/>
        <v>PD|NewCapacity|RE1|PWRBGS|2035</v>
      </c>
      <c r="B682" t="s">
        <v>16</v>
      </c>
      <c r="C682" t="s">
        <v>17</v>
      </c>
      <c r="D682" t="s">
        <v>37</v>
      </c>
      <c r="E682" t="s">
        <v>19</v>
      </c>
      <c r="F682" t="s">
        <v>20</v>
      </c>
      <c r="O682">
        <v>2035</v>
      </c>
    </row>
    <row r="683" spans="1:16" x14ac:dyDescent="0.3">
      <c r="A683" t="str">
        <f t="shared" si="10"/>
        <v>PD|NewCapacity|RE1|PWRCOA|2035</v>
      </c>
      <c r="B683" t="s">
        <v>16</v>
      </c>
      <c r="C683" t="s">
        <v>17</v>
      </c>
      <c r="D683" t="s">
        <v>37</v>
      </c>
      <c r="E683" t="s">
        <v>19</v>
      </c>
      <c r="F683" t="s">
        <v>21</v>
      </c>
      <c r="O683">
        <v>2035</v>
      </c>
    </row>
    <row r="684" spans="1:16" x14ac:dyDescent="0.3">
      <c r="A684" t="str">
        <f t="shared" si="10"/>
        <v>PD|NewCapacity|RE1|PWRDSL|2035</v>
      </c>
      <c r="B684" t="s">
        <v>16</v>
      </c>
      <c r="C684" t="s">
        <v>17</v>
      </c>
      <c r="D684" t="s">
        <v>37</v>
      </c>
      <c r="E684" t="s">
        <v>19</v>
      </c>
      <c r="F684" t="s">
        <v>22</v>
      </c>
      <c r="O684">
        <v>2035</v>
      </c>
    </row>
    <row r="685" spans="1:16" x14ac:dyDescent="0.3">
      <c r="A685" t="str">
        <f t="shared" si="10"/>
        <v>PD|NewCapacity|RE1|PWRFOL|2035</v>
      </c>
      <c r="B685" t="s">
        <v>16</v>
      </c>
      <c r="C685" t="s">
        <v>17</v>
      </c>
      <c r="D685" t="s">
        <v>37</v>
      </c>
      <c r="E685" t="s">
        <v>19</v>
      </c>
      <c r="F685" t="s">
        <v>23</v>
      </c>
      <c r="O685">
        <v>2035</v>
      </c>
    </row>
    <row r="686" spans="1:16" x14ac:dyDescent="0.3">
      <c r="A686" t="str">
        <f t="shared" si="10"/>
        <v>PD|NewCapacity|RE1|PWRHYDDAM|2035</v>
      </c>
      <c r="B686" t="s">
        <v>16</v>
      </c>
      <c r="C686" t="s">
        <v>17</v>
      </c>
      <c r="D686" t="s">
        <v>37</v>
      </c>
      <c r="E686" t="s">
        <v>19</v>
      </c>
      <c r="F686" t="s">
        <v>24</v>
      </c>
      <c r="O686">
        <v>2035</v>
      </c>
    </row>
    <row r="687" spans="1:16" x14ac:dyDescent="0.3">
      <c r="A687" t="str">
        <f t="shared" si="10"/>
        <v>PD|NewCapacity|RE1|PWRHYDROR|2035</v>
      </c>
      <c r="B687" t="s">
        <v>16</v>
      </c>
      <c r="C687" t="s">
        <v>17</v>
      </c>
      <c r="D687" t="s">
        <v>37</v>
      </c>
      <c r="E687" t="s">
        <v>19</v>
      </c>
      <c r="F687" t="s">
        <v>25</v>
      </c>
      <c r="O687">
        <v>2035</v>
      </c>
    </row>
    <row r="688" spans="1:16" x14ac:dyDescent="0.3">
      <c r="A688" t="str">
        <f t="shared" si="10"/>
        <v>PD|NewCapacity|RE1|PWRHYDROR_NDC|2035</v>
      </c>
      <c r="B688" t="s">
        <v>16</v>
      </c>
      <c r="C688" t="s">
        <v>17</v>
      </c>
      <c r="D688" t="s">
        <v>37</v>
      </c>
      <c r="E688" t="s">
        <v>19</v>
      </c>
      <c r="F688" t="s">
        <v>26</v>
      </c>
      <c r="O688">
        <v>2035</v>
      </c>
    </row>
    <row r="689" spans="1:16" x14ac:dyDescent="0.3">
      <c r="A689" t="str">
        <f t="shared" si="10"/>
        <v>PD|NewCapacity|RE1|PWRJET|2035</v>
      </c>
      <c r="B689" t="s">
        <v>16</v>
      </c>
      <c r="C689" t="s">
        <v>17</v>
      </c>
      <c r="D689" t="s">
        <v>37</v>
      </c>
      <c r="E689" t="s">
        <v>19</v>
      </c>
      <c r="F689" t="s">
        <v>27</v>
      </c>
      <c r="O689">
        <v>2035</v>
      </c>
    </row>
    <row r="690" spans="1:16" x14ac:dyDescent="0.3">
      <c r="A690" t="str">
        <f t="shared" si="10"/>
        <v>PD|NewCapacity|RE1|PWRLPG|2035</v>
      </c>
      <c r="B690" t="s">
        <v>16</v>
      </c>
      <c r="C690" t="s">
        <v>17</v>
      </c>
      <c r="D690" t="s">
        <v>37</v>
      </c>
      <c r="E690" t="s">
        <v>19</v>
      </c>
      <c r="F690" t="s">
        <v>28</v>
      </c>
      <c r="O690">
        <v>2035</v>
      </c>
    </row>
    <row r="691" spans="1:16" x14ac:dyDescent="0.3">
      <c r="A691" t="str">
        <f t="shared" si="10"/>
        <v>PD|NewCapacity|RE1|PWRNGS_CC|2035</v>
      </c>
      <c r="B691" t="s">
        <v>16</v>
      </c>
      <c r="C691" t="s">
        <v>17</v>
      </c>
      <c r="D691" t="s">
        <v>37</v>
      </c>
      <c r="E691" t="s">
        <v>19</v>
      </c>
      <c r="F691" t="s">
        <v>29</v>
      </c>
      <c r="O691">
        <v>2035</v>
      </c>
    </row>
    <row r="692" spans="1:16" x14ac:dyDescent="0.3">
      <c r="A692" t="str">
        <f t="shared" si="10"/>
        <v>PD|NewCapacity|RE1|PWRNGS_CS|2035</v>
      </c>
      <c r="B692" t="s">
        <v>16</v>
      </c>
      <c r="C692" t="s">
        <v>17</v>
      </c>
      <c r="D692" t="s">
        <v>37</v>
      </c>
      <c r="E692" t="s">
        <v>19</v>
      </c>
      <c r="F692" t="s">
        <v>30</v>
      </c>
      <c r="O692">
        <v>2035</v>
      </c>
    </row>
    <row r="693" spans="1:16" x14ac:dyDescent="0.3">
      <c r="A693" t="str">
        <f t="shared" si="10"/>
        <v>PD|NewCapacity|RE1|PWRSOLRTP|2035</v>
      </c>
      <c r="B693" t="s">
        <v>16</v>
      </c>
      <c r="C693" t="s">
        <v>17</v>
      </c>
      <c r="D693" t="s">
        <v>37</v>
      </c>
      <c r="E693" t="s">
        <v>19</v>
      </c>
      <c r="F693" t="s">
        <v>31</v>
      </c>
      <c r="O693">
        <v>2035</v>
      </c>
      <c r="P693">
        <v>5.2314521242866201</v>
      </c>
    </row>
    <row r="694" spans="1:16" x14ac:dyDescent="0.3">
      <c r="A694" t="str">
        <f t="shared" si="10"/>
        <v>PD|NewCapacity|RE1|PWRSOLRTP_ZNI|2035</v>
      </c>
      <c r="B694" t="s">
        <v>16</v>
      </c>
      <c r="C694" t="s">
        <v>17</v>
      </c>
      <c r="D694" t="s">
        <v>37</v>
      </c>
      <c r="E694" t="s">
        <v>19</v>
      </c>
      <c r="F694" t="s">
        <v>32</v>
      </c>
      <c r="O694">
        <v>2035</v>
      </c>
      <c r="P694">
        <v>3.6736255608367331E-2</v>
      </c>
    </row>
    <row r="695" spans="1:16" x14ac:dyDescent="0.3">
      <c r="A695" t="str">
        <f t="shared" si="10"/>
        <v>PD|NewCapacity|RE1|PWRSOLUGE|2035</v>
      </c>
      <c r="B695" t="s">
        <v>16</v>
      </c>
      <c r="C695" t="s">
        <v>17</v>
      </c>
      <c r="D695" t="s">
        <v>37</v>
      </c>
      <c r="E695" t="s">
        <v>19</v>
      </c>
      <c r="F695" t="s">
        <v>33</v>
      </c>
      <c r="O695">
        <v>2035</v>
      </c>
    </row>
    <row r="696" spans="1:16" x14ac:dyDescent="0.3">
      <c r="A696" t="str">
        <f t="shared" si="10"/>
        <v>PD|NewCapacity|RE1|PWRSOLUPE|2035</v>
      </c>
      <c r="B696" t="s">
        <v>16</v>
      </c>
      <c r="C696" t="s">
        <v>17</v>
      </c>
      <c r="D696" t="s">
        <v>37</v>
      </c>
      <c r="E696" t="s">
        <v>19</v>
      </c>
      <c r="F696" t="s">
        <v>34</v>
      </c>
      <c r="O696">
        <v>2035</v>
      </c>
    </row>
    <row r="697" spans="1:16" x14ac:dyDescent="0.3">
      <c r="A697" t="str">
        <f t="shared" si="10"/>
        <v>PD|NewCapacity|RE1|PWRSTD|2035</v>
      </c>
      <c r="B697" t="s">
        <v>16</v>
      </c>
      <c r="C697" t="s">
        <v>17</v>
      </c>
      <c r="D697" t="s">
        <v>37</v>
      </c>
      <c r="E697" t="s">
        <v>19</v>
      </c>
      <c r="F697" t="s">
        <v>35</v>
      </c>
      <c r="O697">
        <v>2035</v>
      </c>
    </row>
    <row r="698" spans="1:16" x14ac:dyDescent="0.3">
      <c r="A698" t="str">
        <f t="shared" si="10"/>
        <v>PD|NewCapacity|RE1|PWRWNDONS|2035</v>
      </c>
      <c r="B698" t="s">
        <v>16</v>
      </c>
      <c r="C698" t="s">
        <v>17</v>
      </c>
      <c r="D698" t="s">
        <v>37</v>
      </c>
      <c r="E698" t="s">
        <v>19</v>
      </c>
      <c r="F698" t="s">
        <v>36</v>
      </c>
      <c r="O698">
        <v>2035</v>
      </c>
      <c r="P698">
        <v>47.31</v>
      </c>
    </row>
    <row r="699" spans="1:16" x14ac:dyDescent="0.3">
      <c r="A699" t="str">
        <f t="shared" si="10"/>
        <v>PD|TotalCapacityAnnual|RE1|PWRBGS|2035</v>
      </c>
      <c r="B699" t="s">
        <v>16</v>
      </c>
      <c r="C699" t="s">
        <v>17</v>
      </c>
      <c r="D699" t="s">
        <v>38</v>
      </c>
      <c r="E699" t="s">
        <v>19</v>
      </c>
      <c r="F699" t="s">
        <v>20</v>
      </c>
      <c r="O699">
        <v>2035</v>
      </c>
      <c r="P699">
        <v>2.5488587520000001E-2</v>
      </c>
    </row>
    <row r="700" spans="1:16" x14ac:dyDescent="0.3">
      <c r="A700" t="str">
        <f t="shared" si="10"/>
        <v>PD|TotalCapacityAnnual|RE1|PWRCOA|2035</v>
      </c>
      <c r="B700" t="s">
        <v>16</v>
      </c>
      <c r="C700" t="s">
        <v>17</v>
      </c>
      <c r="D700" t="s">
        <v>38</v>
      </c>
      <c r="E700" t="s">
        <v>19</v>
      </c>
      <c r="F700" t="s">
        <v>21</v>
      </c>
      <c r="O700">
        <v>2035</v>
      </c>
    </row>
    <row r="701" spans="1:16" x14ac:dyDescent="0.3">
      <c r="A701" t="str">
        <f t="shared" si="10"/>
        <v>PD|TotalCapacityAnnual|RE1|PWRDSL|2035</v>
      </c>
      <c r="B701" t="s">
        <v>16</v>
      </c>
      <c r="C701" t="s">
        <v>17</v>
      </c>
      <c r="D701" t="s">
        <v>38</v>
      </c>
      <c r="E701" t="s">
        <v>19</v>
      </c>
      <c r="F701" t="s">
        <v>22</v>
      </c>
      <c r="O701">
        <v>2035</v>
      </c>
      <c r="P701">
        <v>24.944976</v>
      </c>
    </row>
    <row r="702" spans="1:16" x14ac:dyDescent="0.3">
      <c r="A702" t="str">
        <f t="shared" si="10"/>
        <v>PD|TotalCapacityAnnual|RE1|PWRFOL|2035</v>
      </c>
      <c r="B702" t="s">
        <v>16</v>
      </c>
      <c r="C702" t="s">
        <v>17</v>
      </c>
      <c r="D702" t="s">
        <v>38</v>
      </c>
      <c r="E702" t="s">
        <v>19</v>
      </c>
      <c r="F702" t="s">
        <v>23</v>
      </c>
      <c r="O702">
        <v>2035</v>
      </c>
      <c r="P702">
        <v>8.3885759999999987</v>
      </c>
    </row>
    <row r="703" spans="1:16" x14ac:dyDescent="0.3">
      <c r="A703" t="str">
        <f t="shared" si="10"/>
        <v>PD|TotalCapacityAnnual|RE1|PWRHYDDAM|2035</v>
      </c>
      <c r="B703" t="s">
        <v>16</v>
      </c>
      <c r="C703" t="s">
        <v>17</v>
      </c>
      <c r="D703" t="s">
        <v>38</v>
      </c>
      <c r="E703" t="s">
        <v>19</v>
      </c>
      <c r="F703" t="s">
        <v>24</v>
      </c>
      <c r="O703">
        <v>2035</v>
      </c>
      <c r="P703">
        <v>440.49164800000011</v>
      </c>
    </row>
    <row r="704" spans="1:16" x14ac:dyDescent="0.3">
      <c r="A704" t="str">
        <f t="shared" si="10"/>
        <v>PD|TotalCapacityAnnual|RE1|PWRHYDROR|2035</v>
      </c>
      <c r="B704" t="s">
        <v>16</v>
      </c>
      <c r="C704" t="s">
        <v>17</v>
      </c>
      <c r="D704" t="s">
        <v>38</v>
      </c>
      <c r="E704" t="s">
        <v>19</v>
      </c>
      <c r="F704" t="s">
        <v>25</v>
      </c>
      <c r="O704">
        <v>2035</v>
      </c>
      <c r="P704">
        <v>21.097584000000001</v>
      </c>
    </row>
    <row r="705" spans="1:16" x14ac:dyDescent="0.3">
      <c r="A705" t="str">
        <f t="shared" si="10"/>
        <v>PD|TotalCapacityAnnual|RE1|PWRHYDROR_NDC|2035</v>
      </c>
      <c r="B705" t="s">
        <v>16</v>
      </c>
      <c r="C705" t="s">
        <v>17</v>
      </c>
      <c r="D705" t="s">
        <v>38</v>
      </c>
      <c r="E705" t="s">
        <v>19</v>
      </c>
      <c r="F705" t="s">
        <v>26</v>
      </c>
      <c r="O705">
        <v>2035</v>
      </c>
      <c r="P705">
        <v>29.725108271999989</v>
      </c>
    </row>
    <row r="706" spans="1:16" x14ac:dyDescent="0.3">
      <c r="A706" t="str">
        <f t="shared" ref="A706:A769" si="11">B706&amp;"|"&amp;D706&amp;"|"&amp;E706&amp;"|"&amp;F706&amp;"|"&amp;O706</f>
        <v>PD|TotalCapacityAnnual|RE1|PWRJET|2035</v>
      </c>
      <c r="B706" t="s">
        <v>16</v>
      </c>
      <c r="C706" t="s">
        <v>17</v>
      </c>
      <c r="D706" t="s">
        <v>38</v>
      </c>
      <c r="E706" t="s">
        <v>19</v>
      </c>
      <c r="F706" t="s">
        <v>27</v>
      </c>
      <c r="O706">
        <v>2035</v>
      </c>
      <c r="P706">
        <v>1.5768</v>
      </c>
    </row>
    <row r="707" spans="1:16" x14ac:dyDescent="0.3">
      <c r="A707" t="str">
        <f t="shared" si="11"/>
        <v>PD|TotalCapacityAnnual|RE1|PWRLPG|2035</v>
      </c>
      <c r="B707" t="s">
        <v>16</v>
      </c>
      <c r="C707" t="s">
        <v>17</v>
      </c>
      <c r="D707" t="s">
        <v>38</v>
      </c>
      <c r="E707" t="s">
        <v>19</v>
      </c>
      <c r="F707" t="s">
        <v>28</v>
      </c>
      <c r="O707">
        <v>2035</v>
      </c>
      <c r="P707">
        <v>1.639872</v>
      </c>
    </row>
    <row r="708" spans="1:16" x14ac:dyDescent="0.3">
      <c r="A708" t="str">
        <f t="shared" si="11"/>
        <v>PD|TotalCapacityAnnual|RE1|PWRNGS_CC|2035</v>
      </c>
      <c r="B708" t="s">
        <v>16</v>
      </c>
      <c r="C708" t="s">
        <v>17</v>
      </c>
      <c r="D708" t="s">
        <v>38</v>
      </c>
      <c r="E708" t="s">
        <v>19</v>
      </c>
      <c r="F708" t="s">
        <v>29</v>
      </c>
      <c r="O708">
        <v>2035</v>
      </c>
      <c r="P708">
        <v>70.104500000000002</v>
      </c>
    </row>
    <row r="709" spans="1:16" x14ac:dyDescent="0.3">
      <c r="A709" t="str">
        <f t="shared" si="11"/>
        <v>PD|TotalCapacityAnnual|RE1|PWRNGS_CS|2035</v>
      </c>
      <c r="B709" t="s">
        <v>16</v>
      </c>
      <c r="C709" t="s">
        <v>17</v>
      </c>
      <c r="D709" t="s">
        <v>38</v>
      </c>
      <c r="E709" t="s">
        <v>19</v>
      </c>
      <c r="F709" t="s">
        <v>30</v>
      </c>
      <c r="O709">
        <v>2035</v>
      </c>
      <c r="P709">
        <v>23.084351999999999</v>
      </c>
    </row>
    <row r="710" spans="1:16" x14ac:dyDescent="0.3">
      <c r="A710" t="str">
        <f t="shared" si="11"/>
        <v>PD|TotalCapacityAnnual|RE1|PWRSOLRTP|2035</v>
      </c>
      <c r="B710" t="s">
        <v>16</v>
      </c>
      <c r="C710" t="s">
        <v>17</v>
      </c>
      <c r="D710" t="s">
        <v>38</v>
      </c>
      <c r="E710" t="s">
        <v>19</v>
      </c>
      <c r="F710" t="s">
        <v>31</v>
      </c>
      <c r="O710">
        <v>2035</v>
      </c>
      <c r="P710">
        <v>112.54819004438809</v>
      </c>
    </row>
    <row r="711" spans="1:16" x14ac:dyDescent="0.3">
      <c r="A711" t="str">
        <f t="shared" si="11"/>
        <v>PD|TotalCapacityAnnual|RE1|PWRSOLRTP_ZNI|2035</v>
      </c>
      <c r="B711" t="s">
        <v>16</v>
      </c>
      <c r="C711" t="s">
        <v>17</v>
      </c>
      <c r="D711" t="s">
        <v>38</v>
      </c>
      <c r="E711" t="s">
        <v>19</v>
      </c>
      <c r="F711" t="s">
        <v>32</v>
      </c>
      <c r="O711">
        <v>2035</v>
      </c>
      <c r="P711">
        <v>1.2334301449345051</v>
      </c>
    </row>
    <row r="712" spans="1:16" x14ac:dyDescent="0.3">
      <c r="A712" t="str">
        <f t="shared" si="11"/>
        <v>PD|TotalCapacityAnnual|RE1|PWRSOLUGE|2035</v>
      </c>
      <c r="B712" t="s">
        <v>16</v>
      </c>
      <c r="C712" t="s">
        <v>17</v>
      </c>
      <c r="D712" t="s">
        <v>38</v>
      </c>
      <c r="E712" t="s">
        <v>19</v>
      </c>
      <c r="F712" t="s">
        <v>33</v>
      </c>
      <c r="O712">
        <v>2035</v>
      </c>
      <c r="P712">
        <v>191.79186048</v>
      </c>
    </row>
    <row r="713" spans="1:16" x14ac:dyDescent="0.3">
      <c r="A713" t="str">
        <f t="shared" si="11"/>
        <v>PD|TotalCapacityAnnual|RE1|PWRSOLUPE|2035</v>
      </c>
      <c r="B713" t="s">
        <v>16</v>
      </c>
      <c r="C713" t="s">
        <v>17</v>
      </c>
      <c r="D713" t="s">
        <v>38</v>
      </c>
      <c r="E713" t="s">
        <v>19</v>
      </c>
      <c r="F713" t="s">
        <v>34</v>
      </c>
      <c r="O713">
        <v>2035</v>
      </c>
      <c r="P713">
        <v>39.172600079999931</v>
      </c>
    </row>
    <row r="714" spans="1:16" x14ac:dyDescent="0.3">
      <c r="A714" t="str">
        <f t="shared" si="11"/>
        <v>PD|TotalCapacityAnnual|RE1|PWRSTD|2035</v>
      </c>
      <c r="B714" t="s">
        <v>16</v>
      </c>
      <c r="C714" t="s">
        <v>17</v>
      </c>
      <c r="D714" t="s">
        <v>38</v>
      </c>
      <c r="E714" t="s">
        <v>19</v>
      </c>
      <c r="F714" t="s">
        <v>35</v>
      </c>
      <c r="O714">
        <v>2035</v>
      </c>
      <c r="P714">
        <v>8.163062064</v>
      </c>
    </row>
    <row r="715" spans="1:16" x14ac:dyDescent="0.3">
      <c r="A715" t="str">
        <f t="shared" si="11"/>
        <v>PD|TotalCapacityAnnual|RE1|PWRWNDONS|2035</v>
      </c>
      <c r="B715" t="s">
        <v>16</v>
      </c>
      <c r="C715" t="s">
        <v>17</v>
      </c>
      <c r="D715" t="s">
        <v>38</v>
      </c>
      <c r="E715" t="s">
        <v>19</v>
      </c>
      <c r="F715" t="s">
        <v>36</v>
      </c>
      <c r="O715">
        <v>2035</v>
      </c>
      <c r="P715">
        <v>81.945085714285725</v>
      </c>
    </row>
    <row r="716" spans="1:16" x14ac:dyDescent="0.3">
      <c r="A716" t="str">
        <f t="shared" si="11"/>
        <v>PD|AccumulatedNewCapacity|RE1|PWRBGS|2036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O716">
        <v>2036</v>
      </c>
    </row>
    <row r="717" spans="1:16" x14ac:dyDescent="0.3">
      <c r="A717" t="str">
        <f t="shared" si="11"/>
        <v>PD|AccumulatedNewCapacity|RE1|PWRCOA|2036</v>
      </c>
      <c r="B717" t="s">
        <v>16</v>
      </c>
      <c r="C717" t="s">
        <v>17</v>
      </c>
      <c r="D717" t="s">
        <v>18</v>
      </c>
      <c r="E717" t="s">
        <v>19</v>
      </c>
      <c r="F717" t="s">
        <v>21</v>
      </c>
      <c r="O717">
        <v>2036</v>
      </c>
    </row>
    <row r="718" spans="1:16" x14ac:dyDescent="0.3">
      <c r="A718" t="str">
        <f t="shared" si="11"/>
        <v>PD|AccumulatedNewCapacity|RE1|PWRDSL|2036</v>
      </c>
      <c r="B718" t="s">
        <v>16</v>
      </c>
      <c r="C718" t="s">
        <v>17</v>
      </c>
      <c r="D718" t="s">
        <v>18</v>
      </c>
      <c r="E718" t="s">
        <v>19</v>
      </c>
      <c r="F718" t="s">
        <v>22</v>
      </c>
      <c r="O718">
        <v>2036</v>
      </c>
    </row>
    <row r="719" spans="1:16" x14ac:dyDescent="0.3">
      <c r="A719" t="str">
        <f t="shared" si="11"/>
        <v>PD|AccumulatedNewCapacity|RE1|PWRFOL|2036</v>
      </c>
      <c r="B719" t="s">
        <v>16</v>
      </c>
      <c r="C719" t="s">
        <v>17</v>
      </c>
      <c r="D719" t="s">
        <v>18</v>
      </c>
      <c r="E719" t="s">
        <v>19</v>
      </c>
      <c r="F719" t="s">
        <v>23</v>
      </c>
      <c r="O719">
        <v>2036</v>
      </c>
    </row>
    <row r="720" spans="1:16" x14ac:dyDescent="0.3">
      <c r="A720" t="str">
        <f t="shared" si="11"/>
        <v>PD|AccumulatedNewCapacity|RE1|PWRHYDDAM|2036</v>
      </c>
      <c r="B720" t="s">
        <v>16</v>
      </c>
      <c r="C720" t="s">
        <v>17</v>
      </c>
      <c r="D720" t="s">
        <v>18</v>
      </c>
      <c r="E720" t="s">
        <v>19</v>
      </c>
      <c r="F720" t="s">
        <v>24</v>
      </c>
      <c r="O720">
        <v>2036</v>
      </c>
      <c r="P720">
        <v>37.840000000000003</v>
      </c>
    </row>
    <row r="721" spans="1:16" x14ac:dyDescent="0.3">
      <c r="A721" t="str">
        <f t="shared" si="11"/>
        <v>PD|AccumulatedNewCapacity|RE1|PWRHYDROR|2036</v>
      </c>
      <c r="B721" t="s">
        <v>16</v>
      </c>
      <c r="C721" t="s">
        <v>17</v>
      </c>
      <c r="D721" t="s">
        <v>18</v>
      </c>
      <c r="E721" t="s">
        <v>19</v>
      </c>
      <c r="F721" t="s">
        <v>25</v>
      </c>
      <c r="O721">
        <v>2036</v>
      </c>
    </row>
    <row r="722" spans="1:16" x14ac:dyDescent="0.3">
      <c r="A722" t="str">
        <f t="shared" si="11"/>
        <v>PD|AccumulatedNewCapacity|RE1|PWRHYDROR_NDC|2036</v>
      </c>
      <c r="B722" t="s">
        <v>16</v>
      </c>
      <c r="C722" t="s">
        <v>17</v>
      </c>
      <c r="D722" t="s">
        <v>18</v>
      </c>
      <c r="E722" t="s">
        <v>19</v>
      </c>
      <c r="F722" t="s">
        <v>26</v>
      </c>
      <c r="O722">
        <v>2036</v>
      </c>
    </row>
    <row r="723" spans="1:16" x14ac:dyDescent="0.3">
      <c r="A723" t="str">
        <f t="shared" si="11"/>
        <v>PD|AccumulatedNewCapacity|RE1|PWRJET|2036</v>
      </c>
      <c r="B723" t="s">
        <v>16</v>
      </c>
      <c r="C723" t="s">
        <v>17</v>
      </c>
      <c r="D723" t="s">
        <v>18</v>
      </c>
      <c r="E723" t="s">
        <v>19</v>
      </c>
      <c r="F723" t="s">
        <v>27</v>
      </c>
      <c r="O723">
        <v>2036</v>
      </c>
    </row>
    <row r="724" spans="1:16" x14ac:dyDescent="0.3">
      <c r="A724" t="str">
        <f t="shared" si="11"/>
        <v>PD|AccumulatedNewCapacity|RE1|PWRLPG|2036</v>
      </c>
      <c r="B724" t="s">
        <v>16</v>
      </c>
      <c r="C724" t="s">
        <v>17</v>
      </c>
      <c r="D724" t="s">
        <v>18</v>
      </c>
      <c r="E724" t="s">
        <v>19</v>
      </c>
      <c r="F724" t="s">
        <v>28</v>
      </c>
      <c r="O724">
        <v>2036</v>
      </c>
    </row>
    <row r="725" spans="1:16" x14ac:dyDescent="0.3">
      <c r="A725" t="str">
        <f t="shared" si="11"/>
        <v>PD|AccumulatedNewCapacity|RE1|PWRNGS_CC|2036</v>
      </c>
      <c r="B725" t="s">
        <v>16</v>
      </c>
      <c r="C725" t="s">
        <v>17</v>
      </c>
      <c r="D725" t="s">
        <v>18</v>
      </c>
      <c r="E725" t="s">
        <v>19</v>
      </c>
      <c r="F725" t="s">
        <v>29</v>
      </c>
      <c r="O725">
        <v>2036</v>
      </c>
    </row>
    <row r="726" spans="1:16" x14ac:dyDescent="0.3">
      <c r="A726" t="str">
        <f t="shared" si="11"/>
        <v>PD|AccumulatedNewCapacity|RE1|PWRNGS_CS|2036</v>
      </c>
      <c r="B726" t="s">
        <v>16</v>
      </c>
      <c r="C726" t="s">
        <v>17</v>
      </c>
      <c r="D726" t="s">
        <v>18</v>
      </c>
      <c r="E726" t="s">
        <v>19</v>
      </c>
      <c r="F726" t="s">
        <v>30</v>
      </c>
      <c r="O726">
        <v>2036</v>
      </c>
    </row>
    <row r="727" spans="1:16" x14ac:dyDescent="0.3">
      <c r="A727" t="str">
        <f t="shared" si="11"/>
        <v>PD|AccumulatedNewCapacity|RE1|PWRSOLRTP|2036</v>
      </c>
      <c r="B727" t="s">
        <v>16</v>
      </c>
      <c r="C727" t="s">
        <v>17</v>
      </c>
      <c r="D727" t="s">
        <v>18</v>
      </c>
      <c r="E727" t="s">
        <v>19</v>
      </c>
      <c r="F727" t="s">
        <v>31</v>
      </c>
      <c r="O727">
        <v>2036</v>
      </c>
      <c r="P727">
        <v>93.544369055168048</v>
      </c>
    </row>
    <row r="728" spans="1:16" x14ac:dyDescent="0.3">
      <c r="A728" t="str">
        <f t="shared" si="11"/>
        <v>PD|AccumulatedNewCapacity|RE1|PWRSOLRTP_ZNI|2036</v>
      </c>
      <c r="B728" t="s">
        <v>16</v>
      </c>
      <c r="C728" t="s">
        <v>17</v>
      </c>
      <c r="D728" t="s">
        <v>18</v>
      </c>
      <c r="E728" t="s">
        <v>19</v>
      </c>
      <c r="F728" t="s">
        <v>32</v>
      </c>
      <c r="O728">
        <v>2036</v>
      </c>
      <c r="P728">
        <v>0.81018116614467595</v>
      </c>
    </row>
    <row r="729" spans="1:16" x14ac:dyDescent="0.3">
      <c r="A729" t="str">
        <f t="shared" si="11"/>
        <v>PD|AccumulatedNewCapacity|RE1|PWRSOLUGE|2036</v>
      </c>
      <c r="B729" t="s">
        <v>16</v>
      </c>
      <c r="C729" t="s">
        <v>17</v>
      </c>
      <c r="D729" t="s">
        <v>18</v>
      </c>
      <c r="E729" t="s">
        <v>19</v>
      </c>
      <c r="F729" t="s">
        <v>33</v>
      </c>
      <c r="O729">
        <v>2036</v>
      </c>
      <c r="P729">
        <v>143.394192</v>
      </c>
    </row>
    <row r="730" spans="1:16" x14ac:dyDescent="0.3">
      <c r="A730" t="str">
        <f t="shared" si="11"/>
        <v>PD|AccumulatedNewCapacity|RE1|PWRSOLUPE|2036</v>
      </c>
      <c r="B730" t="s">
        <v>16</v>
      </c>
      <c r="C730" t="s">
        <v>17</v>
      </c>
      <c r="D730" t="s">
        <v>18</v>
      </c>
      <c r="E730" t="s">
        <v>19</v>
      </c>
      <c r="F730" t="s">
        <v>34</v>
      </c>
      <c r="O730">
        <v>2036</v>
      </c>
      <c r="P730">
        <v>12.14419823999993</v>
      </c>
    </row>
    <row r="731" spans="1:16" x14ac:dyDescent="0.3">
      <c r="A731" t="str">
        <f t="shared" si="11"/>
        <v>PD|AccumulatedNewCapacity|RE1|PWRSTD|2036</v>
      </c>
      <c r="B731" t="s">
        <v>16</v>
      </c>
      <c r="C731" t="s">
        <v>17</v>
      </c>
      <c r="D731" t="s">
        <v>18</v>
      </c>
      <c r="E731" t="s">
        <v>19</v>
      </c>
      <c r="F731" t="s">
        <v>35</v>
      </c>
      <c r="O731">
        <v>2036</v>
      </c>
    </row>
    <row r="732" spans="1:16" x14ac:dyDescent="0.3">
      <c r="A732" t="str">
        <f t="shared" si="11"/>
        <v>PD|AccumulatedNewCapacity|RE1|PWRWNDONS|2036</v>
      </c>
      <c r="B732" t="s">
        <v>16</v>
      </c>
      <c r="C732" t="s">
        <v>17</v>
      </c>
      <c r="D732" t="s">
        <v>18</v>
      </c>
      <c r="E732" t="s">
        <v>19</v>
      </c>
      <c r="F732" t="s">
        <v>36</v>
      </c>
      <c r="O732">
        <v>2036</v>
      </c>
      <c r="P732">
        <v>127.44667009523739</v>
      </c>
    </row>
    <row r="733" spans="1:16" x14ac:dyDescent="0.3">
      <c r="A733" t="str">
        <f t="shared" si="11"/>
        <v>PD|NewCapacity|RE1|PWRBGS|2036</v>
      </c>
      <c r="B733" t="s">
        <v>16</v>
      </c>
      <c r="C733" t="s">
        <v>17</v>
      </c>
      <c r="D733" t="s">
        <v>37</v>
      </c>
      <c r="E733" t="s">
        <v>19</v>
      </c>
      <c r="F733" t="s">
        <v>20</v>
      </c>
      <c r="O733">
        <v>2036</v>
      </c>
    </row>
    <row r="734" spans="1:16" x14ac:dyDescent="0.3">
      <c r="A734" t="str">
        <f t="shared" si="11"/>
        <v>PD|NewCapacity|RE1|PWRCOA|2036</v>
      </c>
      <c r="B734" t="s">
        <v>16</v>
      </c>
      <c r="C734" t="s">
        <v>17</v>
      </c>
      <c r="D734" t="s">
        <v>37</v>
      </c>
      <c r="E734" t="s">
        <v>19</v>
      </c>
      <c r="F734" t="s">
        <v>21</v>
      </c>
      <c r="O734">
        <v>2036</v>
      </c>
    </row>
    <row r="735" spans="1:16" x14ac:dyDescent="0.3">
      <c r="A735" t="str">
        <f t="shared" si="11"/>
        <v>PD|NewCapacity|RE1|PWRDSL|2036</v>
      </c>
      <c r="B735" t="s">
        <v>16</v>
      </c>
      <c r="C735" t="s">
        <v>17</v>
      </c>
      <c r="D735" t="s">
        <v>37</v>
      </c>
      <c r="E735" t="s">
        <v>19</v>
      </c>
      <c r="F735" t="s">
        <v>22</v>
      </c>
      <c r="O735">
        <v>2036</v>
      </c>
    </row>
    <row r="736" spans="1:16" x14ac:dyDescent="0.3">
      <c r="A736" t="str">
        <f t="shared" si="11"/>
        <v>PD|NewCapacity|RE1|PWRFOL|2036</v>
      </c>
      <c r="B736" t="s">
        <v>16</v>
      </c>
      <c r="C736" t="s">
        <v>17</v>
      </c>
      <c r="D736" t="s">
        <v>37</v>
      </c>
      <c r="E736" t="s">
        <v>19</v>
      </c>
      <c r="F736" t="s">
        <v>23</v>
      </c>
      <c r="O736">
        <v>2036</v>
      </c>
    </row>
    <row r="737" spans="1:16" x14ac:dyDescent="0.3">
      <c r="A737" t="str">
        <f t="shared" si="11"/>
        <v>PD|NewCapacity|RE1|PWRHYDDAM|2036</v>
      </c>
      <c r="B737" t="s">
        <v>16</v>
      </c>
      <c r="C737" t="s">
        <v>17</v>
      </c>
      <c r="D737" t="s">
        <v>37</v>
      </c>
      <c r="E737" t="s">
        <v>19</v>
      </c>
      <c r="F737" t="s">
        <v>24</v>
      </c>
      <c r="O737">
        <v>2036</v>
      </c>
    </row>
    <row r="738" spans="1:16" x14ac:dyDescent="0.3">
      <c r="A738" t="str">
        <f t="shared" si="11"/>
        <v>PD|NewCapacity|RE1|PWRHYDROR|2036</v>
      </c>
      <c r="B738" t="s">
        <v>16</v>
      </c>
      <c r="C738" t="s">
        <v>17</v>
      </c>
      <c r="D738" t="s">
        <v>37</v>
      </c>
      <c r="E738" t="s">
        <v>19</v>
      </c>
      <c r="F738" t="s">
        <v>25</v>
      </c>
      <c r="O738">
        <v>2036</v>
      </c>
    </row>
    <row r="739" spans="1:16" x14ac:dyDescent="0.3">
      <c r="A739" t="str">
        <f t="shared" si="11"/>
        <v>PD|NewCapacity|RE1|PWRHYDROR_NDC|2036</v>
      </c>
      <c r="B739" t="s">
        <v>16</v>
      </c>
      <c r="C739" t="s">
        <v>17</v>
      </c>
      <c r="D739" t="s">
        <v>37</v>
      </c>
      <c r="E739" t="s">
        <v>19</v>
      </c>
      <c r="F739" t="s">
        <v>26</v>
      </c>
      <c r="O739">
        <v>2036</v>
      </c>
    </row>
    <row r="740" spans="1:16" x14ac:dyDescent="0.3">
      <c r="A740" t="str">
        <f t="shared" si="11"/>
        <v>PD|NewCapacity|RE1|PWRJET|2036</v>
      </c>
      <c r="B740" t="s">
        <v>16</v>
      </c>
      <c r="C740" t="s">
        <v>17</v>
      </c>
      <c r="D740" t="s">
        <v>37</v>
      </c>
      <c r="E740" t="s">
        <v>19</v>
      </c>
      <c r="F740" t="s">
        <v>27</v>
      </c>
      <c r="O740">
        <v>2036</v>
      </c>
    </row>
    <row r="741" spans="1:16" x14ac:dyDescent="0.3">
      <c r="A741" t="str">
        <f t="shared" si="11"/>
        <v>PD|NewCapacity|RE1|PWRLPG|2036</v>
      </c>
      <c r="B741" t="s">
        <v>16</v>
      </c>
      <c r="C741" t="s">
        <v>17</v>
      </c>
      <c r="D741" t="s">
        <v>37</v>
      </c>
      <c r="E741" t="s">
        <v>19</v>
      </c>
      <c r="F741" t="s">
        <v>28</v>
      </c>
      <c r="O741">
        <v>2036</v>
      </c>
    </row>
    <row r="742" spans="1:16" x14ac:dyDescent="0.3">
      <c r="A742" t="str">
        <f t="shared" si="11"/>
        <v>PD|NewCapacity|RE1|PWRNGS_CC|2036</v>
      </c>
      <c r="B742" t="s">
        <v>16</v>
      </c>
      <c r="C742" t="s">
        <v>17</v>
      </c>
      <c r="D742" t="s">
        <v>37</v>
      </c>
      <c r="E742" t="s">
        <v>19</v>
      </c>
      <c r="F742" t="s">
        <v>29</v>
      </c>
      <c r="O742">
        <v>2036</v>
      </c>
    </row>
    <row r="743" spans="1:16" x14ac:dyDescent="0.3">
      <c r="A743" t="str">
        <f t="shared" si="11"/>
        <v>PD|NewCapacity|RE1|PWRNGS_CS|2036</v>
      </c>
      <c r="B743" t="s">
        <v>16</v>
      </c>
      <c r="C743" t="s">
        <v>17</v>
      </c>
      <c r="D743" t="s">
        <v>37</v>
      </c>
      <c r="E743" t="s">
        <v>19</v>
      </c>
      <c r="F743" t="s">
        <v>30</v>
      </c>
      <c r="O743">
        <v>2036</v>
      </c>
    </row>
    <row r="744" spans="1:16" x14ac:dyDescent="0.3">
      <c r="A744" t="str">
        <f t="shared" si="11"/>
        <v>PD|NewCapacity|RE1|PWRSOLRTP|2036</v>
      </c>
      <c r="B744" t="s">
        <v>16</v>
      </c>
      <c r="C744" t="s">
        <v>17</v>
      </c>
      <c r="D744" t="s">
        <v>37</v>
      </c>
      <c r="E744" t="s">
        <v>19</v>
      </c>
      <c r="F744" t="s">
        <v>31</v>
      </c>
      <c r="O744">
        <v>2036</v>
      </c>
      <c r="P744">
        <v>4.280279010779962</v>
      </c>
    </row>
    <row r="745" spans="1:16" x14ac:dyDescent="0.3">
      <c r="A745" t="str">
        <f t="shared" si="11"/>
        <v>PD|NewCapacity|RE1|PWRSOLRTP_ZNI|2036</v>
      </c>
      <c r="B745" t="s">
        <v>16</v>
      </c>
      <c r="C745" t="s">
        <v>17</v>
      </c>
      <c r="D745" t="s">
        <v>37</v>
      </c>
      <c r="E745" t="s">
        <v>19</v>
      </c>
      <c r="F745" t="s">
        <v>32</v>
      </c>
      <c r="O745">
        <v>2036</v>
      </c>
      <c r="P745">
        <v>3.7491981210170632E-2</v>
      </c>
    </row>
    <row r="746" spans="1:16" x14ac:dyDescent="0.3">
      <c r="A746" t="str">
        <f t="shared" si="11"/>
        <v>PD|NewCapacity|RE1|PWRSOLUGE|2036</v>
      </c>
      <c r="B746" t="s">
        <v>16</v>
      </c>
      <c r="C746" t="s">
        <v>17</v>
      </c>
      <c r="D746" t="s">
        <v>37</v>
      </c>
      <c r="E746" t="s">
        <v>19</v>
      </c>
      <c r="F746" t="s">
        <v>33</v>
      </c>
      <c r="O746">
        <v>2036</v>
      </c>
    </row>
    <row r="747" spans="1:16" x14ac:dyDescent="0.3">
      <c r="A747" t="str">
        <f t="shared" si="11"/>
        <v>PD|NewCapacity|RE1|PWRSOLUPE|2036</v>
      </c>
      <c r="B747" t="s">
        <v>16</v>
      </c>
      <c r="C747" t="s">
        <v>17</v>
      </c>
      <c r="D747" t="s">
        <v>37</v>
      </c>
      <c r="E747" t="s">
        <v>19</v>
      </c>
      <c r="F747" t="s">
        <v>34</v>
      </c>
      <c r="O747">
        <v>2036</v>
      </c>
    </row>
    <row r="748" spans="1:16" x14ac:dyDescent="0.3">
      <c r="A748" t="str">
        <f t="shared" si="11"/>
        <v>PD|NewCapacity|RE1|PWRSTD|2036</v>
      </c>
      <c r="B748" t="s">
        <v>16</v>
      </c>
      <c r="C748" t="s">
        <v>17</v>
      </c>
      <c r="D748" t="s">
        <v>37</v>
      </c>
      <c r="E748" t="s">
        <v>19</v>
      </c>
      <c r="F748" t="s">
        <v>35</v>
      </c>
      <c r="O748">
        <v>2036</v>
      </c>
    </row>
    <row r="749" spans="1:16" x14ac:dyDescent="0.3">
      <c r="A749" t="str">
        <f t="shared" si="11"/>
        <v>PD|NewCapacity|RE1|PWRWNDONS|2036</v>
      </c>
      <c r="B749" t="s">
        <v>16</v>
      </c>
      <c r="C749" t="s">
        <v>17</v>
      </c>
      <c r="D749" t="s">
        <v>37</v>
      </c>
      <c r="E749" t="s">
        <v>19</v>
      </c>
      <c r="F749" t="s">
        <v>36</v>
      </c>
      <c r="O749">
        <v>2036</v>
      </c>
      <c r="P749">
        <v>46.870246780951632</v>
      </c>
    </row>
    <row r="750" spans="1:16" x14ac:dyDescent="0.3">
      <c r="A750" t="str">
        <f t="shared" si="11"/>
        <v>PD|TotalCapacityAnnual|RE1|PWRBGS|2036</v>
      </c>
      <c r="B750" t="s">
        <v>16</v>
      </c>
      <c r="C750" t="s">
        <v>17</v>
      </c>
      <c r="D750" t="s">
        <v>38</v>
      </c>
      <c r="E750" t="s">
        <v>19</v>
      </c>
      <c r="F750" t="s">
        <v>20</v>
      </c>
      <c r="O750">
        <v>2036</v>
      </c>
      <c r="P750">
        <v>2.5488587520000001E-2</v>
      </c>
    </row>
    <row r="751" spans="1:16" x14ac:dyDescent="0.3">
      <c r="A751" t="str">
        <f t="shared" si="11"/>
        <v>PD|TotalCapacityAnnual|RE1|PWRCOA|2036</v>
      </c>
      <c r="B751" t="s">
        <v>16</v>
      </c>
      <c r="C751" t="s">
        <v>17</v>
      </c>
      <c r="D751" t="s">
        <v>38</v>
      </c>
      <c r="E751" t="s">
        <v>19</v>
      </c>
      <c r="F751" t="s">
        <v>21</v>
      </c>
      <c r="O751">
        <v>2036</v>
      </c>
    </row>
    <row r="752" spans="1:16" x14ac:dyDescent="0.3">
      <c r="A752" t="str">
        <f t="shared" si="11"/>
        <v>PD|TotalCapacityAnnual|RE1|PWRDSL|2036</v>
      </c>
      <c r="B752" t="s">
        <v>16</v>
      </c>
      <c r="C752" t="s">
        <v>17</v>
      </c>
      <c r="D752" t="s">
        <v>38</v>
      </c>
      <c r="E752" t="s">
        <v>19</v>
      </c>
      <c r="F752" t="s">
        <v>22</v>
      </c>
      <c r="O752">
        <v>2036</v>
      </c>
      <c r="P752">
        <v>24.944976</v>
      </c>
    </row>
    <row r="753" spans="1:16" x14ac:dyDescent="0.3">
      <c r="A753" t="str">
        <f t="shared" si="11"/>
        <v>PD|TotalCapacityAnnual|RE1|PWRFOL|2036</v>
      </c>
      <c r="B753" t="s">
        <v>16</v>
      </c>
      <c r="C753" t="s">
        <v>17</v>
      </c>
      <c r="D753" t="s">
        <v>38</v>
      </c>
      <c r="E753" t="s">
        <v>19</v>
      </c>
      <c r="F753" t="s">
        <v>23</v>
      </c>
      <c r="O753">
        <v>2036</v>
      </c>
      <c r="P753">
        <v>8.3885759999999987</v>
      </c>
    </row>
    <row r="754" spans="1:16" x14ac:dyDescent="0.3">
      <c r="A754" t="str">
        <f t="shared" si="11"/>
        <v>PD|TotalCapacityAnnual|RE1|PWRHYDDAM|2036</v>
      </c>
      <c r="B754" t="s">
        <v>16</v>
      </c>
      <c r="C754" t="s">
        <v>17</v>
      </c>
      <c r="D754" t="s">
        <v>38</v>
      </c>
      <c r="E754" t="s">
        <v>19</v>
      </c>
      <c r="F754" t="s">
        <v>24</v>
      </c>
      <c r="O754">
        <v>2036</v>
      </c>
      <c r="P754">
        <v>440.49164800000011</v>
      </c>
    </row>
    <row r="755" spans="1:16" x14ac:dyDescent="0.3">
      <c r="A755" t="str">
        <f t="shared" si="11"/>
        <v>PD|TotalCapacityAnnual|RE1|PWRHYDROR|2036</v>
      </c>
      <c r="B755" t="s">
        <v>16</v>
      </c>
      <c r="C755" t="s">
        <v>17</v>
      </c>
      <c r="D755" t="s">
        <v>38</v>
      </c>
      <c r="E755" t="s">
        <v>19</v>
      </c>
      <c r="F755" t="s">
        <v>25</v>
      </c>
      <c r="O755">
        <v>2036</v>
      </c>
      <c r="P755">
        <v>21.097584000000001</v>
      </c>
    </row>
    <row r="756" spans="1:16" x14ac:dyDescent="0.3">
      <c r="A756" t="str">
        <f t="shared" si="11"/>
        <v>PD|TotalCapacityAnnual|RE1|PWRHYDROR_NDC|2036</v>
      </c>
      <c r="B756" t="s">
        <v>16</v>
      </c>
      <c r="C756" t="s">
        <v>17</v>
      </c>
      <c r="D756" t="s">
        <v>38</v>
      </c>
      <c r="E756" t="s">
        <v>19</v>
      </c>
      <c r="F756" t="s">
        <v>26</v>
      </c>
      <c r="O756">
        <v>2036</v>
      </c>
      <c r="P756">
        <v>29.725108271999989</v>
      </c>
    </row>
    <row r="757" spans="1:16" x14ac:dyDescent="0.3">
      <c r="A757" t="str">
        <f t="shared" si="11"/>
        <v>PD|TotalCapacityAnnual|RE1|PWRJET|2036</v>
      </c>
      <c r="B757" t="s">
        <v>16</v>
      </c>
      <c r="C757" t="s">
        <v>17</v>
      </c>
      <c r="D757" t="s">
        <v>38</v>
      </c>
      <c r="E757" t="s">
        <v>19</v>
      </c>
      <c r="F757" t="s">
        <v>27</v>
      </c>
      <c r="O757">
        <v>2036</v>
      </c>
      <c r="P757">
        <v>1.5768</v>
      </c>
    </row>
    <row r="758" spans="1:16" x14ac:dyDescent="0.3">
      <c r="A758" t="str">
        <f t="shared" si="11"/>
        <v>PD|TotalCapacityAnnual|RE1|PWRLPG|2036</v>
      </c>
      <c r="B758" t="s">
        <v>16</v>
      </c>
      <c r="C758" t="s">
        <v>17</v>
      </c>
      <c r="D758" t="s">
        <v>38</v>
      </c>
      <c r="E758" t="s">
        <v>19</v>
      </c>
      <c r="F758" t="s">
        <v>28</v>
      </c>
      <c r="O758">
        <v>2036</v>
      </c>
      <c r="P758">
        <v>1.639872</v>
      </c>
    </row>
    <row r="759" spans="1:16" x14ac:dyDescent="0.3">
      <c r="A759" t="str">
        <f t="shared" si="11"/>
        <v>PD|TotalCapacityAnnual|RE1|PWRNGS_CC|2036</v>
      </c>
      <c r="B759" t="s">
        <v>16</v>
      </c>
      <c r="C759" t="s">
        <v>17</v>
      </c>
      <c r="D759" t="s">
        <v>38</v>
      </c>
      <c r="E759" t="s">
        <v>19</v>
      </c>
      <c r="F759" t="s">
        <v>29</v>
      </c>
      <c r="O759">
        <v>2036</v>
      </c>
      <c r="P759">
        <v>70.104500000000002</v>
      </c>
    </row>
    <row r="760" spans="1:16" x14ac:dyDescent="0.3">
      <c r="A760" t="str">
        <f t="shared" si="11"/>
        <v>PD|TotalCapacityAnnual|RE1|PWRNGS_CS|2036</v>
      </c>
      <c r="B760" t="s">
        <v>16</v>
      </c>
      <c r="C760" t="s">
        <v>17</v>
      </c>
      <c r="D760" t="s">
        <v>38</v>
      </c>
      <c r="E760" t="s">
        <v>19</v>
      </c>
      <c r="F760" t="s">
        <v>30</v>
      </c>
      <c r="O760">
        <v>2036</v>
      </c>
      <c r="P760">
        <v>23.084351999999999</v>
      </c>
    </row>
    <row r="761" spans="1:16" x14ac:dyDescent="0.3">
      <c r="A761" t="str">
        <f t="shared" si="11"/>
        <v>PD|TotalCapacityAnnual|RE1|PWRSOLRTP|2036</v>
      </c>
      <c r="B761" t="s">
        <v>16</v>
      </c>
      <c r="C761" t="s">
        <v>17</v>
      </c>
      <c r="D761" t="s">
        <v>38</v>
      </c>
      <c r="E761" t="s">
        <v>19</v>
      </c>
      <c r="F761" t="s">
        <v>31</v>
      </c>
      <c r="O761">
        <v>2036</v>
      </c>
      <c r="P761">
        <v>116.828469055168</v>
      </c>
    </row>
    <row r="762" spans="1:16" x14ac:dyDescent="0.3">
      <c r="A762" t="str">
        <f t="shared" si="11"/>
        <v>PD|TotalCapacityAnnual|RE1|PWRSOLRTP_ZNI|2036</v>
      </c>
      <c r="B762" t="s">
        <v>16</v>
      </c>
      <c r="C762" t="s">
        <v>17</v>
      </c>
      <c r="D762" t="s">
        <v>38</v>
      </c>
      <c r="E762" t="s">
        <v>19</v>
      </c>
      <c r="F762" t="s">
        <v>32</v>
      </c>
      <c r="O762">
        <v>2036</v>
      </c>
      <c r="P762">
        <v>1.2709221261446759</v>
      </c>
    </row>
    <row r="763" spans="1:16" x14ac:dyDescent="0.3">
      <c r="A763" t="str">
        <f t="shared" si="11"/>
        <v>PD|TotalCapacityAnnual|RE1|PWRSOLUGE|2036</v>
      </c>
      <c r="B763" t="s">
        <v>16</v>
      </c>
      <c r="C763" t="s">
        <v>17</v>
      </c>
      <c r="D763" t="s">
        <v>38</v>
      </c>
      <c r="E763" t="s">
        <v>19</v>
      </c>
      <c r="F763" t="s">
        <v>33</v>
      </c>
      <c r="O763">
        <v>2036</v>
      </c>
      <c r="P763">
        <v>191.79186048</v>
      </c>
    </row>
    <row r="764" spans="1:16" x14ac:dyDescent="0.3">
      <c r="A764" t="str">
        <f t="shared" si="11"/>
        <v>PD|TotalCapacityAnnual|RE1|PWRSOLUPE|2036</v>
      </c>
      <c r="B764" t="s">
        <v>16</v>
      </c>
      <c r="C764" t="s">
        <v>17</v>
      </c>
      <c r="D764" t="s">
        <v>38</v>
      </c>
      <c r="E764" t="s">
        <v>19</v>
      </c>
      <c r="F764" t="s">
        <v>34</v>
      </c>
      <c r="O764">
        <v>2036</v>
      </c>
      <c r="P764">
        <v>39.172600079999931</v>
      </c>
    </row>
    <row r="765" spans="1:16" x14ac:dyDescent="0.3">
      <c r="A765" t="str">
        <f t="shared" si="11"/>
        <v>PD|TotalCapacityAnnual|RE1|PWRSTD|2036</v>
      </c>
      <c r="B765" t="s">
        <v>16</v>
      </c>
      <c r="C765" t="s">
        <v>17</v>
      </c>
      <c r="D765" t="s">
        <v>38</v>
      </c>
      <c r="E765" t="s">
        <v>19</v>
      </c>
      <c r="F765" t="s">
        <v>35</v>
      </c>
      <c r="O765">
        <v>2036</v>
      </c>
      <c r="P765">
        <v>8.163062064</v>
      </c>
    </row>
    <row r="766" spans="1:16" x14ac:dyDescent="0.3">
      <c r="A766" t="str">
        <f t="shared" si="11"/>
        <v>PD|TotalCapacityAnnual|RE1|PWRWNDONS|2036</v>
      </c>
      <c r="B766" t="s">
        <v>16</v>
      </c>
      <c r="C766" t="s">
        <v>17</v>
      </c>
      <c r="D766" t="s">
        <v>38</v>
      </c>
      <c r="E766" t="s">
        <v>19</v>
      </c>
      <c r="F766" t="s">
        <v>36</v>
      </c>
      <c r="O766">
        <v>2036</v>
      </c>
      <c r="P766">
        <v>128.81533249523741</v>
      </c>
    </row>
    <row r="767" spans="1:16" x14ac:dyDescent="0.3">
      <c r="A767" t="str">
        <f t="shared" si="11"/>
        <v>PD|AccumulatedNewCapacity|RE1|PWRBGS|2037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O767">
        <v>2037</v>
      </c>
    </row>
    <row r="768" spans="1:16" x14ac:dyDescent="0.3">
      <c r="A768" t="str">
        <f t="shared" si="11"/>
        <v>PD|AccumulatedNewCapacity|RE1|PWRCOA|2037</v>
      </c>
      <c r="B768" t="s">
        <v>16</v>
      </c>
      <c r="C768" t="s">
        <v>17</v>
      </c>
      <c r="D768" t="s">
        <v>18</v>
      </c>
      <c r="E768" t="s">
        <v>19</v>
      </c>
      <c r="F768" t="s">
        <v>21</v>
      </c>
      <c r="O768">
        <v>2037</v>
      </c>
    </row>
    <row r="769" spans="1:16" x14ac:dyDescent="0.3">
      <c r="A769" t="str">
        <f t="shared" si="11"/>
        <v>PD|AccumulatedNewCapacity|RE1|PWRDSL|2037</v>
      </c>
      <c r="B769" t="s">
        <v>16</v>
      </c>
      <c r="C769" t="s">
        <v>17</v>
      </c>
      <c r="D769" t="s">
        <v>18</v>
      </c>
      <c r="E769" t="s">
        <v>19</v>
      </c>
      <c r="F769" t="s">
        <v>22</v>
      </c>
      <c r="O769">
        <v>2037</v>
      </c>
    </row>
    <row r="770" spans="1:16" x14ac:dyDescent="0.3">
      <c r="A770" t="str">
        <f t="shared" ref="A770:A833" si="12">B770&amp;"|"&amp;D770&amp;"|"&amp;E770&amp;"|"&amp;F770&amp;"|"&amp;O770</f>
        <v>PD|AccumulatedNewCapacity|RE1|PWRFOL|2037</v>
      </c>
      <c r="B770" t="s">
        <v>16</v>
      </c>
      <c r="C770" t="s">
        <v>17</v>
      </c>
      <c r="D770" t="s">
        <v>18</v>
      </c>
      <c r="E770" t="s">
        <v>19</v>
      </c>
      <c r="F770" t="s">
        <v>23</v>
      </c>
      <c r="O770">
        <v>2037</v>
      </c>
    </row>
    <row r="771" spans="1:16" x14ac:dyDescent="0.3">
      <c r="A771" t="str">
        <f t="shared" si="12"/>
        <v>PD|AccumulatedNewCapacity|RE1|PWRHYDDAM|2037</v>
      </c>
      <c r="B771" t="s">
        <v>16</v>
      </c>
      <c r="C771" t="s">
        <v>17</v>
      </c>
      <c r="D771" t="s">
        <v>18</v>
      </c>
      <c r="E771" t="s">
        <v>19</v>
      </c>
      <c r="F771" t="s">
        <v>24</v>
      </c>
      <c r="O771">
        <v>2037</v>
      </c>
      <c r="P771">
        <v>37.840000000000003</v>
      </c>
    </row>
    <row r="772" spans="1:16" x14ac:dyDescent="0.3">
      <c r="A772" t="str">
        <f t="shared" si="12"/>
        <v>PD|AccumulatedNewCapacity|RE1|PWRHYDROR|2037</v>
      </c>
      <c r="B772" t="s">
        <v>16</v>
      </c>
      <c r="C772" t="s">
        <v>17</v>
      </c>
      <c r="D772" t="s">
        <v>18</v>
      </c>
      <c r="E772" t="s">
        <v>19</v>
      </c>
      <c r="F772" t="s">
        <v>25</v>
      </c>
      <c r="O772">
        <v>2037</v>
      </c>
    </row>
    <row r="773" spans="1:16" x14ac:dyDescent="0.3">
      <c r="A773" t="str">
        <f t="shared" si="12"/>
        <v>PD|AccumulatedNewCapacity|RE1|PWRHYDROR_NDC|2037</v>
      </c>
      <c r="B773" t="s">
        <v>16</v>
      </c>
      <c r="C773" t="s">
        <v>17</v>
      </c>
      <c r="D773" t="s">
        <v>18</v>
      </c>
      <c r="E773" t="s">
        <v>19</v>
      </c>
      <c r="F773" t="s">
        <v>26</v>
      </c>
      <c r="O773">
        <v>2037</v>
      </c>
    </row>
    <row r="774" spans="1:16" x14ac:dyDescent="0.3">
      <c r="A774" t="str">
        <f t="shared" si="12"/>
        <v>PD|AccumulatedNewCapacity|RE1|PWRJET|2037</v>
      </c>
      <c r="B774" t="s">
        <v>16</v>
      </c>
      <c r="C774" t="s">
        <v>17</v>
      </c>
      <c r="D774" t="s">
        <v>18</v>
      </c>
      <c r="E774" t="s">
        <v>19</v>
      </c>
      <c r="F774" t="s">
        <v>27</v>
      </c>
      <c r="O774">
        <v>2037</v>
      </c>
    </row>
    <row r="775" spans="1:16" x14ac:dyDescent="0.3">
      <c r="A775" t="str">
        <f t="shared" si="12"/>
        <v>PD|AccumulatedNewCapacity|RE1|PWRLPG|2037</v>
      </c>
      <c r="B775" t="s">
        <v>16</v>
      </c>
      <c r="C775" t="s">
        <v>17</v>
      </c>
      <c r="D775" t="s">
        <v>18</v>
      </c>
      <c r="E775" t="s">
        <v>19</v>
      </c>
      <c r="F775" t="s">
        <v>28</v>
      </c>
      <c r="O775">
        <v>2037</v>
      </c>
    </row>
    <row r="776" spans="1:16" x14ac:dyDescent="0.3">
      <c r="A776" t="str">
        <f t="shared" si="12"/>
        <v>PD|AccumulatedNewCapacity|RE1|PWRNGS_CC|2037</v>
      </c>
      <c r="B776" t="s">
        <v>16</v>
      </c>
      <c r="C776" t="s">
        <v>17</v>
      </c>
      <c r="D776" t="s">
        <v>18</v>
      </c>
      <c r="E776" t="s">
        <v>19</v>
      </c>
      <c r="F776" t="s">
        <v>29</v>
      </c>
      <c r="O776">
        <v>2037</v>
      </c>
    </row>
    <row r="777" spans="1:16" x14ac:dyDescent="0.3">
      <c r="A777" t="str">
        <f t="shared" si="12"/>
        <v>PD|AccumulatedNewCapacity|RE1|PWRNGS_CS|2037</v>
      </c>
      <c r="B777" t="s">
        <v>16</v>
      </c>
      <c r="C777" t="s">
        <v>17</v>
      </c>
      <c r="D777" t="s">
        <v>18</v>
      </c>
      <c r="E777" t="s">
        <v>19</v>
      </c>
      <c r="F777" t="s">
        <v>30</v>
      </c>
      <c r="O777">
        <v>2037</v>
      </c>
    </row>
    <row r="778" spans="1:16" x14ac:dyDescent="0.3">
      <c r="A778" t="str">
        <f t="shared" si="12"/>
        <v>PD|AccumulatedNewCapacity|RE1|PWRSOLRTP|2037</v>
      </c>
      <c r="B778" t="s">
        <v>16</v>
      </c>
      <c r="C778" t="s">
        <v>17</v>
      </c>
      <c r="D778" t="s">
        <v>18</v>
      </c>
      <c r="E778" t="s">
        <v>19</v>
      </c>
      <c r="F778" t="s">
        <v>31</v>
      </c>
      <c r="O778">
        <v>2037</v>
      </c>
      <c r="P778">
        <v>97.032003804692465</v>
      </c>
    </row>
    <row r="779" spans="1:16" x14ac:dyDescent="0.3">
      <c r="A779" t="str">
        <f t="shared" si="12"/>
        <v>PD|AccumulatedNewCapacity|RE1|PWRSOLRTP_ZNI|2037</v>
      </c>
      <c r="B779" t="s">
        <v>16</v>
      </c>
      <c r="C779" t="s">
        <v>17</v>
      </c>
      <c r="D779" t="s">
        <v>18</v>
      </c>
      <c r="E779" t="s">
        <v>19</v>
      </c>
      <c r="F779" t="s">
        <v>32</v>
      </c>
      <c r="O779">
        <v>2037</v>
      </c>
      <c r="P779">
        <v>0.84842468687030292</v>
      </c>
    </row>
    <row r="780" spans="1:16" x14ac:dyDescent="0.3">
      <c r="A780" t="str">
        <f t="shared" si="12"/>
        <v>PD|AccumulatedNewCapacity|RE1|PWRSOLUGE|2037</v>
      </c>
      <c r="B780" t="s">
        <v>16</v>
      </c>
      <c r="C780" t="s">
        <v>17</v>
      </c>
      <c r="D780" t="s">
        <v>18</v>
      </c>
      <c r="E780" t="s">
        <v>19</v>
      </c>
      <c r="F780" t="s">
        <v>33</v>
      </c>
      <c r="O780">
        <v>2037</v>
      </c>
      <c r="P780">
        <v>143.394192</v>
      </c>
    </row>
    <row r="781" spans="1:16" x14ac:dyDescent="0.3">
      <c r="A781" t="str">
        <f t="shared" si="12"/>
        <v>PD|AccumulatedNewCapacity|RE1|PWRSOLUPE|2037</v>
      </c>
      <c r="B781" t="s">
        <v>16</v>
      </c>
      <c r="C781" t="s">
        <v>17</v>
      </c>
      <c r="D781" t="s">
        <v>18</v>
      </c>
      <c r="E781" t="s">
        <v>19</v>
      </c>
      <c r="F781" t="s">
        <v>34</v>
      </c>
      <c r="O781">
        <v>2037</v>
      </c>
      <c r="P781">
        <v>12.14419823999993</v>
      </c>
    </row>
    <row r="782" spans="1:16" x14ac:dyDescent="0.3">
      <c r="A782" t="str">
        <f t="shared" si="12"/>
        <v>PD|AccumulatedNewCapacity|RE1|PWRSTD|2037</v>
      </c>
      <c r="B782" t="s">
        <v>16</v>
      </c>
      <c r="C782" t="s">
        <v>17</v>
      </c>
      <c r="D782" t="s">
        <v>18</v>
      </c>
      <c r="E782" t="s">
        <v>19</v>
      </c>
      <c r="F782" t="s">
        <v>35</v>
      </c>
      <c r="O782">
        <v>2037</v>
      </c>
    </row>
    <row r="783" spans="1:16" x14ac:dyDescent="0.3">
      <c r="A783" t="str">
        <f t="shared" si="12"/>
        <v>PD|AccumulatedNewCapacity|RE1|PWRWNDONS|2037</v>
      </c>
      <c r="B783" t="s">
        <v>16</v>
      </c>
      <c r="C783" t="s">
        <v>17</v>
      </c>
      <c r="D783" t="s">
        <v>18</v>
      </c>
      <c r="E783" t="s">
        <v>19</v>
      </c>
      <c r="F783" t="s">
        <v>36</v>
      </c>
      <c r="O783">
        <v>2037</v>
      </c>
      <c r="P783">
        <v>127.44667009523739</v>
      </c>
    </row>
    <row r="784" spans="1:16" x14ac:dyDescent="0.3">
      <c r="A784" t="str">
        <f t="shared" si="12"/>
        <v>PD|NewCapacity|RE1|PWRBGS|2037</v>
      </c>
      <c r="B784" t="s">
        <v>16</v>
      </c>
      <c r="C784" t="s">
        <v>17</v>
      </c>
      <c r="D784" t="s">
        <v>37</v>
      </c>
      <c r="E784" t="s">
        <v>19</v>
      </c>
      <c r="F784" t="s">
        <v>20</v>
      </c>
      <c r="O784">
        <v>2037</v>
      </c>
    </row>
    <row r="785" spans="1:16" x14ac:dyDescent="0.3">
      <c r="A785" t="str">
        <f t="shared" si="12"/>
        <v>PD|NewCapacity|RE1|PWRCOA|2037</v>
      </c>
      <c r="B785" t="s">
        <v>16</v>
      </c>
      <c r="C785" t="s">
        <v>17</v>
      </c>
      <c r="D785" t="s">
        <v>37</v>
      </c>
      <c r="E785" t="s">
        <v>19</v>
      </c>
      <c r="F785" t="s">
        <v>21</v>
      </c>
      <c r="O785">
        <v>2037</v>
      </c>
    </row>
    <row r="786" spans="1:16" x14ac:dyDescent="0.3">
      <c r="A786" t="str">
        <f t="shared" si="12"/>
        <v>PD|NewCapacity|RE1|PWRDSL|2037</v>
      </c>
      <c r="B786" t="s">
        <v>16</v>
      </c>
      <c r="C786" t="s">
        <v>17</v>
      </c>
      <c r="D786" t="s">
        <v>37</v>
      </c>
      <c r="E786" t="s">
        <v>19</v>
      </c>
      <c r="F786" t="s">
        <v>22</v>
      </c>
      <c r="O786">
        <v>2037</v>
      </c>
    </row>
    <row r="787" spans="1:16" x14ac:dyDescent="0.3">
      <c r="A787" t="str">
        <f t="shared" si="12"/>
        <v>PD|NewCapacity|RE1|PWRFOL|2037</v>
      </c>
      <c r="B787" t="s">
        <v>16</v>
      </c>
      <c r="C787" t="s">
        <v>17</v>
      </c>
      <c r="D787" t="s">
        <v>37</v>
      </c>
      <c r="E787" t="s">
        <v>19</v>
      </c>
      <c r="F787" t="s">
        <v>23</v>
      </c>
      <c r="O787">
        <v>2037</v>
      </c>
    </row>
    <row r="788" spans="1:16" x14ac:dyDescent="0.3">
      <c r="A788" t="str">
        <f t="shared" si="12"/>
        <v>PD|NewCapacity|RE1|PWRHYDDAM|2037</v>
      </c>
      <c r="B788" t="s">
        <v>16</v>
      </c>
      <c r="C788" t="s">
        <v>17</v>
      </c>
      <c r="D788" t="s">
        <v>37</v>
      </c>
      <c r="E788" t="s">
        <v>19</v>
      </c>
      <c r="F788" t="s">
        <v>24</v>
      </c>
      <c r="O788">
        <v>2037</v>
      </c>
    </row>
    <row r="789" spans="1:16" x14ac:dyDescent="0.3">
      <c r="A789" t="str">
        <f t="shared" si="12"/>
        <v>PD|NewCapacity|RE1|PWRHYDROR|2037</v>
      </c>
      <c r="B789" t="s">
        <v>16</v>
      </c>
      <c r="C789" t="s">
        <v>17</v>
      </c>
      <c r="D789" t="s">
        <v>37</v>
      </c>
      <c r="E789" t="s">
        <v>19</v>
      </c>
      <c r="F789" t="s">
        <v>25</v>
      </c>
      <c r="O789">
        <v>2037</v>
      </c>
    </row>
    <row r="790" spans="1:16" x14ac:dyDescent="0.3">
      <c r="A790" t="str">
        <f t="shared" si="12"/>
        <v>PD|NewCapacity|RE1|PWRHYDROR_NDC|2037</v>
      </c>
      <c r="B790" t="s">
        <v>16</v>
      </c>
      <c r="C790" t="s">
        <v>17</v>
      </c>
      <c r="D790" t="s">
        <v>37</v>
      </c>
      <c r="E790" t="s">
        <v>19</v>
      </c>
      <c r="F790" t="s">
        <v>26</v>
      </c>
      <c r="O790">
        <v>2037</v>
      </c>
    </row>
    <row r="791" spans="1:16" x14ac:dyDescent="0.3">
      <c r="A791" t="str">
        <f t="shared" si="12"/>
        <v>PD|NewCapacity|RE1|PWRJET|2037</v>
      </c>
      <c r="B791" t="s">
        <v>16</v>
      </c>
      <c r="C791" t="s">
        <v>17</v>
      </c>
      <c r="D791" t="s">
        <v>37</v>
      </c>
      <c r="E791" t="s">
        <v>19</v>
      </c>
      <c r="F791" t="s">
        <v>27</v>
      </c>
      <c r="O791">
        <v>2037</v>
      </c>
    </row>
    <row r="792" spans="1:16" x14ac:dyDescent="0.3">
      <c r="A792" t="str">
        <f t="shared" si="12"/>
        <v>PD|NewCapacity|RE1|PWRLPG|2037</v>
      </c>
      <c r="B792" t="s">
        <v>16</v>
      </c>
      <c r="C792" t="s">
        <v>17</v>
      </c>
      <c r="D792" t="s">
        <v>37</v>
      </c>
      <c r="E792" t="s">
        <v>19</v>
      </c>
      <c r="F792" t="s">
        <v>28</v>
      </c>
      <c r="O792">
        <v>2037</v>
      </c>
    </row>
    <row r="793" spans="1:16" x14ac:dyDescent="0.3">
      <c r="A793" t="str">
        <f t="shared" si="12"/>
        <v>PD|NewCapacity|RE1|PWRNGS_CC|2037</v>
      </c>
      <c r="B793" t="s">
        <v>16</v>
      </c>
      <c r="C793" t="s">
        <v>17</v>
      </c>
      <c r="D793" t="s">
        <v>37</v>
      </c>
      <c r="E793" t="s">
        <v>19</v>
      </c>
      <c r="F793" t="s">
        <v>29</v>
      </c>
      <c r="O793">
        <v>2037</v>
      </c>
    </row>
    <row r="794" spans="1:16" x14ac:dyDescent="0.3">
      <c r="A794" t="str">
        <f t="shared" si="12"/>
        <v>PD|NewCapacity|RE1|PWRNGS_CS|2037</v>
      </c>
      <c r="B794" t="s">
        <v>16</v>
      </c>
      <c r="C794" t="s">
        <v>17</v>
      </c>
      <c r="D794" t="s">
        <v>37</v>
      </c>
      <c r="E794" t="s">
        <v>19</v>
      </c>
      <c r="F794" t="s">
        <v>30</v>
      </c>
      <c r="O794">
        <v>2037</v>
      </c>
    </row>
    <row r="795" spans="1:16" x14ac:dyDescent="0.3">
      <c r="A795" t="str">
        <f t="shared" si="12"/>
        <v>PD|NewCapacity|RE1|PWRSOLRTP|2037</v>
      </c>
      <c r="B795" t="s">
        <v>16</v>
      </c>
      <c r="C795" t="s">
        <v>17</v>
      </c>
      <c r="D795" t="s">
        <v>37</v>
      </c>
      <c r="E795" t="s">
        <v>19</v>
      </c>
      <c r="F795" t="s">
        <v>31</v>
      </c>
      <c r="O795">
        <v>2037</v>
      </c>
      <c r="P795">
        <v>3.487634749524414</v>
      </c>
    </row>
    <row r="796" spans="1:16" x14ac:dyDescent="0.3">
      <c r="A796" t="str">
        <f t="shared" si="12"/>
        <v>PD|NewCapacity|RE1|PWRSOLRTP_ZNI|2037</v>
      </c>
      <c r="B796" t="s">
        <v>16</v>
      </c>
      <c r="C796" t="s">
        <v>17</v>
      </c>
      <c r="D796" t="s">
        <v>37</v>
      </c>
      <c r="E796" t="s">
        <v>19</v>
      </c>
      <c r="F796" t="s">
        <v>32</v>
      </c>
      <c r="O796">
        <v>2037</v>
      </c>
      <c r="P796">
        <v>3.8243520725626999E-2</v>
      </c>
    </row>
    <row r="797" spans="1:16" x14ac:dyDescent="0.3">
      <c r="A797" t="str">
        <f t="shared" si="12"/>
        <v>PD|NewCapacity|RE1|PWRSOLUGE|2037</v>
      </c>
      <c r="B797" t="s">
        <v>16</v>
      </c>
      <c r="C797" t="s">
        <v>17</v>
      </c>
      <c r="D797" t="s">
        <v>37</v>
      </c>
      <c r="E797" t="s">
        <v>19</v>
      </c>
      <c r="F797" t="s">
        <v>33</v>
      </c>
      <c r="O797">
        <v>2037</v>
      </c>
    </row>
    <row r="798" spans="1:16" x14ac:dyDescent="0.3">
      <c r="A798" t="str">
        <f t="shared" si="12"/>
        <v>PD|NewCapacity|RE1|PWRSOLUPE|2037</v>
      </c>
      <c r="B798" t="s">
        <v>16</v>
      </c>
      <c r="C798" t="s">
        <v>17</v>
      </c>
      <c r="D798" t="s">
        <v>37</v>
      </c>
      <c r="E798" t="s">
        <v>19</v>
      </c>
      <c r="F798" t="s">
        <v>34</v>
      </c>
      <c r="O798">
        <v>2037</v>
      </c>
    </row>
    <row r="799" spans="1:16" x14ac:dyDescent="0.3">
      <c r="A799" t="str">
        <f t="shared" si="12"/>
        <v>PD|NewCapacity|RE1|PWRSTD|2037</v>
      </c>
      <c r="B799" t="s">
        <v>16</v>
      </c>
      <c r="C799" t="s">
        <v>17</v>
      </c>
      <c r="D799" t="s">
        <v>37</v>
      </c>
      <c r="E799" t="s">
        <v>19</v>
      </c>
      <c r="F799" t="s">
        <v>35</v>
      </c>
      <c r="O799">
        <v>2037</v>
      </c>
    </row>
    <row r="800" spans="1:16" x14ac:dyDescent="0.3">
      <c r="A800" t="str">
        <f t="shared" si="12"/>
        <v>PD|NewCapacity|RE1|PWRWNDONS|2037</v>
      </c>
      <c r="B800" t="s">
        <v>16</v>
      </c>
      <c r="C800" t="s">
        <v>17</v>
      </c>
      <c r="D800" t="s">
        <v>37</v>
      </c>
      <c r="E800" t="s">
        <v>19</v>
      </c>
      <c r="F800" t="s">
        <v>36</v>
      </c>
      <c r="O800">
        <v>2037</v>
      </c>
    </row>
    <row r="801" spans="1:16" x14ac:dyDescent="0.3">
      <c r="A801" t="str">
        <f t="shared" si="12"/>
        <v>PD|TotalCapacityAnnual|RE1|PWRBGS|2037</v>
      </c>
      <c r="B801" t="s">
        <v>16</v>
      </c>
      <c r="C801" t="s">
        <v>17</v>
      </c>
      <c r="D801" t="s">
        <v>38</v>
      </c>
      <c r="E801" t="s">
        <v>19</v>
      </c>
      <c r="F801" t="s">
        <v>20</v>
      </c>
      <c r="O801">
        <v>2037</v>
      </c>
      <c r="P801">
        <v>2.5488587520000001E-2</v>
      </c>
    </row>
    <row r="802" spans="1:16" x14ac:dyDescent="0.3">
      <c r="A802" t="str">
        <f t="shared" si="12"/>
        <v>PD|TotalCapacityAnnual|RE1|PWRCOA|2037</v>
      </c>
      <c r="B802" t="s">
        <v>16</v>
      </c>
      <c r="C802" t="s">
        <v>17</v>
      </c>
      <c r="D802" t="s">
        <v>38</v>
      </c>
      <c r="E802" t="s">
        <v>19</v>
      </c>
      <c r="F802" t="s">
        <v>21</v>
      </c>
      <c r="O802">
        <v>2037</v>
      </c>
    </row>
    <row r="803" spans="1:16" x14ac:dyDescent="0.3">
      <c r="A803" t="str">
        <f t="shared" si="12"/>
        <v>PD|TotalCapacityAnnual|RE1|PWRDSL|2037</v>
      </c>
      <c r="B803" t="s">
        <v>16</v>
      </c>
      <c r="C803" t="s">
        <v>17</v>
      </c>
      <c r="D803" t="s">
        <v>38</v>
      </c>
      <c r="E803" t="s">
        <v>19</v>
      </c>
      <c r="F803" t="s">
        <v>22</v>
      </c>
      <c r="O803">
        <v>2037</v>
      </c>
      <c r="P803">
        <v>24.944976</v>
      </c>
    </row>
    <row r="804" spans="1:16" x14ac:dyDescent="0.3">
      <c r="A804" t="str">
        <f t="shared" si="12"/>
        <v>PD|TotalCapacityAnnual|RE1|PWRFOL|2037</v>
      </c>
      <c r="B804" t="s">
        <v>16</v>
      </c>
      <c r="C804" t="s">
        <v>17</v>
      </c>
      <c r="D804" t="s">
        <v>38</v>
      </c>
      <c r="E804" t="s">
        <v>19</v>
      </c>
      <c r="F804" t="s">
        <v>23</v>
      </c>
      <c r="O804">
        <v>2037</v>
      </c>
      <c r="P804">
        <v>8.3885759999999987</v>
      </c>
    </row>
    <row r="805" spans="1:16" x14ac:dyDescent="0.3">
      <c r="A805" t="str">
        <f t="shared" si="12"/>
        <v>PD|TotalCapacityAnnual|RE1|PWRHYDDAM|2037</v>
      </c>
      <c r="B805" t="s">
        <v>16</v>
      </c>
      <c r="C805" t="s">
        <v>17</v>
      </c>
      <c r="D805" t="s">
        <v>38</v>
      </c>
      <c r="E805" t="s">
        <v>19</v>
      </c>
      <c r="F805" t="s">
        <v>24</v>
      </c>
      <c r="O805">
        <v>2037</v>
      </c>
      <c r="P805">
        <v>440.49164800000011</v>
      </c>
    </row>
    <row r="806" spans="1:16" x14ac:dyDescent="0.3">
      <c r="A806" t="str">
        <f t="shared" si="12"/>
        <v>PD|TotalCapacityAnnual|RE1|PWRHYDROR|2037</v>
      </c>
      <c r="B806" t="s">
        <v>16</v>
      </c>
      <c r="C806" t="s">
        <v>17</v>
      </c>
      <c r="D806" t="s">
        <v>38</v>
      </c>
      <c r="E806" t="s">
        <v>19</v>
      </c>
      <c r="F806" t="s">
        <v>25</v>
      </c>
      <c r="O806">
        <v>2037</v>
      </c>
      <c r="P806">
        <v>21.097584000000001</v>
      </c>
    </row>
    <row r="807" spans="1:16" x14ac:dyDescent="0.3">
      <c r="A807" t="str">
        <f t="shared" si="12"/>
        <v>PD|TotalCapacityAnnual|RE1|PWRHYDROR_NDC|2037</v>
      </c>
      <c r="B807" t="s">
        <v>16</v>
      </c>
      <c r="C807" t="s">
        <v>17</v>
      </c>
      <c r="D807" t="s">
        <v>38</v>
      </c>
      <c r="E807" t="s">
        <v>19</v>
      </c>
      <c r="F807" t="s">
        <v>26</v>
      </c>
      <c r="O807">
        <v>2037</v>
      </c>
      <c r="P807">
        <v>29.725108271999989</v>
      </c>
    </row>
    <row r="808" spans="1:16" x14ac:dyDescent="0.3">
      <c r="A808" t="str">
        <f t="shared" si="12"/>
        <v>PD|TotalCapacityAnnual|RE1|PWRJET|2037</v>
      </c>
      <c r="B808" t="s">
        <v>16</v>
      </c>
      <c r="C808" t="s">
        <v>17</v>
      </c>
      <c r="D808" t="s">
        <v>38</v>
      </c>
      <c r="E808" t="s">
        <v>19</v>
      </c>
      <c r="F808" t="s">
        <v>27</v>
      </c>
      <c r="O808">
        <v>2037</v>
      </c>
      <c r="P808">
        <v>1.5768</v>
      </c>
    </row>
    <row r="809" spans="1:16" x14ac:dyDescent="0.3">
      <c r="A809" t="str">
        <f t="shared" si="12"/>
        <v>PD|TotalCapacityAnnual|RE1|PWRLPG|2037</v>
      </c>
      <c r="B809" t="s">
        <v>16</v>
      </c>
      <c r="C809" t="s">
        <v>17</v>
      </c>
      <c r="D809" t="s">
        <v>38</v>
      </c>
      <c r="E809" t="s">
        <v>19</v>
      </c>
      <c r="F809" t="s">
        <v>28</v>
      </c>
      <c r="O809">
        <v>2037</v>
      </c>
      <c r="P809">
        <v>1.639872</v>
      </c>
    </row>
    <row r="810" spans="1:16" x14ac:dyDescent="0.3">
      <c r="A810" t="str">
        <f t="shared" si="12"/>
        <v>PD|TotalCapacityAnnual|RE1|PWRNGS_CC|2037</v>
      </c>
      <c r="B810" t="s">
        <v>16</v>
      </c>
      <c r="C810" t="s">
        <v>17</v>
      </c>
      <c r="D810" t="s">
        <v>38</v>
      </c>
      <c r="E810" t="s">
        <v>19</v>
      </c>
      <c r="F810" t="s">
        <v>29</v>
      </c>
      <c r="O810">
        <v>2037</v>
      </c>
      <c r="P810">
        <v>70.104500000000002</v>
      </c>
    </row>
    <row r="811" spans="1:16" x14ac:dyDescent="0.3">
      <c r="A811" t="str">
        <f t="shared" si="12"/>
        <v>PD|TotalCapacityAnnual|RE1|PWRNGS_CS|2037</v>
      </c>
      <c r="B811" t="s">
        <v>16</v>
      </c>
      <c r="C811" t="s">
        <v>17</v>
      </c>
      <c r="D811" t="s">
        <v>38</v>
      </c>
      <c r="E811" t="s">
        <v>19</v>
      </c>
      <c r="F811" t="s">
        <v>30</v>
      </c>
      <c r="O811">
        <v>2037</v>
      </c>
      <c r="P811">
        <v>23.084351999999999</v>
      </c>
    </row>
    <row r="812" spans="1:16" x14ac:dyDescent="0.3">
      <c r="A812" t="str">
        <f t="shared" si="12"/>
        <v>PD|TotalCapacityAnnual|RE1|PWRSOLRTP|2037</v>
      </c>
      <c r="B812" t="s">
        <v>16</v>
      </c>
      <c r="C812" t="s">
        <v>17</v>
      </c>
      <c r="D812" t="s">
        <v>38</v>
      </c>
      <c r="E812" t="s">
        <v>19</v>
      </c>
      <c r="F812" t="s">
        <v>31</v>
      </c>
      <c r="O812">
        <v>2037</v>
      </c>
      <c r="P812">
        <v>120.3161038046925</v>
      </c>
    </row>
    <row r="813" spans="1:16" x14ac:dyDescent="0.3">
      <c r="A813" t="str">
        <f t="shared" si="12"/>
        <v>PD|TotalCapacityAnnual|RE1|PWRSOLRTP_ZNI|2037</v>
      </c>
      <c r="B813" t="s">
        <v>16</v>
      </c>
      <c r="C813" t="s">
        <v>17</v>
      </c>
      <c r="D813" t="s">
        <v>38</v>
      </c>
      <c r="E813" t="s">
        <v>19</v>
      </c>
      <c r="F813" t="s">
        <v>32</v>
      </c>
      <c r="O813">
        <v>2037</v>
      </c>
      <c r="P813">
        <v>1.309165646870303</v>
      </c>
    </row>
    <row r="814" spans="1:16" x14ac:dyDescent="0.3">
      <c r="A814" t="str">
        <f t="shared" si="12"/>
        <v>PD|TotalCapacityAnnual|RE1|PWRSOLUGE|2037</v>
      </c>
      <c r="B814" t="s">
        <v>16</v>
      </c>
      <c r="C814" t="s">
        <v>17</v>
      </c>
      <c r="D814" t="s">
        <v>38</v>
      </c>
      <c r="E814" t="s">
        <v>19</v>
      </c>
      <c r="F814" t="s">
        <v>33</v>
      </c>
      <c r="O814">
        <v>2037</v>
      </c>
      <c r="P814">
        <v>191.79186048</v>
      </c>
    </row>
    <row r="815" spans="1:16" x14ac:dyDescent="0.3">
      <c r="A815" t="str">
        <f t="shared" si="12"/>
        <v>PD|TotalCapacityAnnual|RE1|PWRSOLUPE|2037</v>
      </c>
      <c r="B815" t="s">
        <v>16</v>
      </c>
      <c r="C815" t="s">
        <v>17</v>
      </c>
      <c r="D815" t="s">
        <v>38</v>
      </c>
      <c r="E815" t="s">
        <v>19</v>
      </c>
      <c r="F815" t="s">
        <v>34</v>
      </c>
      <c r="O815">
        <v>2037</v>
      </c>
      <c r="P815">
        <v>39.172600079999931</v>
      </c>
    </row>
    <row r="816" spans="1:16" x14ac:dyDescent="0.3">
      <c r="A816" t="str">
        <f t="shared" si="12"/>
        <v>PD|TotalCapacityAnnual|RE1|PWRSTD|2037</v>
      </c>
      <c r="B816" t="s">
        <v>16</v>
      </c>
      <c r="C816" t="s">
        <v>17</v>
      </c>
      <c r="D816" t="s">
        <v>38</v>
      </c>
      <c r="E816" t="s">
        <v>19</v>
      </c>
      <c r="F816" t="s">
        <v>35</v>
      </c>
      <c r="O816">
        <v>2037</v>
      </c>
      <c r="P816">
        <v>8.163062064</v>
      </c>
    </row>
    <row r="817" spans="1:16" x14ac:dyDescent="0.3">
      <c r="A817" t="str">
        <f t="shared" si="12"/>
        <v>PD|TotalCapacityAnnual|RE1|PWRWNDONS|2037</v>
      </c>
      <c r="B817" t="s">
        <v>16</v>
      </c>
      <c r="C817" t="s">
        <v>17</v>
      </c>
      <c r="D817" t="s">
        <v>38</v>
      </c>
      <c r="E817" t="s">
        <v>19</v>
      </c>
      <c r="F817" t="s">
        <v>36</v>
      </c>
      <c r="O817">
        <v>2037</v>
      </c>
      <c r="P817">
        <v>128.81533249523741</v>
      </c>
    </row>
    <row r="818" spans="1:16" x14ac:dyDescent="0.3">
      <c r="A818" t="str">
        <f t="shared" si="12"/>
        <v>PD|AccumulatedNewCapacity|RE1|PWRBGS|2038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O818">
        <v>2038</v>
      </c>
    </row>
    <row r="819" spans="1:16" x14ac:dyDescent="0.3">
      <c r="A819" t="str">
        <f t="shared" si="12"/>
        <v>PD|AccumulatedNewCapacity|RE1|PWRCOA|2038</v>
      </c>
      <c r="B819" t="s">
        <v>16</v>
      </c>
      <c r="C819" t="s">
        <v>17</v>
      </c>
      <c r="D819" t="s">
        <v>18</v>
      </c>
      <c r="E819" t="s">
        <v>19</v>
      </c>
      <c r="F819" t="s">
        <v>21</v>
      </c>
      <c r="O819">
        <v>2038</v>
      </c>
    </row>
    <row r="820" spans="1:16" x14ac:dyDescent="0.3">
      <c r="A820" t="str">
        <f t="shared" si="12"/>
        <v>PD|AccumulatedNewCapacity|RE1|PWRDSL|2038</v>
      </c>
      <c r="B820" t="s">
        <v>16</v>
      </c>
      <c r="C820" t="s">
        <v>17</v>
      </c>
      <c r="D820" t="s">
        <v>18</v>
      </c>
      <c r="E820" t="s">
        <v>19</v>
      </c>
      <c r="F820" t="s">
        <v>22</v>
      </c>
      <c r="O820">
        <v>2038</v>
      </c>
    </row>
    <row r="821" spans="1:16" x14ac:dyDescent="0.3">
      <c r="A821" t="str">
        <f t="shared" si="12"/>
        <v>PD|AccumulatedNewCapacity|RE1|PWRFOL|2038</v>
      </c>
      <c r="B821" t="s">
        <v>16</v>
      </c>
      <c r="C821" t="s">
        <v>17</v>
      </c>
      <c r="D821" t="s">
        <v>18</v>
      </c>
      <c r="E821" t="s">
        <v>19</v>
      </c>
      <c r="F821" t="s">
        <v>23</v>
      </c>
      <c r="O821">
        <v>2038</v>
      </c>
    </row>
    <row r="822" spans="1:16" x14ac:dyDescent="0.3">
      <c r="A822" t="str">
        <f t="shared" si="12"/>
        <v>PD|AccumulatedNewCapacity|RE1|PWRHYDDAM|2038</v>
      </c>
      <c r="B822" t="s">
        <v>16</v>
      </c>
      <c r="C822" t="s">
        <v>17</v>
      </c>
      <c r="D822" t="s">
        <v>18</v>
      </c>
      <c r="E822" t="s">
        <v>19</v>
      </c>
      <c r="F822" t="s">
        <v>24</v>
      </c>
      <c r="O822">
        <v>2038</v>
      </c>
      <c r="P822">
        <v>37.840000000000003</v>
      </c>
    </row>
    <row r="823" spans="1:16" x14ac:dyDescent="0.3">
      <c r="A823" t="str">
        <f t="shared" si="12"/>
        <v>PD|AccumulatedNewCapacity|RE1|PWRHYDROR|2038</v>
      </c>
      <c r="B823" t="s">
        <v>16</v>
      </c>
      <c r="C823" t="s">
        <v>17</v>
      </c>
      <c r="D823" t="s">
        <v>18</v>
      </c>
      <c r="E823" t="s">
        <v>19</v>
      </c>
      <c r="F823" t="s">
        <v>25</v>
      </c>
      <c r="O823">
        <v>2038</v>
      </c>
    </row>
    <row r="824" spans="1:16" x14ac:dyDescent="0.3">
      <c r="A824" t="str">
        <f t="shared" si="12"/>
        <v>PD|AccumulatedNewCapacity|RE1|PWRHYDROR_NDC|2038</v>
      </c>
      <c r="B824" t="s">
        <v>16</v>
      </c>
      <c r="C824" t="s">
        <v>17</v>
      </c>
      <c r="D824" t="s">
        <v>18</v>
      </c>
      <c r="E824" t="s">
        <v>19</v>
      </c>
      <c r="F824" t="s">
        <v>26</v>
      </c>
      <c r="O824">
        <v>2038</v>
      </c>
    </row>
    <row r="825" spans="1:16" x14ac:dyDescent="0.3">
      <c r="A825" t="str">
        <f t="shared" si="12"/>
        <v>PD|AccumulatedNewCapacity|RE1|PWRJET|2038</v>
      </c>
      <c r="B825" t="s">
        <v>16</v>
      </c>
      <c r="C825" t="s">
        <v>17</v>
      </c>
      <c r="D825" t="s">
        <v>18</v>
      </c>
      <c r="E825" t="s">
        <v>19</v>
      </c>
      <c r="F825" t="s">
        <v>27</v>
      </c>
      <c r="O825">
        <v>2038</v>
      </c>
    </row>
    <row r="826" spans="1:16" x14ac:dyDescent="0.3">
      <c r="A826" t="str">
        <f t="shared" si="12"/>
        <v>PD|AccumulatedNewCapacity|RE1|PWRLPG|2038</v>
      </c>
      <c r="B826" t="s">
        <v>16</v>
      </c>
      <c r="C826" t="s">
        <v>17</v>
      </c>
      <c r="D826" t="s">
        <v>18</v>
      </c>
      <c r="E826" t="s">
        <v>19</v>
      </c>
      <c r="F826" t="s">
        <v>28</v>
      </c>
      <c r="O826">
        <v>2038</v>
      </c>
    </row>
    <row r="827" spans="1:16" x14ac:dyDescent="0.3">
      <c r="A827" t="str">
        <f t="shared" si="12"/>
        <v>PD|AccumulatedNewCapacity|RE1|PWRNGS_CC|2038</v>
      </c>
      <c r="B827" t="s">
        <v>16</v>
      </c>
      <c r="C827" t="s">
        <v>17</v>
      </c>
      <c r="D827" t="s">
        <v>18</v>
      </c>
      <c r="E827" t="s">
        <v>19</v>
      </c>
      <c r="F827" t="s">
        <v>29</v>
      </c>
      <c r="O827">
        <v>2038</v>
      </c>
    </row>
    <row r="828" spans="1:16" x14ac:dyDescent="0.3">
      <c r="A828" t="str">
        <f t="shared" si="12"/>
        <v>PD|AccumulatedNewCapacity|RE1|PWRNGS_CS|2038</v>
      </c>
      <c r="B828" t="s">
        <v>16</v>
      </c>
      <c r="C828" t="s">
        <v>17</v>
      </c>
      <c r="D828" t="s">
        <v>18</v>
      </c>
      <c r="E828" t="s">
        <v>19</v>
      </c>
      <c r="F828" t="s">
        <v>30</v>
      </c>
      <c r="O828">
        <v>2038</v>
      </c>
    </row>
    <row r="829" spans="1:16" x14ac:dyDescent="0.3">
      <c r="A829" t="str">
        <f t="shared" si="12"/>
        <v>PD|AccumulatedNewCapacity|RE1|PWRSOLRTP|2038</v>
      </c>
      <c r="B829" t="s">
        <v>16</v>
      </c>
      <c r="C829" t="s">
        <v>17</v>
      </c>
      <c r="D829" t="s">
        <v>18</v>
      </c>
      <c r="E829" t="s">
        <v>19</v>
      </c>
      <c r="F829" t="s">
        <v>31</v>
      </c>
      <c r="O829">
        <v>2038</v>
      </c>
      <c r="P829">
        <v>99.885523145212446</v>
      </c>
    </row>
    <row r="830" spans="1:16" x14ac:dyDescent="0.3">
      <c r="A830" t="str">
        <f t="shared" si="12"/>
        <v>PD|AccumulatedNewCapacity|RE1|PWRSOLRTP_ZNI|2038</v>
      </c>
      <c r="B830" t="s">
        <v>16</v>
      </c>
      <c r="C830" t="s">
        <v>17</v>
      </c>
      <c r="D830" t="s">
        <v>18</v>
      </c>
      <c r="E830" t="s">
        <v>19</v>
      </c>
      <c r="F830" t="s">
        <v>32</v>
      </c>
      <c r="O830">
        <v>2038</v>
      </c>
      <c r="P830">
        <v>0.88750826980907294</v>
      </c>
    </row>
    <row r="831" spans="1:16" x14ac:dyDescent="0.3">
      <c r="A831" t="str">
        <f t="shared" si="12"/>
        <v>PD|AccumulatedNewCapacity|RE1|PWRSOLUGE|2038</v>
      </c>
      <c r="B831" t="s">
        <v>16</v>
      </c>
      <c r="C831" t="s">
        <v>17</v>
      </c>
      <c r="D831" t="s">
        <v>18</v>
      </c>
      <c r="E831" t="s">
        <v>19</v>
      </c>
      <c r="F831" t="s">
        <v>33</v>
      </c>
      <c r="O831">
        <v>2038</v>
      </c>
      <c r="P831">
        <v>143.394192</v>
      </c>
    </row>
    <row r="832" spans="1:16" x14ac:dyDescent="0.3">
      <c r="A832" t="str">
        <f t="shared" si="12"/>
        <v>PD|AccumulatedNewCapacity|RE1|PWRSOLUPE|2038</v>
      </c>
      <c r="B832" t="s">
        <v>16</v>
      </c>
      <c r="C832" t="s">
        <v>17</v>
      </c>
      <c r="D832" t="s">
        <v>18</v>
      </c>
      <c r="E832" t="s">
        <v>19</v>
      </c>
      <c r="F832" t="s">
        <v>34</v>
      </c>
      <c r="O832">
        <v>2038</v>
      </c>
      <c r="P832">
        <v>12.14419823999993</v>
      </c>
    </row>
    <row r="833" spans="1:16" x14ac:dyDescent="0.3">
      <c r="A833" t="str">
        <f t="shared" si="12"/>
        <v>PD|AccumulatedNewCapacity|RE1|PWRSTD|2038</v>
      </c>
      <c r="B833" t="s">
        <v>16</v>
      </c>
      <c r="C833" t="s">
        <v>17</v>
      </c>
      <c r="D833" t="s">
        <v>18</v>
      </c>
      <c r="E833" t="s">
        <v>19</v>
      </c>
      <c r="F833" t="s">
        <v>35</v>
      </c>
      <c r="O833">
        <v>2038</v>
      </c>
    </row>
    <row r="834" spans="1:16" x14ac:dyDescent="0.3">
      <c r="A834" t="str">
        <f t="shared" ref="A834:A897" si="13">B834&amp;"|"&amp;D834&amp;"|"&amp;E834&amp;"|"&amp;F834&amp;"|"&amp;O834</f>
        <v>PD|AccumulatedNewCapacity|RE1|PWRWNDONS|2038</v>
      </c>
      <c r="B834" t="s">
        <v>16</v>
      </c>
      <c r="C834" t="s">
        <v>17</v>
      </c>
      <c r="D834" t="s">
        <v>18</v>
      </c>
      <c r="E834" t="s">
        <v>19</v>
      </c>
      <c r="F834" t="s">
        <v>36</v>
      </c>
      <c r="O834">
        <v>2038</v>
      </c>
      <c r="P834">
        <v>127.44667009523739</v>
      </c>
    </row>
    <row r="835" spans="1:16" x14ac:dyDescent="0.3">
      <c r="A835" t="str">
        <f t="shared" si="13"/>
        <v>PD|NewCapacity|RE1|PWRBGS|2038</v>
      </c>
      <c r="B835" t="s">
        <v>16</v>
      </c>
      <c r="C835" t="s">
        <v>17</v>
      </c>
      <c r="D835" t="s">
        <v>37</v>
      </c>
      <c r="E835" t="s">
        <v>19</v>
      </c>
      <c r="F835" t="s">
        <v>20</v>
      </c>
      <c r="O835">
        <v>2038</v>
      </c>
    </row>
    <row r="836" spans="1:16" x14ac:dyDescent="0.3">
      <c r="A836" t="str">
        <f t="shared" si="13"/>
        <v>PD|NewCapacity|RE1|PWRCOA|2038</v>
      </c>
      <c r="B836" t="s">
        <v>16</v>
      </c>
      <c r="C836" t="s">
        <v>17</v>
      </c>
      <c r="D836" t="s">
        <v>37</v>
      </c>
      <c r="E836" t="s">
        <v>19</v>
      </c>
      <c r="F836" t="s">
        <v>21</v>
      </c>
      <c r="O836">
        <v>2038</v>
      </c>
    </row>
    <row r="837" spans="1:16" x14ac:dyDescent="0.3">
      <c r="A837" t="str">
        <f t="shared" si="13"/>
        <v>PD|NewCapacity|RE1|PWRDSL|2038</v>
      </c>
      <c r="B837" t="s">
        <v>16</v>
      </c>
      <c r="C837" t="s">
        <v>17</v>
      </c>
      <c r="D837" t="s">
        <v>37</v>
      </c>
      <c r="E837" t="s">
        <v>19</v>
      </c>
      <c r="F837" t="s">
        <v>22</v>
      </c>
      <c r="O837">
        <v>2038</v>
      </c>
    </row>
    <row r="838" spans="1:16" x14ac:dyDescent="0.3">
      <c r="A838" t="str">
        <f t="shared" si="13"/>
        <v>PD|NewCapacity|RE1|PWRFOL|2038</v>
      </c>
      <c r="B838" t="s">
        <v>16</v>
      </c>
      <c r="C838" t="s">
        <v>17</v>
      </c>
      <c r="D838" t="s">
        <v>37</v>
      </c>
      <c r="E838" t="s">
        <v>19</v>
      </c>
      <c r="F838" t="s">
        <v>23</v>
      </c>
      <c r="O838">
        <v>2038</v>
      </c>
    </row>
    <row r="839" spans="1:16" x14ac:dyDescent="0.3">
      <c r="A839" t="str">
        <f t="shared" si="13"/>
        <v>PD|NewCapacity|RE1|PWRHYDDAM|2038</v>
      </c>
      <c r="B839" t="s">
        <v>16</v>
      </c>
      <c r="C839" t="s">
        <v>17</v>
      </c>
      <c r="D839" t="s">
        <v>37</v>
      </c>
      <c r="E839" t="s">
        <v>19</v>
      </c>
      <c r="F839" t="s">
        <v>24</v>
      </c>
      <c r="O839">
        <v>2038</v>
      </c>
    </row>
    <row r="840" spans="1:16" x14ac:dyDescent="0.3">
      <c r="A840" t="str">
        <f t="shared" si="13"/>
        <v>PD|NewCapacity|RE1|PWRHYDROR|2038</v>
      </c>
      <c r="B840" t="s">
        <v>16</v>
      </c>
      <c r="C840" t="s">
        <v>17</v>
      </c>
      <c r="D840" t="s">
        <v>37</v>
      </c>
      <c r="E840" t="s">
        <v>19</v>
      </c>
      <c r="F840" t="s">
        <v>25</v>
      </c>
      <c r="O840">
        <v>2038</v>
      </c>
    </row>
    <row r="841" spans="1:16" x14ac:dyDescent="0.3">
      <c r="A841" t="str">
        <f t="shared" si="13"/>
        <v>PD|NewCapacity|RE1|PWRHYDROR_NDC|2038</v>
      </c>
      <c r="B841" t="s">
        <v>16</v>
      </c>
      <c r="C841" t="s">
        <v>17</v>
      </c>
      <c r="D841" t="s">
        <v>37</v>
      </c>
      <c r="E841" t="s">
        <v>19</v>
      </c>
      <c r="F841" t="s">
        <v>26</v>
      </c>
      <c r="O841">
        <v>2038</v>
      </c>
    </row>
    <row r="842" spans="1:16" x14ac:dyDescent="0.3">
      <c r="A842" t="str">
        <f t="shared" si="13"/>
        <v>PD|NewCapacity|RE1|PWRJET|2038</v>
      </c>
      <c r="B842" t="s">
        <v>16</v>
      </c>
      <c r="C842" t="s">
        <v>17</v>
      </c>
      <c r="D842" t="s">
        <v>37</v>
      </c>
      <c r="E842" t="s">
        <v>19</v>
      </c>
      <c r="F842" t="s">
        <v>27</v>
      </c>
      <c r="O842">
        <v>2038</v>
      </c>
    </row>
    <row r="843" spans="1:16" x14ac:dyDescent="0.3">
      <c r="A843" t="str">
        <f t="shared" si="13"/>
        <v>PD|NewCapacity|RE1|PWRLPG|2038</v>
      </c>
      <c r="B843" t="s">
        <v>16</v>
      </c>
      <c r="C843" t="s">
        <v>17</v>
      </c>
      <c r="D843" t="s">
        <v>37</v>
      </c>
      <c r="E843" t="s">
        <v>19</v>
      </c>
      <c r="F843" t="s">
        <v>28</v>
      </c>
      <c r="O843">
        <v>2038</v>
      </c>
    </row>
    <row r="844" spans="1:16" x14ac:dyDescent="0.3">
      <c r="A844" t="str">
        <f t="shared" si="13"/>
        <v>PD|NewCapacity|RE1|PWRNGS_CC|2038</v>
      </c>
      <c r="B844" t="s">
        <v>16</v>
      </c>
      <c r="C844" t="s">
        <v>17</v>
      </c>
      <c r="D844" t="s">
        <v>37</v>
      </c>
      <c r="E844" t="s">
        <v>19</v>
      </c>
      <c r="F844" t="s">
        <v>29</v>
      </c>
      <c r="O844">
        <v>2038</v>
      </c>
    </row>
    <row r="845" spans="1:16" x14ac:dyDescent="0.3">
      <c r="A845" t="str">
        <f t="shared" si="13"/>
        <v>PD|NewCapacity|RE1|PWRNGS_CS|2038</v>
      </c>
      <c r="B845" t="s">
        <v>16</v>
      </c>
      <c r="C845" t="s">
        <v>17</v>
      </c>
      <c r="D845" t="s">
        <v>37</v>
      </c>
      <c r="E845" t="s">
        <v>19</v>
      </c>
      <c r="F845" t="s">
        <v>30</v>
      </c>
      <c r="O845">
        <v>2038</v>
      </c>
    </row>
    <row r="846" spans="1:16" x14ac:dyDescent="0.3">
      <c r="A846" t="str">
        <f t="shared" si="13"/>
        <v>PD|NewCapacity|RE1|PWRSOLRTP|2038</v>
      </c>
      <c r="B846" t="s">
        <v>16</v>
      </c>
      <c r="C846" t="s">
        <v>17</v>
      </c>
      <c r="D846" t="s">
        <v>37</v>
      </c>
      <c r="E846" t="s">
        <v>19</v>
      </c>
      <c r="F846" t="s">
        <v>31</v>
      </c>
      <c r="O846">
        <v>2038</v>
      </c>
      <c r="P846">
        <v>2.8535193405199748</v>
      </c>
    </row>
    <row r="847" spans="1:16" x14ac:dyDescent="0.3">
      <c r="A847" t="str">
        <f t="shared" si="13"/>
        <v>PD|NewCapacity|RE1|PWRSOLRTP_ZNI|2038</v>
      </c>
      <c r="B847" t="s">
        <v>16</v>
      </c>
      <c r="C847" t="s">
        <v>17</v>
      </c>
      <c r="D847" t="s">
        <v>37</v>
      </c>
      <c r="E847" t="s">
        <v>19</v>
      </c>
      <c r="F847" t="s">
        <v>32</v>
      </c>
      <c r="O847">
        <v>2038</v>
      </c>
      <c r="P847">
        <v>3.9083582938770053E-2</v>
      </c>
    </row>
    <row r="848" spans="1:16" x14ac:dyDescent="0.3">
      <c r="A848" t="str">
        <f t="shared" si="13"/>
        <v>PD|NewCapacity|RE1|PWRSOLUGE|2038</v>
      </c>
      <c r="B848" t="s">
        <v>16</v>
      </c>
      <c r="C848" t="s">
        <v>17</v>
      </c>
      <c r="D848" t="s">
        <v>37</v>
      </c>
      <c r="E848" t="s">
        <v>19</v>
      </c>
      <c r="F848" t="s">
        <v>33</v>
      </c>
      <c r="O848">
        <v>2038</v>
      </c>
    </row>
    <row r="849" spans="1:16" x14ac:dyDescent="0.3">
      <c r="A849" t="str">
        <f t="shared" si="13"/>
        <v>PD|NewCapacity|RE1|PWRSOLUPE|2038</v>
      </c>
      <c r="B849" t="s">
        <v>16</v>
      </c>
      <c r="C849" t="s">
        <v>17</v>
      </c>
      <c r="D849" t="s">
        <v>37</v>
      </c>
      <c r="E849" t="s">
        <v>19</v>
      </c>
      <c r="F849" t="s">
        <v>34</v>
      </c>
      <c r="O849">
        <v>2038</v>
      </c>
    </row>
    <row r="850" spans="1:16" x14ac:dyDescent="0.3">
      <c r="A850" t="str">
        <f t="shared" si="13"/>
        <v>PD|NewCapacity|RE1|PWRSTD|2038</v>
      </c>
      <c r="B850" t="s">
        <v>16</v>
      </c>
      <c r="C850" t="s">
        <v>17</v>
      </c>
      <c r="D850" t="s">
        <v>37</v>
      </c>
      <c r="E850" t="s">
        <v>19</v>
      </c>
      <c r="F850" t="s">
        <v>35</v>
      </c>
      <c r="O850">
        <v>2038</v>
      </c>
    </row>
    <row r="851" spans="1:16" x14ac:dyDescent="0.3">
      <c r="A851" t="str">
        <f t="shared" si="13"/>
        <v>PD|NewCapacity|RE1|PWRWNDONS|2038</v>
      </c>
      <c r="B851" t="s">
        <v>16</v>
      </c>
      <c r="C851" t="s">
        <v>17</v>
      </c>
      <c r="D851" t="s">
        <v>37</v>
      </c>
      <c r="E851" t="s">
        <v>19</v>
      </c>
      <c r="F851" t="s">
        <v>36</v>
      </c>
      <c r="O851">
        <v>2038</v>
      </c>
    </row>
    <row r="852" spans="1:16" x14ac:dyDescent="0.3">
      <c r="A852" t="str">
        <f t="shared" si="13"/>
        <v>PD|TotalCapacityAnnual|RE1|PWRBGS|2038</v>
      </c>
      <c r="B852" t="s">
        <v>16</v>
      </c>
      <c r="C852" t="s">
        <v>17</v>
      </c>
      <c r="D852" t="s">
        <v>38</v>
      </c>
      <c r="E852" t="s">
        <v>19</v>
      </c>
      <c r="F852" t="s">
        <v>20</v>
      </c>
      <c r="O852">
        <v>2038</v>
      </c>
      <c r="P852">
        <v>2.5488587520000001E-2</v>
      </c>
    </row>
    <row r="853" spans="1:16" x14ac:dyDescent="0.3">
      <c r="A853" t="str">
        <f t="shared" si="13"/>
        <v>PD|TotalCapacityAnnual|RE1|PWRCOA|2038</v>
      </c>
      <c r="B853" t="s">
        <v>16</v>
      </c>
      <c r="C853" t="s">
        <v>17</v>
      </c>
      <c r="D853" t="s">
        <v>38</v>
      </c>
      <c r="E853" t="s">
        <v>19</v>
      </c>
      <c r="F853" t="s">
        <v>21</v>
      </c>
      <c r="O853">
        <v>2038</v>
      </c>
    </row>
    <row r="854" spans="1:16" x14ac:dyDescent="0.3">
      <c r="A854" t="str">
        <f t="shared" si="13"/>
        <v>PD|TotalCapacityAnnual|RE1|PWRDSL|2038</v>
      </c>
      <c r="B854" t="s">
        <v>16</v>
      </c>
      <c r="C854" t="s">
        <v>17</v>
      </c>
      <c r="D854" t="s">
        <v>38</v>
      </c>
      <c r="E854" t="s">
        <v>19</v>
      </c>
      <c r="F854" t="s">
        <v>22</v>
      </c>
      <c r="O854">
        <v>2038</v>
      </c>
      <c r="P854">
        <v>24.944976</v>
      </c>
    </row>
    <row r="855" spans="1:16" x14ac:dyDescent="0.3">
      <c r="A855" t="str">
        <f t="shared" si="13"/>
        <v>PD|TotalCapacityAnnual|RE1|PWRFOL|2038</v>
      </c>
      <c r="B855" t="s">
        <v>16</v>
      </c>
      <c r="C855" t="s">
        <v>17</v>
      </c>
      <c r="D855" t="s">
        <v>38</v>
      </c>
      <c r="E855" t="s">
        <v>19</v>
      </c>
      <c r="F855" t="s">
        <v>23</v>
      </c>
      <c r="O855">
        <v>2038</v>
      </c>
      <c r="P855">
        <v>8.3885759999999987</v>
      </c>
    </row>
    <row r="856" spans="1:16" x14ac:dyDescent="0.3">
      <c r="A856" t="str">
        <f t="shared" si="13"/>
        <v>PD|TotalCapacityAnnual|RE1|PWRHYDDAM|2038</v>
      </c>
      <c r="B856" t="s">
        <v>16</v>
      </c>
      <c r="C856" t="s">
        <v>17</v>
      </c>
      <c r="D856" t="s">
        <v>38</v>
      </c>
      <c r="E856" t="s">
        <v>19</v>
      </c>
      <c r="F856" t="s">
        <v>24</v>
      </c>
      <c r="O856">
        <v>2038</v>
      </c>
      <c r="P856">
        <v>440.49164800000011</v>
      </c>
    </row>
    <row r="857" spans="1:16" x14ac:dyDescent="0.3">
      <c r="A857" t="str">
        <f t="shared" si="13"/>
        <v>PD|TotalCapacityAnnual|RE1|PWRHYDROR|2038</v>
      </c>
      <c r="B857" t="s">
        <v>16</v>
      </c>
      <c r="C857" t="s">
        <v>17</v>
      </c>
      <c r="D857" t="s">
        <v>38</v>
      </c>
      <c r="E857" t="s">
        <v>19</v>
      </c>
      <c r="F857" t="s">
        <v>25</v>
      </c>
      <c r="O857">
        <v>2038</v>
      </c>
      <c r="P857">
        <v>21.097584000000001</v>
      </c>
    </row>
    <row r="858" spans="1:16" x14ac:dyDescent="0.3">
      <c r="A858" t="str">
        <f t="shared" si="13"/>
        <v>PD|TotalCapacityAnnual|RE1|PWRHYDROR_NDC|2038</v>
      </c>
      <c r="B858" t="s">
        <v>16</v>
      </c>
      <c r="C858" t="s">
        <v>17</v>
      </c>
      <c r="D858" t="s">
        <v>38</v>
      </c>
      <c r="E858" t="s">
        <v>19</v>
      </c>
      <c r="F858" t="s">
        <v>26</v>
      </c>
      <c r="O858">
        <v>2038</v>
      </c>
      <c r="P858">
        <v>29.725108271999989</v>
      </c>
    </row>
    <row r="859" spans="1:16" x14ac:dyDescent="0.3">
      <c r="A859" t="str">
        <f t="shared" si="13"/>
        <v>PD|TotalCapacityAnnual|RE1|PWRJET|2038</v>
      </c>
      <c r="B859" t="s">
        <v>16</v>
      </c>
      <c r="C859" t="s">
        <v>17</v>
      </c>
      <c r="D859" t="s">
        <v>38</v>
      </c>
      <c r="E859" t="s">
        <v>19</v>
      </c>
      <c r="F859" t="s">
        <v>27</v>
      </c>
      <c r="O859">
        <v>2038</v>
      </c>
      <c r="P859">
        <v>1.5768</v>
      </c>
    </row>
    <row r="860" spans="1:16" x14ac:dyDescent="0.3">
      <c r="A860" t="str">
        <f t="shared" si="13"/>
        <v>PD|TotalCapacityAnnual|RE1|PWRLPG|2038</v>
      </c>
      <c r="B860" t="s">
        <v>16</v>
      </c>
      <c r="C860" t="s">
        <v>17</v>
      </c>
      <c r="D860" t="s">
        <v>38</v>
      </c>
      <c r="E860" t="s">
        <v>19</v>
      </c>
      <c r="F860" t="s">
        <v>28</v>
      </c>
      <c r="O860">
        <v>2038</v>
      </c>
      <c r="P860">
        <v>1.639872</v>
      </c>
    </row>
    <row r="861" spans="1:16" x14ac:dyDescent="0.3">
      <c r="A861" t="str">
        <f t="shared" si="13"/>
        <v>PD|TotalCapacityAnnual|RE1|PWRNGS_CC|2038</v>
      </c>
      <c r="B861" t="s">
        <v>16</v>
      </c>
      <c r="C861" t="s">
        <v>17</v>
      </c>
      <c r="D861" t="s">
        <v>38</v>
      </c>
      <c r="E861" t="s">
        <v>19</v>
      </c>
      <c r="F861" t="s">
        <v>29</v>
      </c>
      <c r="O861">
        <v>2038</v>
      </c>
      <c r="P861">
        <v>70.104500000000002</v>
      </c>
    </row>
    <row r="862" spans="1:16" x14ac:dyDescent="0.3">
      <c r="A862" t="str">
        <f t="shared" si="13"/>
        <v>PD|TotalCapacityAnnual|RE1|PWRNGS_CS|2038</v>
      </c>
      <c r="B862" t="s">
        <v>16</v>
      </c>
      <c r="C862" t="s">
        <v>17</v>
      </c>
      <c r="D862" t="s">
        <v>38</v>
      </c>
      <c r="E862" t="s">
        <v>19</v>
      </c>
      <c r="F862" t="s">
        <v>30</v>
      </c>
      <c r="O862">
        <v>2038</v>
      </c>
      <c r="P862">
        <v>23.084351999999999</v>
      </c>
    </row>
    <row r="863" spans="1:16" x14ac:dyDescent="0.3">
      <c r="A863" t="str">
        <f t="shared" si="13"/>
        <v>PD|TotalCapacityAnnual|RE1|PWRSOLRTP|2038</v>
      </c>
      <c r="B863" t="s">
        <v>16</v>
      </c>
      <c r="C863" t="s">
        <v>17</v>
      </c>
      <c r="D863" t="s">
        <v>38</v>
      </c>
      <c r="E863" t="s">
        <v>19</v>
      </c>
      <c r="F863" t="s">
        <v>31</v>
      </c>
      <c r="O863">
        <v>2038</v>
      </c>
      <c r="P863">
        <v>123.1696231452124</v>
      </c>
    </row>
    <row r="864" spans="1:16" x14ac:dyDescent="0.3">
      <c r="A864" t="str">
        <f t="shared" si="13"/>
        <v>PD|TotalCapacityAnnual|RE1|PWRSOLRTP_ZNI|2038</v>
      </c>
      <c r="B864" t="s">
        <v>16</v>
      </c>
      <c r="C864" t="s">
        <v>17</v>
      </c>
      <c r="D864" t="s">
        <v>38</v>
      </c>
      <c r="E864" t="s">
        <v>19</v>
      </c>
      <c r="F864" t="s">
        <v>32</v>
      </c>
      <c r="O864">
        <v>2038</v>
      </c>
      <c r="P864">
        <v>1.3482492298090729</v>
      </c>
    </row>
    <row r="865" spans="1:16" x14ac:dyDescent="0.3">
      <c r="A865" t="str">
        <f t="shared" si="13"/>
        <v>PD|TotalCapacityAnnual|RE1|PWRSOLUGE|2038</v>
      </c>
      <c r="B865" t="s">
        <v>16</v>
      </c>
      <c r="C865" t="s">
        <v>17</v>
      </c>
      <c r="D865" t="s">
        <v>38</v>
      </c>
      <c r="E865" t="s">
        <v>19</v>
      </c>
      <c r="F865" t="s">
        <v>33</v>
      </c>
      <c r="O865">
        <v>2038</v>
      </c>
      <c r="P865">
        <v>191.79186048</v>
      </c>
    </row>
    <row r="866" spans="1:16" x14ac:dyDescent="0.3">
      <c r="A866" t="str">
        <f t="shared" si="13"/>
        <v>PD|TotalCapacityAnnual|RE1|PWRSOLUPE|2038</v>
      </c>
      <c r="B866" t="s">
        <v>16</v>
      </c>
      <c r="C866" t="s">
        <v>17</v>
      </c>
      <c r="D866" t="s">
        <v>38</v>
      </c>
      <c r="E866" t="s">
        <v>19</v>
      </c>
      <c r="F866" t="s">
        <v>34</v>
      </c>
      <c r="O866">
        <v>2038</v>
      </c>
      <c r="P866">
        <v>39.172600079999931</v>
      </c>
    </row>
    <row r="867" spans="1:16" x14ac:dyDescent="0.3">
      <c r="A867" t="str">
        <f t="shared" si="13"/>
        <v>PD|TotalCapacityAnnual|RE1|PWRSTD|2038</v>
      </c>
      <c r="B867" t="s">
        <v>16</v>
      </c>
      <c r="C867" t="s">
        <v>17</v>
      </c>
      <c r="D867" t="s">
        <v>38</v>
      </c>
      <c r="E867" t="s">
        <v>19</v>
      </c>
      <c r="F867" t="s">
        <v>35</v>
      </c>
      <c r="O867">
        <v>2038</v>
      </c>
      <c r="P867">
        <v>8.163062064</v>
      </c>
    </row>
    <row r="868" spans="1:16" x14ac:dyDescent="0.3">
      <c r="A868" t="str">
        <f t="shared" si="13"/>
        <v>PD|TotalCapacityAnnual|RE1|PWRWNDONS|2038</v>
      </c>
      <c r="B868" t="s">
        <v>16</v>
      </c>
      <c r="C868" t="s">
        <v>17</v>
      </c>
      <c r="D868" t="s">
        <v>38</v>
      </c>
      <c r="E868" t="s">
        <v>19</v>
      </c>
      <c r="F868" t="s">
        <v>36</v>
      </c>
      <c r="O868">
        <v>2038</v>
      </c>
      <c r="P868">
        <v>128.81533249523741</v>
      </c>
    </row>
    <row r="869" spans="1:16" x14ac:dyDescent="0.3">
      <c r="A869" t="str">
        <f t="shared" si="13"/>
        <v>PD|AccumulatedNewCapacity|RE1|PWRBGS|2039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O869">
        <v>2039</v>
      </c>
    </row>
    <row r="870" spans="1:16" x14ac:dyDescent="0.3">
      <c r="A870" t="str">
        <f t="shared" si="13"/>
        <v>PD|AccumulatedNewCapacity|RE1|PWRCOA|2039</v>
      </c>
      <c r="B870" t="s">
        <v>16</v>
      </c>
      <c r="C870" t="s">
        <v>17</v>
      </c>
      <c r="D870" t="s">
        <v>18</v>
      </c>
      <c r="E870" t="s">
        <v>19</v>
      </c>
      <c r="F870" t="s">
        <v>21</v>
      </c>
      <c r="O870">
        <v>2039</v>
      </c>
    </row>
    <row r="871" spans="1:16" x14ac:dyDescent="0.3">
      <c r="A871" t="str">
        <f t="shared" si="13"/>
        <v>PD|AccumulatedNewCapacity|RE1|PWRDSL|2039</v>
      </c>
      <c r="B871" t="s">
        <v>16</v>
      </c>
      <c r="C871" t="s">
        <v>17</v>
      </c>
      <c r="D871" t="s">
        <v>18</v>
      </c>
      <c r="E871" t="s">
        <v>19</v>
      </c>
      <c r="F871" t="s">
        <v>22</v>
      </c>
      <c r="O871">
        <v>2039</v>
      </c>
    </row>
    <row r="872" spans="1:16" x14ac:dyDescent="0.3">
      <c r="A872" t="str">
        <f t="shared" si="13"/>
        <v>PD|AccumulatedNewCapacity|RE1|PWRFOL|2039</v>
      </c>
      <c r="B872" t="s">
        <v>16</v>
      </c>
      <c r="C872" t="s">
        <v>17</v>
      </c>
      <c r="D872" t="s">
        <v>18</v>
      </c>
      <c r="E872" t="s">
        <v>19</v>
      </c>
      <c r="F872" t="s">
        <v>23</v>
      </c>
      <c r="O872">
        <v>2039</v>
      </c>
    </row>
    <row r="873" spans="1:16" x14ac:dyDescent="0.3">
      <c r="A873" t="str">
        <f t="shared" si="13"/>
        <v>PD|AccumulatedNewCapacity|RE1|PWRHYDDAM|2039</v>
      </c>
      <c r="B873" t="s">
        <v>16</v>
      </c>
      <c r="C873" t="s">
        <v>17</v>
      </c>
      <c r="D873" t="s">
        <v>18</v>
      </c>
      <c r="E873" t="s">
        <v>19</v>
      </c>
      <c r="F873" t="s">
        <v>24</v>
      </c>
      <c r="O873">
        <v>2039</v>
      </c>
      <c r="P873">
        <v>37.840000000000003</v>
      </c>
    </row>
    <row r="874" spans="1:16" x14ac:dyDescent="0.3">
      <c r="A874" t="str">
        <f t="shared" si="13"/>
        <v>PD|AccumulatedNewCapacity|RE1|PWRHYDROR|2039</v>
      </c>
      <c r="B874" t="s">
        <v>16</v>
      </c>
      <c r="C874" t="s">
        <v>17</v>
      </c>
      <c r="D874" t="s">
        <v>18</v>
      </c>
      <c r="E874" t="s">
        <v>19</v>
      </c>
      <c r="F874" t="s">
        <v>25</v>
      </c>
      <c r="O874">
        <v>2039</v>
      </c>
    </row>
    <row r="875" spans="1:16" x14ac:dyDescent="0.3">
      <c r="A875" t="str">
        <f t="shared" si="13"/>
        <v>PD|AccumulatedNewCapacity|RE1|PWRHYDROR_NDC|2039</v>
      </c>
      <c r="B875" t="s">
        <v>16</v>
      </c>
      <c r="C875" t="s">
        <v>17</v>
      </c>
      <c r="D875" t="s">
        <v>18</v>
      </c>
      <c r="E875" t="s">
        <v>19</v>
      </c>
      <c r="F875" t="s">
        <v>26</v>
      </c>
      <c r="O875">
        <v>2039</v>
      </c>
    </row>
    <row r="876" spans="1:16" x14ac:dyDescent="0.3">
      <c r="A876" t="str">
        <f t="shared" si="13"/>
        <v>PD|AccumulatedNewCapacity|RE1|PWRJET|2039</v>
      </c>
      <c r="B876" t="s">
        <v>16</v>
      </c>
      <c r="C876" t="s">
        <v>17</v>
      </c>
      <c r="D876" t="s">
        <v>18</v>
      </c>
      <c r="E876" t="s">
        <v>19</v>
      </c>
      <c r="F876" t="s">
        <v>27</v>
      </c>
      <c r="O876">
        <v>2039</v>
      </c>
    </row>
    <row r="877" spans="1:16" x14ac:dyDescent="0.3">
      <c r="A877" t="str">
        <f t="shared" si="13"/>
        <v>PD|AccumulatedNewCapacity|RE1|PWRLPG|2039</v>
      </c>
      <c r="B877" t="s">
        <v>16</v>
      </c>
      <c r="C877" t="s">
        <v>17</v>
      </c>
      <c r="D877" t="s">
        <v>18</v>
      </c>
      <c r="E877" t="s">
        <v>19</v>
      </c>
      <c r="F877" t="s">
        <v>28</v>
      </c>
      <c r="O877">
        <v>2039</v>
      </c>
    </row>
    <row r="878" spans="1:16" x14ac:dyDescent="0.3">
      <c r="A878" t="str">
        <f t="shared" si="13"/>
        <v>PD|AccumulatedNewCapacity|RE1|PWRNGS_CC|2039</v>
      </c>
      <c r="B878" t="s">
        <v>16</v>
      </c>
      <c r="C878" t="s">
        <v>17</v>
      </c>
      <c r="D878" t="s">
        <v>18</v>
      </c>
      <c r="E878" t="s">
        <v>19</v>
      </c>
      <c r="F878" t="s">
        <v>29</v>
      </c>
      <c r="O878">
        <v>2039</v>
      </c>
    </row>
    <row r="879" spans="1:16" x14ac:dyDescent="0.3">
      <c r="A879" t="str">
        <f t="shared" si="13"/>
        <v>PD|AccumulatedNewCapacity|RE1|PWRNGS_CS|2039</v>
      </c>
      <c r="B879" t="s">
        <v>16</v>
      </c>
      <c r="C879" t="s">
        <v>17</v>
      </c>
      <c r="D879" t="s">
        <v>18</v>
      </c>
      <c r="E879" t="s">
        <v>19</v>
      </c>
      <c r="F879" t="s">
        <v>30</v>
      </c>
      <c r="O879">
        <v>2039</v>
      </c>
    </row>
    <row r="880" spans="1:16" x14ac:dyDescent="0.3">
      <c r="A880" t="str">
        <f t="shared" si="13"/>
        <v>PD|AccumulatedNewCapacity|RE1|PWRSOLRTP|2039</v>
      </c>
      <c r="B880" t="s">
        <v>16</v>
      </c>
      <c r="C880" t="s">
        <v>17</v>
      </c>
      <c r="D880" t="s">
        <v>18</v>
      </c>
      <c r="E880" t="s">
        <v>19</v>
      </c>
      <c r="F880" t="s">
        <v>31</v>
      </c>
      <c r="O880">
        <v>2039</v>
      </c>
      <c r="P880">
        <v>102.2634559289791</v>
      </c>
    </row>
    <row r="881" spans="1:16" x14ac:dyDescent="0.3">
      <c r="A881" t="str">
        <f t="shared" si="13"/>
        <v>PD|AccumulatedNewCapacity|RE1|PWRSOLRTP_ZNI|2039</v>
      </c>
      <c r="B881" t="s">
        <v>16</v>
      </c>
      <c r="C881" t="s">
        <v>17</v>
      </c>
      <c r="D881" t="s">
        <v>18</v>
      </c>
      <c r="E881" t="s">
        <v>19</v>
      </c>
      <c r="F881" t="s">
        <v>32</v>
      </c>
      <c r="O881">
        <v>2039</v>
      </c>
      <c r="P881">
        <v>0.88750826980907294</v>
      </c>
    </row>
    <row r="882" spans="1:16" x14ac:dyDescent="0.3">
      <c r="A882" t="str">
        <f t="shared" si="13"/>
        <v>PD|AccumulatedNewCapacity|RE1|PWRSOLUGE|2039</v>
      </c>
      <c r="B882" t="s">
        <v>16</v>
      </c>
      <c r="C882" t="s">
        <v>17</v>
      </c>
      <c r="D882" t="s">
        <v>18</v>
      </c>
      <c r="E882" t="s">
        <v>19</v>
      </c>
      <c r="F882" t="s">
        <v>33</v>
      </c>
      <c r="O882">
        <v>2039</v>
      </c>
      <c r="P882">
        <v>143.394192</v>
      </c>
    </row>
    <row r="883" spans="1:16" x14ac:dyDescent="0.3">
      <c r="A883" t="str">
        <f t="shared" si="13"/>
        <v>PD|AccumulatedNewCapacity|RE1|PWRSOLUPE|2039</v>
      </c>
      <c r="B883" t="s">
        <v>16</v>
      </c>
      <c r="C883" t="s">
        <v>17</v>
      </c>
      <c r="D883" t="s">
        <v>18</v>
      </c>
      <c r="E883" t="s">
        <v>19</v>
      </c>
      <c r="F883" t="s">
        <v>34</v>
      </c>
      <c r="O883">
        <v>2039</v>
      </c>
      <c r="P883">
        <v>12.14419823999993</v>
      </c>
    </row>
    <row r="884" spans="1:16" x14ac:dyDescent="0.3">
      <c r="A884" t="str">
        <f t="shared" si="13"/>
        <v>PD|AccumulatedNewCapacity|RE1|PWRSTD|2039</v>
      </c>
      <c r="B884" t="s">
        <v>16</v>
      </c>
      <c r="C884" t="s">
        <v>17</v>
      </c>
      <c r="D884" t="s">
        <v>18</v>
      </c>
      <c r="E884" t="s">
        <v>19</v>
      </c>
      <c r="F884" t="s">
        <v>35</v>
      </c>
      <c r="O884">
        <v>2039</v>
      </c>
    </row>
    <row r="885" spans="1:16" x14ac:dyDescent="0.3">
      <c r="A885" t="str">
        <f t="shared" si="13"/>
        <v>PD|AccumulatedNewCapacity|RE1|PWRWNDONS|2039</v>
      </c>
      <c r="B885" t="s">
        <v>16</v>
      </c>
      <c r="C885" t="s">
        <v>17</v>
      </c>
      <c r="D885" t="s">
        <v>18</v>
      </c>
      <c r="E885" t="s">
        <v>19</v>
      </c>
      <c r="F885" t="s">
        <v>36</v>
      </c>
      <c r="O885">
        <v>2039</v>
      </c>
      <c r="P885">
        <v>127.44667009523739</v>
      </c>
    </row>
    <row r="886" spans="1:16" x14ac:dyDescent="0.3">
      <c r="A886" t="str">
        <f t="shared" si="13"/>
        <v>PD|NewCapacity|RE1|PWRBGS|2039</v>
      </c>
      <c r="B886" t="s">
        <v>16</v>
      </c>
      <c r="C886" t="s">
        <v>17</v>
      </c>
      <c r="D886" t="s">
        <v>37</v>
      </c>
      <c r="E886" t="s">
        <v>19</v>
      </c>
      <c r="F886" t="s">
        <v>20</v>
      </c>
      <c r="O886">
        <v>2039</v>
      </c>
    </row>
    <row r="887" spans="1:16" x14ac:dyDescent="0.3">
      <c r="A887" t="str">
        <f t="shared" si="13"/>
        <v>PD|NewCapacity|RE1|PWRCOA|2039</v>
      </c>
      <c r="B887" t="s">
        <v>16</v>
      </c>
      <c r="C887" t="s">
        <v>17</v>
      </c>
      <c r="D887" t="s">
        <v>37</v>
      </c>
      <c r="E887" t="s">
        <v>19</v>
      </c>
      <c r="F887" t="s">
        <v>21</v>
      </c>
      <c r="O887">
        <v>2039</v>
      </c>
    </row>
    <row r="888" spans="1:16" x14ac:dyDescent="0.3">
      <c r="A888" t="str">
        <f t="shared" si="13"/>
        <v>PD|NewCapacity|RE1|PWRDSL|2039</v>
      </c>
      <c r="B888" t="s">
        <v>16</v>
      </c>
      <c r="C888" t="s">
        <v>17</v>
      </c>
      <c r="D888" t="s">
        <v>37</v>
      </c>
      <c r="E888" t="s">
        <v>19</v>
      </c>
      <c r="F888" t="s">
        <v>22</v>
      </c>
      <c r="O888">
        <v>2039</v>
      </c>
    </row>
    <row r="889" spans="1:16" x14ac:dyDescent="0.3">
      <c r="A889" t="str">
        <f t="shared" si="13"/>
        <v>PD|NewCapacity|RE1|PWRFOL|2039</v>
      </c>
      <c r="B889" t="s">
        <v>16</v>
      </c>
      <c r="C889" t="s">
        <v>17</v>
      </c>
      <c r="D889" t="s">
        <v>37</v>
      </c>
      <c r="E889" t="s">
        <v>19</v>
      </c>
      <c r="F889" t="s">
        <v>23</v>
      </c>
      <c r="O889">
        <v>2039</v>
      </c>
    </row>
    <row r="890" spans="1:16" x14ac:dyDescent="0.3">
      <c r="A890" t="str">
        <f t="shared" si="13"/>
        <v>PD|NewCapacity|RE1|PWRHYDDAM|2039</v>
      </c>
      <c r="B890" t="s">
        <v>16</v>
      </c>
      <c r="C890" t="s">
        <v>17</v>
      </c>
      <c r="D890" t="s">
        <v>37</v>
      </c>
      <c r="E890" t="s">
        <v>19</v>
      </c>
      <c r="F890" t="s">
        <v>24</v>
      </c>
      <c r="O890">
        <v>2039</v>
      </c>
    </row>
    <row r="891" spans="1:16" x14ac:dyDescent="0.3">
      <c r="A891" t="str">
        <f t="shared" si="13"/>
        <v>PD|NewCapacity|RE1|PWRHYDROR|2039</v>
      </c>
      <c r="B891" t="s">
        <v>16</v>
      </c>
      <c r="C891" t="s">
        <v>17</v>
      </c>
      <c r="D891" t="s">
        <v>37</v>
      </c>
      <c r="E891" t="s">
        <v>19</v>
      </c>
      <c r="F891" t="s">
        <v>25</v>
      </c>
      <c r="O891">
        <v>2039</v>
      </c>
    </row>
    <row r="892" spans="1:16" x14ac:dyDescent="0.3">
      <c r="A892" t="str">
        <f t="shared" si="13"/>
        <v>PD|NewCapacity|RE1|PWRHYDROR_NDC|2039</v>
      </c>
      <c r="B892" t="s">
        <v>16</v>
      </c>
      <c r="C892" t="s">
        <v>17</v>
      </c>
      <c r="D892" t="s">
        <v>37</v>
      </c>
      <c r="E892" t="s">
        <v>19</v>
      </c>
      <c r="F892" t="s">
        <v>26</v>
      </c>
      <c r="O892">
        <v>2039</v>
      </c>
    </row>
    <row r="893" spans="1:16" x14ac:dyDescent="0.3">
      <c r="A893" t="str">
        <f t="shared" si="13"/>
        <v>PD|NewCapacity|RE1|PWRJET|2039</v>
      </c>
      <c r="B893" t="s">
        <v>16</v>
      </c>
      <c r="C893" t="s">
        <v>17</v>
      </c>
      <c r="D893" t="s">
        <v>37</v>
      </c>
      <c r="E893" t="s">
        <v>19</v>
      </c>
      <c r="F893" t="s">
        <v>27</v>
      </c>
      <c r="O893">
        <v>2039</v>
      </c>
    </row>
    <row r="894" spans="1:16" x14ac:dyDescent="0.3">
      <c r="A894" t="str">
        <f t="shared" si="13"/>
        <v>PD|NewCapacity|RE1|PWRLPG|2039</v>
      </c>
      <c r="B894" t="s">
        <v>16</v>
      </c>
      <c r="C894" t="s">
        <v>17</v>
      </c>
      <c r="D894" t="s">
        <v>37</v>
      </c>
      <c r="E894" t="s">
        <v>19</v>
      </c>
      <c r="F894" t="s">
        <v>28</v>
      </c>
      <c r="O894">
        <v>2039</v>
      </c>
    </row>
    <row r="895" spans="1:16" x14ac:dyDescent="0.3">
      <c r="A895" t="str">
        <f t="shared" si="13"/>
        <v>PD|NewCapacity|RE1|PWRNGS_CC|2039</v>
      </c>
      <c r="B895" t="s">
        <v>16</v>
      </c>
      <c r="C895" t="s">
        <v>17</v>
      </c>
      <c r="D895" t="s">
        <v>37</v>
      </c>
      <c r="E895" t="s">
        <v>19</v>
      </c>
      <c r="F895" t="s">
        <v>29</v>
      </c>
      <c r="O895">
        <v>2039</v>
      </c>
    </row>
    <row r="896" spans="1:16" x14ac:dyDescent="0.3">
      <c r="A896" t="str">
        <f t="shared" si="13"/>
        <v>PD|NewCapacity|RE1|PWRNGS_CS|2039</v>
      </c>
      <c r="B896" t="s">
        <v>16</v>
      </c>
      <c r="C896" t="s">
        <v>17</v>
      </c>
      <c r="D896" t="s">
        <v>37</v>
      </c>
      <c r="E896" t="s">
        <v>19</v>
      </c>
      <c r="F896" t="s">
        <v>30</v>
      </c>
      <c r="O896">
        <v>2039</v>
      </c>
    </row>
    <row r="897" spans="1:16" x14ac:dyDescent="0.3">
      <c r="A897" t="str">
        <f t="shared" si="13"/>
        <v>PD|NewCapacity|RE1|PWRSOLRTP|2039</v>
      </c>
      <c r="B897" t="s">
        <v>16</v>
      </c>
      <c r="C897" t="s">
        <v>17</v>
      </c>
      <c r="D897" t="s">
        <v>37</v>
      </c>
      <c r="E897" t="s">
        <v>19</v>
      </c>
      <c r="F897" t="s">
        <v>31</v>
      </c>
      <c r="O897">
        <v>2039</v>
      </c>
      <c r="P897">
        <v>2.3779327837666462</v>
      </c>
    </row>
    <row r="898" spans="1:16" x14ac:dyDescent="0.3">
      <c r="A898" t="str">
        <f t="shared" ref="A898:A961" si="14">B898&amp;"|"&amp;D898&amp;"|"&amp;E898&amp;"|"&amp;F898&amp;"|"&amp;O898</f>
        <v>PD|NewCapacity|RE1|PWRSOLRTP_ZNI|2039</v>
      </c>
      <c r="B898" t="s">
        <v>16</v>
      </c>
      <c r="C898" t="s">
        <v>17</v>
      </c>
      <c r="D898" t="s">
        <v>37</v>
      </c>
      <c r="E898" t="s">
        <v>19</v>
      </c>
      <c r="F898" t="s">
        <v>32</v>
      </c>
      <c r="O898">
        <v>2039</v>
      </c>
    </row>
    <row r="899" spans="1:16" x14ac:dyDescent="0.3">
      <c r="A899" t="str">
        <f t="shared" si="14"/>
        <v>PD|NewCapacity|RE1|PWRSOLUGE|2039</v>
      </c>
      <c r="B899" t="s">
        <v>16</v>
      </c>
      <c r="C899" t="s">
        <v>17</v>
      </c>
      <c r="D899" t="s">
        <v>37</v>
      </c>
      <c r="E899" t="s">
        <v>19</v>
      </c>
      <c r="F899" t="s">
        <v>33</v>
      </c>
      <c r="O899">
        <v>2039</v>
      </c>
    </row>
    <row r="900" spans="1:16" x14ac:dyDescent="0.3">
      <c r="A900" t="str">
        <f t="shared" si="14"/>
        <v>PD|NewCapacity|RE1|PWRSOLUPE|2039</v>
      </c>
      <c r="B900" t="s">
        <v>16</v>
      </c>
      <c r="C900" t="s">
        <v>17</v>
      </c>
      <c r="D900" t="s">
        <v>37</v>
      </c>
      <c r="E900" t="s">
        <v>19</v>
      </c>
      <c r="F900" t="s">
        <v>34</v>
      </c>
      <c r="O900">
        <v>2039</v>
      </c>
    </row>
    <row r="901" spans="1:16" x14ac:dyDescent="0.3">
      <c r="A901" t="str">
        <f t="shared" si="14"/>
        <v>PD|NewCapacity|RE1|PWRSTD|2039</v>
      </c>
      <c r="B901" t="s">
        <v>16</v>
      </c>
      <c r="C901" t="s">
        <v>17</v>
      </c>
      <c r="D901" t="s">
        <v>37</v>
      </c>
      <c r="E901" t="s">
        <v>19</v>
      </c>
      <c r="F901" t="s">
        <v>35</v>
      </c>
      <c r="O901">
        <v>2039</v>
      </c>
    </row>
    <row r="902" spans="1:16" x14ac:dyDescent="0.3">
      <c r="A902" t="str">
        <f t="shared" si="14"/>
        <v>PD|NewCapacity|RE1|PWRWNDONS|2039</v>
      </c>
      <c r="B902" t="s">
        <v>16</v>
      </c>
      <c r="C902" t="s">
        <v>17</v>
      </c>
      <c r="D902" t="s">
        <v>37</v>
      </c>
      <c r="E902" t="s">
        <v>19</v>
      </c>
      <c r="F902" t="s">
        <v>36</v>
      </c>
      <c r="O902">
        <v>2039</v>
      </c>
    </row>
    <row r="903" spans="1:16" x14ac:dyDescent="0.3">
      <c r="A903" t="str">
        <f t="shared" si="14"/>
        <v>PD|TotalCapacityAnnual|RE1|PWRBGS|2039</v>
      </c>
      <c r="B903" t="s">
        <v>16</v>
      </c>
      <c r="C903" t="s">
        <v>17</v>
      </c>
      <c r="D903" t="s">
        <v>38</v>
      </c>
      <c r="E903" t="s">
        <v>19</v>
      </c>
      <c r="F903" t="s">
        <v>20</v>
      </c>
      <c r="O903">
        <v>2039</v>
      </c>
      <c r="P903">
        <v>2.5488587520000001E-2</v>
      </c>
    </row>
    <row r="904" spans="1:16" x14ac:dyDescent="0.3">
      <c r="A904" t="str">
        <f t="shared" si="14"/>
        <v>PD|TotalCapacityAnnual|RE1|PWRCOA|2039</v>
      </c>
      <c r="B904" t="s">
        <v>16</v>
      </c>
      <c r="C904" t="s">
        <v>17</v>
      </c>
      <c r="D904" t="s">
        <v>38</v>
      </c>
      <c r="E904" t="s">
        <v>19</v>
      </c>
      <c r="F904" t="s">
        <v>21</v>
      </c>
      <c r="O904">
        <v>2039</v>
      </c>
    </row>
    <row r="905" spans="1:16" x14ac:dyDescent="0.3">
      <c r="A905" t="str">
        <f t="shared" si="14"/>
        <v>PD|TotalCapacityAnnual|RE1|PWRDSL|2039</v>
      </c>
      <c r="B905" t="s">
        <v>16</v>
      </c>
      <c r="C905" t="s">
        <v>17</v>
      </c>
      <c r="D905" t="s">
        <v>38</v>
      </c>
      <c r="E905" t="s">
        <v>19</v>
      </c>
      <c r="F905" t="s">
        <v>22</v>
      </c>
      <c r="O905">
        <v>2039</v>
      </c>
      <c r="P905">
        <v>24.944976</v>
      </c>
    </row>
    <row r="906" spans="1:16" x14ac:dyDescent="0.3">
      <c r="A906" t="str">
        <f t="shared" si="14"/>
        <v>PD|TotalCapacityAnnual|RE1|PWRFOL|2039</v>
      </c>
      <c r="B906" t="s">
        <v>16</v>
      </c>
      <c r="C906" t="s">
        <v>17</v>
      </c>
      <c r="D906" t="s">
        <v>38</v>
      </c>
      <c r="E906" t="s">
        <v>19</v>
      </c>
      <c r="F906" t="s">
        <v>23</v>
      </c>
      <c r="O906">
        <v>2039</v>
      </c>
      <c r="P906">
        <v>8.3885759999999987</v>
      </c>
    </row>
    <row r="907" spans="1:16" x14ac:dyDescent="0.3">
      <c r="A907" t="str">
        <f t="shared" si="14"/>
        <v>PD|TotalCapacityAnnual|RE1|PWRHYDDAM|2039</v>
      </c>
      <c r="B907" t="s">
        <v>16</v>
      </c>
      <c r="C907" t="s">
        <v>17</v>
      </c>
      <c r="D907" t="s">
        <v>38</v>
      </c>
      <c r="E907" t="s">
        <v>19</v>
      </c>
      <c r="F907" t="s">
        <v>24</v>
      </c>
      <c r="O907">
        <v>2039</v>
      </c>
      <c r="P907">
        <v>440.49164800000011</v>
      </c>
    </row>
    <row r="908" spans="1:16" x14ac:dyDescent="0.3">
      <c r="A908" t="str">
        <f t="shared" si="14"/>
        <v>PD|TotalCapacityAnnual|RE1|PWRHYDROR|2039</v>
      </c>
      <c r="B908" t="s">
        <v>16</v>
      </c>
      <c r="C908" t="s">
        <v>17</v>
      </c>
      <c r="D908" t="s">
        <v>38</v>
      </c>
      <c r="E908" t="s">
        <v>19</v>
      </c>
      <c r="F908" t="s">
        <v>25</v>
      </c>
      <c r="O908">
        <v>2039</v>
      </c>
      <c r="P908">
        <v>21.097584000000001</v>
      </c>
    </row>
    <row r="909" spans="1:16" x14ac:dyDescent="0.3">
      <c r="A909" t="str">
        <f t="shared" si="14"/>
        <v>PD|TotalCapacityAnnual|RE1|PWRHYDROR_NDC|2039</v>
      </c>
      <c r="B909" t="s">
        <v>16</v>
      </c>
      <c r="C909" t="s">
        <v>17</v>
      </c>
      <c r="D909" t="s">
        <v>38</v>
      </c>
      <c r="E909" t="s">
        <v>19</v>
      </c>
      <c r="F909" t="s">
        <v>26</v>
      </c>
      <c r="O909">
        <v>2039</v>
      </c>
      <c r="P909">
        <v>29.725108271999989</v>
      </c>
    </row>
    <row r="910" spans="1:16" x14ac:dyDescent="0.3">
      <c r="A910" t="str">
        <f t="shared" si="14"/>
        <v>PD|TotalCapacityAnnual|RE1|PWRJET|2039</v>
      </c>
      <c r="B910" t="s">
        <v>16</v>
      </c>
      <c r="C910" t="s">
        <v>17</v>
      </c>
      <c r="D910" t="s">
        <v>38</v>
      </c>
      <c r="E910" t="s">
        <v>19</v>
      </c>
      <c r="F910" t="s">
        <v>27</v>
      </c>
      <c r="O910">
        <v>2039</v>
      </c>
      <c r="P910">
        <v>1.5768</v>
      </c>
    </row>
    <row r="911" spans="1:16" x14ac:dyDescent="0.3">
      <c r="A911" t="str">
        <f t="shared" si="14"/>
        <v>PD|TotalCapacityAnnual|RE1|PWRLPG|2039</v>
      </c>
      <c r="B911" t="s">
        <v>16</v>
      </c>
      <c r="C911" t="s">
        <v>17</v>
      </c>
      <c r="D911" t="s">
        <v>38</v>
      </c>
      <c r="E911" t="s">
        <v>19</v>
      </c>
      <c r="F911" t="s">
        <v>28</v>
      </c>
      <c r="O911">
        <v>2039</v>
      </c>
      <c r="P911">
        <v>1.639872</v>
      </c>
    </row>
    <row r="912" spans="1:16" x14ac:dyDescent="0.3">
      <c r="A912" t="str">
        <f t="shared" si="14"/>
        <v>PD|TotalCapacityAnnual|RE1|PWRNGS_CC|2039</v>
      </c>
      <c r="B912" t="s">
        <v>16</v>
      </c>
      <c r="C912" t="s">
        <v>17</v>
      </c>
      <c r="D912" t="s">
        <v>38</v>
      </c>
      <c r="E912" t="s">
        <v>19</v>
      </c>
      <c r="F912" t="s">
        <v>29</v>
      </c>
      <c r="O912">
        <v>2039</v>
      </c>
      <c r="P912">
        <v>70.104500000000002</v>
      </c>
    </row>
    <row r="913" spans="1:16" x14ac:dyDescent="0.3">
      <c r="A913" t="str">
        <f t="shared" si="14"/>
        <v>PD|TotalCapacityAnnual|RE1|PWRNGS_CS|2039</v>
      </c>
      <c r="B913" t="s">
        <v>16</v>
      </c>
      <c r="C913" t="s">
        <v>17</v>
      </c>
      <c r="D913" t="s">
        <v>38</v>
      </c>
      <c r="E913" t="s">
        <v>19</v>
      </c>
      <c r="F913" t="s">
        <v>30</v>
      </c>
      <c r="O913">
        <v>2039</v>
      </c>
      <c r="P913">
        <v>23.084351999999999</v>
      </c>
    </row>
    <row r="914" spans="1:16" x14ac:dyDescent="0.3">
      <c r="A914" t="str">
        <f t="shared" si="14"/>
        <v>PD|TotalCapacityAnnual|RE1|PWRSOLRTP|2039</v>
      </c>
      <c r="B914" t="s">
        <v>16</v>
      </c>
      <c r="C914" t="s">
        <v>17</v>
      </c>
      <c r="D914" t="s">
        <v>38</v>
      </c>
      <c r="E914" t="s">
        <v>19</v>
      </c>
      <c r="F914" t="s">
        <v>31</v>
      </c>
      <c r="O914">
        <v>2039</v>
      </c>
      <c r="P914">
        <v>125.54755592897909</v>
      </c>
    </row>
    <row r="915" spans="1:16" x14ac:dyDescent="0.3">
      <c r="A915" t="str">
        <f t="shared" si="14"/>
        <v>PD|TotalCapacityAnnual|RE1|PWRSOLRTP_ZNI|2039</v>
      </c>
      <c r="B915" t="s">
        <v>16</v>
      </c>
      <c r="C915" t="s">
        <v>17</v>
      </c>
      <c r="D915" t="s">
        <v>38</v>
      </c>
      <c r="E915" t="s">
        <v>19</v>
      </c>
      <c r="F915" t="s">
        <v>32</v>
      </c>
      <c r="O915">
        <v>2039</v>
      </c>
      <c r="P915">
        <v>1.3482492298090729</v>
      </c>
    </row>
    <row r="916" spans="1:16" x14ac:dyDescent="0.3">
      <c r="A916" t="str">
        <f t="shared" si="14"/>
        <v>PD|TotalCapacityAnnual|RE1|PWRSOLUGE|2039</v>
      </c>
      <c r="B916" t="s">
        <v>16</v>
      </c>
      <c r="C916" t="s">
        <v>17</v>
      </c>
      <c r="D916" t="s">
        <v>38</v>
      </c>
      <c r="E916" t="s">
        <v>19</v>
      </c>
      <c r="F916" t="s">
        <v>33</v>
      </c>
      <c r="O916">
        <v>2039</v>
      </c>
      <c r="P916">
        <v>191.79186048</v>
      </c>
    </row>
    <row r="917" spans="1:16" x14ac:dyDescent="0.3">
      <c r="A917" t="str">
        <f t="shared" si="14"/>
        <v>PD|TotalCapacityAnnual|RE1|PWRSOLUPE|2039</v>
      </c>
      <c r="B917" t="s">
        <v>16</v>
      </c>
      <c r="C917" t="s">
        <v>17</v>
      </c>
      <c r="D917" t="s">
        <v>38</v>
      </c>
      <c r="E917" t="s">
        <v>19</v>
      </c>
      <c r="F917" t="s">
        <v>34</v>
      </c>
      <c r="O917">
        <v>2039</v>
      </c>
      <c r="P917">
        <v>39.172600079999931</v>
      </c>
    </row>
    <row r="918" spans="1:16" x14ac:dyDescent="0.3">
      <c r="A918" t="str">
        <f t="shared" si="14"/>
        <v>PD|TotalCapacityAnnual|RE1|PWRSTD|2039</v>
      </c>
      <c r="B918" t="s">
        <v>16</v>
      </c>
      <c r="C918" t="s">
        <v>17</v>
      </c>
      <c r="D918" t="s">
        <v>38</v>
      </c>
      <c r="E918" t="s">
        <v>19</v>
      </c>
      <c r="F918" t="s">
        <v>35</v>
      </c>
      <c r="O918">
        <v>2039</v>
      </c>
      <c r="P918">
        <v>8.163062064</v>
      </c>
    </row>
    <row r="919" spans="1:16" x14ac:dyDescent="0.3">
      <c r="A919" t="str">
        <f t="shared" si="14"/>
        <v>PD|TotalCapacityAnnual|RE1|PWRWNDONS|2039</v>
      </c>
      <c r="B919" t="s">
        <v>16</v>
      </c>
      <c r="C919" t="s">
        <v>17</v>
      </c>
      <c r="D919" t="s">
        <v>38</v>
      </c>
      <c r="E919" t="s">
        <v>19</v>
      </c>
      <c r="F919" t="s">
        <v>36</v>
      </c>
      <c r="O919">
        <v>2039</v>
      </c>
      <c r="P919">
        <v>128.81533249523741</v>
      </c>
    </row>
    <row r="920" spans="1:16" x14ac:dyDescent="0.3">
      <c r="A920" t="str">
        <f t="shared" si="14"/>
        <v>PD|AccumulatedNewCapacity|RE1|PWRBGS|2040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O920">
        <v>2040</v>
      </c>
    </row>
    <row r="921" spans="1:16" x14ac:dyDescent="0.3">
      <c r="A921" t="str">
        <f t="shared" si="14"/>
        <v>PD|AccumulatedNewCapacity|RE1|PWRCOA|2040</v>
      </c>
      <c r="B921" t="s">
        <v>16</v>
      </c>
      <c r="C921" t="s">
        <v>17</v>
      </c>
      <c r="D921" t="s">
        <v>18</v>
      </c>
      <c r="E921" t="s">
        <v>19</v>
      </c>
      <c r="F921" t="s">
        <v>21</v>
      </c>
      <c r="O921">
        <v>2040</v>
      </c>
    </row>
    <row r="922" spans="1:16" x14ac:dyDescent="0.3">
      <c r="A922" t="str">
        <f t="shared" si="14"/>
        <v>PD|AccumulatedNewCapacity|RE1|PWRDSL|2040</v>
      </c>
      <c r="B922" t="s">
        <v>16</v>
      </c>
      <c r="C922" t="s">
        <v>17</v>
      </c>
      <c r="D922" t="s">
        <v>18</v>
      </c>
      <c r="E922" t="s">
        <v>19</v>
      </c>
      <c r="F922" t="s">
        <v>22</v>
      </c>
      <c r="O922">
        <v>2040</v>
      </c>
    </row>
    <row r="923" spans="1:16" x14ac:dyDescent="0.3">
      <c r="A923" t="str">
        <f t="shared" si="14"/>
        <v>PD|AccumulatedNewCapacity|RE1|PWRFOL|2040</v>
      </c>
      <c r="B923" t="s">
        <v>16</v>
      </c>
      <c r="C923" t="s">
        <v>17</v>
      </c>
      <c r="D923" t="s">
        <v>18</v>
      </c>
      <c r="E923" t="s">
        <v>19</v>
      </c>
      <c r="F923" t="s">
        <v>23</v>
      </c>
      <c r="O923">
        <v>2040</v>
      </c>
    </row>
    <row r="924" spans="1:16" x14ac:dyDescent="0.3">
      <c r="A924" t="str">
        <f t="shared" si="14"/>
        <v>PD|AccumulatedNewCapacity|RE1|PWRHYDDAM|2040</v>
      </c>
      <c r="B924" t="s">
        <v>16</v>
      </c>
      <c r="C924" t="s">
        <v>17</v>
      </c>
      <c r="D924" t="s">
        <v>18</v>
      </c>
      <c r="E924" t="s">
        <v>19</v>
      </c>
      <c r="F924" t="s">
        <v>24</v>
      </c>
      <c r="O924">
        <v>2040</v>
      </c>
      <c r="P924">
        <v>37.840000000000003</v>
      </c>
    </row>
    <row r="925" spans="1:16" x14ac:dyDescent="0.3">
      <c r="A925" t="str">
        <f t="shared" si="14"/>
        <v>PD|AccumulatedNewCapacity|RE1|PWRHYDROR|2040</v>
      </c>
      <c r="B925" t="s">
        <v>16</v>
      </c>
      <c r="C925" t="s">
        <v>17</v>
      </c>
      <c r="D925" t="s">
        <v>18</v>
      </c>
      <c r="E925" t="s">
        <v>19</v>
      </c>
      <c r="F925" t="s">
        <v>25</v>
      </c>
      <c r="O925">
        <v>2040</v>
      </c>
    </row>
    <row r="926" spans="1:16" x14ac:dyDescent="0.3">
      <c r="A926" t="str">
        <f t="shared" si="14"/>
        <v>PD|AccumulatedNewCapacity|RE1|PWRHYDROR_NDC|2040</v>
      </c>
      <c r="B926" t="s">
        <v>16</v>
      </c>
      <c r="C926" t="s">
        <v>17</v>
      </c>
      <c r="D926" t="s">
        <v>18</v>
      </c>
      <c r="E926" t="s">
        <v>19</v>
      </c>
      <c r="F926" t="s">
        <v>26</v>
      </c>
      <c r="O926">
        <v>2040</v>
      </c>
    </row>
    <row r="927" spans="1:16" x14ac:dyDescent="0.3">
      <c r="A927" t="str">
        <f t="shared" si="14"/>
        <v>PD|AccumulatedNewCapacity|RE1|PWRJET|2040</v>
      </c>
      <c r="B927" t="s">
        <v>16</v>
      </c>
      <c r="C927" t="s">
        <v>17</v>
      </c>
      <c r="D927" t="s">
        <v>18</v>
      </c>
      <c r="E927" t="s">
        <v>19</v>
      </c>
      <c r="F927" t="s">
        <v>27</v>
      </c>
      <c r="O927">
        <v>2040</v>
      </c>
    </row>
    <row r="928" spans="1:16" x14ac:dyDescent="0.3">
      <c r="A928" t="str">
        <f t="shared" si="14"/>
        <v>PD|AccumulatedNewCapacity|RE1|PWRLPG|2040</v>
      </c>
      <c r="B928" t="s">
        <v>16</v>
      </c>
      <c r="C928" t="s">
        <v>17</v>
      </c>
      <c r="D928" t="s">
        <v>18</v>
      </c>
      <c r="E928" t="s">
        <v>19</v>
      </c>
      <c r="F928" t="s">
        <v>28</v>
      </c>
      <c r="O928">
        <v>2040</v>
      </c>
    </row>
    <row r="929" spans="1:16" x14ac:dyDescent="0.3">
      <c r="A929" t="str">
        <f t="shared" si="14"/>
        <v>PD|AccumulatedNewCapacity|RE1|PWRNGS_CC|2040</v>
      </c>
      <c r="B929" t="s">
        <v>16</v>
      </c>
      <c r="C929" t="s">
        <v>17</v>
      </c>
      <c r="D929" t="s">
        <v>18</v>
      </c>
      <c r="E929" t="s">
        <v>19</v>
      </c>
      <c r="F929" t="s">
        <v>29</v>
      </c>
      <c r="O929">
        <v>2040</v>
      </c>
    </row>
    <row r="930" spans="1:16" x14ac:dyDescent="0.3">
      <c r="A930" t="str">
        <f t="shared" si="14"/>
        <v>PD|AccumulatedNewCapacity|RE1|PWRNGS_CS|2040</v>
      </c>
      <c r="B930" t="s">
        <v>16</v>
      </c>
      <c r="C930" t="s">
        <v>17</v>
      </c>
      <c r="D930" t="s">
        <v>18</v>
      </c>
      <c r="E930" t="s">
        <v>19</v>
      </c>
      <c r="F930" t="s">
        <v>30</v>
      </c>
      <c r="O930">
        <v>2040</v>
      </c>
    </row>
    <row r="931" spans="1:16" x14ac:dyDescent="0.3">
      <c r="A931" t="str">
        <f t="shared" si="14"/>
        <v>PD|AccumulatedNewCapacity|RE1|PWRSOLRTP|2040</v>
      </c>
      <c r="B931" t="s">
        <v>16</v>
      </c>
      <c r="C931" t="s">
        <v>17</v>
      </c>
      <c r="D931" t="s">
        <v>18</v>
      </c>
      <c r="E931" t="s">
        <v>19</v>
      </c>
      <c r="F931" t="s">
        <v>31</v>
      </c>
      <c r="O931">
        <v>2040</v>
      </c>
      <c r="P931">
        <v>104.3243310082435</v>
      </c>
    </row>
    <row r="932" spans="1:16" x14ac:dyDescent="0.3">
      <c r="A932" t="str">
        <f t="shared" si="14"/>
        <v>PD|AccumulatedNewCapacity|RE1|PWRSOLRTP_ZNI|2040</v>
      </c>
      <c r="B932" t="s">
        <v>16</v>
      </c>
      <c r="C932" t="s">
        <v>17</v>
      </c>
      <c r="D932" t="s">
        <v>18</v>
      </c>
      <c r="E932" t="s">
        <v>19</v>
      </c>
      <c r="F932" t="s">
        <v>32</v>
      </c>
      <c r="O932">
        <v>2040</v>
      </c>
      <c r="P932">
        <v>0.88750826980907294</v>
      </c>
    </row>
    <row r="933" spans="1:16" x14ac:dyDescent="0.3">
      <c r="A933" t="str">
        <f t="shared" si="14"/>
        <v>PD|AccumulatedNewCapacity|RE1|PWRSOLUGE|2040</v>
      </c>
      <c r="B933" t="s">
        <v>16</v>
      </c>
      <c r="C933" t="s">
        <v>17</v>
      </c>
      <c r="D933" t="s">
        <v>18</v>
      </c>
      <c r="E933" t="s">
        <v>19</v>
      </c>
      <c r="F933" t="s">
        <v>33</v>
      </c>
      <c r="O933">
        <v>2040</v>
      </c>
      <c r="P933">
        <v>143.394192</v>
      </c>
    </row>
    <row r="934" spans="1:16" x14ac:dyDescent="0.3">
      <c r="A934" t="str">
        <f t="shared" si="14"/>
        <v>PD|AccumulatedNewCapacity|RE1|PWRSOLUPE|2040</v>
      </c>
      <c r="B934" t="s">
        <v>16</v>
      </c>
      <c r="C934" t="s">
        <v>17</v>
      </c>
      <c r="D934" t="s">
        <v>18</v>
      </c>
      <c r="E934" t="s">
        <v>19</v>
      </c>
      <c r="F934" t="s">
        <v>34</v>
      </c>
      <c r="O934">
        <v>2040</v>
      </c>
      <c r="P934">
        <v>12.14419823999993</v>
      </c>
    </row>
    <row r="935" spans="1:16" x14ac:dyDescent="0.3">
      <c r="A935" t="str">
        <f t="shared" si="14"/>
        <v>PD|AccumulatedNewCapacity|RE1|PWRSTD|2040</v>
      </c>
      <c r="B935" t="s">
        <v>16</v>
      </c>
      <c r="C935" t="s">
        <v>17</v>
      </c>
      <c r="D935" t="s">
        <v>18</v>
      </c>
      <c r="E935" t="s">
        <v>19</v>
      </c>
      <c r="F935" t="s">
        <v>35</v>
      </c>
      <c r="O935">
        <v>2040</v>
      </c>
    </row>
    <row r="936" spans="1:16" x14ac:dyDescent="0.3">
      <c r="A936" t="str">
        <f t="shared" si="14"/>
        <v>PD|AccumulatedNewCapacity|RE1|PWRWNDONS|2040</v>
      </c>
      <c r="B936" t="s">
        <v>16</v>
      </c>
      <c r="C936" t="s">
        <v>17</v>
      </c>
      <c r="D936" t="s">
        <v>18</v>
      </c>
      <c r="E936" t="s">
        <v>19</v>
      </c>
      <c r="F936" t="s">
        <v>36</v>
      </c>
      <c r="O936">
        <v>2040</v>
      </c>
      <c r="P936">
        <v>164.9085388437972</v>
      </c>
    </row>
    <row r="937" spans="1:16" x14ac:dyDescent="0.3">
      <c r="A937" t="str">
        <f t="shared" si="14"/>
        <v>PD|NewCapacity|RE1|PWRBGS|2040</v>
      </c>
      <c r="B937" t="s">
        <v>16</v>
      </c>
      <c r="C937" t="s">
        <v>17</v>
      </c>
      <c r="D937" t="s">
        <v>37</v>
      </c>
      <c r="E937" t="s">
        <v>19</v>
      </c>
      <c r="F937" t="s">
        <v>20</v>
      </c>
      <c r="O937">
        <v>2040</v>
      </c>
    </row>
    <row r="938" spans="1:16" x14ac:dyDescent="0.3">
      <c r="A938" t="str">
        <f t="shared" si="14"/>
        <v>PD|NewCapacity|RE1|PWRCOA|2040</v>
      </c>
      <c r="B938" t="s">
        <v>16</v>
      </c>
      <c r="C938" t="s">
        <v>17</v>
      </c>
      <c r="D938" t="s">
        <v>37</v>
      </c>
      <c r="E938" t="s">
        <v>19</v>
      </c>
      <c r="F938" t="s">
        <v>21</v>
      </c>
      <c r="O938">
        <v>2040</v>
      </c>
    </row>
    <row r="939" spans="1:16" x14ac:dyDescent="0.3">
      <c r="A939" t="str">
        <f t="shared" si="14"/>
        <v>PD|NewCapacity|RE1|PWRDSL|2040</v>
      </c>
      <c r="B939" t="s">
        <v>16</v>
      </c>
      <c r="C939" t="s">
        <v>17</v>
      </c>
      <c r="D939" t="s">
        <v>37</v>
      </c>
      <c r="E939" t="s">
        <v>19</v>
      </c>
      <c r="F939" t="s">
        <v>22</v>
      </c>
      <c r="O939">
        <v>2040</v>
      </c>
    </row>
    <row r="940" spans="1:16" x14ac:dyDescent="0.3">
      <c r="A940" t="str">
        <f t="shared" si="14"/>
        <v>PD|NewCapacity|RE1|PWRFOL|2040</v>
      </c>
      <c r="B940" t="s">
        <v>16</v>
      </c>
      <c r="C940" t="s">
        <v>17</v>
      </c>
      <c r="D940" t="s">
        <v>37</v>
      </c>
      <c r="E940" t="s">
        <v>19</v>
      </c>
      <c r="F940" t="s">
        <v>23</v>
      </c>
      <c r="O940">
        <v>2040</v>
      </c>
    </row>
    <row r="941" spans="1:16" x14ac:dyDescent="0.3">
      <c r="A941" t="str">
        <f t="shared" si="14"/>
        <v>PD|NewCapacity|RE1|PWRHYDDAM|2040</v>
      </c>
      <c r="B941" t="s">
        <v>16</v>
      </c>
      <c r="C941" t="s">
        <v>17</v>
      </c>
      <c r="D941" t="s">
        <v>37</v>
      </c>
      <c r="E941" t="s">
        <v>19</v>
      </c>
      <c r="F941" t="s">
        <v>24</v>
      </c>
      <c r="O941">
        <v>2040</v>
      </c>
    </row>
    <row r="942" spans="1:16" x14ac:dyDescent="0.3">
      <c r="A942" t="str">
        <f t="shared" si="14"/>
        <v>PD|NewCapacity|RE1|PWRHYDROR|2040</v>
      </c>
      <c r="B942" t="s">
        <v>16</v>
      </c>
      <c r="C942" t="s">
        <v>17</v>
      </c>
      <c r="D942" t="s">
        <v>37</v>
      </c>
      <c r="E942" t="s">
        <v>19</v>
      </c>
      <c r="F942" t="s">
        <v>25</v>
      </c>
      <c r="O942">
        <v>2040</v>
      </c>
    </row>
    <row r="943" spans="1:16" x14ac:dyDescent="0.3">
      <c r="A943" t="str">
        <f t="shared" si="14"/>
        <v>PD|NewCapacity|RE1|PWRHYDROR_NDC|2040</v>
      </c>
      <c r="B943" t="s">
        <v>16</v>
      </c>
      <c r="C943" t="s">
        <v>17</v>
      </c>
      <c r="D943" t="s">
        <v>37</v>
      </c>
      <c r="E943" t="s">
        <v>19</v>
      </c>
      <c r="F943" t="s">
        <v>26</v>
      </c>
      <c r="O943">
        <v>2040</v>
      </c>
    </row>
    <row r="944" spans="1:16" x14ac:dyDescent="0.3">
      <c r="A944" t="str">
        <f t="shared" si="14"/>
        <v>PD|NewCapacity|RE1|PWRJET|2040</v>
      </c>
      <c r="B944" t="s">
        <v>16</v>
      </c>
      <c r="C944" t="s">
        <v>17</v>
      </c>
      <c r="D944" t="s">
        <v>37</v>
      </c>
      <c r="E944" t="s">
        <v>19</v>
      </c>
      <c r="F944" t="s">
        <v>27</v>
      </c>
      <c r="O944">
        <v>2040</v>
      </c>
    </row>
    <row r="945" spans="1:16" x14ac:dyDescent="0.3">
      <c r="A945" t="str">
        <f t="shared" si="14"/>
        <v>PD|NewCapacity|RE1|PWRLPG|2040</v>
      </c>
      <c r="B945" t="s">
        <v>16</v>
      </c>
      <c r="C945" t="s">
        <v>17</v>
      </c>
      <c r="D945" t="s">
        <v>37</v>
      </c>
      <c r="E945" t="s">
        <v>19</v>
      </c>
      <c r="F945" t="s">
        <v>28</v>
      </c>
      <c r="O945">
        <v>2040</v>
      </c>
    </row>
    <row r="946" spans="1:16" x14ac:dyDescent="0.3">
      <c r="A946" t="str">
        <f t="shared" si="14"/>
        <v>PD|NewCapacity|RE1|PWRNGS_CC|2040</v>
      </c>
      <c r="B946" t="s">
        <v>16</v>
      </c>
      <c r="C946" t="s">
        <v>17</v>
      </c>
      <c r="D946" t="s">
        <v>37</v>
      </c>
      <c r="E946" t="s">
        <v>19</v>
      </c>
      <c r="F946" t="s">
        <v>29</v>
      </c>
      <c r="O946">
        <v>2040</v>
      </c>
    </row>
    <row r="947" spans="1:16" x14ac:dyDescent="0.3">
      <c r="A947" t="str">
        <f t="shared" si="14"/>
        <v>PD|NewCapacity|RE1|PWRNGS_CS|2040</v>
      </c>
      <c r="B947" t="s">
        <v>16</v>
      </c>
      <c r="C947" t="s">
        <v>17</v>
      </c>
      <c r="D947" t="s">
        <v>37</v>
      </c>
      <c r="E947" t="s">
        <v>19</v>
      </c>
      <c r="F947" t="s">
        <v>30</v>
      </c>
      <c r="O947">
        <v>2040</v>
      </c>
    </row>
    <row r="948" spans="1:16" x14ac:dyDescent="0.3">
      <c r="A948" t="str">
        <f t="shared" si="14"/>
        <v>PD|NewCapacity|RE1|PWRSOLRTP|2040</v>
      </c>
      <c r="B948" t="s">
        <v>16</v>
      </c>
      <c r="C948" t="s">
        <v>17</v>
      </c>
      <c r="D948" t="s">
        <v>37</v>
      </c>
      <c r="E948" t="s">
        <v>19</v>
      </c>
      <c r="F948" t="s">
        <v>31</v>
      </c>
      <c r="O948">
        <v>2040</v>
      </c>
      <c r="P948">
        <v>2.0608750792644259</v>
      </c>
    </row>
    <row r="949" spans="1:16" x14ac:dyDescent="0.3">
      <c r="A949" t="str">
        <f t="shared" si="14"/>
        <v>PD|NewCapacity|RE1|PWRSOLRTP_ZNI|2040</v>
      </c>
      <c r="B949" t="s">
        <v>16</v>
      </c>
      <c r="C949" t="s">
        <v>17</v>
      </c>
      <c r="D949" t="s">
        <v>37</v>
      </c>
      <c r="E949" t="s">
        <v>19</v>
      </c>
      <c r="F949" t="s">
        <v>32</v>
      </c>
      <c r="O949">
        <v>2040</v>
      </c>
    </row>
    <row r="950" spans="1:16" x14ac:dyDescent="0.3">
      <c r="A950" t="str">
        <f t="shared" si="14"/>
        <v>PD|NewCapacity|RE1|PWRSOLUGE|2040</v>
      </c>
      <c r="B950" t="s">
        <v>16</v>
      </c>
      <c r="C950" t="s">
        <v>17</v>
      </c>
      <c r="D950" t="s">
        <v>37</v>
      </c>
      <c r="E950" t="s">
        <v>19</v>
      </c>
      <c r="F950" t="s">
        <v>33</v>
      </c>
      <c r="O950">
        <v>2040</v>
      </c>
    </row>
    <row r="951" spans="1:16" x14ac:dyDescent="0.3">
      <c r="A951" t="str">
        <f t="shared" si="14"/>
        <v>PD|NewCapacity|RE1|PWRSOLUPE|2040</v>
      </c>
      <c r="B951" t="s">
        <v>16</v>
      </c>
      <c r="C951" t="s">
        <v>17</v>
      </c>
      <c r="D951" t="s">
        <v>37</v>
      </c>
      <c r="E951" t="s">
        <v>19</v>
      </c>
      <c r="F951" t="s">
        <v>34</v>
      </c>
      <c r="O951">
        <v>2040</v>
      </c>
    </row>
    <row r="952" spans="1:16" x14ac:dyDescent="0.3">
      <c r="A952" t="str">
        <f t="shared" si="14"/>
        <v>PD|NewCapacity|RE1|PWRSTD|2040</v>
      </c>
      <c r="B952" t="s">
        <v>16</v>
      </c>
      <c r="C952" t="s">
        <v>17</v>
      </c>
      <c r="D952" t="s">
        <v>37</v>
      </c>
      <c r="E952" t="s">
        <v>19</v>
      </c>
      <c r="F952" t="s">
        <v>35</v>
      </c>
      <c r="O952">
        <v>2040</v>
      </c>
    </row>
    <row r="953" spans="1:16" x14ac:dyDescent="0.3">
      <c r="A953" t="str">
        <f t="shared" si="14"/>
        <v>PD|NewCapacity|RE1|PWRWNDONS|2040</v>
      </c>
      <c r="B953" t="s">
        <v>16</v>
      </c>
      <c r="C953" t="s">
        <v>17</v>
      </c>
      <c r="D953" t="s">
        <v>37</v>
      </c>
      <c r="E953" t="s">
        <v>19</v>
      </c>
      <c r="F953" t="s">
        <v>36</v>
      </c>
      <c r="O953">
        <v>2040</v>
      </c>
      <c r="P953">
        <v>37.461868748559823</v>
      </c>
    </row>
    <row r="954" spans="1:16" x14ac:dyDescent="0.3">
      <c r="A954" t="str">
        <f t="shared" si="14"/>
        <v>PD|TotalCapacityAnnual|RE1|PWRBGS|2040</v>
      </c>
      <c r="B954" t="s">
        <v>16</v>
      </c>
      <c r="C954" t="s">
        <v>17</v>
      </c>
      <c r="D954" t="s">
        <v>38</v>
      </c>
      <c r="E954" t="s">
        <v>19</v>
      </c>
      <c r="F954" t="s">
        <v>20</v>
      </c>
      <c r="O954">
        <v>2040</v>
      </c>
      <c r="P954">
        <v>2.5488587520000001E-2</v>
      </c>
    </row>
    <row r="955" spans="1:16" x14ac:dyDescent="0.3">
      <c r="A955" t="str">
        <f t="shared" si="14"/>
        <v>PD|TotalCapacityAnnual|RE1|PWRCOA|2040</v>
      </c>
      <c r="B955" t="s">
        <v>16</v>
      </c>
      <c r="C955" t="s">
        <v>17</v>
      </c>
      <c r="D955" t="s">
        <v>38</v>
      </c>
      <c r="E955" t="s">
        <v>19</v>
      </c>
      <c r="F955" t="s">
        <v>21</v>
      </c>
      <c r="O955">
        <v>2040</v>
      </c>
    </row>
    <row r="956" spans="1:16" x14ac:dyDescent="0.3">
      <c r="A956" t="str">
        <f t="shared" si="14"/>
        <v>PD|TotalCapacityAnnual|RE1|PWRDSL|2040</v>
      </c>
      <c r="B956" t="s">
        <v>16</v>
      </c>
      <c r="C956" t="s">
        <v>17</v>
      </c>
      <c r="D956" t="s">
        <v>38</v>
      </c>
      <c r="E956" t="s">
        <v>19</v>
      </c>
      <c r="F956" t="s">
        <v>22</v>
      </c>
      <c r="O956">
        <v>2040</v>
      </c>
      <c r="P956">
        <v>24.944976</v>
      </c>
    </row>
    <row r="957" spans="1:16" x14ac:dyDescent="0.3">
      <c r="A957" t="str">
        <f t="shared" si="14"/>
        <v>PD|TotalCapacityAnnual|RE1|PWRFOL|2040</v>
      </c>
      <c r="B957" t="s">
        <v>16</v>
      </c>
      <c r="C957" t="s">
        <v>17</v>
      </c>
      <c r="D957" t="s">
        <v>38</v>
      </c>
      <c r="E957" t="s">
        <v>19</v>
      </c>
      <c r="F957" t="s">
        <v>23</v>
      </c>
      <c r="O957">
        <v>2040</v>
      </c>
      <c r="P957">
        <v>8.3885759999999987</v>
      </c>
    </row>
    <row r="958" spans="1:16" x14ac:dyDescent="0.3">
      <c r="A958" t="str">
        <f t="shared" si="14"/>
        <v>PD|TotalCapacityAnnual|RE1|PWRHYDDAM|2040</v>
      </c>
      <c r="B958" t="s">
        <v>16</v>
      </c>
      <c r="C958" t="s">
        <v>17</v>
      </c>
      <c r="D958" t="s">
        <v>38</v>
      </c>
      <c r="E958" t="s">
        <v>19</v>
      </c>
      <c r="F958" t="s">
        <v>24</v>
      </c>
      <c r="O958">
        <v>2040</v>
      </c>
      <c r="P958">
        <v>440.49164800000011</v>
      </c>
    </row>
    <row r="959" spans="1:16" x14ac:dyDescent="0.3">
      <c r="A959" t="str">
        <f t="shared" si="14"/>
        <v>PD|TotalCapacityAnnual|RE1|PWRHYDROR|2040</v>
      </c>
      <c r="B959" t="s">
        <v>16</v>
      </c>
      <c r="C959" t="s">
        <v>17</v>
      </c>
      <c r="D959" t="s">
        <v>38</v>
      </c>
      <c r="E959" t="s">
        <v>19</v>
      </c>
      <c r="F959" t="s">
        <v>25</v>
      </c>
      <c r="O959">
        <v>2040</v>
      </c>
      <c r="P959">
        <v>21.097584000000001</v>
      </c>
    </row>
    <row r="960" spans="1:16" x14ac:dyDescent="0.3">
      <c r="A960" t="str">
        <f t="shared" si="14"/>
        <v>PD|TotalCapacityAnnual|RE1|PWRHYDROR_NDC|2040</v>
      </c>
      <c r="B960" t="s">
        <v>16</v>
      </c>
      <c r="C960" t="s">
        <v>17</v>
      </c>
      <c r="D960" t="s">
        <v>38</v>
      </c>
      <c r="E960" t="s">
        <v>19</v>
      </c>
      <c r="F960" t="s">
        <v>26</v>
      </c>
      <c r="O960">
        <v>2040</v>
      </c>
      <c r="P960">
        <v>29.725108271999989</v>
      </c>
    </row>
    <row r="961" spans="1:16" x14ac:dyDescent="0.3">
      <c r="A961" t="str">
        <f t="shared" si="14"/>
        <v>PD|TotalCapacityAnnual|RE1|PWRJET|2040</v>
      </c>
      <c r="B961" t="s">
        <v>16</v>
      </c>
      <c r="C961" t="s">
        <v>17</v>
      </c>
      <c r="D961" t="s">
        <v>38</v>
      </c>
      <c r="E961" t="s">
        <v>19</v>
      </c>
      <c r="F961" t="s">
        <v>27</v>
      </c>
      <c r="O961">
        <v>2040</v>
      </c>
      <c r="P961">
        <v>1.5768</v>
      </c>
    </row>
    <row r="962" spans="1:16" x14ac:dyDescent="0.3">
      <c r="A962" t="str">
        <f t="shared" ref="A962:A1025" si="15">B962&amp;"|"&amp;D962&amp;"|"&amp;E962&amp;"|"&amp;F962&amp;"|"&amp;O962</f>
        <v>PD|TotalCapacityAnnual|RE1|PWRLPG|2040</v>
      </c>
      <c r="B962" t="s">
        <v>16</v>
      </c>
      <c r="C962" t="s">
        <v>17</v>
      </c>
      <c r="D962" t="s">
        <v>38</v>
      </c>
      <c r="E962" t="s">
        <v>19</v>
      </c>
      <c r="F962" t="s">
        <v>28</v>
      </c>
      <c r="O962">
        <v>2040</v>
      </c>
      <c r="P962">
        <v>1.639872</v>
      </c>
    </row>
    <row r="963" spans="1:16" x14ac:dyDescent="0.3">
      <c r="A963" t="str">
        <f t="shared" si="15"/>
        <v>PD|TotalCapacityAnnual|RE1|PWRNGS_CC|2040</v>
      </c>
      <c r="B963" t="s">
        <v>16</v>
      </c>
      <c r="C963" t="s">
        <v>17</v>
      </c>
      <c r="D963" t="s">
        <v>38</v>
      </c>
      <c r="E963" t="s">
        <v>19</v>
      </c>
      <c r="F963" t="s">
        <v>29</v>
      </c>
      <c r="O963">
        <v>2040</v>
      </c>
      <c r="P963">
        <v>70.104500000000002</v>
      </c>
    </row>
    <row r="964" spans="1:16" x14ac:dyDescent="0.3">
      <c r="A964" t="str">
        <f t="shared" si="15"/>
        <v>PD|TotalCapacityAnnual|RE1|PWRNGS_CS|2040</v>
      </c>
      <c r="B964" t="s">
        <v>16</v>
      </c>
      <c r="C964" t="s">
        <v>17</v>
      </c>
      <c r="D964" t="s">
        <v>38</v>
      </c>
      <c r="E964" t="s">
        <v>19</v>
      </c>
      <c r="F964" t="s">
        <v>30</v>
      </c>
      <c r="O964">
        <v>2040</v>
      </c>
      <c r="P964">
        <v>23.084351999999999</v>
      </c>
    </row>
    <row r="965" spans="1:16" x14ac:dyDescent="0.3">
      <c r="A965" t="str">
        <f t="shared" si="15"/>
        <v>PD|TotalCapacityAnnual|RE1|PWRSOLRTP|2040</v>
      </c>
      <c r="B965" t="s">
        <v>16</v>
      </c>
      <c r="C965" t="s">
        <v>17</v>
      </c>
      <c r="D965" t="s">
        <v>38</v>
      </c>
      <c r="E965" t="s">
        <v>19</v>
      </c>
      <c r="F965" t="s">
        <v>31</v>
      </c>
      <c r="O965">
        <v>2040</v>
      </c>
      <c r="P965">
        <v>127.6084310082435</v>
      </c>
    </row>
    <row r="966" spans="1:16" x14ac:dyDescent="0.3">
      <c r="A966" t="str">
        <f t="shared" si="15"/>
        <v>PD|TotalCapacityAnnual|RE1|PWRSOLRTP_ZNI|2040</v>
      </c>
      <c r="B966" t="s">
        <v>16</v>
      </c>
      <c r="C966" t="s">
        <v>17</v>
      </c>
      <c r="D966" t="s">
        <v>38</v>
      </c>
      <c r="E966" t="s">
        <v>19</v>
      </c>
      <c r="F966" t="s">
        <v>32</v>
      </c>
      <c r="O966">
        <v>2040</v>
      </c>
      <c r="P966">
        <v>1.3482492298090729</v>
      </c>
    </row>
    <row r="967" spans="1:16" x14ac:dyDescent="0.3">
      <c r="A967" t="str">
        <f t="shared" si="15"/>
        <v>PD|TotalCapacityAnnual|RE1|PWRSOLUGE|2040</v>
      </c>
      <c r="B967" t="s">
        <v>16</v>
      </c>
      <c r="C967" t="s">
        <v>17</v>
      </c>
      <c r="D967" t="s">
        <v>38</v>
      </c>
      <c r="E967" t="s">
        <v>19</v>
      </c>
      <c r="F967" t="s">
        <v>33</v>
      </c>
      <c r="O967">
        <v>2040</v>
      </c>
      <c r="P967">
        <v>191.79186048</v>
      </c>
    </row>
    <row r="968" spans="1:16" x14ac:dyDescent="0.3">
      <c r="A968" t="str">
        <f t="shared" si="15"/>
        <v>PD|TotalCapacityAnnual|RE1|PWRSOLUPE|2040</v>
      </c>
      <c r="B968" t="s">
        <v>16</v>
      </c>
      <c r="C968" t="s">
        <v>17</v>
      </c>
      <c r="D968" t="s">
        <v>38</v>
      </c>
      <c r="E968" t="s">
        <v>19</v>
      </c>
      <c r="F968" t="s">
        <v>34</v>
      </c>
      <c r="O968">
        <v>2040</v>
      </c>
      <c r="P968">
        <v>39.172600079999931</v>
      </c>
    </row>
    <row r="969" spans="1:16" x14ac:dyDescent="0.3">
      <c r="A969" t="str">
        <f t="shared" si="15"/>
        <v>PD|TotalCapacityAnnual|RE1|PWRSTD|2040</v>
      </c>
      <c r="B969" t="s">
        <v>16</v>
      </c>
      <c r="C969" t="s">
        <v>17</v>
      </c>
      <c r="D969" t="s">
        <v>38</v>
      </c>
      <c r="E969" t="s">
        <v>19</v>
      </c>
      <c r="F969" t="s">
        <v>35</v>
      </c>
      <c r="O969">
        <v>2040</v>
      </c>
      <c r="P969">
        <v>8.163062064</v>
      </c>
    </row>
    <row r="970" spans="1:16" x14ac:dyDescent="0.3">
      <c r="A970" t="str">
        <f t="shared" si="15"/>
        <v>PD|TotalCapacityAnnual|RE1|PWRWNDONS|2040</v>
      </c>
      <c r="B970" t="s">
        <v>16</v>
      </c>
      <c r="C970" t="s">
        <v>17</v>
      </c>
      <c r="D970" t="s">
        <v>38</v>
      </c>
      <c r="E970" t="s">
        <v>19</v>
      </c>
      <c r="F970" t="s">
        <v>36</v>
      </c>
      <c r="O970">
        <v>2040</v>
      </c>
      <c r="P970">
        <v>166.27720124379721</v>
      </c>
    </row>
    <row r="971" spans="1:16" x14ac:dyDescent="0.3">
      <c r="A971" t="str">
        <f t="shared" si="15"/>
        <v>PD|AccumulatedNewCapacity|RE1|PWRBGS|2041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O971">
        <v>2041</v>
      </c>
    </row>
    <row r="972" spans="1:16" x14ac:dyDescent="0.3">
      <c r="A972" t="str">
        <f t="shared" si="15"/>
        <v>PD|AccumulatedNewCapacity|RE1|PWRCOA|2041</v>
      </c>
      <c r="B972" t="s">
        <v>16</v>
      </c>
      <c r="C972" t="s">
        <v>17</v>
      </c>
      <c r="D972" t="s">
        <v>18</v>
      </c>
      <c r="E972" t="s">
        <v>19</v>
      </c>
      <c r="F972" t="s">
        <v>21</v>
      </c>
      <c r="O972">
        <v>2041</v>
      </c>
    </row>
    <row r="973" spans="1:16" x14ac:dyDescent="0.3">
      <c r="A973" t="str">
        <f t="shared" si="15"/>
        <v>PD|AccumulatedNewCapacity|RE1|PWRDSL|2041</v>
      </c>
      <c r="B973" t="s">
        <v>16</v>
      </c>
      <c r="C973" t="s">
        <v>17</v>
      </c>
      <c r="D973" t="s">
        <v>18</v>
      </c>
      <c r="E973" t="s">
        <v>19</v>
      </c>
      <c r="F973" t="s">
        <v>22</v>
      </c>
      <c r="O973">
        <v>2041</v>
      </c>
    </row>
    <row r="974" spans="1:16" x14ac:dyDescent="0.3">
      <c r="A974" t="str">
        <f t="shared" si="15"/>
        <v>PD|AccumulatedNewCapacity|RE1|PWRFOL|2041</v>
      </c>
      <c r="B974" t="s">
        <v>16</v>
      </c>
      <c r="C974" t="s">
        <v>17</v>
      </c>
      <c r="D974" t="s">
        <v>18</v>
      </c>
      <c r="E974" t="s">
        <v>19</v>
      </c>
      <c r="F974" t="s">
        <v>23</v>
      </c>
      <c r="O974">
        <v>2041</v>
      </c>
    </row>
    <row r="975" spans="1:16" x14ac:dyDescent="0.3">
      <c r="A975" t="str">
        <f t="shared" si="15"/>
        <v>PD|AccumulatedNewCapacity|RE1|PWRHYDDAM|2041</v>
      </c>
      <c r="B975" t="s">
        <v>16</v>
      </c>
      <c r="C975" t="s">
        <v>17</v>
      </c>
      <c r="D975" t="s">
        <v>18</v>
      </c>
      <c r="E975" t="s">
        <v>19</v>
      </c>
      <c r="F975" t="s">
        <v>24</v>
      </c>
      <c r="O975">
        <v>2041</v>
      </c>
      <c r="P975">
        <v>37.840000000000003</v>
      </c>
    </row>
    <row r="976" spans="1:16" x14ac:dyDescent="0.3">
      <c r="A976" t="str">
        <f t="shared" si="15"/>
        <v>PD|AccumulatedNewCapacity|RE1|PWRHYDROR|2041</v>
      </c>
      <c r="B976" t="s">
        <v>16</v>
      </c>
      <c r="C976" t="s">
        <v>17</v>
      </c>
      <c r="D976" t="s">
        <v>18</v>
      </c>
      <c r="E976" t="s">
        <v>19</v>
      </c>
      <c r="F976" t="s">
        <v>25</v>
      </c>
      <c r="O976">
        <v>2041</v>
      </c>
    </row>
    <row r="977" spans="1:16" x14ac:dyDescent="0.3">
      <c r="A977" t="str">
        <f t="shared" si="15"/>
        <v>PD|AccumulatedNewCapacity|RE1|PWRHYDROR_NDC|2041</v>
      </c>
      <c r="B977" t="s">
        <v>16</v>
      </c>
      <c r="C977" t="s">
        <v>17</v>
      </c>
      <c r="D977" t="s">
        <v>18</v>
      </c>
      <c r="E977" t="s">
        <v>19</v>
      </c>
      <c r="F977" t="s">
        <v>26</v>
      </c>
      <c r="O977">
        <v>2041</v>
      </c>
    </row>
    <row r="978" spans="1:16" x14ac:dyDescent="0.3">
      <c r="A978" t="str">
        <f t="shared" si="15"/>
        <v>PD|AccumulatedNewCapacity|RE1|PWRJET|2041</v>
      </c>
      <c r="B978" t="s">
        <v>16</v>
      </c>
      <c r="C978" t="s">
        <v>17</v>
      </c>
      <c r="D978" t="s">
        <v>18</v>
      </c>
      <c r="E978" t="s">
        <v>19</v>
      </c>
      <c r="F978" t="s">
        <v>27</v>
      </c>
      <c r="O978">
        <v>2041</v>
      </c>
    </row>
    <row r="979" spans="1:16" x14ac:dyDescent="0.3">
      <c r="A979" t="str">
        <f t="shared" si="15"/>
        <v>PD|AccumulatedNewCapacity|RE1|PWRLPG|2041</v>
      </c>
      <c r="B979" t="s">
        <v>16</v>
      </c>
      <c r="C979" t="s">
        <v>17</v>
      </c>
      <c r="D979" t="s">
        <v>18</v>
      </c>
      <c r="E979" t="s">
        <v>19</v>
      </c>
      <c r="F979" t="s">
        <v>28</v>
      </c>
      <c r="O979">
        <v>2041</v>
      </c>
    </row>
    <row r="980" spans="1:16" x14ac:dyDescent="0.3">
      <c r="A980" t="str">
        <f t="shared" si="15"/>
        <v>PD|AccumulatedNewCapacity|RE1|PWRNGS_CC|2041</v>
      </c>
      <c r="B980" t="s">
        <v>16</v>
      </c>
      <c r="C980" t="s">
        <v>17</v>
      </c>
      <c r="D980" t="s">
        <v>18</v>
      </c>
      <c r="E980" t="s">
        <v>19</v>
      </c>
      <c r="F980" t="s">
        <v>29</v>
      </c>
      <c r="O980">
        <v>2041</v>
      </c>
    </row>
    <row r="981" spans="1:16" x14ac:dyDescent="0.3">
      <c r="A981" t="str">
        <f t="shared" si="15"/>
        <v>PD|AccumulatedNewCapacity|RE1|PWRNGS_CS|2041</v>
      </c>
      <c r="B981" t="s">
        <v>16</v>
      </c>
      <c r="C981" t="s">
        <v>17</v>
      </c>
      <c r="D981" t="s">
        <v>18</v>
      </c>
      <c r="E981" t="s">
        <v>19</v>
      </c>
      <c r="F981" t="s">
        <v>30</v>
      </c>
      <c r="O981">
        <v>2041</v>
      </c>
    </row>
    <row r="982" spans="1:16" x14ac:dyDescent="0.3">
      <c r="A982" t="str">
        <f t="shared" si="15"/>
        <v>PD|AccumulatedNewCapacity|RE1|PWRSOLRTP|2041</v>
      </c>
      <c r="B982" t="s">
        <v>16</v>
      </c>
      <c r="C982" t="s">
        <v>17</v>
      </c>
      <c r="D982" t="s">
        <v>18</v>
      </c>
      <c r="E982" t="s">
        <v>19</v>
      </c>
      <c r="F982" t="s">
        <v>31</v>
      </c>
      <c r="O982">
        <v>2041</v>
      </c>
      <c r="P982">
        <v>106.1632656943564</v>
      </c>
    </row>
    <row r="983" spans="1:16" x14ac:dyDescent="0.3">
      <c r="A983" t="str">
        <f t="shared" si="15"/>
        <v>PD|AccumulatedNewCapacity|RE1|PWRSOLRTP_ZNI|2041</v>
      </c>
      <c r="B983" t="s">
        <v>16</v>
      </c>
      <c r="C983" t="s">
        <v>17</v>
      </c>
      <c r="D983" t="s">
        <v>18</v>
      </c>
      <c r="E983" t="s">
        <v>19</v>
      </c>
      <c r="F983" t="s">
        <v>32</v>
      </c>
      <c r="O983">
        <v>2041</v>
      </c>
      <c r="P983">
        <v>0.88750826980907294</v>
      </c>
    </row>
    <row r="984" spans="1:16" x14ac:dyDescent="0.3">
      <c r="A984" t="str">
        <f t="shared" si="15"/>
        <v>PD|AccumulatedNewCapacity|RE1|PWRSOLUGE|2041</v>
      </c>
      <c r="B984" t="s">
        <v>16</v>
      </c>
      <c r="C984" t="s">
        <v>17</v>
      </c>
      <c r="D984" t="s">
        <v>18</v>
      </c>
      <c r="E984" t="s">
        <v>19</v>
      </c>
      <c r="F984" t="s">
        <v>33</v>
      </c>
      <c r="O984">
        <v>2041</v>
      </c>
      <c r="P984">
        <v>143.394192</v>
      </c>
    </row>
    <row r="985" spans="1:16" x14ac:dyDescent="0.3">
      <c r="A985" t="str">
        <f t="shared" si="15"/>
        <v>PD|AccumulatedNewCapacity|RE1|PWRSOLUPE|2041</v>
      </c>
      <c r="B985" t="s">
        <v>16</v>
      </c>
      <c r="C985" t="s">
        <v>17</v>
      </c>
      <c r="D985" t="s">
        <v>18</v>
      </c>
      <c r="E985" t="s">
        <v>19</v>
      </c>
      <c r="F985" t="s">
        <v>34</v>
      </c>
      <c r="O985">
        <v>2041</v>
      </c>
      <c r="P985">
        <v>12.14419823999993</v>
      </c>
    </row>
    <row r="986" spans="1:16" x14ac:dyDescent="0.3">
      <c r="A986" t="str">
        <f t="shared" si="15"/>
        <v>PD|AccumulatedNewCapacity|RE1|PWRSTD|2041</v>
      </c>
      <c r="B986" t="s">
        <v>16</v>
      </c>
      <c r="C986" t="s">
        <v>17</v>
      </c>
      <c r="D986" t="s">
        <v>18</v>
      </c>
      <c r="E986" t="s">
        <v>19</v>
      </c>
      <c r="F986" t="s">
        <v>35</v>
      </c>
      <c r="O986">
        <v>2041</v>
      </c>
    </row>
    <row r="987" spans="1:16" x14ac:dyDescent="0.3">
      <c r="A987" t="str">
        <f t="shared" si="15"/>
        <v>PD|AccumulatedNewCapacity|RE1|PWRWNDONS|2041</v>
      </c>
      <c r="B987" t="s">
        <v>16</v>
      </c>
      <c r="C987" t="s">
        <v>17</v>
      </c>
      <c r="D987" t="s">
        <v>18</v>
      </c>
      <c r="E987" t="s">
        <v>19</v>
      </c>
      <c r="F987" t="s">
        <v>36</v>
      </c>
      <c r="O987">
        <v>2041</v>
      </c>
      <c r="P987">
        <v>212.21853884379721</v>
      </c>
    </row>
    <row r="988" spans="1:16" x14ac:dyDescent="0.3">
      <c r="A988" t="str">
        <f t="shared" si="15"/>
        <v>PD|NewCapacity|RE1|PWRBGS|2041</v>
      </c>
      <c r="B988" t="s">
        <v>16</v>
      </c>
      <c r="C988" t="s">
        <v>17</v>
      </c>
      <c r="D988" t="s">
        <v>37</v>
      </c>
      <c r="E988" t="s">
        <v>19</v>
      </c>
      <c r="F988" t="s">
        <v>20</v>
      </c>
      <c r="O988">
        <v>2041</v>
      </c>
    </row>
    <row r="989" spans="1:16" x14ac:dyDescent="0.3">
      <c r="A989" t="str">
        <f t="shared" si="15"/>
        <v>PD|NewCapacity|RE1|PWRCOA|2041</v>
      </c>
      <c r="B989" t="s">
        <v>16</v>
      </c>
      <c r="C989" t="s">
        <v>17</v>
      </c>
      <c r="D989" t="s">
        <v>37</v>
      </c>
      <c r="E989" t="s">
        <v>19</v>
      </c>
      <c r="F989" t="s">
        <v>21</v>
      </c>
      <c r="O989">
        <v>2041</v>
      </c>
    </row>
    <row r="990" spans="1:16" x14ac:dyDescent="0.3">
      <c r="A990" t="str">
        <f t="shared" si="15"/>
        <v>PD|NewCapacity|RE1|PWRDSL|2041</v>
      </c>
      <c r="B990" t="s">
        <v>16</v>
      </c>
      <c r="C990" t="s">
        <v>17</v>
      </c>
      <c r="D990" t="s">
        <v>37</v>
      </c>
      <c r="E990" t="s">
        <v>19</v>
      </c>
      <c r="F990" t="s">
        <v>22</v>
      </c>
      <c r="O990">
        <v>2041</v>
      </c>
    </row>
    <row r="991" spans="1:16" x14ac:dyDescent="0.3">
      <c r="A991" t="str">
        <f t="shared" si="15"/>
        <v>PD|NewCapacity|RE1|PWRFOL|2041</v>
      </c>
      <c r="B991" t="s">
        <v>16</v>
      </c>
      <c r="C991" t="s">
        <v>17</v>
      </c>
      <c r="D991" t="s">
        <v>37</v>
      </c>
      <c r="E991" t="s">
        <v>19</v>
      </c>
      <c r="F991" t="s">
        <v>23</v>
      </c>
      <c r="O991">
        <v>2041</v>
      </c>
    </row>
    <row r="992" spans="1:16" x14ac:dyDescent="0.3">
      <c r="A992" t="str">
        <f t="shared" si="15"/>
        <v>PD|NewCapacity|RE1|PWRHYDDAM|2041</v>
      </c>
      <c r="B992" t="s">
        <v>16</v>
      </c>
      <c r="C992" t="s">
        <v>17</v>
      </c>
      <c r="D992" t="s">
        <v>37</v>
      </c>
      <c r="E992" t="s">
        <v>19</v>
      </c>
      <c r="F992" t="s">
        <v>24</v>
      </c>
      <c r="O992">
        <v>2041</v>
      </c>
    </row>
    <row r="993" spans="1:16" x14ac:dyDescent="0.3">
      <c r="A993" t="str">
        <f t="shared" si="15"/>
        <v>PD|NewCapacity|RE1|PWRHYDROR|2041</v>
      </c>
      <c r="B993" t="s">
        <v>16</v>
      </c>
      <c r="C993" t="s">
        <v>17</v>
      </c>
      <c r="D993" t="s">
        <v>37</v>
      </c>
      <c r="E993" t="s">
        <v>19</v>
      </c>
      <c r="F993" t="s">
        <v>25</v>
      </c>
      <c r="O993">
        <v>2041</v>
      </c>
    </row>
    <row r="994" spans="1:16" x14ac:dyDescent="0.3">
      <c r="A994" t="str">
        <f t="shared" si="15"/>
        <v>PD|NewCapacity|RE1|PWRHYDROR_NDC|2041</v>
      </c>
      <c r="B994" t="s">
        <v>16</v>
      </c>
      <c r="C994" t="s">
        <v>17</v>
      </c>
      <c r="D994" t="s">
        <v>37</v>
      </c>
      <c r="E994" t="s">
        <v>19</v>
      </c>
      <c r="F994" t="s">
        <v>26</v>
      </c>
      <c r="O994">
        <v>2041</v>
      </c>
    </row>
    <row r="995" spans="1:16" x14ac:dyDescent="0.3">
      <c r="A995" t="str">
        <f t="shared" si="15"/>
        <v>PD|NewCapacity|RE1|PWRJET|2041</v>
      </c>
      <c r="B995" t="s">
        <v>16</v>
      </c>
      <c r="C995" t="s">
        <v>17</v>
      </c>
      <c r="D995" t="s">
        <v>37</v>
      </c>
      <c r="E995" t="s">
        <v>19</v>
      </c>
      <c r="F995" t="s">
        <v>27</v>
      </c>
      <c r="O995">
        <v>2041</v>
      </c>
    </row>
    <row r="996" spans="1:16" x14ac:dyDescent="0.3">
      <c r="A996" t="str">
        <f t="shared" si="15"/>
        <v>PD|NewCapacity|RE1|PWRLPG|2041</v>
      </c>
      <c r="B996" t="s">
        <v>16</v>
      </c>
      <c r="C996" t="s">
        <v>17</v>
      </c>
      <c r="D996" t="s">
        <v>37</v>
      </c>
      <c r="E996" t="s">
        <v>19</v>
      </c>
      <c r="F996" t="s">
        <v>28</v>
      </c>
      <c r="O996">
        <v>2041</v>
      </c>
    </row>
    <row r="997" spans="1:16" x14ac:dyDescent="0.3">
      <c r="A997" t="str">
        <f t="shared" si="15"/>
        <v>PD|NewCapacity|RE1|PWRNGS_CC|2041</v>
      </c>
      <c r="B997" t="s">
        <v>16</v>
      </c>
      <c r="C997" t="s">
        <v>17</v>
      </c>
      <c r="D997" t="s">
        <v>37</v>
      </c>
      <c r="E997" t="s">
        <v>19</v>
      </c>
      <c r="F997" t="s">
        <v>29</v>
      </c>
      <c r="O997">
        <v>2041</v>
      </c>
    </row>
    <row r="998" spans="1:16" x14ac:dyDescent="0.3">
      <c r="A998" t="str">
        <f t="shared" si="15"/>
        <v>PD|NewCapacity|RE1|PWRNGS_CS|2041</v>
      </c>
      <c r="B998" t="s">
        <v>16</v>
      </c>
      <c r="C998" t="s">
        <v>17</v>
      </c>
      <c r="D998" t="s">
        <v>37</v>
      </c>
      <c r="E998" t="s">
        <v>19</v>
      </c>
      <c r="F998" t="s">
        <v>30</v>
      </c>
      <c r="O998">
        <v>2041</v>
      </c>
    </row>
    <row r="999" spans="1:16" x14ac:dyDescent="0.3">
      <c r="A999" t="str">
        <f t="shared" si="15"/>
        <v>PD|NewCapacity|RE1|PWRSOLRTP|2041</v>
      </c>
      <c r="B999" t="s">
        <v>16</v>
      </c>
      <c r="C999" t="s">
        <v>17</v>
      </c>
      <c r="D999" t="s">
        <v>37</v>
      </c>
      <c r="E999" t="s">
        <v>19</v>
      </c>
      <c r="F999" t="s">
        <v>31</v>
      </c>
      <c r="O999">
        <v>2041</v>
      </c>
      <c r="P999">
        <v>1.838934686112873</v>
      </c>
    </row>
    <row r="1000" spans="1:16" x14ac:dyDescent="0.3">
      <c r="A1000" t="str">
        <f t="shared" si="15"/>
        <v>PD|NewCapacity|RE1|PWRSOLRTP_ZNI|2041</v>
      </c>
      <c r="B1000" t="s">
        <v>16</v>
      </c>
      <c r="C1000" t="s">
        <v>17</v>
      </c>
      <c r="D1000" t="s">
        <v>37</v>
      </c>
      <c r="E1000" t="s">
        <v>19</v>
      </c>
      <c r="F1000" t="s">
        <v>32</v>
      </c>
      <c r="O1000">
        <v>2041</v>
      </c>
    </row>
    <row r="1001" spans="1:16" x14ac:dyDescent="0.3">
      <c r="A1001" t="str">
        <f t="shared" si="15"/>
        <v>PD|NewCapacity|RE1|PWRSOLUGE|2041</v>
      </c>
      <c r="B1001" t="s">
        <v>16</v>
      </c>
      <c r="C1001" t="s">
        <v>17</v>
      </c>
      <c r="D1001" t="s">
        <v>37</v>
      </c>
      <c r="E1001" t="s">
        <v>19</v>
      </c>
      <c r="F1001" t="s">
        <v>33</v>
      </c>
      <c r="O1001">
        <v>2041</v>
      </c>
    </row>
    <row r="1002" spans="1:16" x14ac:dyDescent="0.3">
      <c r="A1002" t="str">
        <f t="shared" si="15"/>
        <v>PD|NewCapacity|RE1|PWRSOLUPE|2041</v>
      </c>
      <c r="B1002" t="s">
        <v>16</v>
      </c>
      <c r="C1002" t="s">
        <v>17</v>
      </c>
      <c r="D1002" t="s">
        <v>37</v>
      </c>
      <c r="E1002" t="s">
        <v>19</v>
      </c>
      <c r="F1002" t="s">
        <v>34</v>
      </c>
      <c r="O1002">
        <v>2041</v>
      </c>
    </row>
    <row r="1003" spans="1:16" x14ac:dyDescent="0.3">
      <c r="A1003" t="str">
        <f t="shared" si="15"/>
        <v>PD|NewCapacity|RE1|PWRSTD|2041</v>
      </c>
      <c r="B1003" t="s">
        <v>16</v>
      </c>
      <c r="C1003" t="s">
        <v>17</v>
      </c>
      <c r="D1003" t="s">
        <v>37</v>
      </c>
      <c r="E1003" t="s">
        <v>19</v>
      </c>
      <c r="F1003" t="s">
        <v>35</v>
      </c>
      <c r="O1003">
        <v>2041</v>
      </c>
    </row>
    <row r="1004" spans="1:16" x14ac:dyDescent="0.3">
      <c r="A1004" t="str">
        <f t="shared" si="15"/>
        <v>PD|NewCapacity|RE1|PWRWNDONS|2041</v>
      </c>
      <c r="B1004" t="s">
        <v>16</v>
      </c>
      <c r="C1004" t="s">
        <v>17</v>
      </c>
      <c r="D1004" t="s">
        <v>37</v>
      </c>
      <c r="E1004" t="s">
        <v>19</v>
      </c>
      <c r="F1004" t="s">
        <v>36</v>
      </c>
      <c r="O1004">
        <v>2041</v>
      </c>
      <c r="P1004">
        <v>47.31</v>
      </c>
    </row>
    <row r="1005" spans="1:16" x14ac:dyDescent="0.3">
      <c r="A1005" t="str">
        <f t="shared" si="15"/>
        <v>PD|TotalCapacityAnnual|RE1|PWRBGS|2041</v>
      </c>
      <c r="B1005" t="s">
        <v>16</v>
      </c>
      <c r="C1005" t="s">
        <v>17</v>
      </c>
      <c r="D1005" t="s">
        <v>38</v>
      </c>
      <c r="E1005" t="s">
        <v>19</v>
      </c>
      <c r="F1005" t="s">
        <v>20</v>
      </c>
      <c r="O1005">
        <v>2041</v>
      </c>
      <c r="P1005">
        <v>2.5488587520000001E-2</v>
      </c>
    </row>
    <row r="1006" spans="1:16" x14ac:dyDescent="0.3">
      <c r="A1006" t="str">
        <f t="shared" si="15"/>
        <v>PD|TotalCapacityAnnual|RE1|PWRCOA|2041</v>
      </c>
      <c r="B1006" t="s">
        <v>16</v>
      </c>
      <c r="C1006" t="s">
        <v>17</v>
      </c>
      <c r="D1006" t="s">
        <v>38</v>
      </c>
      <c r="E1006" t="s">
        <v>19</v>
      </c>
      <c r="F1006" t="s">
        <v>21</v>
      </c>
      <c r="O1006">
        <v>2041</v>
      </c>
    </row>
    <row r="1007" spans="1:16" x14ac:dyDescent="0.3">
      <c r="A1007" t="str">
        <f t="shared" si="15"/>
        <v>PD|TotalCapacityAnnual|RE1|PWRDSL|2041</v>
      </c>
      <c r="B1007" t="s">
        <v>16</v>
      </c>
      <c r="C1007" t="s">
        <v>17</v>
      </c>
      <c r="D1007" t="s">
        <v>38</v>
      </c>
      <c r="E1007" t="s">
        <v>19</v>
      </c>
      <c r="F1007" t="s">
        <v>22</v>
      </c>
      <c r="O1007">
        <v>2041</v>
      </c>
      <c r="P1007">
        <v>24.944976</v>
      </c>
    </row>
    <row r="1008" spans="1:16" x14ac:dyDescent="0.3">
      <c r="A1008" t="str">
        <f t="shared" si="15"/>
        <v>PD|TotalCapacityAnnual|RE1|PWRFOL|2041</v>
      </c>
      <c r="B1008" t="s">
        <v>16</v>
      </c>
      <c r="C1008" t="s">
        <v>17</v>
      </c>
      <c r="D1008" t="s">
        <v>38</v>
      </c>
      <c r="E1008" t="s">
        <v>19</v>
      </c>
      <c r="F1008" t="s">
        <v>23</v>
      </c>
      <c r="O1008">
        <v>2041</v>
      </c>
      <c r="P1008">
        <v>8.3885759999999987</v>
      </c>
    </row>
    <row r="1009" spans="1:16" x14ac:dyDescent="0.3">
      <c r="A1009" t="str">
        <f t="shared" si="15"/>
        <v>PD|TotalCapacityAnnual|RE1|PWRHYDDAM|2041</v>
      </c>
      <c r="B1009" t="s">
        <v>16</v>
      </c>
      <c r="C1009" t="s">
        <v>17</v>
      </c>
      <c r="D1009" t="s">
        <v>38</v>
      </c>
      <c r="E1009" t="s">
        <v>19</v>
      </c>
      <c r="F1009" t="s">
        <v>24</v>
      </c>
      <c r="O1009">
        <v>2041</v>
      </c>
      <c r="P1009">
        <v>440.49164800000011</v>
      </c>
    </row>
    <row r="1010" spans="1:16" x14ac:dyDescent="0.3">
      <c r="A1010" t="str">
        <f t="shared" si="15"/>
        <v>PD|TotalCapacityAnnual|RE1|PWRHYDROR|2041</v>
      </c>
      <c r="B1010" t="s">
        <v>16</v>
      </c>
      <c r="C1010" t="s">
        <v>17</v>
      </c>
      <c r="D1010" t="s">
        <v>38</v>
      </c>
      <c r="E1010" t="s">
        <v>19</v>
      </c>
      <c r="F1010" t="s">
        <v>25</v>
      </c>
      <c r="O1010">
        <v>2041</v>
      </c>
      <c r="P1010">
        <v>21.097584000000001</v>
      </c>
    </row>
    <row r="1011" spans="1:16" x14ac:dyDescent="0.3">
      <c r="A1011" t="str">
        <f t="shared" si="15"/>
        <v>PD|TotalCapacityAnnual|RE1|PWRHYDROR_NDC|2041</v>
      </c>
      <c r="B1011" t="s">
        <v>16</v>
      </c>
      <c r="C1011" t="s">
        <v>17</v>
      </c>
      <c r="D1011" t="s">
        <v>38</v>
      </c>
      <c r="E1011" t="s">
        <v>19</v>
      </c>
      <c r="F1011" t="s">
        <v>26</v>
      </c>
      <c r="O1011">
        <v>2041</v>
      </c>
      <c r="P1011">
        <v>29.725108271999989</v>
      </c>
    </row>
    <row r="1012" spans="1:16" x14ac:dyDescent="0.3">
      <c r="A1012" t="str">
        <f t="shared" si="15"/>
        <v>PD|TotalCapacityAnnual|RE1|PWRJET|2041</v>
      </c>
      <c r="B1012" t="s">
        <v>16</v>
      </c>
      <c r="C1012" t="s">
        <v>17</v>
      </c>
      <c r="D1012" t="s">
        <v>38</v>
      </c>
      <c r="E1012" t="s">
        <v>19</v>
      </c>
      <c r="F1012" t="s">
        <v>27</v>
      </c>
      <c r="O1012">
        <v>2041</v>
      </c>
      <c r="P1012">
        <v>1.5768</v>
      </c>
    </row>
    <row r="1013" spans="1:16" x14ac:dyDescent="0.3">
      <c r="A1013" t="str">
        <f t="shared" si="15"/>
        <v>PD|TotalCapacityAnnual|RE1|PWRLPG|2041</v>
      </c>
      <c r="B1013" t="s">
        <v>16</v>
      </c>
      <c r="C1013" t="s">
        <v>17</v>
      </c>
      <c r="D1013" t="s">
        <v>38</v>
      </c>
      <c r="E1013" t="s">
        <v>19</v>
      </c>
      <c r="F1013" t="s">
        <v>28</v>
      </c>
      <c r="O1013">
        <v>2041</v>
      </c>
      <c r="P1013">
        <v>1.639872</v>
      </c>
    </row>
    <row r="1014" spans="1:16" x14ac:dyDescent="0.3">
      <c r="A1014" t="str">
        <f t="shared" si="15"/>
        <v>PD|TotalCapacityAnnual|RE1|PWRNGS_CC|2041</v>
      </c>
      <c r="B1014" t="s">
        <v>16</v>
      </c>
      <c r="C1014" t="s">
        <v>17</v>
      </c>
      <c r="D1014" t="s">
        <v>38</v>
      </c>
      <c r="E1014" t="s">
        <v>19</v>
      </c>
      <c r="F1014" t="s">
        <v>29</v>
      </c>
      <c r="O1014">
        <v>2041</v>
      </c>
      <c r="P1014">
        <v>70.104500000000002</v>
      </c>
    </row>
    <row r="1015" spans="1:16" x14ac:dyDescent="0.3">
      <c r="A1015" t="str">
        <f t="shared" si="15"/>
        <v>PD|TotalCapacityAnnual|RE1|PWRNGS_CS|2041</v>
      </c>
      <c r="B1015" t="s">
        <v>16</v>
      </c>
      <c r="C1015" t="s">
        <v>17</v>
      </c>
      <c r="D1015" t="s">
        <v>38</v>
      </c>
      <c r="E1015" t="s">
        <v>19</v>
      </c>
      <c r="F1015" t="s">
        <v>30</v>
      </c>
      <c r="O1015">
        <v>2041</v>
      </c>
      <c r="P1015">
        <v>23.084351999999999</v>
      </c>
    </row>
    <row r="1016" spans="1:16" x14ac:dyDescent="0.3">
      <c r="A1016" t="str">
        <f t="shared" si="15"/>
        <v>PD|TotalCapacityAnnual|RE1|PWRSOLRTP|2041</v>
      </c>
      <c r="B1016" t="s">
        <v>16</v>
      </c>
      <c r="C1016" t="s">
        <v>17</v>
      </c>
      <c r="D1016" t="s">
        <v>38</v>
      </c>
      <c r="E1016" t="s">
        <v>19</v>
      </c>
      <c r="F1016" t="s">
        <v>31</v>
      </c>
      <c r="O1016">
        <v>2041</v>
      </c>
      <c r="P1016">
        <v>129.44736569435639</v>
      </c>
    </row>
    <row r="1017" spans="1:16" x14ac:dyDescent="0.3">
      <c r="A1017" t="str">
        <f t="shared" si="15"/>
        <v>PD|TotalCapacityAnnual|RE1|PWRSOLRTP_ZNI|2041</v>
      </c>
      <c r="B1017" t="s">
        <v>16</v>
      </c>
      <c r="C1017" t="s">
        <v>17</v>
      </c>
      <c r="D1017" t="s">
        <v>38</v>
      </c>
      <c r="E1017" t="s">
        <v>19</v>
      </c>
      <c r="F1017" t="s">
        <v>32</v>
      </c>
      <c r="O1017">
        <v>2041</v>
      </c>
      <c r="P1017">
        <v>1.3482492298090729</v>
      </c>
    </row>
    <row r="1018" spans="1:16" x14ac:dyDescent="0.3">
      <c r="A1018" t="str">
        <f t="shared" si="15"/>
        <v>PD|TotalCapacityAnnual|RE1|PWRSOLUGE|2041</v>
      </c>
      <c r="B1018" t="s">
        <v>16</v>
      </c>
      <c r="C1018" t="s">
        <v>17</v>
      </c>
      <c r="D1018" t="s">
        <v>38</v>
      </c>
      <c r="E1018" t="s">
        <v>19</v>
      </c>
      <c r="F1018" t="s">
        <v>33</v>
      </c>
      <c r="O1018">
        <v>2041</v>
      </c>
      <c r="P1018">
        <v>191.79186048</v>
      </c>
    </row>
    <row r="1019" spans="1:16" x14ac:dyDescent="0.3">
      <c r="A1019" t="str">
        <f t="shared" si="15"/>
        <v>PD|TotalCapacityAnnual|RE1|PWRSOLUPE|2041</v>
      </c>
      <c r="B1019" t="s">
        <v>16</v>
      </c>
      <c r="C1019" t="s">
        <v>17</v>
      </c>
      <c r="D1019" t="s">
        <v>38</v>
      </c>
      <c r="E1019" t="s">
        <v>19</v>
      </c>
      <c r="F1019" t="s">
        <v>34</v>
      </c>
      <c r="O1019">
        <v>2041</v>
      </c>
      <c r="P1019">
        <v>39.172600079999931</v>
      </c>
    </row>
    <row r="1020" spans="1:16" x14ac:dyDescent="0.3">
      <c r="A1020" t="str">
        <f t="shared" si="15"/>
        <v>PD|TotalCapacityAnnual|RE1|PWRSTD|2041</v>
      </c>
      <c r="B1020" t="s">
        <v>16</v>
      </c>
      <c r="C1020" t="s">
        <v>17</v>
      </c>
      <c r="D1020" t="s">
        <v>38</v>
      </c>
      <c r="E1020" t="s">
        <v>19</v>
      </c>
      <c r="F1020" t="s">
        <v>35</v>
      </c>
      <c r="O1020">
        <v>2041</v>
      </c>
      <c r="P1020">
        <v>8.163062064</v>
      </c>
    </row>
    <row r="1021" spans="1:16" x14ac:dyDescent="0.3">
      <c r="A1021" t="str">
        <f t="shared" si="15"/>
        <v>PD|TotalCapacityAnnual|RE1|PWRWNDONS|2041</v>
      </c>
      <c r="B1021" t="s">
        <v>16</v>
      </c>
      <c r="C1021" t="s">
        <v>17</v>
      </c>
      <c r="D1021" t="s">
        <v>38</v>
      </c>
      <c r="E1021" t="s">
        <v>19</v>
      </c>
      <c r="F1021" t="s">
        <v>36</v>
      </c>
      <c r="O1021">
        <v>2041</v>
      </c>
      <c r="P1021">
        <v>213.58720124379721</v>
      </c>
    </row>
    <row r="1022" spans="1:16" x14ac:dyDescent="0.3">
      <c r="A1022" t="str">
        <f t="shared" si="15"/>
        <v>PD|AccumulatedNewCapacity|RE1|PWRBGS|2042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O1022">
        <v>2042</v>
      </c>
    </row>
    <row r="1023" spans="1:16" x14ac:dyDescent="0.3">
      <c r="A1023" t="str">
        <f t="shared" si="15"/>
        <v>PD|AccumulatedNewCapacity|RE1|PWRCOA|2042</v>
      </c>
      <c r="B1023" t="s">
        <v>16</v>
      </c>
      <c r="C1023" t="s">
        <v>17</v>
      </c>
      <c r="D1023" t="s">
        <v>18</v>
      </c>
      <c r="E1023" t="s">
        <v>19</v>
      </c>
      <c r="F1023" t="s">
        <v>21</v>
      </c>
      <c r="O1023">
        <v>2042</v>
      </c>
    </row>
    <row r="1024" spans="1:16" x14ac:dyDescent="0.3">
      <c r="A1024" t="str">
        <f t="shared" si="15"/>
        <v>PD|AccumulatedNewCapacity|RE1|PWRDSL|2042</v>
      </c>
      <c r="B1024" t="s">
        <v>16</v>
      </c>
      <c r="C1024" t="s">
        <v>17</v>
      </c>
      <c r="D1024" t="s">
        <v>18</v>
      </c>
      <c r="E1024" t="s">
        <v>19</v>
      </c>
      <c r="F1024" t="s">
        <v>22</v>
      </c>
      <c r="O1024">
        <v>2042</v>
      </c>
    </row>
    <row r="1025" spans="1:16" x14ac:dyDescent="0.3">
      <c r="A1025" t="str">
        <f t="shared" si="15"/>
        <v>PD|AccumulatedNewCapacity|RE1|PWRFOL|2042</v>
      </c>
      <c r="B1025" t="s">
        <v>16</v>
      </c>
      <c r="C1025" t="s">
        <v>17</v>
      </c>
      <c r="D1025" t="s">
        <v>18</v>
      </c>
      <c r="E1025" t="s">
        <v>19</v>
      </c>
      <c r="F1025" t="s">
        <v>23</v>
      </c>
      <c r="O1025">
        <v>2042</v>
      </c>
    </row>
    <row r="1026" spans="1:16" x14ac:dyDescent="0.3">
      <c r="A1026" t="str">
        <f t="shared" ref="A1026:A1089" si="16">B1026&amp;"|"&amp;D1026&amp;"|"&amp;E1026&amp;"|"&amp;F1026&amp;"|"&amp;O1026</f>
        <v>PD|AccumulatedNewCapacity|RE1|PWRHYDDAM|2042</v>
      </c>
      <c r="B1026" t="s">
        <v>16</v>
      </c>
      <c r="C1026" t="s">
        <v>17</v>
      </c>
      <c r="D1026" t="s">
        <v>18</v>
      </c>
      <c r="E1026" t="s">
        <v>19</v>
      </c>
      <c r="F1026" t="s">
        <v>24</v>
      </c>
      <c r="O1026">
        <v>2042</v>
      </c>
      <c r="P1026">
        <v>37.840000000000003</v>
      </c>
    </row>
    <row r="1027" spans="1:16" x14ac:dyDescent="0.3">
      <c r="A1027" t="str">
        <f t="shared" si="16"/>
        <v>PD|AccumulatedNewCapacity|RE1|PWRHYDROR|2042</v>
      </c>
      <c r="B1027" t="s">
        <v>16</v>
      </c>
      <c r="C1027" t="s">
        <v>17</v>
      </c>
      <c r="D1027" t="s">
        <v>18</v>
      </c>
      <c r="E1027" t="s">
        <v>19</v>
      </c>
      <c r="F1027" t="s">
        <v>25</v>
      </c>
      <c r="O1027">
        <v>2042</v>
      </c>
    </row>
    <row r="1028" spans="1:16" x14ac:dyDescent="0.3">
      <c r="A1028" t="str">
        <f t="shared" si="16"/>
        <v>PD|AccumulatedNewCapacity|RE1|PWRHYDROR_NDC|2042</v>
      </c>
      <c r="B1028" t="s">
        <v>16</v>
      </c>
      <c r="C1028" t="s">
        <v>17</v>
      </c>
      <c r="D1028" t="s">
        <v>18</v>
      </c>
      <c r="E1028" t="s">
        <v>19</v>
      </c>
      <c r="F1028" t="s">
        <v>26</v>
      </c>
      <c r="O1028">
        <v>2042</v>
      </c>
    </row>
    <row r="1029" spans="1:16" x14ac:dyDescent="0.3">
      <c r="A1029" t="str">
        <f t="shared" si="16"/>
        <v>PD|AccumulatedNewCapacity|RE1|PWRJET|2042</v>
      </c>
      <c r="B1029" t="s">
        <v>16</v>
      </c>
      <c r="C1029" t="s">
        <v>17</v>
      </c>
      <c r="D1029" t="s">
        <v>18</v>
      </c>
      <c r="E1029" t="s">
        <v>19</v>
      </c>
      <c r="F1029" t="s">
        <v>27</v>
      </c>
      <c r="O1029">
        <v>2042</v>
      </c>
    </row>
    <row r="1030" spans="1:16" x14ac:dyDescent="0.3">
      <c r="A1030" t="str">
        <f t="shared" si="16"/>
        <v>PD|AccumulatedNewCapacity|RE1|PWRLPG|2042</v>
      </c>
      <c r="B1030" t="s">
        <v>16</v>
      </c>
      <c r="C1030" t="s">
        <v>17</v>
      </c>
      <c r="D1030" t="s">
        <v>18</v>
      </c>
      <c r="E1030" t="s">
        <v>19</v>
      </c>
      <c r="F1030" t="s">
        <v>28</v>
      </c>
      <c r="O1030">
        <v>2042</v>
      </c>
    </row>
    <row r="1031" spans="1:16" x14ac:dyDescent="0.3">
      <c r="A1031" t="str">
        <f t="shared" si="16"/>
        <v>PD|AccumulatedNewCapacity|RE1|PWRNGS_CC|2042</v>
      </c>
      <c r="B1031" t="s">
        <v>16</v>
      </c>
      <c r="C1031" t="s">
        <v>17</v>
      </c>
      <c r="D1031" t="s">
        <v>18</v>
      </c>
      <c r="E1031" t="s">
        <v>19</v>
      </c>
      <c r="F1031" t="s">
        <v>29</v>
      </c>
      <c r="O1031">
        <v>2042</v>
      </c>
    </row>
    <row r="1032" spans="1:16" x14ac:dyDescent="0.3">
      <c r="A1032" t="str">
        <f t="shared" si="16"/>
        <v>PD|AccumulatedNewCapacity|RE1|PWRNGS_CS|2042</v>
      </c>
      <c r="B1032" t="s">
        <v>16</v>
      </c>
      <c r="C1032" t="s">
        <v>17</v>
      </c>
      <c r="D1032" t="s">
        <v>18</v>
      </c>
      <c r="E1032" t="s">
        <v>19</v>
      </c>
      <c r="F1032" t="s">
        <v>30</v>
      </c>
      <c r="O1032">
        <v>2042</v>
      </c>
    </row>
    <row r="1033" spans="1:16" x14ac:dyDescent="0.3">
      <c r="A1033" t="str">
        <f t="shared" si="16"/>
        <v>PD|AccumulatedNewCapacity|RE1|PWRSOLRTP|2042</v>
      </c>
      <c r="B1033" t="s">
        <v>16</v>
      </c>
      <c r="C1033" t="s">
        <v>17</v>
      </c>
      <c r="D1033" t="s">
        <v>18</v>
      </c>
      <c r="E1033" t="s">
        <v>19</v>
      </c>
      <c r="F1033" t="s">
        <v>31</v>
      </c>
      <c r="O1033">
        <v>2042</v>
      </c>
      <c r="P1033">
        <v>107.81196575776789</v>
      </c>
    </row>
    <row r="1034" spans="1:16" x14ac:dyDescent="0.3">
      <c r="A1034" t="str">
        <f t="shared" si="16"/>
        <v>PD|AccumulatedNewCapacity|RE1|PWRSOLRTP_ZNI|2042</v>
      </c>
      <c r="B1034" t="s">
        <v>16</v>
      </c>
      <c r="C1034" t="s">
        <v>17</v>
      </c>
      <c r="D1034" t="s">
        <v>18</v>
      </c>
      <c r="E1034" t="s">
        <v>19</v>
      </c>
      <c r="F1034" t="s">
        <v>32</v>
      </c>
      <c r="O1034">
        <v>2042</v>
      </c>
      <c r="P1034">
        <v>0.88750826980907294</v>
      </c>
    </row>
    <row r="1035" spans="1:16" x14ac:dyDescent="0.3">
      <c r="A1035" t="str">
        <f t="shared" si="16"/>
        <v>PD|AccumulatedNewCapacity|RE1|PWRSOLUGE|2042</v>
      </c>
      <c r="B1035" t="s">
        <v>16</v>
      </c>
      <c r="C1035" t="s">
        <v>17</v>
      </c>
      <c r="D1035" t="s">
        <v>18</v>
      </c>
      <c r="E1035" t="s">
        <v>19</v>
      </c>
      <c r="F1035" t="s">
        <v>33</v>
      </c>
      <c r="O1035">
        <v>2042</v>
      </c>
      <c r="P1035">
        <v>143.394192</v>
      </c>
    </row>
    <row r="1036" spans="1:16" x14ac:dyDescent="0.3">
      <c r="A1036" t="str">
        <f t="shared" si="16"/>
        <v>PD|AccumulatedNewCapacity|RE1|PWRSOLUPE|2042</v>
      </c>
      <c r="B1036" t="s">
        <v>16</v>
      </c>
      <c r="C1036" t="s">
        <v>17</v>
      </c>
      <c r="D1036" t="s">
        <v>18</v>
      </c>
      <c r="E1036" t="s">
        <v>19</v>
      </c>
      <c r="F1036" t="s">
        <v>34</v>
      </c>
      <c r="O1036">
        <v>2042</v>
      </c>
      <c r="P1036">
        <v>12.14419823999993</v>
      </c>
    </row>
    <row r="1037" spans="1:16" x14ac:dyDescent="0.3">
      <c r="A1037" t="str">
        <f t="shared" si="16"/>
        <v>PD|AccumulatedNewCapacity|RE1|PWRSTD|2042</v>
      </c>
      <c r="B1037" t="s">
        <v>16</v>
      </c>
      <c r="C1037" t="s">
        <v>17</v>
      </c>
      <c r="D1037" t="s">
        <v>18</v>
      </c>
      <c r="E1037" t="s">
        <v>19</v>
      </c>
      <c r="F1037" t="s">
        <v>35</v>
      </c>
      <c r="O1037">
        <v>2042</v>
      </c>
    </row>
    <row r="1038" spans="1:16" x14ac:dyDescent="0.3">
      <c r="A1038" t="str">
        <f t="shared" si="16"/>
        <v>PD|AccumulatedNewCapacity|RE1|PWRWNDONS|2042</v>
      </c>
      <c r="B1038" t="s">
        <v>16</v>
      </c>
      <c r="C1038" t="s">
        <v>17</v>
      </c>
      <c r="D1038" t="s">
        <v>18</v>
      </c>
      <c r="E1038" t="s">
        <v>19</v>
      </c>
      <c r="F1038" t="s">
        <v>36</v>
      </c>
      <c r="O1038">
        <v>2042</v>
      </c>
      <c r="P1038">
        <v>259.52853884379721</v>
      </c>
    </row>
    <row r="1039" spans="1:16" x14ac:dyDescent="0.3">
      <c r="A1039" t="str">
        <f t="shared" si="16"/>
        <v>PD|NewCapacity|RE1|PWRBGS|2042</v>
      </c>
      <c r="B1039" t="s">
        <v>16</v>
      </c>
      <c r="C1039" t="s">
        <v>17</v>
      </c>
      <c r="D1039" t="s">
        <v>37</v>
      </c>
      <c r="E1039" t="s">
        <v>19</v>
      </c>
      <c r="F1039" t="s">
        <v>20</v>
      </c>
      <c r="O1039">
        <v>2042</v>
      </c>
    </row>
    <row r="1040" spans="1:16" x14ac:dyDescent="0.3">
      <c r="A1040" t="str">
        <f t="shared" si="16"/>
        <v>PD|NewCapacity|RE1|PWRCOA|2042</v>
      </c>
      <c r="B1040" t="s">
        <v>16</v>
      </c>
      <c r="C1040" t="s">
        <v>17</v>
      </c>
      <c r="D1040" t="s">
        <v>37</v>
      </c>
      <c r="E1040" t="s">
        <v>19</v>
      </c>
      <c r="F1040" t="s">
        <v>21</v>
      </c>
      <c r="O1040">
        <v>2042</v>
      </c>
    </row>
    <row r="1041" spans="1:16" x14ac:dyDescent="0.3">
      <c r="A1041" t="str">
        <f t="shared" si="16"/>
        <v>PD|NewCapacity|RE1|PWRDSL|2042</v>
      </c>
      <c r="B1041" t="s">
        <v>16</v>
      </c>
      <c r="C1041" t="s">
        <v>17</v>
      </c>
      <c r="D1041" t="s">
        <v>37</v>
      </c>
      <c r="E1041" t="s">
        <v>19</v>
      </c>
      <c r="F1041" t="s">
        <v>22</v>
      </c>
      <c r="O1041">
        <v>2042</v>
      </c>
    </row>
    <row r="1042" spans="1:16" x14ac:dyDescent="0.3">
      <c r="A1042" t="str">
        <f t="shared" si="16"/>
        <v>PD|NewCapacity|RE1|PWRFOL|2042</v>
      </c>
      <c r="B1042" t="s">
        <v>16</v>
      </c>
      <c r="C1042" t="s">
        <v>17</v>
      </c>
      <c r="D1042" t="s">
        <v>37</v>
      </c>
      <c r="E1042" t="s">
        <v>19</v>
      </c>
      <c r="F1042" t="s">
        <v>23</v>
      </c>
      <c r="O1042">
        <v>2042</v>
      </c>
    </row>
    <row r="1043" spans="1:16" x14ac:dyDescent="0.3">
      <c r="A1043" t="str">
        <f t="shared" si="16"/>
        <v>PD|NewCapacity|RE1|PWRHYDDAM|2042</v>
      </c>
      <c r="B1043" t="s">
        <v>16</v>
      </c>
      <c r="C1043" t="s">
        <v>17</v>
      </c>
      <c r="D1043" t="s">
        <v>37</v>
      </c>
      <c r="E1043" t="s">
        <v>19</v>
      </c>
      <c r="F1043" t="s">
        <v>24</v>
      </c>
      <c r="O1043">
        <v>2042</v>
      </c>
    </row>
    <row r="1044" spans="1:16" x14ac:dyDescent="0.3">
      <c r="A1044" t="str">
        <f t="shared" si="16"/>
        <v>PD|NewCapacity|RE1|PWRHYDROR|2042</v>
      </c>
      <c r="B1044" t="s">
        <v>16</v>
      </c>
      <c r="C1044" t="s">
        <v>17</v>
      </c>
      <c r="D1044" t="s">
        <v>37</v>
      </c>
      <c r="E1044" t="s">
        <v>19</v>
      </c>
      <c r="F1044" t="s">
        <v>25</v>
      </c>
      <c r="O1044">
        <v>2042</v>
      </c>
    </row>
    <row r="1045" spans="1:16" x14ac:dyDescent="0.3">
      <c r="A1045" t="str">
        <f t="shared" si="16"/>
        <v>PD|NewCapacity|RE1|PWRHYDROR_NDC|2042</v>
      </c>
      <c r="B1045" t="s">
        <v>16</v>
      </c>
      <c r="C1045" t="s">
        <v>17</v>
      </c>
      <c r="D1045" t="s">
        <v>37</v>
      </c>
      <c r="E1045" t="s">
        <v>19</v>
      </c>
      <c r="F1045" t="s">
        <v>26</v>
      </c>
      <c r="O1045">
        <v>2042</v>
      </c>
    </row>
    <row r="1046" spans="1:16" x14ac:dyDescent="0.3">
      <c r="A1046" t="str">
        <f t="shared" si="16"/>
        <v>PD|NewCapacity|RE1|PWRJET|2042</v>
      </c>
      <c r="B1046" t="s">
        <v>16</v>
      </c>
      <c r="C1046" t="s">
        <v>17</v>
      </c>
      <c r="D1046" t="s">
        <v>37</v>
      </c>
      <c r="E1046" t="s">
        <v>19</v>
      </c>
      <c r="F1046" t="s">
        <v>27</v>
      </c>
      <c r="O1046">
        <v>2042</v>
      </c>
    </row>
    <row r="1047" spans="1:16" x14ac:dyDescent="0.3">
      <c r="A1047" t="str">
        <f t="shared" si="16"/>
        <v>PD|NewCapacity|RE1|PWRLPG|2042</v>
      </c>
      <c r="B1047" t="s">
        <v>16</v>
      </c>
      <c r="C1047" t="s">
        <v>17</v>
      </c>
      <c r="D1047" t="s">
        <v>37</v>
      </c>
      <c r="E1047" t="s">
        <v>19</v>
      </c>
      <c r="F1047" t="s">
        <v>28</v>
      </c>
      <c r="O1047">
        <v>2042</v>
      </c>
    </row>
    <row r="1048" spans="1:16" x14ac:dyDescent="0.3">
      <c r="A1048" t="str">
        <f t="shared" si="16"/>
        <v>PD|NewCapacity|RE1|PWRNGS_CC|2042</v>
      </c>
      <c r="B1048" t="s">
        <v>16</v>
      </c>
      <c r="C1048" t="s">
        <v>17</v>
      </c>
      <c r="D1048" t="s">
        <v>37</v>
      </c>
      <c r="E1048" t="s">
        <v>19</v>
      </c>
      <c r="F1048" t="s">
        <v>29</v>
      </c>
      <c r="O1048">
        <v>2042</v>
      </c>
    </row>
    <row r="1049" spans="1:16" x14ac:dyDescent="0.3">
      <c r="A1049" t="str">
        <f t="shared" si="16"/>
        <v>PD|NewCapacity|RE1|PWRNGS_CS|2042</v>
      </c>
      <c r="B1049" t="s">
        <v>16</v>
      </c>
      <c r="C1049" t="s">
        <v>17</v>
      </c>
      <c r="D1049" t="s">
        <v>37</v>
      </c>
      <c r="E1049" t="s">
        <v>19</v>
      </c>
      <c r="F1049" t="s">
        <v>30</v>
      </c>
      <c r="O1049">
        <v>2042</v>
      </c>
    </row>
    <row r="1050" spans="1:16" x14ac:dyDescent="0.3">
      <c r="A1050" t="str">
        <f t="shared" si="16"/>
        <v>PD|NewCapacity|RE1|PWRSOLRTP|2042</v>
      </c>
      <c r="B1050" t="s">
        <v>16</v>
      </c>
      <c r="C1050" t="s">
        <v>17</v>
      </c>
      <c r="D1050" t="s">
        <v>37</v>
      </c>
      <c r="E1050" t="s">
        <v>19</v>
      </c>
      <c r="F1050" t="s">
        <v>31</v>
      </c>
      <c r="O1050">
        <v>2042</v>
      </c>
      <c r="P1050">
        <v>1.648700063411541</v>
      </c>
    </row>
    <row r="1051" spans="1:16" x14ac:dyDescent="0.3">
      <c r="A1051" t="str">
        <f t="shared" si="16"/>
        <v>PD|NewCapacity|RE1|PWRSOLRTP_ZNI|2042</v>
      </c>
      <c r="B1051" t="s">
        <v>16</v>
      </c>
      <c r="C1051" t="s">
        <v>17</v>
      </c>
      <c r="D1051" t="s">
        <v>37</v>
      </c>
      <c r="E1051" t="s">
        <v>19</v>
      </c>
      <c r="F1051" t="s">
        <v>32</v>
      </c>
      <c r="O1051">
        <v>2042</v>
      </c>
    </row>
    <row r="1052" spans="1:16" x14ac:dyDescent="0.3">
      <c r="A1052" t="str">
        <f t="shared" si="16"/>
        <v>PD|NewCapacity|RE1|PWRSOLUGE|2042</v>
      </c>
      <c r="B1052" t="s">
        <v>16</v>
      </c>
      <c r="C1052" t="s">
        <v>17</v>
      </c>
      <c r="D1052" t="s">
        <v>37</v>
      </c>
      <c r="E1052" t="s">
        <v>19</v>
      </c>
      <c r="F1052" t="s">
        <v>33</v>
      </c>
      <c r="O1052">
        <v>2042</v>
      </c>
    </row>
    <row r="1053" spans="1:16" x14ac:dyDescent="0.3">
      <c r="A1053" t="str">
        <f t="shared" si="16"/>
        <v>PD|NewCapacity|RE1|PWRSOLUPE|2042</v>
      </c>
      <c r="B1053" t="s">
        <v>16</v>
      </c>
      <c r="C1053" t="s">
        <v>17</v>
      </c>
      <c r="D1053" t="s">
        <v>37</v>
      </c>
      <c r="E1053" t="s">
        <v>19</v>
      </c>
      <c r="F1053" t="s">
        <v>34</v>
      </c>
      <c r="O1053">
        <v>2042</v>
      </c>
    </row>
    <row r="1054" spans="1:16" x14ac:dyDescent="0.3">
      <c r="A1054" t="str">
        <f t="shared" si="16"/>
        <v>PD|NewCapacity|RE1|PWRSTD|2042</v>
      </c>
      <c r="B1054" t="s">
        <v>16</v>
      </c>
      <c r="C1054" t="s">
        <v>17</v>
      </c>
      <c r="D1054" t="s">
        <v>37</v>
      </c>
      <c r="E1054" t="s">
        <v>19</v>
      </c>
      <c r="F1054" t="s">
        <v>35</v>
      </c>
      <c r="O1054">
        <v>2042</v>
      </c>
    </row>
    <row r="1055" spans="1:16" x14ac:dyDescent="0.3">
      <c r="A1055" t="str">
        <f t="shared" si="16"/>
        <v>PD|NewCapacity|RE1|PWRWNDONS|2042</v>
      </c>
      <c r="B1055" t="s">
        <v>16</v>
      </c>
      <c r="C1055" t="s">
        <v>17</v>
      </c>
      <c r="D1055" t="s">
        <v>37</v>
      </c>
      <c r="E1055" t="s">
        <v>19</v>
      </c>
      <c r="F1055" t="s">
        <v>36</v>
      </c>
      <c r="O1055">
        <v>2042</v>
      </c>
      <c r="P1055">
        <v>47.31</v>
      </c>
    </row>
    <row r="1056" spans="1:16" x14ac:dyDescent="0.3">
      <c r="A1056" t="str">
        <f t="shared" si="16"/>
        <v>PD|TotalCapacityAnnual|RE1|PWRBGS|2042</v>
      </c>
      <c r="B1056" t="s">
        <v>16</v>
      </c>
      <c r="C1056" t="s">
        <v>17</v>
      </c>
      <c r="D1056" t="s">
        <v>38</v>
      </c>
      <c r="E1056" t="s">
        <v>19</v>
      </c>
      <c r="F1056" t="s">
        <v>20</v>
      </c>
      <c r="O1056">
        <v>2042</v>
      </c>
      <c r="P1056">
        <v>2.5488587520000001E-2</v>
      </c>
    </row>
    <row r="1057" spans="1:16" x14ac:dyDescent="0.3">
      <c r="A1057" t="str">
        <f t="shared" si="16"/>
        <v>PD|TotalCapacityAnnual|RE1|PWRCOA|2042</v>
      </c>
      <c r="B1057" t="s">
        <v>16</v>
      </c>
      <c r="C1057" t="s">
        <v>17</v>
      </c>
      <c r="D1057" t="s">
        <v>38</v>
      </c>
      <c r="E1057" t="s">
        <v>19</v>
      </c>
      <c r="F1057" t="s">
        <v>21</v>
      </c>
      <c r="O1057">
        <v>2042</v>
      </c>
    </row>
    <row r="1058" spans="1:16" x14ac:dyDescent="0.3">
      <c r="A1058" t="str">
        <f t="shared" si="16"/>
        <v>PD|TotalCapacityAnnual|RE1|PWRDSL|2042</v>
      </c>
      <c r="B1058" t="s">
        <v>16</v>
      </c>
      <c r="C1058" t="s">
        <v>17</v>
      </c>
      <c r="D1058" t="s">
        <v>38</v>
      </c>
      <c r="E1058" t="s">
        <v>19</v>
      </c>
      <c r="F1058" t="s">
        <v>22</v>
      </c>
      <c r="O1058">
        <v>2042</v>
      </c>
      <c r="P1058">
        <v>24.944976</v>
      </c>
    </row>
    <row r="1059" spans="1:16" x14ac:dyDescent="0.3">
      <c r="A1059" t="str">
        <f t="shared" si="16"/>
        <v>PD|TotalCapacityAnnual|RE1|PWRFOL|2042</v>
      </c>
      <c r="B1059" t="s">
        <v>16</v>
      </c>
      <c r="C1059" t="s">
        <v>17</v>
      </c>
      <c r="D1059" t="s">
        <v>38</v>
      </c>
      <c r="E1059" t="s">
        <v>19</v>
      </c>
      <c r="F1059" t="s">
        <v>23</v>
      </c>
      <c r="O1059">
        <v>2042</v>
      </c>
      <c r="P1059">
        <v>8.3885759999999987</v>
      </c>
    </row>
    <row r="1060" spans="1:16" x14ac:dyDescent="0.3">
      <c r="A1060" t="str">
        <f t="shared" si="16"/>
        <v>PD|TotalCapacityAnnual|RE1|PWRHYDDAM|2042</v>
      </c>
      <c r="B1060" t="s">
        <v>16</v>
      </c>
      <c r="C1060" t="s">
        <v>17</v>
      </c>
      <c r="D1060" t="s">
        <v>38</v>
      </c>
      <c r="E1060" t="s">
        <v>19</v>
      </c>
      <c r="F1060" t="s">
        <v>24</v>
      </c>
      <c r="O1060">
        <v>2042</v>
      </c>
      <c r="P1060">
        <v>440.49164800000011</v>
      </c>
    </row>
    <row r="1061" spans="1:16" x14ac:dyDescent="0.3">
      <c r="A1061" t="str">
        <f t="shared" si="16"/>
        <v>PD|TotalCapacityAnnual|RE1|PWRHYDROR|2042</v>
      </c>
      <c r="B1061" t="s">
        <v>16</v>
      </c>
      <c r="C1061" t="s">
        <v>17</v>
      </c>
      <c r="D1061" t="s">
        <v>38</v>
      </c>
      <c r="E1061" t="s">
        <v>19</v>
      </c>
      <c r="F1061" t="s">
        <v>25</v>
      </c>
      <c r="O1061">
        <v>2042</v>
      </c>
      <c r="P1061">
        <v>21.097584000000001</v>
      </c>
    </row>
    <row r="1062" spans="1:16" x14ac:dyDescent="0.3">
      <c r="A1062" t="str">
        <f t="shared" si="16"/>
        <v>PD|TotalCapacityAnnual|RE1|PWRHYDROR_NDC|2042</v>
      </c>
      <c r="B1062" t="s">
        <v>16</v>
      </c>
      <c r="C1062" t="s">
        <v>17</v>
      </c>
      <c r="D1062" t="s">
        <v>38</v>
      </c>
      <c r="E1062" t="s">
        <v>19</v>
      </c>
      <c r="F1062" t="s">
        <v>26</v>
      </c>
      <c r="O1062">
        <v>2042</v>
      </c>
      <c r="P1062">
        <v>29.725108271999989</v>
      </c>
    </row>
    <row r="1063" spans="1:16" x14ac:dyDescent="0.3">
      <c r="A1063" t="str">
        <f t="shared" si="16"/>
        <v>PD|TotalCapacityAnnual|RE1|PWRJET|2042</v>
      </c>
      <c r="B1063" t="s">
        <v>16</v>
      </c>
      <c r="C1063" t="s">
        <v>17</v>
      </c>
      <c r="D1063" t="s">
        <v>38</v>
      </c>
      <c r="E1063" t="s">
        <v>19</v>
      </c>
      <c r="F1063" t="s">
        <v>27</v>
      </c>
      <c r="O1063">
        <v>2042</v>
      </c>
      <c r="P1063">
        <v>1.5768</v>
      </c>
    </row>
    <row r="1064" spans="1:16" x14ac:dyDescent="0.3">
      <c r="A1064" t="str">
        <f t="shared" si="16"/>
        <v>PD|TotalCapacityAnnual|RE1|PWRLPG|2042</v>
      </c>
      <c r="B1064" t="s">
        <v>16</v>
      </c>
      <c r="C1064" t="s">
        <v>17</v>
      </c>
      <c r="D1064" t="s">
        <v>38</v>
      </c>
      <c r="E1064" t="s">
        <v>19</v>
      </c>
      <c r="F1064" t="s">
        <v>28</v>
      </c>
      <c r="O1064">
        <v>2042</v>
      </c>
      <c r="P1064">
        <v>1.639872</v>
      </c>
    </row>
    <row r="1065" spans="1:16" x14ac:dyDescent="0.3">
      <c r="A1065" t="str">
        <f t="shared" si="16"/>
        <v>PD|TotalCapacityAnnual|RE1|PWRNGS_CC|2042</v>
      </c>
      <c r="B1065" t="s">
        <v>16</v>
      </c>
      <c r="C1065" t="s">
        <v>17</v>
      </c>
      <c r="D1065" t="s">
        <v>38</v>
      </c>
      <c r="E1065" t="s">
        <v>19</v>
      </c>
      <c r="F1065" t="s">
        <v>29</v>
      </c>
      <c r="O1065">
        <v>2042</v>
      </c>
      <c r="P1065">
        <v>70.104500000000002</v>
      </c>
    </row>
    <row r="1066" spans="1:16" x14ac:dyDescent="0.3">
      <c r="A1066" t="str">
        <f t="shared" si="16"/>
        <v>PD|TotalCapacityAnnual|RE1|PWRNGS_CS|2042</v>
      </c>
      <c r="B1066" t="s">
        <v>16</v>
      </c>
      <c r="C1066" t="s">
        <v>17</v>
      </c>
      <c r="D1066" t="s">
        <v>38</v>
      </c>
      <c r="E1066" t="s">
        <v>19</v>
      </c>
      <c r="F1066" t="s">
        <v>30</v>
      </c>
      <c r="O1066">
        <v>2042</v>
      </c>
      <c r="P1066">
        <v>23.084351999999999</v>
      </c>
    </row>
    <row r="1067" spans="1:16" x14ac:dyDescent="0.3">
      <c r="A1067" t="str">
        <f t="shared" si="16"/>
        <v>PD|TotalCapacityAnnual|RE1|PWRSOLRTP|2042</v>
      </c>
      <c r="B1067" t="s">
        <v>16</v>
      </c>
      <c r="C1067" t="s">
        <v>17</v>
      </c>
      <c r="D1067" t="s">
        <v>38</v>
      </c>
      <c r="E1067" t="s">
        <v>19</v>
      </c>
      <c r="F1067" t="s">
        <v>31</v>
      </c>
      <c r="O1067">
        <v>2042</v>
      </c>
      <c r="P1067">
        <v>131.09606575776789</v>
      </c>
    </row>
    <row r="1068" spans="1:16" x14ac:dyDescent="0.3">
      <c r="A1068" t="str">
        <f t="shared" si="16"/>
        <v>PD|TotalCapacityAnnual|RE1|PWRSOLRTP_ZNI|2042</v>
      </c>
      <c r="B1068" t="s">
        <v>16</v>
      </c>
      <c r="C1068" t="s">
        <v>17</v>
      </c>
      <c r="D1068" t="s">
        <v>38</v>
      </c>
      <c r="E1068" t="s">
        <v>19</v>
      </c>
      <c r="F1068" t="s">
        <v>32</v>
      </c>
      <c r="O1068">
        <v>2042</v>
      </c>
      <c r="P1068">
        <v>1.3482492298090729</v>
      </c>
    </row>
    <row r="1069" spans="1:16" x14ac:dyDescent="0.3">
      <c r="A1069" t="str">
        <f t="shared" si="16"/>
        <v>PD|TotalCapacityAnnual|RE1|PWRSOLUGE|2042</v>
      </c>
      <c r="B1069" t="s">
        <v>16</v>
      </c>
      <c r="C1069" t="s">
        <v>17</v>
      </c>
      <c r="D1069" t="s">
        <v>38</v>
      </c>
      <c r="E1069" t="s">
        <v>19</v>
      </c>
      <c r="F1069" t="s">
        <v>33</v>
      </c>
      <c r="O1069">
        <v>2042</v>
      </c>
      <c r="P1069">
        <v>191.79186048</v>
      </c>
    </row>
    <row r="1070" spans="1:16" x14ac:dyDescent="0.3">
      <c r="A1070" t="str">
        <f t="shared" si="16"/>
        <v>PD|TotalCapacityAnnual|RE1|PWRSOLUPE|2042</v>
      </c>
      <c r="B1070" t="s">
        <v>16</v>
      </c>
      <c r="C1070" t="s">
        <v>17</v>
      </c>
      <c r="D1070" t="s">
        <v>38</v>
      </c>
      <c r="E1070" t="s">
        <v>19</v>
      </c>
      <c r="F1070" t="s">
        <v>34</v>
      </c>
      <c r="O1070">
        <v>2042</v>
      </c>
      <c r="P1070">
        <v>39.172600079999931</v>
      </c>
    </row>
    <row r="1071" spans="1:16" x14ac:dyDescent="0.3">
      <c r="A1071" t="str">
        <f t="shared" si="16"/>
        <v>PD|TotalCapacityAnnual|RE1|PWRSTD|2042</v>
      </c>
      <c r="B1071" t="s">
        <v>16</v>
      </c>
      <c r="C1071" t="s">
        <v>17</v>
      </c>
      <c r="D1071" t="s">
        <v>38</v>
      </c>
      <c r="E1071" t="s">
        <v>19</v>
      </c>
      <c r="F1071" t="s">
        <v>35</v>
      </c>
      <c r="O1071">
        <v>2042</v>
      </c>
      <c r="P1071">
        <v>8.163062064</v>
      </c>
    </row>
    <row r="1072" spans="1:16" x14ac:dyDescent="0.3">
      <c r="A1072" t="str">
        <f t="shared" si="16"/>
        <v>PD|TotalCapacityAnnual|RE1|PWRWNDONS|2042</v>
      </c>
      <c r="B1072" t="s">
        <v>16</v>
      </c>
      <c r="C1072" t="s">
        <v>17</v>
      </c>
      <c r="D1072" t="s">
        <v>38</v>
      </c>
      <c r="E1072" t="s">
        <v>19</v>
      </c>
      <c r="F1072" t="s">
        <v>36</v>
      </c>
      <c r="O1072">
        <v>2042</v>
      </c>
      <c r="P1072">
        <v>260.89720124379721</v>
      </c>
    </row>
    <row r="1073" spans="1:16" x14ac:dyDescent="0.3">
      <c r="A1073" t="str">
        <f t="shared" si="16"/>
        <v>PD|AccumulatedNewCapacity|RE1|PWRBGS|2043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O1073">
        <v>2043</v>
      </c>
    </row>
    <row r="1074" spans="1:16" x14ac:dyDescent="0.3">
      <c r="A1074" t="str">
        <f t="shared" si="16"/>
        <v>PD|AccumulatedNewCapacity|RE1|PWRCOA|2043</v>
      </c>
      <c r="B1074" t="s">
        <v>16</v>
      </c>
      <c r="C1074" t="s">
        <v>17</v>
      </c>
      <c r="D1074" t="s">
        <v>18</v>
      </c>
      <c r="E1074" t="s">
        <v>19</v>
      </c>
      <c r="F1074" t="s">
        <v>21</v>
      </c>
      <c r="O1074">
        <v>2043</v>
      </c>
    </row>
    <row r="1075" spans="1:16" x14ac:dyDescent="0.3">
      <c r="A1075" t="str">
        <f t="shared" si="16"/>
        <v>PD|AccumulatedNewCapacity|RE1|PWRDSL|2043</v>
      </c>
      <c r="B1075" t="s">
        <v>16</v>
      </c>
      <c r="C1075" t="s">
        <v>17</v>
      </c>
      <c r="D1075" t="s">
        <v>18</v>
      </c>
      <c r="E1075" t="s">
        <v>19</v>
      </c>
      <c r="F1075" t="s">
        <v>22</v>
      </c>
      <c r="O1075">
        <v>2043</v>
      </c>
    </row>
    <row r="1076" spans="1:16" x14ac:dyDescent="0.3">
      <c r="A1076" t="str">
        <f t="shared" si="16"/>
        <v>PD|AccumulatedNewCapacity|RE1|PWRFOL|2043</v>
      </c>
      <c r="B1076" t="s">
        <v>16</v>
      </c>
      <c r="C1076" t="s">
        <v>17</v>
      </c>
      <c r="D1076" t="s">
        <v>18</v>
      </c>
      <c r="E1076" t="s">
        <v>19</v>
      </c>
      <c r="F1076" t="s">
        <v>23</v>
      </c>
      <c r="O1076">
        <v>2043</v>
      </c>
    </row>
    <row r="1077" spans="1:16" x14ac:dyDescent="0.3">
      <c r="A1077" t="str">
        <f t="shared" si="16"/>
        <v>PD|AccumulatedNewCapacity|RE1|PWRHYDDAM|2043</v>
      </c>
      <c r="B1077" t="s">
        <v>16</v>
      </c>
      <c r="C1077" t="s">
        <v>17</v>
      </c>
      <c r="D1077" t="s">
        <v>18</v>
      </c>
      <c r="E1077" t="s">
        <v>19</v>
      </c>
      <c r="F1077" t="s">
        <v>24</v>
      </c>
      <c r="O1077">
        <v>2043</v>
      </c>
      <c r="P1077">
        <v>37.840000000000003</v>
      </c>
    </row>
    <row r="1078" spans="1:16" x14ac:dyDescent="0.3">
      <c r="A1078" t="str">
        <f t="shared" si="16"/>
        <v>PD|AccumulatedNewCapacity|RE1|PWRHYDROR|2043</v>
      </c>
      <c r="B1078" t="s">
        <v>16</v>
      </c>
      <c r="C1078" t="s">
        <v>17</v>
      </c>
      <c r="D1078" t="s">
        <v>18</v>
      </c>
      <c r="E1078" t="s">
        <v>19</v>
      </c>
      <c r="F1078" t="s">
        <v>25</v>
      </c>
      <c r="O1078">
        <v>2043</v>
      </c>
    </row>
    <row r="1079" spans="1:16" x14ac:dyDescent="0.3">
      <c r="A1079" t="str">
        <f t="shared" si="16"/>
        <v>PD|AccumulatedNewCapacity|RE1|PWRHYDROR_NDC|2043</v>
      </c>
      <c r="B1079" t="s">
        <v>16</v>
      </c>
      <c r="C1079" t="s">
        <v>17</v>
      </c>
      <c r="D1079" t="s">
        <v>18</v>
      </c>
      <c r="E1079" t="s">
        <v>19</v>
      </c>
      <c r="F1079" t="s">
        <v>26</v>
      </c>
      <c r="O1079">
        <v>2043</v>
      </c>
    </row>
    <row r="1080" spans="1:16" x14ac:dyDescent="0.3">
      <c r="A1080" t="str">
        <f t="shared" si="16"/>
        <v>PD|AccumulatedNewCapacity|RE1|PWRJET|2043</v>
      </c>
      <c r="B1080" t="s">
        <v>16</v>
      </c>
      <c r="C1080" t="s">
        <v>17</v>
      </c>
      <c r="D1080" t="s">
        <v>18</v>
      </c>
      <c r="E1080" t="s">
        <v>19</v>
      </c>
      <c r="F1080" t="s">
        <v>27</v>
      </c>
      <c r="O1080">
        <v>2043</v>
      </c>
    </row>
    <row r="1081" spans="1:16" x14ac:dyDescent="0.3">
      <c r="A1081" t="str">
        <f t="shared" si="16"/>
        <v>PD|AccumulatedNewCapacity|RE1|PWRLPG|2043</v>
      </c>
      <c r="B1081" t="s">
        <v>16</v>
      </c>
      <c r="C1081" t="s">
        <v>17</v>
      </c>
      <c r="D1081" t="s">
        <v>18</v>
      </c>
      <c r="E1081" t="s">
        <v>19</v>
      </c>
      <c r="F1081" t="s">
        <v>28</v>
      </c>
      <c r="O1081">
        <v>2043</v>
      </c>
    </row>
    <row r="1082" spans="1:16" x14ac:dyDescent="0.3">
      <c r="A1082" t="str">
        <f t="shared" si="16"/>
        <v>PD|AccumulatedNewCapacity|RE1|PWRNGS_CC|2043</v>
      </c>
      <c r="B1082" t="s">
        <v>16</v>
      </c>
      <c r="C1082" t="s">
        <v>17</v>
      </c>
      <c r="D1082" t="s">
        <v>18</v>
      </c>
      <c r="E1082" t="s">
        <v>19</v>
      </c>
      <c r="F1082" t="s">
        <v>29</v>
      </c>
      <c r="O1082">
        <v>2043</v>
      </c>
    </row>
    <row r="1083" spans="1:16" x14ac:dyDescent="0.3">
      <c r="A1083" t="str">
        <f t="shared" si="16"/>
        <v>PD|AccumulatedNewCapacity|RE1|PWRNGS_CS|2043</v>
      </c>
      <c r="B1083" t="s">
        <v>16</v>
      </c>
      <c r="C1083" t="s">
        <v>17</v>
      </c>
      <c r="D1083" t="s">
        <v>18</v>
      </c>
      <c r="E1083" t="s">
        <v>19</v>
      </c>
      <c r="F1083" t="s">
        <v>30</v>
      </c>
      <c r="O1083">
        <v>2043</v>
      </c>
    </row>
    <row r="1084" spans="1:16" x14ac:dyDescent="0.3">
      <c r="A1084" t="str">
        <f t="shared" si="16"/>
        <v>PD|AccumulatedNewCapacity|RE1|PWRSOLRTP|2043</v>
      </c>
      <c r="B1084" t="s">
        <v>16</v>
      </c>
      <c r="C1084" t="s">
        <v>17</v>
      </c>
      <c r="D1084" t="s">
        <v>18</v>
      </c>
      <c r="E1084" t="s">
        <v>19</v>
      </c>
      <c r="F1084" t="s">
        <v>31</v>
      </c>
      <c r="O1084">
        <v>2043</v>
      </c>
      <c r="P1084">
        <v>109.3338427393786</v>
      </c>
    </row>
    <row r="1085" spans="1:16" x14ac:dyDescent="0.3">
      <c r="A1085" t="str">
        <f t="shared" si="16"/>
        <v>PD|AccumulatedNewCapacity|RE1|PWRSOLRTP_ZNI|2043</v>
      </c>
      <c r="B1085" t="s">
        <v>16</v>
      </c>
      <c r="C1085" t="s">
        <v>17</v>
      </c>
      <c r="D1085" t="s">
        <v>18</v>
      </c>
      <c r="E1085" t="s">
        <v>19</v>
      </c>
      <c r="F1085" t="s">
        <v>32</v>
      </c>
      <c r="O1085">
        <v>2043</v>
      </c>
      <c r="P1085">
        <v>0.88750826980907294</v>
      </c>
    </row>
    <row r="1086" spans="1:16" x14ac:dyDescent="0.3">
      <c r="A1086" t="str">
        <f t="shared" si="16"/>
        <v>PD|AccumulatedNewCapacity|RE1|PWRSOLUGE|2043</v>
      </c>
      <c r="B1086" t="s">
        <v>16</v>
      </c>
      <c r="C1086" t="s">
        <v>17</v>
      </c>
      <c r="D1086" t="s">
        <v>18</v>
      </c>
      <c r="E1086" t="s">
        <v>19</v>
      </c>
      <c r="F1086" t="s">
        <v>33</v>
      </c>
      <c r="O1086">
        <v>2043</v>
      </c>
      <c r="P1086">
        <v>143.394192</v>
      </c>
    </row>
    <row r="1087" spans="1:16" x14ac:dyDescent="0.3">
      <c r="A1087" t="str">
        <f t="shared" si="16"/>
        <v>PD|AccumulatedNewCapacity|RE1|PWRSOLUPE|2043</v>
      </c>
      <c r="B1087" t="s">
        <v>16</v>
      </c>
      <c r="C1087" t="s">
        <v>17</v>
      </c>
      <c r="D1087" t="s">
        <v>18</v>
      </c>
      <c r="E1087" t="s">
        <v>19</v>
      </c>
      <c r="F1087" t="s">
        <v>34</v>
      </c>
      <c r="O1087">
        <v>2043</v>
      </c>
      <c r="P1087">
        <v>12.14419823999993</v>
      </c>
    </row>
    <row r="1088" spans="1:16" x14ac:dyDescent="0.3">
      <c r="A1088" t="str">
        <f t="shared" si="16"/>
        <v>PD|AccumulatedNewCapacity|RE1|PWRSTD|2043</v>
      </c>
      <c r="B1088" t="s">
        <v>16</v>
      </c>
      <c r="C1088" t="s">
        <v>17</v>
      </c>
      <c r="D1088" t="s">
        <v>18</v>
      </c>
      <c r="E1088" t="s">
        <v>19</v>
      </c>
      <c r="F1088" t="s">
        <v>35</v>
      </c>
      <c r="O1088">
        <v>2043</v>
      </c>
    </row>
    <row r="1089" spans="1:16" x14ac:dyDescent="0.3">
      <c r="A1089" t="str">
        <f t="shared" si="16"/>
        <v>PD|AccumulatedNewCapacity|RE1|PWRWNDONS|2043</v>
      </c>
      <c r="B1089" t="s">
        <v>16</v>
      </c>
      <c r="C1089" t="s">
        <v>17</v>
      </c>
      <c r="D1089" t="s">
        <v>18</v>
      </c>
      <c r="E1089" t="s">
        <v>19</v>
      </c>
      <c r="F1089" t="s">
        <v>36</v>
      </c>
      <c r="O1089">
        <v>2043</v>
      </c>
      <c r="P1089">
        <v>278.13010083100028</v>
      </c>
    </row>
    <row r="1090" spans="1:16" x14ac:dyDescent="0.3">
      <c r="A1090" t="str">
        <f t="shared" ref="A1090:A1153" si="17">B1090&amp;"|"&amp;D1090&amp;"|"&amp;E1090&amp;"|"&amp;F1090&amp;"|"&amp;O1090</f>
        <v>PD|NewCapacity|RE1|PWRBGS|2043</v>
      </c>
      <c r="B1090" t="s">
        <v>16</v>
      </c>
      <c r="C1090" t="s">
        <v>17</v>
      </c>
      <c r="D1090" t="s">
        <v>37</v>
      </c>
      <c r="E1090" t="s">
        <v>19</v>
      </c>
      <c r="F1090" t="s">
        <v>20</v>
      </c>
      <c r="O1090">
        <v>2043</v>
      </c>
    </row>
    <row r="1091" spans="1:16" x14ac:dyDescent="0.3">
      <c r="A1091" t="str">
        <f t="shared" si="17"/>
        <v>PD|NewCapacity|RE1|PWRCOA|2043</v>
      </c>
      <c r="B1091" t="s">
        <v>16</v>
      </c>
      <c r="C1091" t="s">
        <v>17</v>
      </c>
      <c r="D1091" t="s">
        <v>37</v>
      </c>
      <c r="E1091" t="s">
        <v>19</v>
      </c>
      <c r="F1091" t="s">
        <v>21</v>
      </c>
      <c r="O1091">
        <v>2043</v>
      </c>
    </row>
    <row r="1092" spans="1:16" x14ac:dyDescent="0.3">
      <c r="A1092" t="str">
        <f t="shared" si="17"/>
        <v>PD|NewCapacity|RE1|PWRDSL|2043</v>
      </c>
      <c r="B1092" t="s">
        <v>16</v>
      </c>
      <c r="C1092" t="s">
        <v>17</v>
      </c>
      <c r="D1092" t="s">
        <v>37</v>
      </c>
      <c r="E1092" t="s">
        <v>19</v>
      </c>
      <c r="F1092" t="s">
        <v>22</v>
      </c>
      <c r="O1092">
        <v>2043</v>
      </c>
    </row>
    <row r="1093" spans="1:16" x14ac:dyDescent="0.3">
      <c r="A1093" t="str">
        <f t="shared" si="17"/>
        <v>PD|NewCapacity|RE1|PWRFOL|2043</v>
      </c>
      <c r="B1093" t="s">
        <v>16</v>
      </c>
      <c r="C1093" t="s">
        <v>17</v>
      </c>
      <c r="D1093" t="s">
        <v>37</v>
      </c>
      <c r="E1093" t="s">
        <v>19</v>
      </c>
      <c r="F1093" t="s">
        <v>23</v>
      </c>
      <c r="O1093">
        <v>2043</v>
      </c>
    </row>
    <row r="1094" spans="1:16" x14ac:dyDescent="0.3">
      <c r="A1094" t="str">
        <f t="shared" si="17"/>
        <v>PD|NewCapacity|RE1|PWRHYDDAM|2043</v>
      </c>
      <c r="B1094" t="s">
        <v>16</v>
      </c>
      <c r="C1094" t="s">
        <v>17</v>
      </c>
      <c r="D1094" t="s">
        <v>37</v>
      </c>
      <c r="E1094" t="s">
        <v>19</v>
      </c>
      <c r="F1094" t="s">
        <v>24</v>
      </c>
      <c r="O1094">
        <v>2043</v>
      </c>
    </row>
    <row r="1095" spans="1:16" x14ac:dyDescent="0.3">
      <c r="A1095" t="str">
        <f t="shared" si="17"/>
        <v>PD|NewCapacity|RE1|PWRHYDROR|2043</v>
      </c>
      <c r="B1095" t="s">
        <v>16</v>
      </c>
      <c r="C1095" t="s">
        <v>17</v>
      </c>
      <c r="D1095" t="s">
        <v>37</v>
      </c>
      <c r="E1095" t="s">
        <v>19</v>
      </c>
      <c r="F1095" t="s">
        <v>25</v>
      </c>
      <c r="O1095">
        <v>2043</v>
      </c>
    </row>
    <row r="1096" spans="1:16" x14ac:dyDescent="0.3">
      <c r="A1096" t="str">
        <f t="shared" si="17"/>
        <v>PD|NewCapacity|RE1|PWRHYDROR_NDC|2043</v>
      </c>
      <c r="B1096" t="s">
        <v>16</v>
      </c>
      <c r="C1096" t="s">
        <v>17</v>
      </c>
      <c r="D1096" t="s">
        <v>37</v>
      </c>
      <c r="E1096" t="s">
        <v>19</v>
      </c>
      <c r="F1096" t="s">
        <v>26</v>
      </c>
      <c r="O1096">
        <v>2043</v>
      </c>
    </row>
    <row r="1097" spans="1:16" x14ac:dyDescent="0.3">
      <c r="A1097" t="str">
        <f t="shared" si="17"/>
        <v>PD|NewCapacity|RE1|PWRJET|2043</v>
      </c>
      <c r="B1097" t="s">
        <v>16</v>
      </c>
      <c r="C1097" t="s">
        <v>17</v>
      </c>
      <c r="D1097" t="s">
        <v>37</v>
      </c>
      <c r="E1097" t="s">
        <v>19</v>
      </c>
      <c r="F1097" t="s">
        <v>27</v>
      </c>
      <c r="O1097">
        <v>2043</v>
      </c>
    </row>
    <row r="1098" spans="1:16" x14ac:dyDescent="0.3">
      <c r="A1098" t="str">
        <f t="shared" si="17"/>
        <v>PD|NewCapacity|RE1|PWRLPG|2043</v>
      </c>
      <c r="B1098" t="s">
        <v>16</v>
      </c>
      <c r="C1098" t="s">
        <v>17</v>
      </c>
      <c r="D1098" t="s">
        <v>37</v>
      </c>
      <c r="E1098" t="s">
        <v>19</v>
      </c>
      <c r="F1098" t="s">
        <v>28</v>
      </c>
      <c r="O1098">
        <v>2043</v>
      </c>
    </row>
    <row r="1099" spans="1:16" x14ac:dyDescent="0.3">
      <c r="A1099" t="str">
        <f t="shared" si="17"/>
        <v>PD|NewCapacity|RE1|PWRNGS_CC|2043</v>
      </c>
      <c r="B1099" t="s">
        <v>16</v>
      </c>
      <c r="C1099" t="s">
        <v>17</v>
      </c>
      <c r="D1099" t="s">
        <v>37</v>
      </c>
      <c r="E1099" t="s">
        <v>19</v>
      </c>
      <c r="F1099" t="s">
        <v>29</v>
      </c>
      <c r="O1099">
        <v>2043</v>
      </c>
    </row>
    <row r="1100" spans="1:16" x14ac:dyDescent="0.3">
      <c r="A1100" t="str">
        <f t="shared" si="17"/>
        <v>PD|NewCapacity|RE1|PWRNGS_CS|2043</v>
      </c>
      <c r="B1100" t="s">
        <v>16</v>
      </c>
      <c r="C1100" t="s">
        <v>17</v>
      </c>
      <c r="D1100" t="s">
        <v>37</v>
      </c>
      <c r="E1100" t="s">
        <v>19</v>
      </c>
      <c r="F1100" t="s">
        <v>30</v>
      </c>
      <c r="O1100">
        <v>2043</v>
      </c>
    </row>
    <row r="1101" spans="1:16" x14ac:dyDescent="0.3">
      <c r="A1101" t="str">
        <f t="shared" si="17"/>
        <v>PD|NewCapacity|RE1|PWRSOLRTP|2043</v>
      </c>
      <c r="B1101" t="s">
        <v>16</v>
      </c>
      <c r="C1101" t="s">
        <v>17</v>
      </c>
      <c r="D1101" t="s">
        <v>37</v>
      </c>
      <c r="E1101" t="s">
        <v>19</v>
      </c>
      <c r="F1101" t="s">
        <v>31</v>
      </c>
      <c r="O1101">
        <v>2043</v>
      </c>
      <c r="P1101">
        <v>1.521876981610653</v>
      </c>
    </row>
    <row r="1102" spans="1:16" x14ac:dyDescent="0.3">
      <c r="A1102" t="str">
        <f t="shared" si="17"/>
        <v>PD|NewCapacity|RE1|PWRSOLRTP_ZNI|2043</v>
      </c>
      <c r="B1102" t="s">
        <v>16</v>
      </c>
      <c r="C1102" t="s">
        <v>17</v>
      </c>
      <c r="D1102" t="s">
        <v>37</v>
      </c>
      <c r="E1102" t="s">
        <v>19</v>
      </c>
      <c r="F1102" t="s">
        <v>32</v>
      </c>
      <c r="O1102">
        <v>2043</v>
      </c>
    </row>
    <row r="1103" spans="1:16" x14ac:dyDescent="0.3">
      <c r="A1103" t="str">
        <f t="shared" si="17"/>
        <v>PD|NewCapacity|RE1|PWRSOLUGE|2043</v>
      </c>
      <c r="B1103" t="s">
        <v>16</v>
      </c>
      <c r="C1103" t="s">
        <v>17</v>
      </c>
      <c r="D1103" t="s">
        <v>37</v>
      </c>
      <c r="E1103" t="s">
        <v>19</v>
      </c>
      <c r="F1103" t="s">
        <v>33</v>
      </c>
      <c r="O1103">
        <v>2043</v>
      </c>
    </row>
    <row r="1104" spans="1:16" x14ac:dyDescent="0.3">
      <c r="A1104" t="str">
        <f t="shared" si="17"/>
        <v>PD|NewCapacity|RE1|PWRSOLUPE|2043</v>
      </c>
      <c r="B1104" t="s">
        <v>16</v>
      </c>
      <c r="C1104" t="s">
        <v>17</v>
      </c>
      <c r="D1104" t="s">
        <v>37</v>
      </c>
      <c r="E1104" t="s">
        <v>19</v>
      </c>
      <c r="F1104" t="s">
        <v>34</v>
      </c>
      <c r="O1104">
        <v>2043</v>
      </c>
    </row>
    <row r="1105" spans="1:16" x14ac:dyDescent="0.3">
      <c r="A1105" t="str">
        <f t="shared" si="17"/>
        <v>PD|NewCapacity|RE1|PWRSTD|2043</v>
      </c>
      <c r="B1105" t="s">
        <v>16</v>
      </c>
      <c r="C1105" t="s">
        <v>17</v>
      </c>
      <c r="D1105" t="s">
        <v>37</v>
      </c>
      <c r="E1105" t="s">
        <v>19</v>
      </c>
      <c r="F1105" t="s">
        <v>35</v>
      </c>
      <c r="O1105">
        <v>2043</v>
      </c>
    </row>
    <row r="1106" spans="1:16" x14ac:dyDescent="0.3">
      <c r="A1106" t="str">
        <f t="shared" si="17"/>
        <v>PD|NewCapacity|RE1|PWRWNDONS|2043</v>
      </c>
      <c r="B1106" t="s">
        <v>16</v>
      </c>
      <c r="C1106" t="s">
        <v>17</v>
      </c>
      <c r="D1106" t="s">
        <v>37</v>
      </c>
      <c r="E1106" t="s">
        <v>19</v>
      </c>
      <c r="F1106" t="s">
        <v>36</v>
      </c>
      <c r="O1106">
        <v>2043</v>
      </c>
      <c r="P1106">
        <v>18.601561987203141</v>
      </c>
    </row>
    <row r="1107" spans="1:16" x14ac:dyDescent="0.3">
      <c r="A1107" t="str">
        <f t="shared" si="17"/>
        <v>PD|TotalCapacityAnnual|RE1|PWRBGS|2043</v>
      </c>
      <c r="B1107" t="s">
        <v>16</v>
      </c>
      <c r="C1107" t="s">
        <v>17</v>
      </c>
      <c r="D1107" t="s">
        <v>38</v>
      </c>
      <c r="E1107" t="s">
        <v>19</v>
      </c>
      <c r="F1107" t="s">
        <v>20</v>
      </c>
      <c r="O1107">
        <v>2043</v>
      </c>
      <c r="P1107">
        <v>2.5488587520000001E-2</v>
      </c>
    </row>
    <row r="1108" spans="1:16" x14ac:dyDescent="0.3">
      <c r="A1108" t="str">
        <f t="shared" si="17"/>
        <v>PD|TotalCapacityAnnual|RE1|PWRCOA|2043</v>
      </c>
      <c r="B1108" t="s">
        <v>16</v>
      </c>
      <c r="C1108" t="s">
        <v>17</v>
      </c>
      <c r="D1108" t="s">
        <v>38</v>
      </c>
      <c r="E1108" t="s">
        <v>19</v>
      </c>
      <c r="F1108" t="s">
        <v>21</v>
      </c>
      <c r="O1108">
        <v>2043</v>
      </c>
    </row>
    <row r="1109" spans="1:16" x14ac:dyDescent="0.3">
      <c r="A1109" t="str">
        <f t="shared" si="17"/>
        <v>PD|TotalCapacityAnnual|RE1|PWRDSL|2043</v>
      </c>
      <c r="B1109" t="s">
        <v>16</v>
      </c>
      <c r="C1109" t="s">
        <v>17</v>
      </c>
      <c r="D1109" t="s">
        <v>38</v>
      </c>
      <c r="E1109" t="s">
        <v>19</v>
      </c>
      <c r="F1109" t="s">
        <v>22</v>
      </c>
      <c r="O1109">
        <v>2043</v>
      </c>
      <c r="P1109">
        <v>24.944976</v>
      </c>
    </row>
    <row r="1110" spans="1:16" x14ac:dyDescent="0.3">
      <c r="A1110" t="str">
        <f t="shared" si="17"/>
        <v>PD|TotalCapacityAnnual|RE1|PWRFOL|2043</v>
      </c>
      <c r="B1110" t="s">
        <v>16</v>
      </c>
      <c r="C1110" t="s">
        <v>17</v>
      </c>
      <c r="D1110" t="s">
        <v>38</v>
      </c>
      <c r="E1110" t="s">
        <v>19</v>
      </c>
      <c r="F1110" t="s">
        <v>23</v>
      </c>
      <c r="O1110">
        <v>2043</v>
      </c>
      <c r="P1110">
        <v>8.3885759999999987</v>
      </c>
    </row>
    <row r="1111" spans="1:16" x14ac:dyDescent="0.3">
      <c r="A1111" t="str">
        <f t="shared" si="17"/>
        <v>PD|TotalCapacityAnnual|RE1|PWRHYDDAM|2043</v>
      </c>
      <c r="B1111" t="s">
        <v>16</v>
      </c>
      <c r="C1111" t="s">
        <v>17</v>
      </c>
      <c r="D1111" t="s">
        <v>38</v>
      </c>
      <c r="E1111" t="s">
        <v>19</v>
      </c>
      <c r="F1111" t="s">
        <v>24</v>
      </c>
      <c r="O1111">
        <v>2043</v>
      </c>
      <c r="P1111">
        <v>440.49164800000011</v>
      </c>
    </row>
    <row r="1112" spans="1:16" x14ac:dyDescent="0.3">
      <c r="A1112" t="str">
        <f t="shared" si="17"/>
        <v>PD|TotalCapacityAnnual|RE1|PWRHYDROR|2043</v>
      </c>
      <c r="B1112" t="s">
        <v>16</v>
      </c>
      <c r="C1112" t="s">
        <v>17</v>
      </c>
      <c r="D1112" t="s">
        <v>38</v>
      </c>
      <c r="E1112" t="s">
        <v>19</v>
      </c>
      <c r="F1112" t="s">
        <v>25</v>
      </c>
      <c r="O1112">
        <v>2043</v>
      </c>
      <c r="P1112">
        <v>21.097584000000001</v>
      </c>
    </row>
    <row r="1113" spans="1:16" x14ac:dyDescent="0.3">
      <c r="A1113" t="str">
        <f t="shared" si="17"/>
        <v>PD|TotalCapacityAnnual|RE1|PWRHYDROR_NDC|2043</v>
      </c>
      <c r="B1113" t="s">
        <v>16</v>
      </c>
      <c r="C1113" t="s">
        <v>17</v>
      </c>
      <c r="D1113" t="s">
        <v>38</v>
      </c>
      <c r="E1113" t="s">
        <v>19</v>
      </c>
      <c r="F1113" t="s">
        <v>26</v>
      </c>
      <c r="O1113">
        <v>2043</v>
      </c>
      <c r="P1113">
        <v>29.725108271999989</v>
      </c>
    </row>
    <row r="1114" spans="1:16" x14ac:dyDescent="0.3">
      <c r="A1114" t="str">
        <f t="shared" si="17"/>
        <v>PD|TotalCapacityAnnual|RE1|PWRJET|2043</v>
      </c>
      <c r="B1114" t="s">
        <v>16</v>
      </c>
      <c r="C1114" t="s">
        <v>17</v>
      </c>
      <c r="D1114" t="s">
        <v>38</v>
      </c>
      <c r="E1114" t="s">
        <v>19</v>
      </c>
      <c r="F1114" t="s">
        <v>27</v>
      </c>
      <c r="O1114">
        <v>2043</v>
      </c>
      <c r="P1114">
        <v>1.5768</v>
      </c>
    </row>
    <row r="1115" spans="1:16" x14ac:dyDescent="0.3">
      <c r="A1115" t="str">
        <f t="shared" si="17"/>
        <v>PD|TotalCapacityAnnual|RE1|PWRLPG|2043</v>
      </c>
      <c r="B1115" t="s">
        <v>16</v>
      </c>
      <c r="C1115" t="s">
        <v>17</v>
      </c>
      <c r="D1115" t="s">
        <v>38</v>
      </c>
      <c r="E1115" t="s">
        <v>19</v>
      </c>
      <c r="F1115" t="s">
        <v>28</v>
      </c>
      <c r="O1115">
        <v>2043</v>
      </c>
      <c r="P1115">
        <v>1.639872</v>
      </c>
    </row>
    <row r="1116" spans="1:16" x14ac:dyDescent="0.3">
      <c r="A1116" t="str">
        <f t="shared" si="17"/>
        <v>PD|TotalCapacityAnnual|RE1|PWRNGS_CC|2043</v>
      </c>
      <c r="B1116" t="s">
        <v>16</v>
      </c>
      <c r="C1116" t="s">
        <v>17</v>
      </c>
      <c r="D1116" t="s">
        <v>38</v>
      </c>
      <c r="E1116" t="s">
        <v>19</v>
      </c>
      <c r="F1116" t="s">
        <v>29</v>
      </c>
      <c r="O1116">
        <v>2043</v>
      </c>
      <c r="P1116">
        <v>70.104500000000002</v>
      </c>
    </row>
    <row r="1117" spans="1:16" x14ac:dyDescent="0.3">
      <c r="A1117" t="str">
        <f t="shared" si="17"/>
        <v>PD|TotalCapacityAnnual|RE1|PWRNGS_CS|2043</v>
      </c>
      <c r="B1117" t="s">
        <v>16</v>
      </c>
      <c r="C1117" t="s">
        <v>17</v>
      </c>
      <c r="D1117" t="s">
        <v>38</v>
      </c>
      <c r="E1117" t="s">
        <v>19</v>
      </c>
      <c r="F1117" t="s">
        <v>30</v>
      </c>
      <c r="O1117">
        <v>2043</v>
      </c>
      <c r="P1117">
        <v>23.084351999999999</v>
      </c>
    </row>
    <row r="1118" spans="1:16" x14ac:dyDescent="0.3">
      <c r="A1118" t="str">
        <f t="shared" si="17"/>
        <v>PD|TotalCapacityAnnual|RE1|PWRSOLRTP|2043</v>
      </c>
      <c r="B1118" t="s">
        <v>16</v>
      </c>
      <c r="C1118" t="s">
        <v>17</v>
      </c>
      <c r="D1118" t="s">
        <v>38</v>
      </c>
      <c r="E1118" t="s">
        <v>19</v>
      </c>
      <c r="F1118" t="s">
        <v>31</v>
      </c>
      <c r="O1118">
        <v>2043</v>
      </c>
      <c r="P1118">
        <v>132.54724273937859</v>
      </c>
    </row>
    <row r="1119" spans="1:16" x14ac:dyDescent="0.3">
      <c r="A1119" t="str">
        <f t="shared" si="17"/>
        <v>PD|TotalCapacityAnnual|RE1|PWRSOLRTP_ZNI|2043</v>
      </c>
      <c r="B1119" t="s">
        <v>16</v>
      </c>
      <c r="C1119" t="s">
        <v>17</v>
      </c>
      <c r="D1119" t="s">
        <v>38</v>
      </c>
      <c r="E1119" t="s">
        <v>19</v>
      </c>
      <c r="F1119" t="s">
        <v>32</v>
      </c>
      <c r="O1119">
        <v>2043</v>
      </c>
      <c r="P1119">
        <v>1.3482492298090729</v>
      </c>
    </row>
    <row r="1120" spans="1:16" x14ac:dyDescent="0.3">
      <c r="A1120" t="str">
        <f t="shared" si="17"/>
        <v>PD|TotalCapacityAnnual|RE1|PWRSOLUGE|2043</v>
      </c>
      <c r="B1120" t="s">
        <v>16</v>
      </c>
      <c r="C1120" t="s">
        <v>17</v>
      </c>
      <c r="D1120" t="s">
        <v>38</v>
      </c>
      <c r="E1120" t="s">
        <v>19</v>
      </c>
      <c r="F1120" t="s">
        <v>33</v>
      </c>
      <c r="O1120">
        <v>2043</v>
      </c>
      <c r="P1120">
        <v>191.79186048</v>
      </c>
    </row>
    <row r="1121" spans="1:16" x14ac:dyDescent="0.3">
      <c r="A1121" t="str">
        <f t="shared" si="17"/>
        <v>PD|TotalCapacityAnnual|RE1|PWRSOLUPE|2043</v>
      </c>
      <c r="B1121" t="s">
        <v>16</v>
      </c>
      <c r="C1121" t="s">
        <v>17</v>
      </c>
      <c r="D1121" t="s">
        <v>38</v>
      </c>
      <c r="E1121" t="s">
        <v>19</v>
      </c>
      <c r="F1121" t="s">
        <v>34</v>
      </c>
      <c r="O1121">
        <v>2043</v>
      </c>
      <c r="P1121">
        <v>39.172600079999931</v>
      </c>
    </row>
    <row r="1122" spans="1:16" x14ac:dyDescent="0.3">
      <c r="A1122" t="str">
        <f t="shared" si="17"/>
        <v>PD|TotalCapacityAnnual|RE1|PWRSTD|2043</v>
      </c>
      <c r="B1122" t="s">
        <v>16</v>
      </c>
      <c r="C1122" t="s">
        <v>17</v>
      </c>
      <c r="D1122" t="s">
        <v>38</v>
      </c>
      <c r="E1122" t="s">
        <v>19</v>
      </c>
      <c r="F1122" t="s">
        <v>35</v>
      </c>
      <c r="O1122">
        <v>2043</v>
      </c>
      <c r="P1122">
        <v>8.163062064</v>
      </c>
    </row>
    <row r="1123" spans="1:16" x14ac:dyDescent="0.3">
      <c r="A1123" t="str">
        <f t="shared" si="17"/>
        <v>PD|TotalCapacityAnnual|RE1|PWRWNDONS|2043</v>
      </c>
      <c r="B1123" t="s">
        <v>16</v>
      </c>
      <c r="C1123" t="s">
        <v>17</v>
      </c>
      <c r="D1123" t="s">
        <v>38</v>
      </c>
      <c r="E1123" t="s">
        <v>19</v>
      </c>
      <c r="F1123" t="s">
        <v>36</v>
      </c>
      <c r="O1123">
        <v>2043</v>
      </c>
      <c r="P1123">
        <v>279.49876323100028</v>
      </c>
    </row>
    <row r="1124" spans="1:16" x14ac:dyDescent="0.3">
      <c r="A1124" t="str">
        <f t="shared" si="17"/>
        <v>PD|AccumulatedNewCapacity|RE1|PWRBGS|2044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O1124">
        <v>2044</v>
      </c>
    </row>
    <row r="1125" spans="1:16" x14ac:dyDescent="0.3">
      <c r="A1125" t="str">
        <f t="shared" si="17"/>
        <v>PD|AccumulatedNewCapacity|RE1|PWRCOA|2044</v>
      </c>
      <c r="B1125" t="s">
        <v>16</v>
      </c>
      <c r="C1125" t="s">
        <v>17</v>
      </c>
      <c r="D1125" t="s">
        <v>18</v>
      </c>
      <c r="E1125" t="s">
        <v>19</v>
      </c>
      <c r="F1125" t="s">
        <v>21</v>
      </c>
      <c r="O1125">
        <v>2044</v>
      </c>
    </row>
    <row r="1126" spans="1:16" x14ac:dyDescent="0.3">
      <c r="A1126" t="str">
        <f t="shared" si="17"/>
        <v>PD|AccumulatedNewCapacity|RE1|PWRDSL|2044</v>
      </c>
      <c r="B1126" t="s">
        <v>16</v>
      </c>
      <c r="C1126" t="s">
        <v>17</v>
      </c>
      <c r="D1126" t="s">
        <v>18</v>
      </c>
      <c r="E1126" t="s">
        <v>19</v>
      </c>
      <c r="F1126" t="s">
        <v>22</v>
      </c>
      <c r="O1126">
        <v>2044</v>
      </c>
    </row>
    <row r="1127" spans="1:16" x14ac:dyDescent="0.3">
      <c r="A1127" t="str">
        <f t="shared" si="17"/>
        <v>PD|AccumulatedNewCapacity|RE1|PWRFOL|2044</v>
      </c>
      <c r="B1127" t="s">
        <v>16</v>
      </c>
      <c r="C1127" t="s">
        <v>17</v>
      </c>
      <c r="D1127" t="s">
        <v>18</v>
      </c>
      <c r="E1127" t="s">
        <v>19</v>
      </c>
      <c r="F1127" t="s">
        <v>23</v>
      </c>
      <c r="O1127">
        <v>2044</v>
      </c>
    </row>
    <row r="1128" spans="1:16" x14ac:dyDescent="0.3">
      <c r="A1128" t="str">
        <f t="shared" si="17"/>
        <v>PD|AccumulatedNewCapacity|RE1|PWRHYDDAM|2044</v>
      </c>
      <c r="B1128" t="s">
        <v>16</v>
      </c>
      <c r="C1128" t="s">
        <v>17</v>
      </c>
      <c r="D1128" t="s">
        <v>18</v>
      </c>
      <c r="E1128" t="s">
        <v>19</v>
      </c>
      <c r="F1128" t="s">
        <v>24</v>
      </c>
      <c r="O1128">
        <v>2044</v>
      </c>
      <c r="P1128">
        <v>37.840000000000003</v>
      </c>
    </row>
    <row r="1129" spans="1:16" x14ac:dyDescent="0.3">
      <c r="A1129" t="str">
        <f t="shared" si="17"/>
        <v>PD|AccumulatedNewCapacity|RE1|PWRHYDROR|2044</v>
      </c>
      <c r="B1129" t="s">
        <v>16</v>
      </c>
      <c r="C1129" t="s">
        <v>17</v>
      </c>
      <c r="D1129" t="s">
        <v>18</v>
      </c>
      <c r="E1129" t="s">
        <v>19</v>
      </c>
      <c r="F1129" t="s">
        <v>25</v>
      </c>
      <c r="O1129">
        <v>2044</v>
      </c>
    </row>
    <row r="1130" spans="1:16" x14ac:dyDescent="0.3">
      <c r="A1130" t="str">
        <f t="shared" si="17"/>
        <v>PD|AccumulatedNewCapacity|RE1|PWRHYDROR_NDC|2044</v>
      </c>
      <c r="B1130" t="s">
        <v>16</v>
      </c>
      <c r="C1130" t="s">
        <v>17</v>
      </c>
      <c r="D1130" t="s">
        <v>18</v>
      </c>
      <c r="E1130" t="s">
        <v>19</v>
      </c>
      <c r="F1130" t="s">
        <v>26</v>
      </c>
      <c r="O1130">
        <v>2044</v>
      </c>
    </row>
    <row r="1131" spans="1:16" x14ac:dyDescent="0.3">
      <c r="A1131" t="str">
        <f t="shared" si="17"/>
        <v>PD|AccumulatedNewCapacity|RE1|PWRJET|2044</v>
      </c>
      <c r="B1131" t="s">
        <v>16</v>
      </c>
      <c r="C1131" t="s">
        <v>17</v>
      </c>
      <c r="D1131" t="s">
        <v>18</v>
      </c>
      <c r="E1131" t="s">
        <v>19</v>
      </c>
      <c r="F1131" t="s">
        <v>27</v>
      </c>
      <c r="O1131">
        <v>2044</v>
      </c>
    </row>
    <row r="1132" spans="1:16" x14ac:dyDescent="0.3">
      <c r="A1132" t="str">
        <f t="shared" si="17"/>
        <v>PD|AccumulatedNewCapacity|RE1|PWRLPG|2044</v>
      </c>
      <c r="B1132" t="s">
        <v>16</v>
      </c>
      <c r="C1132" t="s">
        <v>17</v>
      </c>
      <c r="D1132" t="s">
        <v>18</v>
      </c>
      <c r="E1132" t="s">
        <v>19</v>
      </c>
      <c r="F1132" t="s">
        <v>28</v>
      </c>
      <c r="O1132">
        <v>2044</v>
      </c>
    </row>
    <row r="1133" spans="1:16" x14ac:dyDescent="0.3">
      <c r="A1133" t="str">
        <f t="shared" si="17"/>
        <v>PD|AccumulatedNewCapacity|RE1|PWRNGS_CC|2044</v>
      </c>
      <c r="B1133" t="s">
        <v>16</v>
      </c>
      <c r="C1133" t="s">
        <v>17</v>
      </c>
      <c r="D1133" t="s">
        <v>18</v>
      </c>
      <c r="E1133" t="s">
        <v>19</v>
      </c>
      <c r="F1133" t="s">
        <v>29</v>
      </c>
      <c r="O1133">
        <v>2044</v>
      </c>
    </row>
    <row r="1134" spans="1:16" x14ac:dyDescent="0.3">
      <c r="A1134" t="str">
        <f t="shared" si="17"/>
        <v>PD|AccumulatedNewCapacity|RE1|PWRNGS_CS|2044</v>
      </c>
      <c r="B1134" t="s">
        <v>16</v>
      </c>
      <c r="C1134" t="s">
        <v>17</v>
      </c>
      <c r="D1134" t="s">
        <v>18</v>
      </c>
      <c r="E1134" t="s">
        <v>19</v>
      </c>
      <c r="F1134" t="s">
        <v>30</v>
      </c>
      <c r="O1134">
        <v>2044</v>
      </c>
    </row>
    <row r="1135" spans="1:16" x14ac:dyDescent="0.3">
      <c r="A1135" t="str">
        <f t="shared" si="17"/>
        <v>PD|AccumulatedNewCapacity|RE1|PWRSOLRTP|2044</v>
      </c>
      <c r="B1135" t="s">
        <v>16</v>
      </c>
      <c r="C1135" t="s">
        <v>17</v>
      </c>
      <c r="D1135" t="s">
        <v>18</v>
      </c>
      <c r="E1135" t="s">
        <v>19</v>
      </c>
      <c r="F1135" t="s">
        <v>31</v>
      </c>
      <c r="O1135">
        <v>2044</v>
      </c>
      <c r="P1135">
        <v>110.7923081800888</v>
      </c>
    </row>
    <row r="1136" spans="1:16" x14ac:dyDescent="0.3">
      <c r="A1136" t="str">
        <f t="shared" si="17"/>
        <v>PD|AccumulatedNewCapacity|RE1|PWRSOLRTP_ZNI|2044</v>
      </c>
      <c r="B1136" t="s">
        <v>16</v>
      </c>
      <c r="C1136" t="s">
        <v>17</v>
      </c>
      <c r="D1136" t="s">
        <v>18</v>
      </c>
      <c r="E1136" t="s">
        <v>19</v>
      </c>
      <c r="F1136" t="s">
        <v>32</v>
      </c>
      <c r="O1136">
        <v>2044</v>
      </c>
      <c r="P1136">
        <v>0.88750826980907294</v>
      </c>
    </row>
    <row r="1137" spans="1:16" x14ac:dyDescent="0.3">
      <c r="A1137" t="str">
        <f t="shared" si="17"/>
        <v>PD|AccumulatedNewCapacity|RE1|PWRSOLUGE|2044</v>
      </c>
      <c r="B1137" t="s">
        <v>16</v>
      </c>
      <c r="C1137" t="s">
        <v>17</v>
      </c>
      <c r="D1137" t="s">
        <v>18</v>
      </c>
      <c r="E1137" t="s">
        <v>19</v>
      </c>
      <c r="F1137" t="s">
        <v>33</v>
      </c>
      <c r="O1137">
        <v>2044</v>
      </c>
      <c r="P1137">
        <v>143.394192</v>
      </c>
    </row>
    <row r="1138" spans="1:16" x14ac:dyDescent="0.3">
      <c r="A1138" t="str">
        <f t="shared" si="17"/>
        <v>PD|AccumulatedNewCapacity|RE1|PWRSOLUPE|2044</v>
      </c>
      <c r="B1138" t="s">
        <v>16</v>
      </c>
      <c r="C1138" t="s">
        <v>17</v>
      </c>
      <c r="D1138" t="s">
        <v>18</v>
      </c>
      <c r="E1138" t="s">
        <v>19</v>
      </c>
      <c r="F1138" t="s">
        <v>34</v>
      </c>
      <c r="O1138">
        <v>2044</v>
      </c>
      <c r="P1138">
        <v>12.14419823999993</v>
      </c>
    </row>
    <row r="1139" spans="1:16" x14ac:dyDescent="0.3">
      <c r="A1139" t="str">
        <f t="shared" si="17"/>
        <v>PD|AccumulatedNewCapacity|RE1|PWRSTD|2044</v>
      </c>
      <c r="B1139" t="s">
        <v>16</v>
      </c>
      <c r="C1139" t="s">
        <v>17</v>
      </c>
      <c r="D1139" t="s">
        <v>18</v>
      </c>
      <c r="E1139" t="s">
        <v>19</v>
      </c>
      <c r="F1139" t="s">
        <v>35</v>
      </c>
      <c r="O1139">
        <v>2044</v>
      </c>
    </row>
    <row r="1140" spans="1:16" x14ac:dyDescent="0.3">
      <c r="A1140" t="str">
        <f t="shared" si="17"/>
        <v>PD|AccumulatedNewCapacity|RE1|PWRWNDONS|2044</v>
      </c>
      <c r="B1140" t="s">
        <v>16</v>
      </c>
      <c r="C1140" t="s">
        <v>17</v>
      </c>
      <c r="D1140" t="s">
        <v>18</v>
      </c>
      <c r="E1140" t="s">
        <v>19</v>
      </c>
      <c r="F1140" t="s">
        <v>36</v>
      </c>
      <c r="O1140">
        <v>2044</v>
      </c>
      <c r="P1140">
        <v>278.13010083100028</v>
      </c>
    </row>
    <row r="1141" spans="1:16" x14ac:dyDescent="0.3">
      <c r="A1141" t="str">
        <f t="shared" si="17"/>
        <v>PD|NewCapacity|RE1|PWRBGS|2044</v>
      </c>
      <c r="B1141" t="s">
        <v>16</v>
      </c>
      <c r="C1141" t="s">
        <v>17</v>
      </c>
      <c r="D1141" t="s">
        <v>37</v>
      </c>
      <c r="E1141" t="s">
        <v>19</v>
      </c>
      <c r="F1141" t="s">
        <v>20</v>
      </c>
      <c r="O1141">
        <v>2044</v>
      </c>
    </row>
    <row r="1142" spans="1:16" x14ac:dyDescent="0.3">
      <c r="A1142" t="str">
        <f t="shared" si="17"/>
        <v>PD|NewCapacity|RE1|PWRCOA|2044</v>
      </c>
      <c r="B1142" t="s">
        <v>16</v>
      </c>
      <c r="C1142" t="s">
        <v>17</v>
      </c>
      <c r="D1142" t="s">
        <v>37</v>
      </c>
      <c r="E1142" t="s">
        <v>19</v>
      </c>
      <c r="F1142" t="s">
        <v>21</v>
      </c>
      <c r="O1142">
        <v>2044</v>
      </c>
    </row>
    <row r="1143" spans="1:16" x14ac:dyDescent="0.3">
      <c r="A1143" t="str">
        <f t="shared" si="17"/>
        <v>PD|NewCapacity|RE1|PWRDSL|2044</v>
      </c>
      <c r="B1143" t="s">
        <v>16</v>
      </c>
      <c r="C1143" t="s">
        <v>17</v>
      </c>
      <c r="D1143" t="s">
        <v>37</v>
      </c>
      <c r="E1143" t="s">
        <v>19</v>
      </c>
      <c r="F1143" t="s">
        <v>22</v>
      </c>
      <c r="O1143">
        <v>2044</v>
      </c>
    </row>
    <row r="1144" spans="1:16" x14ac:dyDescent="0.3">
      <c r="A1144" t="str">
        <f t="shared" si="17"/>
        <v>PD|NewCapacity|RE1|PWRFOL|2044</v>
      </c>
      <c r="B1144" t="s">
        <v>16</v>
      </c>
      <c r="C1144" t="s">
        <v>17</v>
      </c>
      <c r="D1144" t="s">
        <v>37</v>
      </c>
      <c r="E1144" t="s">
        <v>19</v>
      </c>
      <c r="F1144" t="s">
        <v>23</v>
      </c>
      <c r="O1144">
        <v>2044</v>
      </c>
    </row>
    <row r="1145" spans="1:16" x14ac:dyDescent="0.3">
      <c r="A1145" t="str">
        <f t="shared" si="17"/>
        <v>PD|NewCapacity|RE1|PWRHYDDAM|2044</v>
      </c>
      <c r="B1145" t="s">
        <v>16</v>
      </c>
      <c r="C1145" t="s">
        <v>17</v>
      </c>
      <c r="D1145" t="s">
        <v>37</v>
      </c>
      <c r="E1145" t="s">
        <v>19</v>
      </c>
      <c r="F1145" t="s">
        <v>24</v>
      </c>
      <c r="O1145">
        <v>2044</v>
      </c>
    </row>
    <row r="1146" spans="1:16" x14ac:dyDescent="0.3">
      <c r="A1146" t="str">
        <f t="shared" si="17"/>
        <v>PD|NewCapacity|RE1|PWRHYDROR|2044</v>
      </c>
      <c r="B1146" t="s">
        <v>16</v>
      </c>
      <c r="C1146" t="s">
        <v>17</v>
      </c>
      <c r="D1146" t="s">
        <v>37</v>
      </c>
      <c r="E1146" t="s">
        <v>19</v>
      </c>
      <c r="F1146" t="s">
        <v>25</v>
      </c>
      <c r="O1146">
        <v>2044</v>
      </c>
    </row>
    <row r="1147" spans="1:16" x14ac:dyDescent="0.3">
      <c r="A1147" t="str">
        <f t="shared" si="17"/>
        <v>PD|NewCapacity|RE1|PWRHYDROR_NDC|2044</v>
      </c>
      <c r="B1147" t="s">
        <v>16</v>
      </c>
      <c r="C1147" t="s">
        <v>17</v>
      </c>
      <c r="D1147" t="s">
        <v>37</v>
      </c>
      <c r="E1147" t="s">
        <v>19</v>
      </c>
      <c r="F1147" t="s">
        <v>26</v>
      </c>
      <c r="O1147">
        <v>2044</v>
      </c>
    </row>
    <row r="1148" spans="1:16" x14ac:dyDescent="0.3">
      <c r="A1148" t="str">
        <f t="shared" si="17"/>
        <v>PD|NewCapacity|RE1|PWRJET|2044</v>
      </c>
      <c r="B1148" t="s">
        <v>16</v>
      </c>
      <c r="C1148" t="s">
        <v>17</v>
      </c>
      <c r="D1148" t="s">
        <v>37</v>
      </c>
      <c r="E1148" t="s">
        <v>19</v>
      </c>
      <c r="F1148" t="s">
        <v>27</v>
      </c>
      <c r="O1148">
        <v>2044</v>
      </c>
    </row>
    <row r="1149" spans="1:16" x14ac:dyDescent="0.3">
      <c r="A1149" t="str">
        <f t="shared" si="17"/>
        <v>PD|NewCapacity|RE1|PWRLPG|2044</v>
      </c>
      <c r="B1149" t="s">
        <v>16</v>
      </c>
      <c r="C1149" t="s">
        <v>17</v>
      </c>
      <c r="D1149" t="s">
        <v>37</v>
      </c>
      <c r="E1149" t="s">
        <v>19</v>
      </c>
      <c r="F1149" t="s">
        <v>28</v>
      </c>
      <c r="O1149">
        <v>2044</v>
      </c>
    </row>
    <row r="1150" spans="1:16" x14ac:dyDescent="0.3">
      <c r="A1150" t="str">
        <f t="shared" si="17"/>
        <v>PD|NewCapacity|RE1|PWRNGS_CC|2044</v>
      </c>
      <c r="B1150" t="s">
        <v>16</v>
      </c>
      <c r="C1150" t="s">
        <v>17</v>
      </c>
      <c r="D1150" t="s">
        <v>37</v>
      </c>
      <c r="E1150" t="s">
        <v>19</v>
      </c>
      <c r="F1150" t="s">
        <v>29</v>
      </c>
      <c r="O1150">
        <v>2044</v>
      </c>
    </row>
    <row r="1151" spans="1:16" x14ac:dyDescent="0.3">
      <c r="A1151" t="str">
        <f t="shared" si="17"/>
        <v>PD|NewCapacity|RE1|PWRNGS_CS|2044</v>
      </c>
      <c r="B1151" t="s">
        <v>16</v>
      </c>
      <c r="C1151" t="s">
        <v>17</v>
      </c>
      <c r="D1151" t="s">
        <v>37</v>
      </c>
      <c r="E1151" t="s">
        <v>19</v>
      </c>
      <c r="F1151" t="s">
        <v>30</v>
      </c>
      <c r="O1151">
        <v>2044</v>
      </c>
    </row>
    <row r="1152" spans="1:16" x14ac:dyDescent="0.3">
      <c r="A1152" t="str">
        <f t="shared" si="17"/>
        <v>PD|NewCapacity|RE1|PWRSOLRTP|2044</v>
      </c>
      <c r="B1152" t="s">
        <v>16</v>
      </c>
      <c r="C1152" t="s">
        <v>17</v>
      </c>
      <c r="D1152" t="s">
        <v>37</v>
      </c>
      <c r="E1152" t="s">
        <v>19</v>
      </c>
      <c r="F1152" t="s">
        <v>31</v>
      </c>
      <c r="O1152">
        <v>2044</v>
      </c>
      <c r="P1152">
        <v>1.4584654407102089</v>
      </c>
    </row>
    <row r="1153" spans="1:16" x14ac:dyDescent="0.3">
      <c r="A1153" t="str">
        <f t="shared" si="17"/>
        <v>PD|NewCapacity|RE1|PWRSOLRTP_ZNI|2044</v>
      </c>
      <c r="B1153" t="s">
        <v>16</v>
      </c>
      <c r="C1153" t="s">
        <v>17</v>
      </c>
      <c r="D1153" t="s">
        <v>37</v>
      </c>
      <c r="E1153" t="s">
        <v>19</v>
      </c>
      <c r="F1153" t="s">
        <v>32</v>
      </c>
      <c r="O1153">
        <v>2044</v>
      </c>
    </row>
    <row r="1154" spans="1:16" x14ac:dyDescent="0.3">
      <c r="A1154" t="str">
        <f t="shared" ref="A1154:A1217" si="18">B1154&amp;"|"&amp;D1154&amp;"|"&amp;E1154&amp;"|"&amp;F1154&amp;"|"&amp;O1154</f>
        <v>PD|NewCapacity|RE1|PWRSOLUGE|2044</v>
      </c>
      <c r="B1154" t="s">
        <v>16</v>
      </c>
      <c r="C1154" t="s">
        <v>17</v>
      </c>
      <c r="D1154" t="s">
        <v>37</v>
      </c>
      <c r="E1154" t="s">
        <v>19</v>
      </c>
      <c r="F1154" t="s">
        <v>33</v>
      </c>
      <c r="O1154">
        <v>2044</v>
      </c>
    </row>
    <row r="1155" spans="1:16" x14ac:dyDescent="0.3">
      <c r="A1155" t="str">
        <f t="shared" si="18"/>
        <v>PD|NewCapacity|RE1|PWRSOLUPE|2044</v>
      </c>
      <c r="B1155" t="s">
        <v>16</v>
      </c>
      <c r="C1155" t="s">
        <v>17</v>
      </c>
      <c r="D1155" t="s">
        <v>37</v>
      </c>
      <c r="E1155" t="s">
        <v>19</v>
      </c>
      <c r="F1155" t="s">
        <v>34</v>
      </c>
      <c r="O1155">
        <v>2044</v>
      </c>
    </row>
    <row r="1156" spans="1:16" x14ac:dyDescent="0.3">
      <c r="A1156" t="str">
        <f t="shared" si="18"/>
        <v>PD|NewCapacity|RE1|PWRSTD|2044</v>
      </c>
      <c r="B1156" t="s">
        <v>16</v>
      </c>
      <c r="C1156" t="s">
        <v>17</v>
      </c>
      <c r="D1156" t="s">
        <v>37</v>
      </c>
      <c r="E1156" t="s">
        <v>19</v>
      </c>
      <c r="F1156" t="s">
        <v>35</v>
      </c>
      <c r="O1156">
        <v>2044</v>
      </c>
    </row>
    <row r="1157" spans="1:16" x14ac:dyDescent="0.3">
      <c r="A1157" t="str">
        <f t="shared" si="18"/>
        <v>PD|NewCapacity|RE1|PWRWNDONS|2044</v>
      </c>
      <c r="B1157" t="s">
        <v>16</v>
      </c>
      <c r="C1157" t="s">
        <v>17</v>
      </c>
      <c r="D1157" t="s">
        <v>37</v>
      </c>
      <c r="E1157" t="s">
        <v>19</v>
      </c>
      <c r="F1157" t="s">
        <v>36</v>
      </c>
      <c r="O1157">
        <v>2044</v>
      </c>
    </row>
    <row r="1158" spans="1:16" x14ac:dyDescent="0.3">
      <c r="A1158" t="str">
        <f t="shared" si="18"/>
        <v>PD|TotalCapacityAnnual|RE1|PWRBGS|2044</v>
      </c>
      <c r="B1158" t="s">
        <v>16</v>
      </c>
      <c r="C1158" t="s">
        <v>17</v>
      </c>
      <c r="D1158" t="s">
        <v>38</v>
      </c>
      <c r="E1158" t="s">
        <v>19</v>
      </c>
      <c r="F1158" t="s">
        <v>20</v>
      </c>
      <c r="O1158">
        <v>2044</v>
      </c>
      <c r="P1158">
        <v>2.5488587520000001E-2</v>
      </c>
    </row>
    <row r="1159" spans="1:16" x14ac:dyDescent="0.3">
      <c r="A1159" t="str">
        <f t="shared" si="18"/>
        <v>PD|TotalCapacityAnnual|RE1|PWRCOA|2044</v>
      </c>
      <c r="B1159" t="s">
        <v>16</v>
      </c>
      <c r="C1159" t="s">
        <v>17</v>
      </c>
      <c r="D1159" t="s">
        <v>38</v>
      </c>
      <c r="E1159" t="s">
        <v>19</v>
      </c>
      <c r="F1159" t="s">
        <v>21</v>
      </c>
      <c r="O1159">
        <v>2044</v>
      </c>
    </row>
    <row r="1160" spans="1:16" x14ac:dyDescent="0.3">
      <c r="A1160" t="str">
        <f t="shared" si="18"/>
        <v>PD|TotalCapacityAnnual|RE1|PWRDSL|2044</v>
      </c>
      <c r="B1160" t="s">
        <v>16</v>
      </c>
      <c r="C1160" t="s">
        <v>17</v>
      </c>
      <c r="D1160" t="s">
        <v>38</v>
      </c>
      <c r="E1160" t="s">
        <v>19</v>
      </c>
      <c r="F1160" t="s">
        <v>22</v>
      </c>
      <c r="O1160">
        <v>2044</v>
      </c>
      <c r="P1160">
        <v>24.944976</v>
      </c>
    </row>
    <row r="1161" spans="1:16" x14ac:dyDescent="0.3">
      <c r="A1161" t="str">
        <f t="shared" si="18"/>
        <v>PD|TotalCapacityAnnual|RE1|PWRFOL|2044</v>
      </c>
      <c r="B1161" t="s">
        <v>16</v>
      </c>
      <c r="C1161" t="s">
        <v>17</v>
      </c>
      <c r="D1161" t="s">
        <v>38</v>
      </c>
      <c r="E1161" t="s">
        <v>19</v>
      </c>
      <c r="F1161" t="s">
        <v>23</v>
      </c>
      <c r="O1161">
        <v>2044</v>
      </c>
      <c r="P1161">
        <v>8.3885759999999987</v>
      </c>
    </row>
    <row r="1162" spans="1:16" x14ac:dyDescent="0.3">
      <c r="A1162" t="str">
        <f t="shared" si="18"/>
        <v>PD|TotalCapacityAnnual|RE1|PWRHYDDAM|2044</v>
      </c>
      <c r="B1162" t="s">
        <v>16</v>
      </c>
      <c r="C1162" t="s">
        <v>17</v>
      </c>
      <c r="D1162" t="s">
        <v>38</v>
      </c>
      <c r="E1162" t="s">
        <v>19</v>
      </c>
      <c r="F1162" t="s">
        <v>24</v>
      </c>
      <c r="O1162">
        <v>2044</v>
      </c>
      <c r="P1162">
        <v>440.49164800000011</v>
      </c>
    </row>
    <row r="1163" spans="1:16" x14ac:dyDescent="0.3">
      <c r="A1163" t="str">
        <f t="shared" si="18"/>
        <v>PD|TotalCapacityAnnual|RE1|PWRHYDROR|2044</v>
      </c>
      <c r="B1163" t="s">
        <v>16</v>
      </c>
      <c r="C1163" t="s">
        <v>17</v>
      </c>
      <c r="D1163" t="s">
        <v>38</v>
      </c>
      <c r="E1163" t="s">
        <v>19</v>
      </c>
      <c r="F1163" t="s">
        <v>25</v>
      </c>
      <c r="O1163">
        <v>2044</v>
      </c>
      <c r="P1163">
        <v>21.097584000000001</v>
      </c>
    </row>
    <row r="1164" spans="1:16" x14ac:dyDescent="0.3">
      <c r="A1164" t="str">
        <f t="shared" si="18"/>
        <v>PD|TotalCapacityAnnual|RE1|PWRHYDROR_NDC|2044</v>
      </c>
      <c r="B1164" t="s">
        <v>16</v>
      </c>
      <c r="C1164" t="s">
        <v>17</v>
      </c>
      <c r="D1164" t="s">
        <v>38</v>
      </c>
      <c r="E1164" t="s">
        <v>19</v>
      </c>
      <c r="F1164" t="s">
        <v>26</v>
      </c>
      <c r="O1164">
        <v>2044</v>
      </c>
      <c r="P1164">
        <v>29.725108271999989</v>
      </c>
    </row>
    <row r="1165" spans="1:16" x14ac:dyDescent="0.3">
      <c r="A1165" t="str">
        <f t="shared" si="18"/>
        <v>PD|TotalCapacityAnnual|RE1|PWRJET|2044</v>
      </c>
      <c r="B1165" t="s">
        <v>16</v>
      </c>
      <c r="C1165" t="s">
        <v>17</v>
      </c>
      <c r="D1165" t="s">
        <v>38</v>
      </c>
      <c r="E1165" t="s">
        <v>19</v>
      </c>
      <c r="F1165" t="s">
        <v>27</v>
      </c>
      <c r="O1165">
        <v>2044</v>
      </c>
      <c r="P1165">
        <v>1.5768</v>
      </c>
    </row>
    <row r="1166" spans="1:16" x14ac:dyDescent="0.3">
      <c r="A1166" t="str">
        <f t="shared" si="18"/>
        <v>PD|TotalCapacityAnnual|RE1|PWRLPG|2044</v>
      </c>
      <c r="B1166" t="s">
        <v>16</v>
      </c>
      <c r="C1166" t="s">
        <v>17</v>
      </c>
      <c r="D1166" t="s">
        <v>38</v>
      </c>
      <c r="E1166" t="s">
        <v>19</v>
      </c>
      <c r="F1166" t="s">
        <v>28</v>
      </c>
      <c r="O1166">
        <v>2044</v>
      </c>
      <c r="P1166">
        <v>1.639872</v>
      </c>
    </row>
    <row r="1167" spans="1:16" x14ac:dyDescent="0.3">
      <c r="A1167" t="str">
        <f t="shared" si="18"/>
        <v>PD|TotalCapacityAnnual|RE1|PWRNGS_CC|2044</v>
      </c>
      <c r="B1167" t="s">
        <v>16</v>
      </c>
      <c r="C1167" t="s">
        <v>17</v>
      </c>
      <c r="D1167" t="s">
        <v>38</v>
      </c>
      <c r="E1167" t="s">
        <v>19</v>
      </c>
      <c r="F1167" t="s">
        <v>29</v>
      </c>
      <c r="O1167">
        <v>2044</v>
      </c>
      <c r="P1167">
        <v>70.104500000000002</v>
      </c>
    </row>
    <row r="1168" spans="1:16" x14ac:dyDescent="0.3">
      <c r="A1168" t="str">
        <f t="shared" si="18"/>
        <v>PD|TotalCapacityAnnual|RE1|PWRNGS_CS|2044</v>
      </c>
      <c r="B1168" t="s">
        <v>16</v>
      </c>
      <c r="C1168" t="s">
        <v>17</v>
      </c>
      <c r="D1168" t="s">
        <v>38</v>
      </c>
      <c r="E1168" t="s">
        <v>19</v>
      </c>
      <c r="F1168" t="s">
        <v>30</v>
      </c>
      <c r="O1168">
        <v>2044</v>
      </c>
      <c r="P1168">
        <v>23.084351999999999</v>
      </c>
    </row>
    <row r="1169" spans="1:16" x14ac:dyDescent="0.3">
      <c r="A1169" t="str">
        <f t="shared" si="18"/>
        <v>PD|TotalCapacityAnnual|RE1|PWRSOLRTP|2044</v>
      </c>
      <c r="B1169" t="s">
        <v>16</v>
      </c>
      <c r="C1169" t="s">
        <v>17</v>
      </c>
      <c r="D1169" t="s">
        <v>38</v>
      </c>
      <c r="E1169" t="s">
        <v>19</v>
      </c>
      <c r="F1169" t="s">
        <v>31</v>
      </c>
      <c r="O1169">
        <v>2044</v>
      </c>
      <c r="P1169">
        <v>133.65180818008881</v>
      </c>
    </row>
    <row r="1170" spans="1:16" x14ac:dyDescent="0.3">
      <c r="A1170" t="str">
        <f t="shared" si="18"/>
        <v>PD|TotalCapacityAnnual|RE1|PWRSOLRTP_ZNI|2044</v>
      </c>
      <c r="B1170" t="s">
        <v>16</v>
      </c>
      <c r="C1170" t="s">
        <v>17</v>
      </c>
      <c r="D1170" t="s">
        <v>38</v>
      </c>
      <c r="E1170" t="s">
        <v>19</v>
      </c>
      <c r="F1170" t="s">
        <v>32</v>
      </c>
      <c r="O1170">
        <v>2044</v>
      </c>
      <c r="P1170">
        <v>1.3482492298090729</v>
      </c>
    </row>
    <row r="1171" spans="1:16" x14ac:dyDescent="0.3">
      <c r="A1171" t="str">
        <f t="shared" si="18"/>
        <v>PD|TotalCapacityAnnual|RE1|PWRSOLUGE|2044</v>
      </c>
      <c r="B1171" t="s">
        <v>16</v>
      </c>
      <c r="C1171" t="s">
        <v>17</v>
      </c>
      <c r="D1171" t="s">
        <v>38</v>
      </c>
      <c r="E1171" t="s">
        <v>19</v>
      </c>
      <c r="F1171" t="s">
        <v>33</v>
      </c>
      <c r="O1171">
        <v>2044</v>
      </c>
      <c r="P1171">
        <v>191.79186048</v>
      </c>
    </row>
    <row r="1172" spans="1:16" x14ac:dyDescent="0.3">
      <c r="A1172" t="str">
        <f t="shared" si="18"/>
        <v>PD|TotalCapacityAnnual|RE1|PWRSOLUPE|2044</v>
      </c>
      <c r="B1172" t="s">
        <v>16</v>
      </c>
      <c r="C1172" t="s">
        <v>17</v>
      </c>
      <c r="D1172" t="s">
        <v>38</v>
      </c>
      <c r="E1172" t="s">
        <v>19</v>
      </c>
      <c r="F1172" t="s">
        <v>34</v>
      </c>
      <c r="O1172">
        <v>2044</v>
      </c>
      <c r="P1172">
        <v>39.172600079999931</v>
      </c>
    </row>
    <row r="1173" spans="1:16" x14ac:dyDescent="0.3">
      <c r="A1173" t="str">
        <f t="shared" si="18"/>
        <v>PD|TotalCapacityAnnual|RE1|PWRSTD|2044</v>
      </c>
      <c r="B1173" t="s">
        <v>16</v>
      </c>
      <c r="C1173" t="s">
        <v>17</v>
      </c>
      <c r="D1173" t="s">
        <v>38</v>
      </c>
      <c r="E1173" t="s">
        <v>19</v>
      </c>
      <c r="F1173" t="s">
        <v>35</v>
      </c>
      <c r="O1173">
        <v>2044</v>
      </c>
      <c r="P1173">
        <v>8.163062064</v>
      </c>
    </row>
    <row r="1174" spans="1:16" x14ac:dyDescent="0.3">
      <c r="A1174" t="str">
        <f t="shared" si="18"/>
        <v>PD|TotalCapacityAnnual|RE1|PWRWNDONS|2044</v>
      </c>
      <c r="B1174" t="s">
        <v>16</v>
      </c>
      <c r="C1174" t="s">
        <v>17</v>
      </c>
      <c r="D1174" t="s">
        <v>38</v>
      </c>
      <c r="E1174" t="s">
        <v>19</v>
      </c>
      <c r="F1174" t="s">
        <v>36</v>
      </c>
      <c r="O1174">
        <v>2044</v>
      </c>
      <c r="P1174">
        <v>279.49876323100028</v>
      </c>
    </row>
    <row r="1175" spans="1:16" x14ac:dyDescent="0.3">
      <c r="A1175" t="str">
        <f t="shared" si="18"/>
        <v>PD|AccumulatedNewCapacity|RE1|PWRBGS|2045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O1175">
        <v>2045</v>
      </c>
    </row>
    <row r="1176" spans="1:16" x14ac:dyDescent="0.3">
      <c r="A1176" t="str">
        <f t="shared" si="18"/>
        <v>PD|AccumulatedNewCapacity|RE1|PWRCOA|2045</v>
      </c>
      <c r="B1176" t="s">
        <v>16</v>
      </c>
      <c r="C1176" t="s">
        <v>17</v>
      </c>
      <c r="D1176" t="s">
        <v>18</v>
      </c>
      <c r="E1176" t="s">
        <v>19</v>
      </c>
      <c r="F1176" t="s">
        <v>21</v>
      </c>
      <c r="O1176">
        <v>2045</v>
      </c>
    </row>
    <row r="1177" spans="1:16" x14ac:dyDescent="0.3">
      <c r="A1177" t="str">
        <f t="shared" si="18"/>
        <v>PD|AccumulatedNewCapacity|RE1|PWRDSL|2045</v>
      </c>
      <c r="B1177" t="s">
        <v>16</v>
      </c>
      <c r="C1177" t="s">
        <v>17</v>
      </c>
      <c r="D1177" t="s">
        <v>18</v>
      </c>
      <c r="E1177" t="s">
        <v>19</v>
      </c>
      <c r="F1177" t="s">
        <v>22</v>
      </c>
      <c r="O1177">
        <v>2045</v>
      </c>
    </row>
    <row r="1178" spans="1:16" x14ac:dyDescent="0.3">
      <c r="A1178" t="str">
        <f t="shared" si="18"/>
        <v>PD|AccumulatedNewCapacity|RE1|PWRFOL|2045</v>
      </c>
      <c r="B1178" t="s">
        <v>16</v>
      </c>
      <c r="C1178" t="s">
        <v>17</v>
      </c>
      <c r="D1178" t="s">
        <v>18</v>
      </c>
      <c r="E1178" t="s">
        <v>19</v>
      </c>
      <c r="F1178" t="s">
        <v>23</v>
      </c>
      <c r="O1178">
        <v>2045</v>
      </c>
    </row>
    <row r="1179" spans="1:16" x14ac:dyDescent="0.3">
      <c r="A1179" t="str">
        <f t="shared" si="18"/>
        <v>PD|AccumulatedNewCapacity|RE1|PWRHYDDAM|2045</v>
      </c>
      <c r="B1179" t="s">
        <v>16</v>
      </c>
      <c r="C1179" t="s">
        <v>17</v>
      </c>
      <c r="D1179" t="s">
        <v>18</v>
      </c>
      <c r="E1179" t="s">
        <v>19</v>
      </c>
      <c r="F1179" t="s">
        <v>24</v>
      </c>
      <c r="O1179">
        <v>2045</v>
      </c>
      <c r="P1179">
        <v>37.840000000000003</v>
      </c>
    </row>
    <row r="1180" spans="1:16" x14ac:dyDescent="0.3">
      <c r="A1180" t="str">
        <f t="shared" si="18"/>
        <v>PD|AccumulatedNewCapacity|RE1|PWRHYDROR|2045</v>
      </c>
      <c r="B1180" t="s">
        <v>16</v>
      </c>
      <c r="C1180" t="s">
        <v>17</v>
      </c>
      <c r="D1180" t="s">
        <v>18</v>
      </c>
      <c r="E1180" t="s">
        <v>19</v>
      </c>
      <c r="F1180" t="s">
        <v>25</v>
      </c>
      <c r="O1180">
        <v>2045</v>
      </c>
    </row>
    <row r="1181" spans="1:16" x14ac:dyDescent="0.3">
      <c r="A1181" t="str">
        <f t="shared" si="18"/>
        <v>PD|AccumulatedNewCapacity|RE1|PWRHYDROR_NDC|2045</v>
      </c>
      <c r="B1181" t="s">
        <v>16</v>
      </c>
      <c r="C1181" t="s">
        <v>17</v>
      </c>
      <c r="D1181" t="s">
        <v>18</v>
      </c>
      <c r="E1181" t="s">
        <v>19</v>
      </c>
      <c r="F1181" t="s">
        <v>26</v>
      </c>
      <c r="O1181">
        <v>2045</v>
      </c>
    </row>
    <row r="1182" spans="1:16" x14ac:dyDescent="0.3">
      <c r="A1182" t="str">
        <f t="shared" si="18"/>
        <v>PD|AccumulatedNewCapacity|RE1|PWRJET|2045</v>
      </c>
      <c r="B1182" t="s">
        <v>16</v>
      </c>
      <c r="C1182" t="s">
        <v>17</v>
      </c>
      <c r="D1182" t="s">
        <v>18</v>
      </c>
      <c r="E1182" t="s">
        <v>19</v>
      </c>
      <c r="F1182" t="s">
        <v>27</v>
      </c>
      <c r="O1182">
        <v>2045</v>
      </c>
    </row>
    <row r="1183" spans="1:16" x14ac:dyDescent="0.3">
      <c r="A1183" t="str">
        <f t="shared" si="18"/>
        <v>PD|AccumulatedNewCapacity|RE1|PWRLPG|2045</v>
      </c>
      <c r="B1183" t="s">
        <v>16</v>
      </c>
      <c r="C1183" t="s">
        <v>17</v>
      </c>
      <c r="D1183" t="s">
        <v>18</v>
      </c>
      <c r="E1183" t="s">
        <v>19</v>
      </c>
      <c r="F1183" t="s">
        <v>28</v>
      </c>
      <c r="O1183">
        <v>2045</v>
      </c>
    </row>
    <row r="1184" spans="1:16" x14ac:dyDescent="0.3">
      <c r="A1184" t="str">
        <f t="shared" si="18"/>
        <v>PD|AccumulatedNewCapacity|RE1|PWRNGS_CC|2045</v>
      </c>
      <c r="B1184" t="s">
        <v>16</v>
      </c>
      <c r="C1184" t="s">
        <v>17</v>
      </c>
      <c r="D1184" t="s">
        <v>18</v>
      </c>
      <c r="E1184" t="s">
        <v>19</v>
      </c>
      <c r="F1184" t="s">
        <v>29</v>
      </c>
      <c r="O1184">
        <v>2045</v>
      </c>
    </row>
    <row r="1185" spans="1:16" x14ac:dyDescent="0.3">
      <c r="A1185" t="str">
        <f t="shared" si="18"/>
        <v>PD|AccumulatedNewCapacity|RE1|PWRNGS_CS|2045</v>
      </c>
      <c r="B1185" t="s">
        <v>16</v>
      </c>
      <c r="C1185" t="s">
        <v>17</v>
      </c>
      <c r="D1185" t="s">
        <v>18</v>
      </c>
      <c r="E1185" t="s">
        <v>19</v>
      </c>
      <c r="F1185" t="s">
        <v>30</v>
      </c>
      <c r="O1185">
        <v>2045</v>
      </c>
    </row>
    <row r="1186" spans="1:16" x14ac:dyDescent="0.3">
      <c r="A1186" t="str">
        <f t="shared" si="18"/>
        <v>PD|AccumulatedNewCapacity|RE1|PWRSOLRTP|2045</v>
      </c>
      <c r="B1186" t="s">
        <v>16</v>
      </c>
      <c r="C1186" t="s">
        <v>17</v>
      </c>
      <c r="D1186" t="s">
        <v>18</v>
      </c>
      <c r="E1186" t="s">
        <v>19</v>
      </c>
      <c r="F1186" t="s">
        <v>31</v>
      </c>
      <c r="O1186">
        <v>2045</v>
      </c>
      <c r="P1186">
        <v>112.21906785034879</v>
      </c>
    </row>
    <row r="1187" spans="1:16" x14ac:dyDescent="0.3">
      <c r="A1187" t="str">
        <f t="shared" si="18"/>
        <v>PD|AccumulatedNewCapacity|RE1|PWRSOLRTP_ZNI|2045</v>
      </c>
      <c r="B1187" t="s">
        <v>16</v>
      </c>
      <c r="C1187" t="s">
        <v>17</v>
      </c>
      <c r="D1187" t="s">
        <v>18</v>
      </c>
      <c r="E1187" t="s">
        <v>19</v>
      </c>
      <c r="F1187" t="s">
        <v>32</v>
      </c>
      <c r="O1187">
        <v>2045</v>
      </c>
      <c r="P1187">
        <v>0.88750826980907294</v>
      </c>
    </row>
    <row r="1188" spans="1:16" x14ac:dyDescent="0.3">
      <c r="A1188" t="str">
        <f t="shared" si="18"/>
        <v>PD|AccumulatedNewCapacity|RE1|PWRSOLUGE|2045</v>
      </c>
      <c r="B1188" t="s">
        <v>16</v>
      </c>
      <c r="C1188" t="s">
        <v>17</v>
      </c>
      <c r="D1188" t="s">
        <v>18</v>
      </c>
      <c r="E1188" t="s">
        <v>19</v>
      </c>
      <c r="F1188" t="s">
        <v>33</v>
      </c>
      <c r="O1188">
        <v>2045</v>
      </c>
      <c r="P1188">
        <v>143.394192</v>
      </c>
    </row>
    <row r="1189" spans="1:16" x14ac:dyDescent="0.3">
      <c r="A1189" t="str">
        <f t="shared" si="18"/>
        <v>PD|AccumulatedNewCapacity|RE1|PWRSOLUPE|2045</v>
      </c>
      <c r="B1189" t="s">
        <v>16</v>
      </c>
      <c r="C1189" t="s">
        <v>17</v>
      </c>
      <c r="D1189" t="s">
        <v>18</v>
      </c>
      <c r="E1189" t="s">
        <v>19</v>
      </c>
      <c r="F1189" t="s">
        <v>34</v>
      </c>
      <c r="O1189">
        <v>2045</v>
      </c>
      <c r="P1189">
        <v>12.14419823999993</v>
      </c>
    </row>
    <row r="1190" spans="1:16" x14ac:dyDescent="0.3">
      <c r="A1190" t="str">
        <f t="shared" si="18"/>
        <v>PD|AccumulatedNewCapacity|RE1|PWRSTD|2045</v>
      </c>
      <c r="B1190" t="s">
        <v>16</v>
      </c>
      <c r="C1190" t="s">
        <v>17</v>
      </c>
      <c r="D1190" t="s">
        <v>18</v>
      </c>
      <c r="E1190" t="s">
        <v>19</v>
      </c>
      <c r="F1190" t="s">
        <v>35</v>
      </c>
      <c r="O1190">
        <v>2045</v>
      </c>
    </row>
    <row r="1191" spans="1:16" x14ac:dyDescent="0.3">
      <c r="A1191" t="str">
        <f t="shared" si="18"/>
        <v>PD|AccumulatedNewCapacity|RE1|PWRWNDONS|2045</v>
      </c>
      <c r="B1191" t="s">
        <v>16</v>
      </c>
      <c r="C1191" t="s">
        <v>17</v>
      </c>
      <c r="D1191" t="s">
        <v>18</v>
      </c>
      <c r="E1191" t="s">
        <v>19</v>
      </c>
      <c r="F1191" t="s">
        <v>36</v>
      </c>
      <c r="O1191">
        <v>2045</v>
      </c>
      <c r="P1191">
        <v>297.11073660181569</v>
      </c>
    </row>
    <row r="1192" spans="1:16" x14ac:dyDescent="0.3">
      <c r="A1192" t="str">
        <f t="shared" si="18"/>
        <v>PD|NewCapacity|RE1|PWRBGS|2045</v>
      </c>
      <c r="B1192" t="s">
        <v>16</v>
      </c>
      <c r="C1192" t="s">
        <v>17</v>
      </c>
      <c r="D1192" t="s">
        <v>37</v>
      </c>
      <c r="E1192" t="s">
        <v>19</v>
      </c>
      <c r="F1192" t="s">
        <v>20</v>
      </c>
      <c r="O1192">
        <v>2045</v>
      </c>
    </row>
    <row r="1193" spans="1:16" x14ac:dyDescent="0.3">
      <c r="A1193" t="str">
        <f t="shared" si="18"/>
        <v>PD|NewCapacity|RE1|PWRCOA|2045</v>
      </c>
      <c r="B1193" t="s">
        <v>16</v>
      </c>
      <c r="C1193" t="s">
        <v>17</v>
      </c>
      <c r="D1193" t="s">
        <v>37</v>
      </c>
      <c r="E1193" t="s">
        <v>19</v>
      </c>
      <c r="F1193" t="s">
        <v>21</v>
      </c>
      <c r="O1193">
        <v>2045</v>
      </c>
    </row>
    <row r="1194" spans="1:16" x14ac:dyDescent="0.3">
      <c r="A1194" t="str">
        <f t="shared" si="18"/>
        <v>PD|NewCapacity|RE1|PWRDSL|2045</v>
      </c>
      <c r="B1194" t="s">
        <v>16</v>
      </c>
      <c r="C1194" t="s">
        <v>17</v>
      </c>
      <c r="D1194" t="s">
        <v>37</v>
      </c>
      <c r="E1194" t="s">
        <v>19</v>
      </c>
      <c r="F1194" t="s">
        <v>22</v>
      </c>
      <c r="O1194">
        <v>2045</v>
      </c>
    </row>
    <row r="1195" spans="1:16" x14ac:dyDescent="0.3">
      <c r="A1195" t="str">
        <f t="shared" si="18"/>
        <v>PD|NewCapacity|RE1|PWRFOL|2045</v>
      </c>
      <c r="B1195" t="s">
        <v>16</v>
      </c>
      <c r="C1195" t="s">
        <v>17</v>
      </c>
      <c r="D1195" t="s">
        <v>37</v>
      </c>
      <c r="E1195" t="s">
        <v>19</v>
      </c>
      <c r="F1195" t="s">
        <v>23</v>
      </c>
      <c r="O1195">
        <v>2045</v>
      </c>
    </row>
    <row r="1196" spans="1:16" x14ac:dyDescent="0.3">
      <c r="A1196" t="str">
        <f t="shared" si="18"/>
        <v>PD|NewCapacity|RE1|PWRHYDDAM|2045</v>
      </c>
      <c r="B1196" t="s">
        <v>16</v>
      </c>
      <c r="C1196" t="s">
        <v>17</v>
      </c>
      <c r="D1196" t="s">
        <v>37</v>
      </c>
      <c r="E1196" t="s">
        <v>19</v>
      </c>
      <c r="F1196" t="s">
        <v>24</v>
      </c>
      <c r="O1196">
        <v>2045</v>
      </c>
    </row>
    <row r="1197" spans="1:16" x14ac:dyDescent="0.3">
      <c r="A1197" t="str">
        <f t="shared" si="18"/>
        <v>PD|NewCapacity|RE1|PWRHYDROR|2045</v>
      </c>
      <c r="B1197" t="s">
        <v>16</v>
      </c>
      <c r="C1197" t="s">
        <v>17</v>
      </c>
      <c r="D1197" t="s">
        <v>37</v>
      </c>
      <c r="E1197" t="s">
        <v>19</v>
      </c>
      <c r="F1197" t="s">
        <v>25</v>
      </c>
      <c r="O1197">
        <v>2045</v>
      </c>
    </row>
    <row r="1198" spans="1:16" x14ac:dyDescent="0.3">
      <c r="A1198" t="str">
        <f t="shared" si="18"/>
        <v>PD|NewCapacity|RE1|PWRHYDROR_NDC|2045</v>
      </c>
      <c r="B1198" t="s">
        <v>16</v>
      </c>
      <c r="C1198" t="s">
        <v>17</v>
      </c>
      <c r="D1198" t="s">
        <v>37</v>
      </c>
      <c r="E1198" t="s">
        <v>19</v>
      </c>
      <c r="F1198" t="s">
        <v>26</v>
      </c>
      <c r="O1198">
        <v>2045</v>
      </c>
    </row>
    <row r="1199" spans="1:16" x14ac:dyDescent="0.3">
      <c r="A1199" t="str">
        <f t="shared" si="18"/>
        <v>PD|NewCapacity|RE1|PWRJET|2045</v>
      </c>
      <c r="B1199" t="s">
        <v>16</v>
      </c>
      <c r="C1199" t="s">
        <v>17</v>
      </c>
      <c r="D1199" t="s">
        <v>37</v>
      </c>
      <c r="E1199" t="s">
        <v>19</v>
      </c>
      <c r="F1199" t="s">
        <v>27</v>
      </c>
      <c r="O1199">
        <v>2045</v>
      </c>
    </row>
    <row r="1200" spans="1:16" x14ac:dyDescent="0.3">
      <c r="A1200" t="str">
        <f t="shared" si="18"/>
        <v>PD|NewCapacity|RE1|PWRLPG|2045</v>
      </c>
      <c r="B1200" t="s">
        <v>16</v>
      </c>
      <c r="C1200" t="s">
        <v>17</v>
      </c>
      <c r="D1200" t="s">
        <v>37</v>
      </c>
      <c r="E1200" t="s">
        <v>19</v>
      </c>
      <c r="F1200" t="s">
        <v>28</v>
      </c>
      <c r="O1200">
        <v>2045</v>
      </c>
    </row>
    <row r="1201" spans="1:16" x14ac:dyDescent="0.3">
      <c r="A1201" t="str">
        <f t="shared" si="18"/>
        <v>PD|NewCapacity|RE1|PWRNGS_CC|2045</v>
      </c>
      <c r="B1201" t="s">
        <v>16</v>
      </c>
      <c r="C1201" t="s">
        <v>17</v>
      </c>
      <c r="D1201" t="s">
        <v>37</v>
      </c>
      <c r="E1201" t="s">
        <v>19</v>
      </c>
      <c r="F1201" t="s">
        <v>29</v>
      </c>
      <c r="O1201">
        <v>2045</v>
      </c>
    </row>
    <row r="1202" spans="1:16" x14ac:dyDescent="0.3">
      <c r="A1202" t="str">
        <f t="shared" si="18"/>
        <v>PD|NewCapacity|RE1|PWRNGS_CS|2045</v>
      </c>
      <c r="B1202" t="s">
        <v>16</v>
      </c>
      <c r="C1202" t="s">
        <v>17</v>
      </c>
      <c r="D1202" t="s">
        <v>37</v>
      </c>
      <c r="E1202" t="s">
        <v>19</v>
      </c>
      <c r="F1202" t="s">
        <v>30</v>
      </c>
      <c r="O1202">
        <v>2045</v>
      </c>
    </row>
    <row r="1203" spans="1:16" x14ac:dyDescent="0.3">
      <c r="A1203" t="str">
        <f t="shared" si="18"/>
        <v>PD|NewCapacity|RE1|PWRSOLRTP|2045</v>
      </c>
      <c r="B1203" t="s">
        <v>16</v>
      </c>
      <c r="C1203" t="s">
        <v>17</v>
      </c>
      <c r="D1203" t="s">
        <v>37</v>
      </c>
      <c r="E1203" t="s">
        <v>19</v>
      </c>
      <c r="F1203" t="s">
        <v>31</v>
      </c>
      <c r="O1203">
        <v>2045</v>
      </c>
      <c r="P1203">
        <v>1.426759670259987</v>
      </c>
    </row>
    <row r="1204" spans="1:16" x14ac:dyDescent="0.3">
      <c r="A1204" t="str">
        <f t="shared" si="18"/>
        <v>PD|NewCapacity|RE1|PWRSOLRTP_ZNI|2045</v>
      </c>
      <c r="B1204" t="s">
        <v>16</v>
      </c>
      <c r="C1204" t="s">
        <v>17</v>
      </c>
      <c r="D1204" t="s">
        <v>37</v>
      </c>
      <c r="E1204" t="s">
        <v>19</v>
      </c>
      <c r="F1204" t="s">
        <v>32</v>
      </c>
      <c r="O1204">
        <v>2045</v>
      </c>
    </row>
    <row r="1205" spans="1:16" x14ac:dyDescent="0.3">
      <c r="A1205" t="str">
        <f t="shared" si="18"/>
        <v>PD|NewCapacity|RE1|PWRSOLUGE|2045</v>
      </c>
      <c r="B1205" t="s">
        <v>16</v>
      </c>
      <c r="C1205" t="s">
        <v>17</v>
      </c>
      <c r="D1205" t="s">
        <v>37</v>
      </c>
      <c r="E1205" t="s">
        <v>19</v>
      </c>
      <c r="F1205" t="s">
        <v>33</v>
      </c>
      <c r="O1205">
        <v>2045</v>
      </c>
    </row>
    <row r="1206" spans="1:16" x14ac:dyDescent="0.3">
      <c r="A1206" t="str">
        <f t="shared" si="18"/>
        <v>PD|NewCapacity|RE1|PWRSOLUPE|2045</v>
      </c>
      <c r="B1206" t="s">
        <v>16</v>
      </c>
      <c r="C1206" t="s">
        <v>17</v>
      </c>
      <c r="D1206" t="s">
        <v>37</v>
      </c>
      <c r="E1206" t="s">
        <v>19</v>
      </c>
      <c r="F1206" t="s">
        <v>34</v>
      </c>
      <c r="O1206">
        <v>2045</v>
      </c>
    </row>
    <row r="1207" spans="1:16" x14ac:dyDescent="0.3">
      <c r="A1207" t="str">
        <f t="shared" si="18"/>
        <v>PD|NewCapacity|RE1|PWRSTD|2045</v>
      </c>
      <c r="B1207" t="s">
        <v>16</v>
      </c>
      <c r="C1207" t="s">
        <v>17</v>
      </c>
      <c r="D1207" t="s">
        <v>37</v>
      </c>
      <c r="E1207" t="s">
        <v>19</v>
      </c>
      <c r="F1207" t="s">
        <v>35</v>
      </c>
      <c r="O1207">
        <v>2045</v>
      </c>
    </row>
    <row r="1208" spans="1:16" x14ac:dyDescent="0.3">
      <c r="A1208" t="str">
        <f t="shared" si="18"/>
        <v>PD|NewCapacity|RE1|PWRWNDONS|2045</v>
      </c>
      <c r="B1208" t="s">
        <v>16</v>
      </c>
      <c r="C1208" t="s">
        <v>17</v>
      </c>
      <c r="D1208" t="s">
        <v>37</v>
      </c>
      <c r="E1208" t="s">
        <v>19</v>
      </c>
      <c r="F1208" t="s">
        <v>36</v>
      </c>
      <c r="O1208">
        <v>2045</v>
      </c>
      <c r="P1208">
        <v>18.980635770815471</v>
      </c>
    </row>
    <row r="1209" spans="1:16" x14ac:dyDescent="0.3">
      <c r="A1209" t="str">
        <f t="shared" si="18"/>
        <v>PD|TotalCapacityAnnual|RE1|PWRBGS|2045</v>
      </c>
      <c r="B1209" t="s">
        <v>16</v>
      </c>
      <c r="C1209" t="s">
        <v>17</v>
      </c>
      <c r="D1209" t="s">
        <v>38</v>
      </c>
      <c r="E1209" t="s">
        <v>19</v>
      </c>
      <c r="F1209" t="s">
        <v>20</v>
      </c>
      <c r="O1209">
        <v>2045</v>
      </c>
      <c r="P1209">
        <v>2.5488587520000001E-2</v>
      </c>
    </row>
    <row r="1210" spans="1:16" x14ac:dyDescent="0.3">
      <c r="A1210" t="str">
        <f t="shared" si="18"/>
        <v>PD|TotalCapacityAnnual|RE1|PWRCOA|2045</v>
      </c>
      <c r="B1210" t="s">
        <v>16</v>
      </c>
      <c r="C1210" t="s">
        <v>17</v>
      </c>
      <c r="D1210" t="s">
        <v>38</v>
      </c>
      <c r="E1210" t="s">
        <v>19</v>
      </c>
      <c r="F1210" t="s">
        <v>21</v>
      </c>
      <c r="O1210">
        <v>2045</v>
      </c>
    </row>
    <row r="1211" spans="1:16" x14ac:dyDescent="0.3">
      <c r="A1211" t="str">
        <f t="shared" si="18"/>
        <v>PD|TotalCapacityAnnual|RE1|PWRDSL|2045</v>
      </c>
      <c r="B1211" t="s">
        <v>16</v>
      </c>
      <c r="C1211" t="s">
        <v>17</v>
      </c>
      <c r="D1211" t="s">
        <v>38</v>
      </c>
      <c r="E1211" t="s">
        <v>19</v>
      </c>
      <c r="F1211" t="s">
        <v>22</v>
      </c>
      <c r="O1211">
        <v>2045</v>
      </c>
      <c r="P1211">
        <v>24.944976</v>
      </c>
    </row>
    <row r="1212" spans="1:16" x14ac:dyDescent="0.3">
      <c r="A1212" t="str">
        <f t="shared" si="18"/>
        <v>PD|TotalCapacityAnnual|RE1|PWRFOL|2045</v>
      </c>
      <c r="B1212" t="s">
        <v>16</v>
      </c>
      <c r="C1212" t="s">
        <v>17</v>
      </c>
      <c r="D1212" t="s">
        <v>38</v>
      </c>
      <c r="E1212" t="s">
        <v>19</v>
      </c>
      <c r="F1212" t="s">
        <v>23</v>
      </c>
      <c r="O1212">
        <v>2045</v>
      </c>
      <c r="P1212">
        <v>8.3885759999999987</v>
      </c>
    </row>
    <row r="1213" spans="1:16" x14ac:dyDescent="0.3">
      <c r="A1213" t="str">
        <f t="shared" si="18"/>
        <v>PD|TotalCapacityAnnual|RE1|PWRHYDDAM|2045</v>
      </c>
      <c r="B1213" t="s">
        <v>16</v>
      </c>
      <c r="C1213" t="s">
        <v>17</v>
      </c>
      <c r="D1213" t="s">
        <v>38</v>
      </c>
      <c r="E1213" t="s">
        <v>19</v>
      </c>
      <c r="F1213" t="s">
        <v>24</v>
      </c>
      <c r="O1213">
        <v>2045</v>
      </c>
      <c r="P1213">
        <v>440.49164800000011</v>
      </c>
    </row>
    <row r="1214" spans="1:16" x14ac:dyDescent="0.3">
      <c r="A1214" t="str">
        <f t="shared" si="18"/>
        <v>PD|TotalCapacityAnnual|RE1|PWRHYDROR|2045</v>
      </c>
      <c r="B1214" t="s">
        <v>16</v>
      </c>
      <c r="C1214" t="s">
        <v>17</v>
      </c>
      <c r="D1214" t="s">
        <v>38</v>
      </c>
      <c r="E1214" t="s">
        <v>19</v>
      </c>
      <c r="F1214" t="s">
        <v>25</v>
      </c>
      <c r="O1214">
        <v>2045</v>
      </c>
      <c r="P1214">
        <v>21.097584000000001</v>
      </c>
    </row>
    <row r="1215" spans="1:16" x14ac:dyDescent="0.3">
      <c r="A1215" t="str">
        <f t="shared" si="18"/>
        <v>PD|TotalCapacityAnnual|RE1|PWRHYDROR_NDC|2045</v>
      </c>
      <c r="B1215" t="s">
        <v>16</v>
      </c>
      <c r="C1215" t="s">
        <v>17</v>
      </c>
      <c r="D1215" t="s">
        <v>38</v>
      </c>
      <c r="E1215" t="s">
        <v>19</v>
      </c>
      <c r="F1215" t="s">
        <v>26</v>
      </c>
      <c r="O1215">
        <v>2045</v>
      </c>
      <c r="P1215">
        <v>29.725108271999989</v>
      </c>
    </row>
    <row r="1216" spans="1:16" x14ac:dyDescent="0.3">
      <c r="A1216" t="str">
        <f t="shared" si="18"/>
        <v>PD|TotalCapacityAnnual|RE1|PWRJET|2045</v>
      </c>
      <c r="B1216" t="s">
        <v>16</v>
      </c>
      <c r="C1216" t="s">
        <v>17</v>
      </c>
      <c r="D1216" t="s">
        <v>38</v>
      </c>
      <c r="E1216" t="s">
        <v>19</v>
      </c>
      <c r="F1216" t="s">
        <v>27</v>
      </c>
      <c r="O1216">
        <v>2045</v>
      </c>
      <c r="P1216">
        <v>1.5768</v>
      </c>
    </row>
    <row r="1217" spans="1:16" x14ac:dyDescent="0.3">
      <c r="A1217" t="str">
        <f t="shared" si="18"/>
        <v>PD|TotalCapacityAnnual|RE1|PWRLPG|2045</v>
      </c>
      <c r="B1217" t="s">
        <v>16</v>
      </c>
      <c r="C1217" t="s">
        <v>17</v>
      </c>
      <c r="D1217" t="s">
        <v>38</v>
      </c>
      <c r="E1217" t="s">
        <v>19</v>
      </c>
      <c r="F1217" t="s">
        <v>28</v>
      </c>
      <c r="O1217">
        <v>2045</v>
      </c>
      <c r="P1217">
        <v>1.639872</v>
      </c>
    </row>
    <row r="1218" spans="1:16" x14ac:dyDescent="0.3">
      <c r="A1218" t="str">
        <f t="shared" ref="A1218:A1281" si="19">B1218&amp;"|"&amp;D1218&amp;"|"&amp;E1218&amp;"|"&amp;F1218&amp;"|"&amp;O1218</f>
        <v>PD|TotalCapacityAnnual|RE1|PWRNGS_CC|2045</v>
      </c>
      <c r="B1218" t="s">
        <v>16</v>
      </c>
      <c r="C1218" t="s">
        <v>17</v>
      </c>
      <c r="D1218" t="s">
        <v>38</v>
      </c>
      <c r="E1218" t="s">
        <v>19</v>
      </c>
      <c r="F1218" t="s">
        <v>29</v>
      </c>
      <c r="O1218">
        <v>2045</v>
      </c>
      <c r="P1218">
        <v>70.104500000000002</v>
      </c>
    </row>
    <row r="1219" spans="1:16" x14ac:dyDescent="0.3">
      <c r="A1219" t="str">
        <f t="shared" si="19"/>
        <v>PD|TotalCapacityAnnual|RE1|PWRNGS_CS|2045</v>
      </c>
      <c r="B1219" t="s">
        <v>16</v>
      </c>
      <c r="C1219" t="s">
        <v>17</v>
      </c>
      <c r="D1219" t="s">
        <v>38</v>
      </c>
      <c r="E1219" t="s">
        <v>19</v>
      </c>
      <c r="F1219" t="s">
        <v>30</v>
      </c>
      <c r="O1219">
        <v>2045</v>
      </c>
      <c r="P1219">
        <v>23.084351999999999</v>
      </c>
    </row>
    <row r="1220" spans="1:16" x14ac:dyDescent="0.3">
      <c r="A1220" t="str">
        <f t="shared" si="19"/>
        <v>PD|TotalCapacityAnnual|RE1|PWRSOLRTP|2045</v>
      </c>
      <c r="B1220" t="s">
        <v>16</v>
      </c>
      <c r="C1220" t="s">
        <v>17</v>
      </c>
      <c r="D1220" t="s">
        <v>38</v>
      </c>
      <c r="E1220" t="s">
        <v>19</v>
      </c>
      <c r="F1220" t="s">
        <v>31</v>
      </c>
      <c r="O1220">
        <v>2045</v>
      </c>
      <c r="P1220">
        <v>134.5380678503488</v>
      </c>
    </row>
    <row r="1221" spans="1:16" x14ac:dyDescent="0.3">
      <c r="A1221" t="str">
        <f t="shared" si="19"/>
        <v>PD|TotalCapacityAnnual|RE1|PWRSOLRTP_ZNI|2045</v>
      </c>
      <c r="B1221" t="s">
        <v>16</v>
      </c>
      <c r="C1221" t="s">
        <v>17</v>
      </c>
      <c r="D1221" t="s">
        <v>38</v>
      </c>
      <c r="E1221" t="s">
        <v>19</v>
      </c>
      <c r="F1221" t="s">
        <v>32</v>
      </c>
      <c r="O1221">
        <v>2045</v>
      </c>
      <c r="P1221">
        <v>1.3482492298090729</v>
      </c>
    </row>
    <row r="1222" spans="1:16" x14ac:dyDescent="0.3">
      <c r="A1222" t="str">
        <f t="shared" si="19"/>
        <v>PD|TotalCapacityAnnual|RE1|PWRSOLUGE|2045</v>
      </c>
      <c r="B1222" t="s">
        <v>16</v>
      </c>
      <c r="C1222" t="s">
        <v>17</v>
      </c>
      <c r="D1222" t="s">
        <v>38</v>
      </c>
      <c r="E1222" t="s">
        <v>19</v>
      </c>
      <c r="F1222" t="s">
        <v>33</v>
      </c>
      <c r="O1222">
        <v>2045</v>
      </c>
      <c r="P1222">
        <v>191.79189199999999</v>
      </c>
    </row>
    <row r="1223" spans="1:16" x14ac:dyDescent="0.3">
      <c r="A1223" t="str">
        <f t="shared" si="19"/>
        <v>PD|TotalCapacityAnnual|RE1|PWRSOLUPE|2045</v>
      </c>
      <c r="B1223" t="s">
        <v>16</v>
      </c>
      <c r="C1223" t="s">
        <v>17</v>
      </c>
      <c r="D1223" t="s">
        <v>38</v>
      </c>
      <c r="E1223" t="s">
        <v>19</v>
      </c>
      <c r="F1223" t="s">
        <v>34</v>
      </c>
      <c r="O1223">
        <v>2045</v>
      </c>
      <c r="P1223">
        <v>12.14419823999993</v>
      </c>
    </row>
    <row r="1224" spans="1:16" x14ac:dyDescent="0.3">
      <c r="A1224" t="str">
        <f t="shared" si="19"/>
        <v>PD|TotalCapacityAnnual|RE1|PWRSTD|2045</v>
      </c>
      <c r="B1224" t="s">
        <v>16</v>
      </c>
      <c r="C1224" t="s">
        <v>17</v>
      </c>
      <c r="D1224" t="s">
        <v>38</v>
      </c>
      <c r="E1224" t="s">
        <v>19</v>
      </c>
      <c r="F1224" t="s">
        <v>35</v>
      </c>
      <c r="O1224">
        <v>2045</v>
      </c>
      <c r="P1224">
        <v>8.163062064</v>
      </c>
    </row>
    <row r="1225" spans="1:16" x14ac:dyDescent="0.3">
      <c r="A1225" t="str">
        <f t="shared" si="19"/>
        <v>PD|TotalCapacityAnnual|RE1|PWRWNDONS|2045</v>
      </c>
      <c r="B1225" t="s">
        <v>16</v>
      </c>
      <c r="C1225" t="s">
        <v>17</v>
      </c>
      <c r="D1225" t="s">
        <v>38</v>
      </c>
      <c r="E1225" t="s">
        <v>19</v>
      </c>
      <c r="F1225" t="s">
        <v>36</v>
      </c>
      <c r="O1225">
        <v>2045</v>
      </c>
      <c r="P1225">
        <v>298.47939900181581</v>
      </c>
    </row>
    <row r="1226" spans="1:16" x14ac:dyDescent="0.3">
      <c r="A1226" t="str">
        <f t="shared" si="19"/>
        <v>PD|AccumulatedNewCapacity|RE1|PWRBGS|2046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O1226">
        <v>2046</v>
      </c>
    </row>
    <row r="1227" spans="1:16" x14ac:dyDescent="0.3">
      <c r="A1227" t="str">
        <f t="shared" si="19"/>
        <v>PD|AccumulatedNewCapacity|RE1|PWRCOA|2046</v>
      </c>
      <c r="B1227" t="s">
        <v>16</v>
      </c>
      <c r="C1227" t="s">
        <v>17</v>
      </c>
      <c r="D1227" t="s">
        <v>18</v>
      </c>
      <c r="E1227" t="s">
        <v>19</v>
      </c>
      <c r="F1227" t="s">
        <v>21</v>
      </c>
      <c r="O1227">
        <v>2046</v>
      </c>
    </row>
    <row r="1228" spans="1:16" x14ac:dyDescent="0.3">
      <c r="A1228" t="str">
        <f t="shared" si="19"/>
        <v>PD|AccumulatedNewCapacity|RE1|PWRDSL|2046</v>
      </c>
      <c r="B1228" t="s">
        <v>16</v>
      </c>
      <c r="C1228" t="s">
        <v>17</v>
      </c>
      <c r="D1228" t="s">
        <v>18</v>
      </c>
      <c r="E1228" t="s">
        <v>19</v>
      </c>
      <c r="F1228" t="s">
        <v>22</v>
      </c>
      <c r="O1228">
        <v>2046</v>
      </c>
    </row>
    <row r="1229" spans="1:16" x14ac:dyDescent="0.3">
      <c r="A1229" t="str">
        <f t="shared" si="19"/>
        <v>PD|AccumulatedNewCapacity|RE1|PWRFOL|2046</v>
      </c>
      <c r="B1229" t="s">
        <v>16</v>
      </c>
      <c r="C1229" t="s">
        <v>17</v>
      </c>
      <c r="D1229" t="s">
        <v>18</v>
      </c>
      <c r="E1229" t="s">
        <v>19</v>
      </c>
      <c r="F1229" t="s">
        <v>23</v>
      </c>
      <c r="O1229">
        <v>2046</v>
      </c>
    </row>
    <row r="1230" spans="1:16" x14ac:dyDescent="0.3">
      <c r="A1230" t="str">
        <f t="shared" si="19"/>
        <v>PD|AccumulatedNewCapacity|RE1|PWRHYDDAM|2046</v>
      </c>
      <c r="B1230" t="s">
        <v>16</v>
      </c>
      <c r="C1230" t="s">
        <v>17</v>
      </c>
      <c r="D1230" t="s">
        <v>18</v>
      </c>
      <c r="E1230" t="s">
        <v>19</v>
      </c>
      <c r="F1230" t="s">
        <v>24</v>
      </c>
      <c r="O1230">
        <v>2046</v>
      </c>
      <c r="P1230">
        <v>37.840000000000003</v>
      </c>
    </row>
    <row r="1231" spans="1:16" x14ac:dyDescent="0.3">
      <c r="A1231" t="str">
        <f t="shared" si="19"/>
        <v>PD|AccumulatedNewCapacity|RE1|PWRHYDROR|2046</v>
      </c>
      <c r="B1231" t="s">
        <v>16</v>
      </c>
      <c r="C1231" t="s">
        <v>17</v>
      </c>
      <c r="D1231" t="s">
        <v>18</v>
      </c>
      <c r="E1231" t="s">
        <v>19</v>
      </c>
      <c r="F1231" t="s">
        <v>25</v>
      </c>
      <c r="O1231">
        <v>2046</v>
      </c>
    </row>
    <row r="1232" spans="1:16" x14ac:dyDescent="0.3">
      <c r="A1232" t="str">
        <f t="shared" si="19"/>
        <v>PD|AccumulatedNewCapacity|RE1|PWRHYDROR_NDC|2046</v>
      </c>
      <c r="B1232" t="s">
        <v>16</v>
      </c>
      <c r="C1232" t="s">
        <v>17</v>
      </c>
      <c r="D1232" t="s">
        <v>18</v>
      </c>
      <c r="E1232" t="s">
        <v>19</v>
      </c>
      <c r="F1232" t="s">
        <v>26</v>
      </c>
      <c r="O1232">
        <v>2046</v>
      </c>
    </row>
    <row r="1233" spans="1:16" x14ac:dyDescent="0.3">
      <c r="A1233" t="str">
        <f t="shared" si="19"/>
        <v>PD|AccumulatedNewCapacity|RE1|PWRJET|2046</v>
      </c>
      <c r="B1233" t="s">
        <v>16</v>
      </c>
      <c r="C1233" t="s">
        <v>17</v>
      </c>
      <c r="D1233" t="s">
        <v>18</v>
      </c>
      <c r="E1233" t="s">
        <v>19</v>
      </c>
      <c r="F1233" t="s">
        <v>27</v>
      </c>
      <c r="O1233">
        <v>2046</v>
      </c>
    </row>
    <row r="1234" spans="1:16" x14ac:dyDescent="0.3">
      <c r="A1234" t="str">
        <f t="shared" si="19"/>
        <v>PD|AccumulatedNewCapacity|RE1|PWRLPG|2046</v>
      </c>
      <c r="B1234" t="s">
        <v>16</v>
      </c>
      <c r="C1234" t="s">
        <v>17</v>
      </c>
      <c r="D1234" t="s">
        <v>18</v>
      </c>
      <c r="E1234" t="s">
        <v>19</v>
      </c>
      <c r="F1234" t="s">
        <v>28</v>
      </c>
      <c r="O1234">
        <v>2046</v>
      </c>
    </row>
    <row r="1235" spans="1:16" x14ac:dyDescent="0.3">
      <c r="A1235" t="str">
        <f t="shared" si="19"/>
        <v>PD|AccumulatedNewCapacity|RE1|PWRNGS_CC|2046</v>
      </c>
      <c r="B1235" t="s">
        <v>16</v>
      </c>
      <c r="C1235" t="s">
        <v>17</v>
      </c>
      <c r="D1235" t="s">
        <v>18</v>
      </c>
      <c r="E1235" t="s">
        <v>19</v>
      </c>
      <c r="F1235" t="s">
        <v>29</v>
      </c>
      <c r="O1235">
        <v>2046</v>
      </c>
    </row>
    <row r="1236" spans="1:16" x14ac:dyDescent="0.3">
      <c r="A1236" t="str">
        <f t="shared" si="19"/>
        <v>PD|AccumulatedNewCapacity|RE1|PWRNGS_CS|2046</v>
      </c>
      <c r="B1236" t="s">
        <v>16</v>
      </c>
      <c r="C1236" t="s">
        <v>17</v>
      </c>
      <c r="D1236" t="s">
        <v>18</v>
      </c>
      <c r="E1236" t="s">
        <v>19</v>
      </c>
      <c r="F1236" t="s">
        <v>30</v>
      </c>
      <c r="O1236">
        <v>2046</v>
      </c>
    </row>
    <row r="1237" spans="1:16" x14ac:dyDescent="0.3">
      <c r="A1237" t="str">
        <f t="shared" si="19"/>
        <v>PD|AccumulatedNewCapacity|RE1|PWRSOLRTP|2046</v>
      </c>
      <c r="B1237" t="s">
        <v>16</v>
      </c>
      <c r="C1237" t="s">
        <v>17</v>
      </c>
      <c r="D1237" t="s">
        <v>18</v>
      </c>
      <c r="E1237" t="s">
        <v>19</v>
      </c>
      <c r="F1237" t="s">
        <v>31</v>
      </c>
      <c r="O1237">
        <v>2046</v>
      </c>
      <c r="P1237">
        <v>113.6458275206088</v>
      </c>
    </row>
    <row r="1238" spans="1:16" x14ac:dyDescent="0.3">
      <c r="A1238" t="str">
        <f t="shared" si="19"/>
        <v>PD|AccumulatedNewCapacity|RE1|PWRSOLRTP_ZNI|2046</v>
      </c>
      <c r="B1238" t="s">
        <v>16</v>
      </c>
      <c r="C1238" t="s">
        <v>17</v>
      </c>
      <c r="D1238" t="s">
        <v>18</v>
      </c>
      <c r="E1238" t="s">
        <v>19</v>
      </c>
      <c r="F1238" t="s">
        <v>32</v>
      </c>
      <c r="O1238">
        <v>2046</v>
      </c>
      <c r="P1238">
        <v>0.88750826980907294</v>
      </c>
    </row>
    <row r="1239" spans="1:16" x14ac:dyDescent="0.3">
      <c r="A1239" t="str">
        <f t="shared" si="19"/>
        <v>PD|AccumulatedNewCapacity|RE1|PWRSOLUGE|2046</v>
      </c>
      <c r="B1239" t="s">
        <v>16</v>
      </c>
      <c r="C1239" t="s">
        <v>17</v>
      </c>
      <c r="D1239" t="s">
        <v>18</v>
      </c>
      <c r="E1239" t="s">
        <v>19</v>
      </c>
      <c r="F1239" t="s">
        <v>33</v>
      </c>
      <c r="O1239">
        <v>2046</v>
      </c>
      <c r="P1239">
        <v>143.394192</v>
      </c>
    </row>
    <row r="1240" spans="1:16" x14ac:dyDescent="0.3">
      <c r="A1240" t="str">
        <f t="shared" si="19"/>
        <v>PD|AccumulatedNewCapacity|RE1|PWRSOLUPE|2046</v>
      </c>
      <c r="B1240" t="s">
        <v>16</v>
      </c>
      <c r="C1240" t="s">
        <v>17</v>
      </c>
      <c r="D1240" t="s">
        <v>18</v>
      </c>
      <c r="E1240" t="s">
        <v>19</v>
      </c>
      <c r="F1240" t="s">
        <v>34</v>
      </c>
      <c r="O1240">
        <v>2046</v>
      </c>
      <c r="P1240">
        <v>12.14419823999993</v>
      </c>
    </row>
    <row r="1241" spans="1:16" x14ac:dyDescent="0.3">
      <c r="A1241" t="str">
        <f t="shared" si="19"/>
        <v>PD|AccumulatedNewCapacity|RE1|PWRSTD|2046</v>
      </c>
      <c r="B1241" t="s">
        <v>16</v>
      </c>
      <c r="C1241" t="s">
        <v>17</v>
      </c>
      <c r="D1241" t="s">
        <v>18</v>
      </c>
      <c r="E1241" t="s">
        <v>19</v>
      </c>
      <c r="F1241" t="s">
        <v>35</v>
      </c>
      <c r="O1241">
        <v>2046</v>
      </c>
    </row>
    <row r="1242" spans="1:16" x14ac:dyDescent="0.3">
      <c r="A1242" t="str">
        <f t="shared" si="19"/>
        <v>PD|AccumulatedNewCapacity|RE1|PWRWNDONS|2046</v>
      </c>
      <c r="B1242" t="s">
        <v>16</v>
      </c>
      <c r="C1242" t="s">
        <v>17</v>
      </c>
      <c r="D1242" t="s">
        <v>18</v>
      </c>
      <c r="E1242" t="s">
        <v>19</v>
      </c>
      <c r="F1242" t="s">
        <v>36</v>
      </c>
      <c r="O1242">
        <v>2046</v>
      </c>
      <c r="P1242">
        <v>344.42073660181569</v>
      </c>
    </row>
    <row r="1243" spans="1:16" x14ac:dyDescent="0.3">
      <c r="A1243" t="str">
        <f t="shared" si="19"/>
        <v>PD|NewCapacity|RE1|PWRBGS|2046</v>
      </c>
      <c r="B1243" t="s">
        <v>16</v>
      </c>
      <c r="C1243" t="s">
        <v>17</v>
      </c>
      <c r="D1243" t="s">
        <v>37</v>
      </c>
      <c r="E1243" t="s">
        <v>19</v>
      </c>
      <c r="F1243" t="s">
        <v>20</v>
      </c>
      <c r="O1243">
        <v>2046</v>
      </c>
    </row>
    <row r="1244" spans="1:16" x14ac:dyDescent="0.3">
      <c r="A1244" t="str">
        <f t="shared" si="19"/>
        <v>PD|NewCapacity|RE1|PWRCOA|2046</v>
      </c>
      <c r="B1244" t="s">
        <v>16</v>
      </c>
      <c r="C1244" t="s">
        <v>17</v>
      </c>
      <c r="D1244" t="s">
        <v>37</v>
      </c>
      <c r="E1244" t="s">
        <v>19</v>
      </c>
      <c r="F1244" t="s">
        <v>21</v>
      </c>
      <c r="O1244">
        <v>2046</v>
      </c>
    </row>
    <row r="1245" spans="1:16" x14ac:dyDescent="0.3">
      <c r="A1245" t="str">
        <f t="shared" si="19"/>
        <v>PD|NewCapacity|RE1|PWRDSL|2046</v>
      </c>
      <c r="B1245" t="s">
        <v>16</v>
      </c>
      <c r="C1245" t="s">
        <v>17</v>
      </c>
      <c r="D1245" t="s">
        <v>37</v>
      </c>
      <c r="E1245" t="s">
        <v>19</v>
      </c>
      <c r="F1245" t="s">
        <v>22</v>
      </c>
      <c r="O1245">
        <v>2046</v>
      </c>
    </row>
    <row r="1246" spans="1:16" x14ac:dyDescent="0.3">
      <c r="A1246" t="str">
        <f t="shared" si="19"/>
        <v>PD|NewCapacity|RE1|PWRFOL|2046</v>
      </c>
      <c r="B1246" t="s">
        <v>16</v>
      </c>
      <c r="C1246" t="s">
        <v>17</v>
      </c>
      <c r="D1246" t="s">
        <v>37</v>
      </c>
      <c r="E1246" t="s">
        <v>19</v>
      </c>
      <c r="F1246" t="s">
        <v>23</v>
      </c>
      <c r="O1246">
        <v>2046</v>
      </c>
    </row>
    <row r="1247" spans="1:16" x14ac:dyDescent="0.3">
      <c r="A1247" t="str">
        <f t="shared" si="19"/>
        <v>PD|NewCapacity|RE1|PWRHYDDAM|2046</v>
      </c>
      <c r="B1247" t="s">
        <v>16</v>
      </c>
      <c r="C1247" t="s">
        <v>17</v>
      </c>
      <c r="D1247" t="s">
        <v>37</v>
      </c>
      <c r="E1247" t="s">
        <v>19</v>
      </c>
      <c r="F1247" t="s">
        <v>24</v>
      </c>
      <c r="O1247">
        <v>2046</v>
      </c>
    </row>
    <row r="1248" spans="1:16" x14ac:dyDescent="0.3">
      <c r="A1248" t="str">
        <f t="shared" si="19"/>
        <v>PD|NewCapacity|RE1|PWRHYDROR|2046</v>
      </c>
      <c r="B1248" t="s">
        <v>16</v>
      </c>
      <c r="C1248" t="s">
        <v>17</v>
      </c>
      <c r="D1248" t="s">
        <v>37</v>
      </c>
      <c r="E1248" t="s">
        <v>19</v>
      </c>
      <c r="F1248" t="s">
        <v>25</v>
      </c>
      <c r="O1248">
        <v>2046</v>
      </c>
    </row>
    <row r="1249" spans="1:16" x14ac:dyDescent="0.3">
      <c r="A1249" t="str">
        <f t="shared" si="19"/>
        <v>PD|NewCapacity|RE1|PWRHYDROR_NDC|2046</v>
      </c>
      <c r="B1249" t="s">
        <v>16</v>
      </c>
      <c r="C1249" t="s">
        <v>17</v>
      </c>
      <c r="D1249" t="s">
        <v>37</v>
      </c>
      <c r="E1249" t="s">
        <v>19</v>
      </c>
      <c r="F1249" t="s">
        <v>26</v>
      </c>
      <c r="O1249">
        <v>2046</v>
      </c>
    </row>
    <row r="1250" spans="1:16" x14ac:dyDescent="0.3">
      <c r="A1250" t="str">
        <f t="shared" si="19"/>
        <v>PD|NewCapacity|RE1|PWRJET|2046</v>
      </c>
      <c r="B1250" t="s">
        <v>16</v>
      </c>
      <c r="C1250" t="s">
        <v>17</v>
      </c>
      <c r="D1250" t="s">
        <v>37</v>
      </c>
      <c r="E1250" t="s">
        <v>19</v>
      </c>
      <c r="F1250" t="s">
        <v>27</v>
      </c>
      <c r="O1250">
        <v>2046</v>
      </c>
    </row>
    <row r="1251" spans="1:16" x14ac:dyDescent="0.3">
      <c r="A1251" t="str">
        <f t="shared" si="19"/>
        <v>PD|NewCapacity|RE1|PWRLPG|2046</v>
      </c>
      <c r="B1251" t="s">
        <v>16</v>
      </c>
      <c r="C1251" t="s">
        <v>17</v>
      </c>
      <c r="D1251" t="s">
        <v>37</v>
      </c>
      <c r="E1251" t="s">
        <v>19</v>
      </c>
      <c r="F1251" t="s">
        <v>28</v>
      </c>
      <c r="O1251">
        <v>2046</v>
      </c>
    </row>
    <row r="1252" spans="1:16" x14ac:dyDescent="0.3">
      <c r="A1252" t="str">
        <f t="shared" si="19"/>
        <v>PD|NewCapacity|RE1|PWRNGS_CC|2046</v>
      </c>
      <c r="B1252" t="s">
        <v>16</v>
      </c>
      <c r="C1252" t="s">
        <v>17</v>
      </c>
      <c r="D1252" t="s">
        <v>37</v>
      </c>
      <c r="E1252" t="s">
        <v>19</v>
      </c>
      <c r="F1252" t="s">
        <v>29</v>
      </c>
      <c r="O1252">
        <v>2046</v>
      </c>
    </row>
    <row r="1253" spans="1:16" x14ac:dyDescent="0.3">
      <c r="A1253" t="str">
        <f t="shared" si="19"/>
        <v>PD|NewCapacity|RE1|PWRNGS_CS|2046</v>
      </c>
      <c r="B1253" t="s">
        <v>16</v>
      </c>
      <c r="C1253" t="s">
        <v>17</v>
      </c>
      <c r="D1253" t="s">
        <v>37</v>
      </c>
      <c r="E1253" t="s">
        <v>19</v>
      </c>
      <c r="F1253" t="s">
        <v>30</v>
      </c>
      <c r="O1253">
        <v>2046</v>
      </c>
    </row>
    <row r="1254" spans="1:16" x14ac:dyDescent="0.3">
      <c r="A1254" t="str">
        <f t="shared" si="19"/>
        <v>PD|NewCapacity|RE1|PWRSOLRTP|2046</v>
      </c>
      <c r="B1254" t="s">
        <v>16</v>
      </c>
      <c r="C1254" t="s">
        <v>17</v>
      </c>
      <c r="D1254" t="s">
        <v>37</v>
      </c>
      <c r="E1254" t="s">
        <v>19</v>
      </c>
      <c r="F1254" t="s">
        <v>31</v>
      </c>
      <c r="O1254">
        <v>2046</v>
      </c>
      <c r="P1254">
        <v>1.426759670259987</v>
      </c>
    </row>
    <row r="1255" spans="1:16" x14ac:dyDescent="0.3">
      <c r="A1255" t="str">
        <f t="shared" si="19"/>
        <v>PD|NewCapacity|RE1|PWRSOLRTP_ZNI|2046</v>
      </c>
      <c r="B1255" t="s">
        <v>16</v>
      </c>
      <c r="C1255" t="s">
        <v>17</v>
      </c>
      <c r="D1255" t="s">
        <v>37</v>
      </c>
      <c r="E1255" t="s">
        <v>19</v>
      </c>
      <c r="F1255" t="s">
        <v>32</v>
      </c>
      <c r="O1255">
        <v>2046</v>
      </c>
    </row>
    <row r="1256" spans="1:16" x14ac:dyDescent="0.3">
      <c r="A1256" t="str">
        <f t="shared" si="19"/>
        <v>PD|NewCapacity|RE1|PWRSOLUGE|2046</v>
      </c>
      <c r="B1256" t="s">
        <v>16</v>
      </c>
      <c r="C1256" t="s">
        <v>17</v>
      </c>
      <c r="D1256" t="s">
        <v>37</v>
      </c>
      <c r="E1256" t="s">
        <v>19</v>
      </c>
      <c r="F1256" t="s">
        <v>33</v>
      </c>
      <c r="O1256">
        <v>2046</v>
      </c>
    </row>
    <row r="1257" spans="1:16" x14ac:dyDescent="0.3">
      <c r="A1257" t="str">
        <f t="shared" si="19"/>
        <v>PD|NewCapacity|RE1|PWRSOLUPE|2046</v>
      </c>
      <c r="B1257" t="s">
        <v>16</v>
      </c>
      <c r="C1257" t="s">
        <v>17</v>
      </c>
      <c r="D1257" t="s">
        <v>37</v>
      </c>
      <c r="E1257" t="s">
        <v>19</v>
      </c>
      <c r="F1257" t="s">
        <v>34</v>
      </c>
      <c r="O1257">
        <v>2046</v>
      </c>
    </row>
    <row r="1258" spans="1:16" x14ac:dyDescent="0.3">
      <c r="A1258" t="str">
        <f t="shared" si="19"/>
        <v>PD|NewCapacity|RE1|PWRSTD|2046</v>
      </c>
      <c r="B1258" t="s">
        <v>16</v>
      </c>
      <c r="C1258" t="s">
        <v>17</v>
      </c>
      <c r="D1258" t="s">
        <v>37</v>
      </c>
      <c r="E1258" t="s">
        <v>19</v>
      </c>
      <c r="F1258" t="s">
        <v>35</v>
      </c>
      <c r="O1258">
        <v>2046</v>
      </c>
    </row>
    <row r="1259" spans="1:16" x14ac:dyDescent="0.3">
      <c r="A1259" t="str">
        <f t="shared" si="19"/>
        <v>PD|NewCapacity|RE1|PWRWNDONS|2046</v>
      </c>
      <c r="B1259" t="s">
        <v>16</v>
      </c>
      <c r="C1259" t="s">
        <v>17</v>
      </c>
      <c r="D1259" t="s">
        <v>37</v>
      </c>
      <c r="E1259" t="s">
        <v>19</v>
      </c>
      <c r="F1259" t="s">
        <v>36</v>
      </c>
      <c r="O1259">
        <v>2046</v>
      </c>
      <c r="P1259">
        <v>47.31</v>
      </c>
    </row>
    <row r="1260" spans="1:16" x14ac:dyDescent="0.3">
      <c r="A1260" t="str">
        <f t="shared" si="19"/>
        <v>PD|TotalCapacityAnnual|RE1|PWRBGS|2046</v>
      </c>
      <c r="B1260" t="s">
        <v>16</v>
      </c>
      <c r="C1260" t="s">
        <v>17</v>
      </c>
      <c r="D1260" t="s">
        <v>38</v>
      </c>
      <c r="E1260" t="s">
        <v>19</v>
      </c>
      <c r="F1260" t="s">
        <v>20</v>
      </c>
      <c r="O1260">
        <v>2046</v>
      </c>
      <c r="P1260">
        <v>2.5488587520000001E-2</v>
      </c>
    </row>
    <row r="1261" spans="1:16" x14ac:dyDescent="0.3">
      <c r="A1261" t="str">
        <f t="shared" si="19"/>
        <v>PD|TotalCapacityAnnual|RE1|PWRCOA|2046</v>
      </c>
      <c r="B1261" t="s">
        <v>16</v>
      </c>
      <c r="C1261" t="s">
        <v>17</v>
      </c>
      <c r="D1261" t="s">
        <v>38</v>
      </c>
      <c r="E1261" t="s">
        <v>19</v>
      </c>
      <c r="F1261" t="s">
        <v>21</v>
      </c>
      <c r="O1261">
        <v>2046</v>
      </c>
    </row>
    <row r="1262" spans="1:16" x14ac:dyDescent="0.3">
      <c r="A1262" t="str">
        <f t="shared" si="19"/>
        <v>PD|TotalCapacityAnnual|RE1|PWRDSL|2046</v>
      </c>
      <c r="B1262" t="s">
        <v>16</v>
      </c>
      <c r="C1262" t="s">
        <v>17</v>
      </c>
      <c r="D1262" t="s">
        <v>38</v>
      </c>
      <c r="E1262" t="s">
        <v>19</v>
      </c>
      <c r="F1262" t="s">
        <v>22</v>
      </c>
      <c r="O1262">
        <v>2046</v>
      </c>
      <c r="P1262">
        <v>24.944976</v>
      </c>
    </row>
    <row r="1263" spans="1:16" x14ac:dyDescent="0.3">
      <c r="A1263" t="str">
        <f t="shared" si="19"/>
        <v>PD|TotalCapacityAnnual|RE1|PWRFOL|2046</v>
      </c>
      <c r="B1263" t="s">
        <v>16</v>
      </c>
      <c r="C1263" t="s">
        <v>17</v>
      </c>
      <c r="D1263" t="s">
        <v>38</v>
      </c>
      <c r="E1263" t="s">
        <v>19</v>
      </c>
      <c r="F1263" t="s">
        <v>23</v>
      </c>
      <c r="O1263">
        <v>2046</v>
      </c>
      <c r="P1263">
        <v>8.3885759999999987</v>
      </c>
    </row>
    <row r="1264" spans="1:16" x14ac:dyDescent="0.3">
      <c r="A1264" t="str">
        <f t="shared" si="19"/>
        <v>PD|TotalCapacityAnnual|RE1|PWRHYDDAM|2046</v>
      </c>
      <c r="B1264" t="s">
        <v>16</v>
      </c>
      <c r="C1264" t="s">
        <v>17</v>
      </c>
      <c r="D1264" t="s">
        <v>38</v>
      </c>
      <c r="E1264" t="s">
        <v>19</v>
      </c>
      <c r="F1264" t="s">
        <v>24</v>
      </c>
      <c r="O1264">
        <v>2046</v>
      </c>
      <c r="P1264">
        <v>440.49164800000011</v>
      </c>
    </row>
    <row r="1265" spans="1:16" x14ac:dyDescent="0.3">
      <c r="A1265" t="str">
        <f t="shared" si="19"/>
        <v>PD|TotalCapacityAnnual|RE1|PWRHYDROR|2046</v>
      </c>
      <c r="B1265" t="s">
        <v>16</v>
      </c>
      <c r="C1265" t="s">
        <v>17</v>
      </c>
      <c r="D1265" t="s">
        <v>38</v>
      </c>
      <c r="E1265" t="s">
        <v>19</v>
      </c>
      <c r="F1265" t="s">
        <v>25</v>
      </c>
      <c r="O1265">
        <v>2046</v>
      </c>
      <c r="P1265">
        <v>21.097584000000001</v>
      </c>
    </row>
    <row r="1266" spans="1:16" x14ac:dyDescent="0.3">
      <c r="A1266" t="str">
        <f t="shared" si="19"/>
        <v>PD|TotalCapacityAnnual|RE1|PWRHYDROR_NDC|2046</v>
      </c>
      <c r="B1266" t="s">
        <v>16</v>
      </c>
      <c r="C1266" t="s">
        <v>17</v>
      </c>
      <c r="D1266" t="s">
        <v>38</v>
      </c>
      <c r="E1266" t="s">
        <v>19</v>
      </c>
      <c r="F1266" t="s">
        <v>26</v>
      </c>
      <c r="O1266">
        <v>2046</v>
      </c>
      <c r="P1266">
        <v>29.725108271999989</v>
      </c>
    </row>
    <row r="1267" spans="1:16" x14ac:dyDescent="0.3">
      <c r="A1267" t="str">
        <f t="shared" si="19"/>
        <v>PD|TotalCapacityAnnual|RE1|PWRJET|2046</v>
      </c>
      <c r="B1267" t="s">
        <v>16</v>
      </c>
      <c r="C1267" t="s">
        <v>17</v>
      </c>
      <c r="D1267" t="s">
        <v>38</v>
      </c>
      <c r="E1267" t="s">
        <v>19</v>
      </c>
      <c r="F1267" t="s">
        <v>27</v>
      </c>
      <c r="O1267">
        <v>2046</v>
      </c>
      <c r="P1267">
        <v>1.5768</v>
      </c>
    </row>
    <row r="1268" spans="1:16" x14ac:dyDescent="0.3">
      <c r="A1268" t="str">
        <f t="shared" si="19"/>
        <v>PD|TotalCapacityAnnual|RE1|PWRLPG|2046</v>
      </c>
      <c r="B1268" t="s">
        <v>16</v>
      </c>
      <c r="C1268" t="s">
        <v>17</v>
      </c>
      <c r="D1268" t="s">
        <v>38</v>
      </c>
      <c r="E1268" t="s">
        <v>19</v>
      </c>
      <c r="F1268" t="s">
        <v>28</v>
      </c>
      <c r="O1268">
        <v>2046</v>
      </c>
      <c r="P1268">
        <v>1.639872</v>
      </c>
    </row>
    <row r="1269" spans="1:16" x14ac:dyDescent="0.3">
      <c r="A1269" t="str">
        <f t="shared" si="19"/>
        <v>PD|TotalCapacityAnnual|RE1|PWRNGS_CC|2046</v>
      </c>
      <c r="B1269" t="s">
        <v>16</v>
      </c>
      <c r="C1269" t="s">
        <v>17</v>
      </c>
      <c r="D1269" t="s">
        <v>38</v>
      </c>
      <c r="E1269" t="s">
        <v>19</v>
      </c>
      <c r="F1269" t="s">
        <v>29</v>
      </c>
      <c r="O1269">
        <v>2046</v>
      </c>
      <c r="P1269">
        <v>70.104500000000002</v>
      </c>
    </row>
    <row r="1270" spans="1:16" x14ac:dyDescent="0.3">
      <c r="A1270" t="str">
        <f t="shared" si="19"/>
        <v>PD|TotalCapacityAnnual|RE1|PWRNGS_CS|2046</v>
      </c>
      <c r="B1270" t="s">
        <v>16</v>
      </c>
      <c r="C1270" t="s">
        <v>17</v>
      </c>
      <c r="D1270" t="s">
        <v>38</v>
      </c>
      <c r="E1270" t="s">
        <v>19</v>
      </c>
      <c r="F1270" t="s">
        <v>30</v>
      </c>
      <c r="O1270">
        <v>2046</v>
      </c>
      <c r="P1270">
        <v>23.084351999999999</v>
      </c>
    </row>
    <row r="1271" spans="1:16" x14ac:dyDescent="0.3">
      <c r="A1271" t="str">
        <f t="shared" si="19"/>
        <v>PD|TotalCapacityAnnual|RE1|PWRSOLRTP|2046</v>
      </c>
      <c r="B1271" t="s">
        <v>16</v>
      </c>
      <c r="C1271" t="s">
        <v>17</v>
      </c>
      <c r="D1271" t="s">
        <v>38</v>
      </c>
      <c r="E1271" t="s">
        <v>19</v>
      </c>
      <c r="F1271" t="s">
        <v>31</v>
      </c>
      <c r="O1271">
        <v>2046</v>
      </c>
      <c r="P1271">
        <v>134.6757275206088</v>
      </c>
    </row>
    <row r="1272" spans="1:16" x14ac:dyDescent="0.3">
      <c r="A1272" t="str">
        <f t="shared" si="19"/>
        <v>PD|TotalCapacityAnnual|RE1|PWRSOLRTP_ZNI|2046</v>
      </c>
      <c r="B1272" t="s">
        <v>16</v>
      </c>
      <c r="C1272" t="s">
        <v>17</v>
      </c>
      <c r="D1272" t="s">
        <v>38</v>
      </c>
      <c r="E1272" t="s">
        <v>19</v>
      </c>
      <c r="F1272" t="s">
        <v>32</v>
      </c>
      <c r="O1272">
        <v>2046</v>
      </c>
      <c r="P1272">
        <v>1.3482492298090729</v>
      </c>
    </row>
    <row r="1273" spans="1:16" x14ac:dyDescent="0.3">
      <c r="A1273" t="str">
        <f t="shared" si="19"/>
        <v>PD|TotalCapacityAnnual|RE1|PWRSOLUGE|2046</v>
      </c>
      <c r="B1273" t="s">
        <v>16</v>
      </c>
      <c r="C1273" t="s">
        <v>17</v>
      </c>
      <c r="D1273" t="s">
        <v>38</v>
      </c>
      <c r="E1273" t="s">
        <v>19</v>
      </c>
      <c r="F1273" t="s">
        <v>33</v>
      </c>
      <c r="O1273">
        <v>2046</v>
      </c>
      <c r="P1273">
        <v>191.79189199999999</v>
      </c>
    </row>
    <row r="1274" spans="1:16" x14ac:dyDescent="0.3">
      <c r="A1274" t="str">
        <f t="shared" si="19"/>
        <v>PD|TotalCapacityAnnual|RE1|PWRSOLUPE|2046</v>
      </c>
      <c r="B1274" t="s">
        <v>16</v>
      </c>
      <c r="C1274" t="s">
        <v>17</v>
      </c>
      <c r="D1274" t="s">
        <v>38</v>
      </c>
      <c r="E1274" t="s">
        <v>19</v>
      </c>
      <c r="F1274" t="s">
        <v>34</v>
      </c>
      <c r="O1274">
        <v>2046</v>
      </c>
      <c r="P1274">
        <v>12.14419823999993</v>
      </c>
    </row>
    <row r="1275" spans="1:16" x14ac:dyDescent="0.3">
      <c r="A1275" t="str">
        <f t="shared" si="19"/>
        <v>PD|TotalCapacityAnnual|RE1|PWRSTD|2046</v>
      </c>
      <c r="B1275" t="s">
        <v>16</v>
      </c>
      <c r="C1275" t="s">
        <v>17</v>
      </c>
      <c r="D1275" t="s">
        <v>38</v>
      </c>
      <c r="E1275" t="s">
        <v>19</v>
      </c>
      <c r="F1275" t="s">
        <v>35</v>
      </c>
      <c r="O1275">
        <v>2046</v>
      </c>
      <c r="P1275">
        <v>8.163062064</v>
      </c>
    </row>
    <row r="1276" spans="1:16" x14ac:dyDescent="0.3">
      <c r="A1276" t="str">
        <f t="shared" si="19"/>
        <v>PD|TotalCapacityAnnual|RE1|PWRWNDONS|2046</v>
      </c>
      <c r="B1276" t="s">
        <v>16</v>
      </c>
      <c r="C1276" t="s">
        <v>17</v>
      </c>
      <c r="D1276" t="s">
        <v>38</v>
      </c>
      <c r="E1276" t="s">
        <v>19</v>
      </c>
      <c r="F1276" t="s">
        <v>36</v>
      </c>
      <c r="O1276">
        <v>2046</v>
      </c>
      <c r="P1276">
        <v>345.78939900181581</v>
      </c>
    </row>
    <row r="1277" spans="1:16" x14ac:dyDescent="0.3">
      <c r="A1277" t="str">
        <f t="shared" si="19"/>
        <v>PD|AccumulatedNewCapacity|RE1|PWRBGS|2047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O1277">
        <v>2047</v>
      </c>
    </row>
    <row r="1278" spans="1:16" x14ac:dyDescent="0.3">
      <c r="A1278" t="str">
        <f t="shared" si="19"/>
        <v>PD|AccumulatedNewCapacity|RE1|PWRCOA|2047</v>
      </c>
      <c r="B1278" t="s">
        <v>16</v>
      </c>
      <c r="C1278" t="s">
        <v>17</v>
      </c>
      <c r="D1278" t="s">
        <v>18</v>
      </c>
      <c r="E1278" t="s">
        <v>19</v>
      </c>
      <c r="F1278" t="s">
        <v>21</v>
      </c>
      <c r="O1278">
        <v>2047</v>
      </c>
    </row>
    <row r="1279" spans="1:16" x14ac:dyDescent="0.3">
      <c r="A1279" t="str">
        <f t="shared" si="19"/>
        <v>PD|AccumulatedNewCapacity|RE1|PWRDSL|2047</v>
      </c>
      <c r="B1279" t="s">
        <v>16</v>
      </c>
      <c r="C1279" t="s">
        <v>17</v>
      </c>
      <c r="D1279" t="s">
        <v>18</v>
      </c>
      <c r="E1279" t="s">
        <v>19</v>
      </c>
      <c r="F1279" t="s">
        <v>22</v>
      </c>
      <c r="O1279">
        <v>2047</v>
      </c>
    </row>
    <row r="1280" spans="1:16" x14ac:dyDescent="0.3">
      <c r="A1280" t="str">
        <f t="shared" si="19"/>
        <v>PD|AccumulatedNewCapacity|RE1|PWRFOL|2047</v>
      </c>
      <c r="B1280" t="s">
        <v>16</v>
      </c>
      <c r="C1280" t="s">
        <v>17</v>
      </c>
      <c r="D1280" t="s">
        <v>18</v>
      </c>
      <c r="E1280" t="s">
        <v>19</v>
      </c>
      <c r="F1280" t="s">
        <v>23</v>
      </c>
      <c r="O1280">
        <v>2047</v>
      </c>
    </row>
    <row r="1281" spans="1:16" x14ac:dyDescent="0.3">
      <c r="A1281" t="str">
        <f t="shared" si="19"/>
        <v>PD|AccumulatedNewCapacity|RE1|PWRHYDDAM|2047</v>
      </c>
      <c r="B1281" t="s">
        <v>16</v>
      </c>
      <c r="C1281" t="s">
        <v>17</v>
      </c>
      <c r="D1281" t="s">
        <v>18</v>
      </c>
      <c r="E1281" t="s">
        <v>19</v>
      </c>
      <c r="F1281" t="s">
        <v>24</v>
      </c>
      <c r="O1281">
        <v>2047</v>
      </c>
      <c r="P1281">
        <v>37.840000000000003</v>
      </c>
    </row>
    <row r="1282" spans="1:16" x14ac:dyDescent="0.3">
      <c r="A1282" t="str">
        <f t="shared" ref="A1282:A1345" si="20">B1282&amp;"|"&amp;D1282&amp;"|"&amp;E1282&amp;"|"&amp;F1282&amp;"|"&amp;O1282</f>
        <v>PD|AccumulatedNewCapacity|RE1|PWRHYDROR|2047</v>
      </c>
      <c r="B1282" t="s">
        <v>16</v>
      </c>
      <c r="C1282" t="s">
        <v>17</v>
      </c>
      <c r="D1282" t="s">
        <v>18</v>
      </c>
      <c r="E1282" t="s">
        <v>19</v>
      </c>
      <c r="F1282" t="s">
        <v>25</v>
      </c>
      <c r="O1282">
        <v>2047</v>
      </c>
    </row>
    <row r="1283" spans="1:16" x14ac:dyDescent="0.3">
      <c r="A1283" t="str">
        <f t="shared" si="20"/>
        <v>PD|AccumulatedNewCapacity|RE1|PWRHYDROR_NDC|2047</v>
      </c>
      <c r="B1283" t="s">
        <v>16</v>
      </c>
      <c r="C1283" t="s">
        <v>17</v>
      </c>
      <c r="D1283" t="s">
        <v>18</v>
      </c>
      <c r="E1283" t="s">
        <v>19</v>
      </c>
      <c r="F1283" t="s">
        <v>26</v>
      </c>
      <c r="O1283">
        <v>2047</v>
      </c>
    </row>
    <row r="1284" spans="1:16" x14ac:dyDescent="0.3">
      <c r="A1284" t="str">
        <f t="shared" si="20"/>
        <v>PD|AccumulatedNewCapacity|RE1|PWRJET|2047</v>
      </c>
      <c r="B1284" t="s">
        <v>16</v>
      </c>
      <c r="C1284" t="s">
        <v>17</v>
      </c>
      <c r="D1284" t="s">
        <v>18</v>
      </c>
      <c r="E1284" t="s">
        <v>19</v>
      </c>
      <c r="F1284" t="s">
        <v>27</v>
      </c>
      <c r="O1284">
        <v>2047</v>
      </c>
    </row>
    <row r="1285" spans="1:16" x14ac:dyDescent="0.3">
      <c r="A1285" t="str">
        <f t="shared" si="20"/>
        <v>PD|AccumulatedNewCapacity|RE1|PWRLPG|2047</v>
      </c>
      <c r="B1285" t="s">
        <v>16</v>
      </c>
      <c r="C1285" t="s">
        <v>17</v>
      </c>
      <c r="D1285" t="s">
        <v>18</v>
      </c>
      <c r="E1285" t="s">
        <v>19</v>
      </c>
      <c r="F1285" t="s">
        <v>28</v>
      </c>
      <c r="O1285">
        <v>2047</v>
      </c>
    </row>
    <row r="1286" spans="1:16" x14ac:dyDescent="0.3">
      <c r="A1286" t="str">
        <f t="shared" si="20"/>
        <v>PD|AccumulatedNewCapacity|RE1|PWRNGS_CC|2047</v>
      </c>
      <c r="B1286" t="s">
        <v>16</v>
      </c>
      <c r="C1286" t="s">
        <v>17</v>
      </c>
      <c r="D1286" t="s">
        <v>18</v>
      </c>
      <c r="E1286" t="s">
        <v>19</v>
      </c>
      <c r="F1286" t="s">
        <v>29</v>
      </c>
      <c r="O1286">
        <v>2047</v>
      </c>
    </row>
    <row r="1287" spans="1:16" x14ac:dyDescent="0.3">
      <c r="A1287" t="str">
        <f t="shared" si="20"/>
        <v>PD|AccumulatedNewCapacity|RE1|PWRNGS_CS|2047</v>
      </c>
      <c r="B1287" t="s">
        <v>16</v>
      </c>
      <c r="C1287" t="s">
        <v>17</v>
      </c>
      <c r="D1287" t="s">
        <v>18</v>
      </c>
      <c r="E1287" t="s">
        <v>19</v>
      </c>
      <c r="F1287" t="s">
        <v>30</v>
      </c>
      <c r="O1287">
        <v>2047</v>
      </c>
    </row>
    <row r="1288" spans="1:16" x14ac:dyDescent="0.3">
      <c r="A1288" t="str">
        <f t="shared" si="20"/>
        <v>PD|AccumulatedNewCapacity|RE1|PWRSOLRTP|2047</v>
      </c>
      <c r="B1288" t="s">
        <v>16</v>
      </c>
      <c r="C1288" t="s">
        <v>17</v>
      </c>
      <c r="D1288" t="s">
        <v>18</v>
      </c>
      <c r="E1288" t="s">
        <v>19</v>
      </c>
      <c r="F1288" t="s">
        <v>31</v>
      </c>
      <c r="O1288">
        <v>2047</v>
      </c>
      <c r="P1288">
        <v>115.0725871908687</v>
      </c>
    </row>
    <row r="1289" spans="1:16" x14ac:dyDescent="0.3">
      <c r="A1289" t="str">
        <f t="shared" si="20"/>
        <v>PD|AccumulatedNewCapacity|RE1|PWRSOLRTP_ZNI|2047</v>
      </c>
      <c r="B1289" t="s">
        <v>16</v>
      </c>
      <c r="C1289" t="s">
        <v>17</v>
      </c>
      <c r="D1289" t="s">
        <v>18</v>
      </c>
      <c r="E1289" t="s">
        <v>19</v>
      </c>
      <c r="F1289" t="s">
        <v>32</v>
      </c>
      <c r="O1289">
        <v>2047</v>
      </c>
      <c r="P1289">
        <v>0.88750826980907294</v>
      </c>
    </row>
    <row r="1290" spans="1:16" x14ac:dyDescent="0.3">
      <c r="A1290" t="str">
        <f t="shared" si="20"/>
        <v>PD|AccumulatedNewCapacity|RE1|PWRSOLUGE|2047</v>
      </c>
      <c r="B1290" t="s">
        <v>16</v>
      </c>
      <c r="C1290" t="s">
        <v>17</v>
      </c>
      <c r="D1290" t="s">
        <v>18</v>
      </c>
      <c r="E1290" t="s">
        <v>19</v>
      </c>
      <c r="F1290" t="s">
        <v>33</v>
      </c>
      <c r="O1290">
        <v>2047</v>
      </c>
      <c r="P1290">
        <v>143.394192</v>
      </c>
    </row>
    <row r="1291" spans="1:16" x14ac:dyDescent="0.3">
      <c r="A1291" t="str">
        <f t="shared" si="20"/>
        <v>PD|AccumulatedNewCapacity|RE1|PWRSOLUPE|2047</v>
      </c>
      <c r="B1291" t="s">
        <v>16</v>
      </c>
      <c r="C1291" t="s">
        <v>17</v>
      </c>
      <c r="D1291" t="s">
        <v>18</v>
      </c>
      <c r="E1291" t="s">
        <v>19</v>
      </c>
      <c r="F1291" t="s">
        <v>34</v>
      </c>
      <c r="O1291">
        <v>2047</v>
      </c>
      <c r="P1291">
        <v>12.14419823999993</v>
      </c>
    </row>
    <row r="1292" spans="1:16" x14ac:dyDescent="0.3">
      <c r="A1292" t="str">
        <f t="shared" si="20"/>
        <v>PD|AccumulatedNewCapacity|RE1|PWRSTD|2047</v>
      </c>
      <c r="B1292" t="s">
        <v>16</v>
      </c>
      <c r="C1292" t="s">
        <v>17</v>
      </c>
      <c r="D1292" t="s">
        <v>18</v>
      </c>
      <c r="E1292" t="s">
        <v>19</v>
      </c>
      <c r="F1292" t="s">
        <v>35</v>
      </c>
      <c r="O1292">
        <v>2047</v>
      </c>
    </row>
    <row r="1293" spans="1:16" x14ac:dyDescent="0.3">
      <c r="A1293" t="str">
        <f t="shared" si="20"/>
        <v>PD|AccumulatedNewCapacity|RE1|PWRWNDONS|2047</v>
      </c>
      <c r="B1293" t="s">
        <v>16</v>
      </c>
      <c r="C1293" t="s">
        <v>17</v>
      </c>
      <c r="D1293" t="s">
        <v>18</v>
      </c>
      <c r="E1293" t="s">
        <v>19</v>
      </c>
      <c r="F1293" t="s">
        <v>36</v>
      </c>
      <c r="O1293">
        <v>2047</v>
      </c>
      <c r="P1293">
        <v>391.73073660181569</v>
      </c>
    </row>
    <row r="1294" spans="1:16" x14ac:dyDescent="0.3">
      <c r="A1294" t="str">
        <f t="shared" si="20"/>
        <v>PD|NewCapacity|RE1|PWRBGS|2047</v>
      </c>
      <c r="B1294" t="s">
        <v>16</v>
      </c>
      <c r="C1294" t="s">
        <v>17</v>
      </c>
      <c r="D1294" t="s">
        <v>37</v>
      </c>
      <c r="E1294" t="s">
        <v>19</v>
      </c>
      <c r="F1294" t="s">
        <v>20</v>
      </c>
      <c r="O1294">
        <v>2047</v>
      </c>
    </row>
    <row r="1295" spans="1:16" x14ac:dyDescent="0.3">
      <c r="A1295" t="str">
        <f t="shared" si="20"/>
        <v>PD|NewCapacity|RE1|PWRCOA|2047</v>
      </c>
      <c r="B1295" t="s">
        <v>16</v>
      </c>
      <c r="C1295" t="s">
        <v>17</v>
      </c>
      <c r="D1295" t="s">
        <v>37</v>
      </c>
      <c r="E1295" t="s">
        <v>19</v>
      </c>
      <c r="F1295" t="s">
        <v>21</v>
      </c>
      <c r="O1295">
        <v>2047</v>
      </c>
    </row>
    <row r="1296" spans="1:16" x14ac:dyDescent="0.3">
      <c r="A1296" t="str">
        <f t="shared" si="20"/>
        <v>PD|NewCapacity|RE1|PWRDSL|2047</v>
      </c>
      <c r="B1296" t="s">
        <v>16</v>
      </c>
      <c r="C1296" t="s">
        <v>17</v>
      </c>
      <c r="D1296" t="s">
        <v>37</v>
      </c>
      <c r="E1296" t="s">
        <v>19</v>
      </c>
      <c r="F1296" t="s">
        <v>22</v>
      </c>
      <c r="O1296">
        <v>2047</v>
      </c>
    </row>
    <row r="1297" spans="1:16" x14ac:dyDescent="0.3">
      <c r="A1297" t="str">
        <f t="shared" si="20"/>
        <v>PD|NewCapacity|RE1|PWRFOL|2047</v>
      </c>
      <c r="B1297" t="s">
        <v>16</v>
      </c>
      <c r="C1297" t="s">
        <v>17</v>
      </c>
      <c r="D1297" t="s">
        <v>37</v>
      </c>
      <c r="E1297" t="s">
        <v>19</v>
      </c>
      <c r="F1297" t="s">
        <v>23</v>
      </c>
      <c r="O1297">
        <v>2047</v>
      </c>
    </row>
    <row r="1298" spans="1:16" x14ac:dyDescent="0.3">
      <c r="A1298" t="str">
        <f t="shared" si="20"/>
        <v>PD|NewCapacity|RE1|PWRHYDDAM|2047</v>
      </c>
      <c r="B1298" t="s">
        <v>16</v>
      </c>
      <c r="C1298" t="s">
        <v>17</v>
      </c>
      <c r="D1298" t="s">
        <v>37</v>
      </c>
      <c r="E1298" t="s">
        <v>19</v>
      </c>
      <c r="F1298" t="s">
        <v>24</v>
      </c>
      <c r="O1298">
        <v>2047</v>
      </c>
    </row>
    <row r="1299" spans="1:16" x14ac:dyDescent="0.3">
      <c r="A1299" t="str">
        <f t="shared" si="20"/>
        <v>PD|NewCapacity|RE1|PWRHYDROR|2047</v>
      </c>
      <c r="B1299" t="s">
        <v>16</v>
      </c>
      <c r="C1299" t="s">
        <v>17</v>
      </c>
      <c r="D1299" t="s">
        <v>37</v>
      </c>
      <c r="E1299" t="s">
        <v>19</v>
      </c>
      <c r="F1299" t="s">
        <v>25</v>
      </c>
      <c r="O1299">
        <v>2047</v>
      </c>
    </row>
    <row r="1300" spans="1:16" x14ac:dyDescent="0.3">
      <c r="A1300" t="str">
        <f t="shared" si="20"/>
        <v>PD|NewCapacity|RE1|PWRHYDROR_NDC|2047</v>
      </c>
      <c r="B1300" t="s">
        <v>16</v>
      </c>
      <c r="C1300" t="s">
        <v>17</v>
      </c>
      <c r="D1300" t="s">
        <v>37</v>
      </c>
      <c r="E1300" t="s">
        <v>19</v>
      </c>
      <c r="F1300" t="s">
        <v>26</v>
      </c>
      <c r="O1300">
        <v>2047</v>
      </c>
    </row>
    <row r="1301" spans="1:16" x14ac:dyDescent="0.3">
      <c r="A1301" t="str">
        <f t="shared" si="20"/>
        <v>PD|NewCapacity|RE1|PWRJET|2047</v>
      </c>
      <c r="B1301" t="s">
        <v>16</v>
      </c>
      <c r="C1301" t="s">
        <v>17</v>
      </c>
      <c r="D1301" t="s">
        <v>37</v>
      </c>
      <c r="E1301" t="s">
        <v>19</v>
      </c>
      <c r="F1301" t="s">
        <v>27</v>
      </c>
      <c r="O1301">
        <v>2047</v>
      </c>
    </row>
    <row r="1302" spans="1:16" x14ac:dyDescent="0.3">
      <c r="A1302" t="str">
        <f t="shared" si="20"/>
        <v>PD|NewCapacity|RE1|PWRLPG|2047</v>
      </c>
      <c r="B1302" t="s">
        <v>16</v>
      </c>
      <c r="C1302" t="s">
        <v>17</v>
      </c>
      <c r="D1302" t="s">
        <v>37</v>
      </c>
      <c r="E1302" t="s">
        <v>19</v>
      </c>
      <c r="F1302" t="s">
        <v>28</v>
      </c>
      <c r="O1302">
        <v>2047</v>
      </c>
    </row>
    <row r="1303" spans="1:16" x14ac:dyDescent="0.3">
      <c r="A1303" t="str">
        <f t="shared" si="20"/>
        <v>PD|NewCapacity|RE1|PWRNGS_CC|2047</v>
      </c>
      <c r="B1303" t="s">
        <v>16</v>
      </c>
      <c r="C1303" t="s">
        <v>17</v>
      </c>
      <c r="D1303" t="s">
        <v>37</v>
      </c>
      <c r="E1303" t="s">
        <v>19</v>
      </c>
      <c r="F1303" t="s">
        <v>29</v>
      </c>
      <c r="O1303">
        <v>2047</v>
      </c>
    </row>
    <row r="1304" spans="1:16" x14ac:dyDescent="0.3">
      <c r="A1304" t="str">
        <f t="shared" si="20"/>
        <v>PD|NewCapacity|RE1|PWRNGS_CS|2047</v>
      </c>
      <c r="B1304" t="s">
        <v>16</v>
      </c>
      <c r="C1304" t="s">
        <v>17</v>
      </c>
      <c r="D1304" t="s">
        <v>37</v>
      </c>
      <c r="E1304" t="s">
        <v>19</v>
      </c>
      <c r="F1304" t="s">
        <v>30</v>
      </c>
      <c r="O1304">
        <v>2047</v>
      </c>
    </row>
    <row r="1305" spans="1:16" x14ac:dyDescent="0.3">
      <c r="A1305" t="str">
        <f t="shared" si="20"/>
        <v>PD|NewCapacity|RE1|PWRSOLRTP|2047</v>
      </c>
      <c r="B1305" t="s">
        <v>16</v>
      </c>
      <c r="C1305" t="s">
        <v>17</v>
      </c>
      <c r="D1305" t="s">
        <v>37</v>
      </c>
      <c r="E1305" t="s">
        <v>19</v>
      </c>
      <c r="F1305" t="s">
        <v>31</v>
      </c>
      <c r="O1305">
        <v>2047</v>
      </c>
      <c r="P1305">
        <v>1.426759670259987</v>
      </c>
    </row>
    <row r="1306" spans="1:16" x14ac:dyDescent="0.3">
      <c r="A1306" t="str">
        <f t="shared" si="20"/>
        <v>PD|NewCapacity|RE1|PWRSOLRTP_ZNI|2047</v>
      </c>
      <c r="B1306" t="s">
        <v>16</v>
      </c>
      <c r="C1306" t="s">
        <v>17</v>
      </c>
      <c r="D1306" t="s">
        <v>37</v>
      </c>
      <c r="E1306" t="s">
        <v>19</v>
      </c>
      <c r="F1306" t="s">
        <v>32</v>
      </c>
      <c r="O1306">
        <v>2047</v>
      </c>
    </row>
    <row r="1307" spans="1:16" x14ac:dyDescent="0.3">
      <c r="A1307" t="str">
        <f t="shared" si="20"/>
        <v>PD|NewCapacity|RE1|PWRSOLUGE|2047</v>
      </c>
      <c r="B1307" t="s">
        <v>16</v>
      </c>
      <c r="C1307" t="s">
        <v>17</v>
      </c>
      <c r="D1307" t="s">
        <v>37</v>
      </c>
      <c r="E1307" t="s">
        <v>19</v>
      </c>
      <c r="F1307" t="s">
        <v>33</v>
      </c>
      <c r="O1307">
        <v>2047</v>
      </c>
    </row>
    <row r="1308" spans="1:16" x14ac:dyDescent="0.3">
      <c r="A1308" t="str">
        <f t="shared" si="20"/>
        <v>PD|NewCapacity|RE1|PWRSOLUPE|2047</v>
      </c>
      <c r="B1308" t="s">
        <v>16</v>
      </c>
      <c r="C1308" t="s">
        <v>17</v>
      </c>
      <c r="D1308" t="s">
        <v>37</v>
      </c>
      <c r="E1308" t="s">
        <v>19</v>
      </c>
      <c r="F1308" t="s">
        <v>34</v>
      </c>
      <c r="O1308">
        <v>2047</v>
      </c>
    </row>
    <row r="1309" spans="1:16" x14ac:dyDescent="0.3">
      <c r="A1309" t="str">
        <f t="shared" si="20"/>
        <v>PD|NewCapacity|RE1|PWRSTD|2047</v>
      </c>
      <c r="B1309" t="s">
        <v>16</v>
      </c>
      <c r="C1309" t="s">
        <v>17</v>
      </c>
      <c r="D1309" t="s">
        <v>37</v>
      </c>
      <c r="E1309" t="s">
        <v>19</v>
      </c>
      <c r="F1309" t="s">
        <v>35</v>
      </c>
      <c r="O1309">
        <v>2047</v>
      </c>
    </row>
    <row r="1310" spans="1:16" x14ac:dyDescent="0.3">
      <c r="A1310" t="str">
        <f t="shared" si="20"/>
        <v>PD|NewCapacity|RE1|PWRWNDONS|2047</v>
      </c>
      <c r="B1310" t="s">
        <v>16</v>
      </c>
      <c r="C1310" t="s">
        <v>17</v>
      </c>
      <c r="D1310" t="s">
        <v>37</v>
      </c>
      <c r="E1310" t="s">
        <v>19</v>
      </c>
      <c r="F1310" t="s">
        <v>36</v>
      </c>
      <c r="O1310">
        <v>2047</v>
      </c>
      <c r="P1310">
        <v>47.31</v>
      </c>
    </row>
    <row r="1311" spans="1:16" x14ac:dyDescent="0.3">
      <c r="A1311" t="str">
        <f t="shared" si="20"/>
        <v>PD|TotalCapacityAnnual|RE1|PWRBGS|2047</v>
      </c>
      <c r="B1311" t="s">
        <v>16</v>
      </c>
      <c r="C1311" t="s">
        <v>17</v>
      </c>
      <c r="D1311" t="s">
        <v>38</v>
      </c>
      <c r="E1311" t="s">
        <v>19</v>
      </c>
      <c r="F1311" t="s">
        <v>20</v>
      </c>
      <c r="O1311">
        <v>2047</v>
      </c>
      <c r="P1311">
        <v>2.5488587520000001E-2</v>
      </c>
    </row>
    <row r="1312" spans="1:16" x14ac:dyDescent="0.3">
      <c r="A1312" t="str">
        <f t="shared" si="20"/>
        <v>PD|TotalCapacityAnnual|RE1|PWRCOA|2047</v>
      </c>
      <c r="B1312" t="s">
        <v>16</v>
      </c>
      <c r="C1312" t="s">
        <v>17</v>
      </c>
      <c r="D1312" t="s">
        <v>38</v>
      </c>
      <c r="E1312" t="s">
        <v>19</v>
      </c>
      <c r="F1312" t="s">
        <v>21</v>
      </c>
      <c r="O1312">
        <v>2047</v>
      </c>
    </row>
    <row r="1313" spans="1:16" x14ac:dyDescent="0.3">
      <c r="A1313" t="str">
        <f t="shared" si="20"/>
        <v>PD|TotalCapacityAnnual|RE1|PWRDSL|2047</v>
      </c>
      <c r="B1313" t="s">
        <v>16</v>
      </c>
      <c r="C1313" t="s">
        <v>17</v>
      </c>
      <c r="D1313" t="s">
        <v>38</v>
      </c>
      <c r="E1313" t="s">
        <v>19</v>
      </c>
      <c r="F1313" t="s">
        <v>22</v>
      </c>
      <c r="O1313">
        <v>2047</v>
      </c>
      <c r="P1313">
        <v>24.944976</v>
      </c>
    </row>
    <row r="1314" spans="1:16" x14ac:dyDescent="0.3">
      <c r="A1314" t="str">
        <f t="shared" si="20"/>
        <v>PD|TotalCapacityAnnual|RE1|PWRFOL|2047</v>
      </c>
      <c r="B1314" t="s">
        <v>16</v>
      </c>
      <c r="C1314" t="s">
        <v>17</v>
      </c>
      <c r="D1314" t="s">
        <v>38</v>
      </c>
      <c r="E1314" t="s">
        <v>19</v>
      </c>
      <c r="F1314" t="s">
        <v>23</v>
      </c>
      <c r="O1314">
        <v>2047</v>
      </c>
      <c r="P1314">
        <v>8.3885759999999987</v>
      </c>
    </row>
    <row r="1315" spans="1:16" x14ac:dyDescent="0.3">
      <c r="A1315" t="str">
        <f t="shared" si="20"/>
        <v>PD|TotalCapacityAnnual|RE1|PWRHYDDAM|2047</v>
      </c>
      <c r="B1315" t="s">
        <v>16</v>
      </c>
      <c r="C1315" t="s">
        <v>17</v>
      </c>
      <c r="D1315" t="s">
        <v>38</v>
      </c>
      <c r="E1315" t="s">
        <v>19</v>
      </c>
      <c r="F1315" t="s">
        <v>24</v>
      </c>
      <c r="O1315">
        <v>2047</v>
      </c>
      <c r="P1315">
        <v>440.49164800000011</v>
      </c>
    </row>
    <row r="1316" spans="1:16" x14ac:dyDescent="0.3">
      <c r="A1316" t="str">
        <f t="shared" si="20"/>
        <v>PD|TotalCapacityAnnual|RE1|PWRHYDROR|2047</v>
      </c>
      <c r="B1316" t="s">
        <v>16</v>
      </c>
      <c r="C1316" t="s">
        <v>17</v>
      </c>
      <c r="D1316" t="s">
        <v>38</v>
      </c>
      <c r="E1316" t="s">
        <v>19</v>
      </c>
      <c r="F1316" t="s">
        <v>25</v>
      </c>
      <c r="O1316">
        <v>2047</v>
      </c>
      <c r="P1316">
        <v>21.097584000000001</v>
      </c>
    </row>
    <row r="1317" spans="1:16" x14ac:dyDescent="0.3">
      <c r="A1317" t="str">
        <f t="shared" si="20"/>
        <v>PD|TotalCapacityAnnual|RE1|PWRHYDROR_NDC|2047</v>
      </c>
      <c r="B1317" t="s">
        <v>16</v>
      </c>
      <c r="C1317" t="s">
        <v>17</v>
      </c>
      <c r="D1317" t="s">
        <v>38</v>
      </c>
      <c r="E1317" t="s">
        <v>19</v>
      </c>
      <c r="F1317" t="s">
        <v>26</v>
      </c>
      <c r="O1317">
        <v>2047</v>
      </c>
      <c r="P1317">
        <v>29.725108271999989</v>
      </c>
    </row>
    <row r="1318" spans="1:16" x14ac:dyDescent="0.3">
      <c r="A1318" t="str">
        <f t="shared" si="20"/>
        <v>PD|TotalCapacityAnnual|RE1|PWRJET|2047</v>
      </c>
      <c r="B1318" t="s">
        <v>16</v>
      </c>
      <c r="C1318" t="s">
        <v>17</v>
      </c>
      <c r="D1318" t="s">
        <v>38</v>
      </c>
      <c r="E1318" t="s">
        <v>19</v>
      </c>
      <c r="F1318" t="s">
        <v>27</v>
      </c>
      <c r="O1318">
        <v>2047</v>
      </c>
      <c r="P1318">
        <v>1.5768</v>
      </c>
    </row>
    <row r="1319" spans="1:16" x14ac:dyDescent="0.3">
      <c r="A1319" t="str">
        <f t="shared" si="20"/>
        <v>PD|TotalCapacityAnnual|RE1|PWRLPG|2047</v>
      </c>
      <c r="B1319" t="s">
        <v>16</v>
      </c>
      <c r="C1319" t="s">
        <v>17</v>
      </c>
      <c r="D1319" t="s">
        <v>38</v>
      </c>
      <c r="E1319" t="s">
        <v>19</v>
      </c>
      <c r="F1319" t="s">
        <v>28</v>
      </c>
      <c r="O1319">
        <v>2047</v>
      </c>
      <c r="P1319">
        <v>1.639872</v>
      </c>
    </row>
    <row r="1320" spans="1:16" x14ac:dyDescent="0.3">
      <c r="A1320" t="str">
        <f t="shared" si="20"/>
        <v>PD|TotalCapacityAnnual|RE1|PWRNGS_CC|2047</v>
      </c>
      <c r="B1320" t="s">
        <v>16</v>
      </c>
      <c r="C1320" t="s">
        <v>17</v>
      </c>
      <c r="D1320" t="s">
        <v>38</v>
      </c>
      <c r="E1320" t="s">
        <v>19</v>
      </c>
      <c r="F1320" t="s">
        <v>29</v>
      </c>
      <c r="O1320">
        <v>2047</v>
      </c>
      <c r="P1320">
        <v>70.104500000000002</v>
      </c>
    </row>
    <row r="1321" spans="1:16" x14ac:dyDescent="0.3">
      <c r="A1321" t="str">
        <f t="shared" si="20"/>
        <v>PD|TotalCapacityAnnual|RE1|PWRNGS_CS|2047</v>
      </c>
      <c r="B1321" t="s">
        <v>16</v>
      </c>
      <c r="C1321" t="s">
        <v>17</v>
      </c>
      <c r="D1321" t="s">
        <v>38</v>
      </c>
      <c r="E1321" t="s">
        <v>19</v>
      </c>
      <c r="F1321" t="s">
        <v>30</v>
      </c>
      <c r="O1321">
        <v>2047</v>
      </c>
      <c r="P1321">
        <v>23.084351999999999</v>
      </c>
    </row>
    <row r="1322" spans="1:16" x14ac:dyDescent="0.3">
      <c r="A1322" t="str">
        <f t="shared" si="20"/>
        <v>PD|TotalCapacityAnnual|RE1|PWRSOLRTP|2047</v>
      </c>
      <c r="B1322" t="s">
        <v>16</v>
      </c>
      <c r="C1322" t="s">
        <v>17</v>
      </c>
      <c r="D1322" t="s">
        <v>38</v>
      </c>
      <c r="E1322" t="s">
        <v>19</v>
      </c>
      <c r="F1322" t="s">
        <v>31</v>
      </c>
      <c r="O1322">
        <v>2047</v>
      </c>
      <c r="P1322">
        <v>134.4086871908687</v>
      </c>
    </row>
    <row r="1323" spans="1:16" x14ac:dyDescent="0.3">
      <c r="A1323" t="str">
        <f t="shared" si="20"/>
        <v>PD|TotalCapacityAnnual|RE1|PWRSOLRTP_ZNI|2047</v>
      </c>
      <c r="B1323" t="s">
        <v>16</v>
      </c>
      <c r="C1323" t="s">
        <v>17</v>
      </c>
      <c r="D1323" t="s">
        <v>38</v>
      </c>
      <c r="E1323" t="s">
        <v>19</v>
      </c>
      <c r="F1323" t="s">
        <v>32</v>
      </c>
      <c r="O1323">
        <v>2047</v>
      </c>
      <c r="P1323">
        <v>1.3482492298090729</v>
      </c>
    </row>
    <row r="1324" spans="1:16" x14ac:dyDescent="0.3">
      <c r="A1324" t="str">
        <f t="shared" si="20"/>
        <v>PD|TotalCapacityAnnual|RE1|PWRSOLUGE|2047</v>
      </c>
      <c r="B1324" t="s">
        <v>16</v>
      </c>
      <c r="C1324" t="s">
        <v>17</v>
      </c>
      <c r="D1324" t="s">
        <v>38</v>
      </c>
      <c r="E1324" t="s">
        <v>19</v>
      </c>
      <c r="F1324" t="s">
        <v>33</v>
      </c>
      <c r="O1324">
        <v>2047</v>
      </c>
      <c r="P1324">
        <v>191.79189199999999</v>
      </c>
    </row>
    <row r="1325" spans="1:16" x14ac:dyDescent="0.3">
      <c r="A1325" t="str">
        <f t="shared" si="20"/>
        <v>PD|TotalCapacityAnnual|RE1|PWRSOLUPE|2047</v>
      </c>
      <c r="B1325" t="s">
        <v>16</v>
      </c>
      <c r="C1325" t="s">
        <v>17</v>
      </c>
      <c r="D1325" t="s">
        <v>38</v>
      </c>
      <c r="E1325" t="s">
        <v>19</v>
      </c>
      <c r="F1325" t="s">
        <v>34</v>
      </c>
      <c r="O1325">
        <v>2047</v>
      </c>
      <c r="P1325">
        <v>12.14419823999993</v>
      </c>
    </row>
    <row r="1326" spans="1:16" x14ac:dyDescent="0.3">
      <c r="A1326" t="str">
        <f t="shared" si="20"/>
        <v>PD|TotalCapacityAnnual|RE1|PWRSTD|2047</v>
      </c>
      <c r="B1326" t="s">
        <v>16</v>
      </c>
      <c r="C1326" t="s">
        <v>17</v>
      </c>
      <c r="D1326" t="s">
        <v>38</v>
      </c>
      <c r="E1326" t="s">
        <v>19</v>
      </c>
      <c r="F1326" t="s">
        <v>35</v>
      </c>
      <c r="O1326">
        <v>2047</v>
      </c>
      <c r="P1326">
        <v>8.163062064</v>
      </c>
    </row>
    <row r="1327" spans="1:16" x14ac:dyDescent="0.3">
      <c r="A1327" t="str">
        <f t="shared" si="20"/>
        <v>PD|TotalCapacityAnnual|RE1|PWRWNDONS|2047</v>
      </c>
      <c r="B1327" t="s">
        <v>16</v>
      </c>
      <c r="C1327" t="s">
        <v>17</v>
      </c>
      <c r="D1327" t="s">
        <v>38</v>
      </c>
      <c r="E1327" t="s">
        <v>19</v>
      </c>
      <c r="F1327" t="s">
        <v>36</v>
      </c>
      <c r="O1327">
        <v>2047</v>
      </c>
      <c r="P1327">
        <v>393.09939900181581</v>
      </c>
    </row>
    <row r="1328" spans="1:16" x14ac:dyDescent="0.3">
      <c r="A1328" t="str">
        <f t="shared" si="20"/>
        <v>PD|AccumulatedNewCapacity|RE1|PWRBGS|2048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O1328">
        <v>2048</v>
      </c>
    </row>
    <row r="1329" spans="1:16" x14ac:dyDescent="0.3">
      <c r="A1329" t="str">
        <f t="shared" si="20"/>
        <v>PD|AccumulatedNewCapacity|RE1|PWRCOA|2048</v>
      </c>
      <c r="B1329" t="s">
        <v>16</v>
      </c>
      <c r="C1329" t="s">
        <v>17</v>
      </c>
      <c r="D1329" t="s">
        <v>18</v>
      </c>
      <c r="E1329" t="s">
        <v>19</v>
      </c>
      <c r="F1329" t="s">
        <v>21</v>
      </c>
      <c r="O1329">
        <v>2048</v>
      </c>
    </row>
    <row r="1330" spans="1:16" x14ac:dyDescent="0.3">
      <c r="A1330" t="str">
        <f t="shared" si="20"/>
        <v>PD|AccumulatedNewCapacity|RE1|PWRDSL|2048</v>
      </c>
      <c r="B1330" t="s">
        <v>16</v>
      </c>
      <c r="C1330" t="s">
        <v>17</v>
      </c>
      <c r="D1330" t="s">
        <v>18</v>
      </c>
      <c r="E1330" t="s">
        <v>19</v>
      </c>
      <c r="F1330" t="s">
        <v>22</v>
      </c>
      <c r="O1330">
        <v>2048</v>
      </c>
    </row>
    <row r="1331" spans="1:16" x14ac:dyDescent="0.3">
      <c r="A1331" t="str">
        <f t="shared" si="20"/>
        <v>PD|AccumulatedNewCapacity|RE1|PWRFOL|2048</v>
      </c>
      <c r="B1331" t="s">
        <v>16</v>
      </c>
      <c r="C1331" t="s">
        <v>17</v>
      </c>
      <c r="D1331" t="s">
        <v>18</v>
      </c>
      <c r="E1331" t="s">
        <v>19</v>
      </c>
      <c r="F1331" t="s">
        <v>23</v>
      </c>
      <c r="O1331">
        <v>2048</v>
      </c>
    </row>
    <row r="1332" spans="1:16" x14ac:dyDescent="0.3">
      <c r="A1332" t="str">
        <f t="shared" si="20"/>
        <v>PD|AccumulatedNewCapacity|RE1|PWRHYDDAM|2048</v>
      </c>
      <c r="B1332" t="s">
        <v>16</v>
      </c>
      <c r="C1332" t="s">
        <v>17</v>
      </c>
      <c r="D1332" t="s">
        <v>18</v>
      </c>
      <c r="E1332" t="s">
        <v>19</v>
      </c>
      <c r="F1332" t="s">
        <v>24</v>
      </c>
      <c r="O1332">
        <v>2048</v>
      </c>
      <c r="P1332">
        <v>37.840000000000003</v>
      </c>
    </row>
    <row r="1333" spans="1:16" x14ac:dyDescent="0.3">
      <c r="A1333" t="str">
        <f t="shared" si="20"/>
        <v>PD|AccumulatedNewCapacity|RE1|PWRHYDROR|2048</v>
      </c>
      <c r="B1333" t="s">
        <v>16</v>
      </c>
      <c r="C1333" t="s">
        <v>17</v>
      </c>
      <c r="D1333" t="s">
        <v>18</v>
      </c>
      <c r="E1333" t="s">
        <v>19</v>
      </c>
      <c r="F1333" t="s">
        <v>25</v>
      </c>
      <c r="O1333">
        <v>2048</v>
      </c>
    </row>
    <row r="1334" spans="1:16" x14ac:dyDescent="0.3">
      <c r="A1334" t="str">
        <f t="shared" si="20"/>
        <v>PD|AccumulatedNewCapacity|RE1|PWRHYDROR_NDC|2048</v>
      </c>
      <c r="B1334" t="s">
        <v>16</v>
      </c>
      <c r="C1334" t="s">
        <v>17</v>
      </c>
      <c r="D1334" t="s">
        <v>18</v>
      </c>
      <c r="E1334" t="s">
        <v>19</v>
      </c>
      <c r="F1334" t="s">
        <v>26</v>
      </c>
      <c r="O1334">
        <v>2048</v>
      </c>
    </row>
    <row r="1335" spans="1:16" x14ac:dyDescent="0.3">
      <c r="A1335" t="str">
        <f t="shared" si="20"/>
        <v>PD|AccumulatedNewCapacity|RE1|PWRJET|2048</v>
      </c>
      <c r="B1335" t="s">
        <v>16</v>
      </c>
      <c r="C1335" t="s">
        <v>17</v>
      </c>
      <c r="D1335" t="s">
        <v>18</v>
      </c>
      <c r="E1335" t="s">
        <v>19</v>
      </c>
      <c r="F1335" t="s">
        <v>27</v>
      </c>
      <c r="O1335">
        <v>2048</v>
      </c>
    </row>
    <row r="1336" spans="1:16" x14ac:dyDescent="0.3">
      <c r="A1336" t="str">
        <f t="shared" si="20"/>
        <v>PD|AccumulatedNewCapacity|RE1|PWRLPG|2048</v>
      </c>
      <c r="B1336" t="s">
        <v>16</v>
      </c>
      <c r="C1336" t="s">
        <v>17</v>
      </c>
      <c r="D1336" t="s">
        <v>18</v>
      </c>
      <c r="E1336" t="s">
        <v>19</v>
      </c>
      <c r="F1336" t="s">
        <v>28</v>
      </c>
      <c r="O1336">
        <v>2048</v>
      </c>
    </row>
    <row r="1337" spans="1:16" x14ac:dyDescent="0.3">
      <c r="A1337" t="str">
        <f t="shared" si="20"/>
        <v>PD|AccumulatedNewCapacity|RE1|PWRNGS_CC|2048</v>
      </c>
      <c r="B1337" t="s">
        <v>16</v>
      </c>
      <c r="C1337" t="s">
        <v>17</v>
      </c>
      <c r="D1337" t="s">
        <v>18</v>
      </c>
      <c r="E1337" t="s">
        <v>19</v>
      </c>
      <c r="F1337" t="s">
        <v>29</v>
      </c>
      <c r="O1337">
        <v>2048</v>
      </c>
    </row>
    <row r="1338" spans="1:16" x14ac:dyDescent="0.3">
      <c r="A1338" t="str">
        <f t="shared" si="20"/>
        <v>PD|AccumulatedNewCapacity|RE1|PWRNGS_CS|2048</v>
      </c>
      <c r="B1338" t="s">
        <v>16</v>
      </c>
      <c r="C1338" t="s">
        <v>17</v>
      </c>
      <c r="D1338" t="s">
        <v>18</v>
      </c>
      <c r="E1338" t="s">
        <v>19</v>
      </c>
      <c r="F1338" t="s">
        <v>30</v>
      </c>
      <c r="O1338">
        <v>2048</v>
      </c>
    </row>
    <row r="1339" spans="1:16" x14ac:dyDescent="0.3">
      <c r="A1339" t="str">
        <f t="shared" si="20"/>
        <v>PD|AccumulatedNewCapacity|RE1|PWRSOLRTP|2048</v>
      </c>
      <c r="B1339" t="s">
        <v>16</v>
      </c>
      <c r="C1339" t="s">
        <v>17</v>
      </c>
      <c r="D1339" t="s">
        <v>18</v>
      </c>
      <c r="E1339" t="s">
        <v>19</v>
      </c>
      <c r="F1339" t="s">
        <v>31</v>
      </c>
      <c r="O1339">
        <v>2048</v>
      </c>
      <c r="P1339">
        <v>116.4993468611287</v>
      </c>
    </row>
    <row r="1340" spans="1:16" x14ac:dyDescent="0.3">
      <c r="A1340" t="str">
        <f t="shared" si="20"/>
        <v>PD|AccumulatedNewCapacity|RE1|PWRSOLRTP_ZNI|2048</v>
      </c>
      <c r="B1340" t="s">
        <v>16</v>
      </c>
      <c r="C1340" t="s">
        <v>17</v>
      </c>
      <c r="D1340" t="s">
        <v>18</v>
      </c>
      <c r="E1340" t="s">
        <v>19</v>
      </c>
      <c r="F1340" t="s">
        <v>32</v>
      </c>
      <c r="O1340">
        <v>2048</v>
      </c>
      <c r="P1340">
        <v>0.88750826980907294</v>
      </c>
    </row>
    <row r="1341" spans="1:16" x14ac:dyDescent="0.3">
      <c r="A1341" t="str">
        <f t="shared" si="20"/>
        <v>PD|AccumulatedNewCapacity|RE1|PWRSOLUGE|2048</v>
      </c>
      <c r="B1341" t="s">
        <v>16</v>
      </c>
      <c r="C1341" t="s">
        <v>17</v>
      </c>
      <c r="D1341" t="s">
        <v>18</v>
      </c>
      <c r="E1341" t="s">
        <v>19</v>
      </c>
      <c r="F1341" t="s">
        <v>33</v>
      </c>
      <c r="O1341">
        <v>2048</v>
      </c>
      <c r="P1341">
        <v>143.394192</v>
      </c>
    </row>
    <row r="1342" spans="1:16" x14ac:dyDescent="0.3">
      <c r="A1342" t="str">
        <f t="shared" si="20"/>
        <v>PD|AccumulatedNewCapacity|RE1|PWRSOLUPE|2048</v>
      </c>
      <c r="B1342" t="s">
        <v>16</v>
      </c>
      <c r="C1342" t="s">
        <v>17</v>
      </c>
      <c r="D1342" t="s">
        <v>18</v>
      </c>
      <c r="E1342" t="s">
        <v>19</v>
      </c>
      <c r="F1342" t="s">
        <v>34</v>
      </c>
      <c r="O1342">
        <v>2048</v>
      </c>
      <c r="P1342">
        <v>12.14419823999993</v>
      </c>
    </row>
    <row r="1343" spans="1:16" x14ac:dyDescent="0.3">
      <c r="A1343" t="str">
        <f t="shared" si="20"/>
        <v>PD|AccumulatedNewCapacity|RE1|PWRSTD|2048</v>
      </c>
      <c r="B1343" t="s">
        <v>16</v>
      </c>
      <c r="C1343" t="s">
        <v>17</v>
      </c>
      <c r="D1343" t="s">
        <v>18</v>
      </c>
      <c r="E1343" t="s">
        <v>19</v>
      </c>
      <c r="F1343" t="s">
        <v>35</v>
      </c>
      <c r="O1343">
        <v>2048</v>
      </c>
    </row>
    <row r="1344" spans="1:16" x14ac:dyDescent="0.3">
      <c r="A1344" t="str">
        <f t="shared" si="20"/>
        <v>PD|AccumulatedNewCapacity|RE1|PWRWNDONS|2048</v>
      </c>
      <c r="B1344" t="s">
        <v>16</v>
      </c>
      <c r="C1344" t="s">
        <v>17</v>
      </c>
      <c r="D1344" t="s">
        <v>18</v>
      </c>
      <c r="E1344" t="s">
        <v>19</v>
      </c>
      <c r="F1344" t="s">
        <v>36</v>
      </c>
      <c r="O1344">
        <v>2048</v>
      </c>
      <c r="P1344">
        <v>439.04073660181581</v>
      </c>
    </row>
    <row r="1345" spans="1:16" x14ac:dyDescent="0.3">
      <c r="A1345" t="str">
        <f t="shared" si="20"/>
        <v>PD|NewCapacity|RE1|PWRBGS|2048</v>
      </c>
      <c r="B1345" t="s">
        <v>16</v>
      </c>
      <c r="C1345" t="s">
        <v>17</v>
      </c>
      <c r="D1345" t="s">
        <v>37</v>
      </c>
      <c r="E1345" t="s">
        <v>19</v>
      </c>
      <c r="F1345" t="s">
        <v>20</v>
      </c>
      <c r="O1345">
        <v>2048</v>
      </c>
    </row>
    <row r="1346" spans="1:16" x14ac:dyDescent="0.3">
      <c r="A1346" t="str">
        <f t="shared" ref="A1346:A1409" si="21">B1346&amp;"|"&amp;D1346&amp;"|"&amp;E1346&amp;"|"&amp;F1346&amp;"|"&amp;O1346</f>
        <v>PD|NewCapacity|RE1|PWRCOA|2048</v>
      </c>
      <c r="B1346" t="s">
        <v>16</v>
      </c>
      <c r="C1346" t="s">
        <v>17</v>
      </c>
      <c r="D1346" t="s">
        <v>37</v>
      </c>
      <c r="E1346" t="s">
        <v>19</v>
      </c>
      <c r="F1346" t="s">
        <v>21</v>
      </c>
      <c r="O1346">
        <v>2048</v>
      </c>
    </row>
    <row r="1347" spans="1:16" x14ac:dyDescent="0.3">
      <c r="A1347" t="str">
        <f t="shared" si="21"/>
        <v>PD|NewCapacity|RE1|PWRDSL|2048</v>
      </c>
      <c r="B1347" t="s">
        <v>16</v>
      </c>
      <c r="C1347" t="s">
        <v>17</v>
      </c>
      <c r="D1347" t="s">
        <v>37</v>
      </c>
      <c r="E1347" t="s">
        <v>19</v>
      </c>
      <c r="F1347" t="s">
        <v>22</v>
      </c>
      <c r="O1347">
        <v>2048</v>
      </c>
    </row>
    <row r="1348" spans="1:16" x14ac:dyDescent="0.3">
      <c r="A1348" t="str">
        <f t="shared" si="21"/>
        <v>PD|NewCapacity|RE1|PWRFOL|2048</v>
      </c>
      <c r="B1348" t="s">
        <v>16</v>
      </c>
      <c r="C1348" t="s">
        <v>17</v>
      </c>
      <c r="D1348" t="s">
        <v>37</v>
      </c>
      <c r="E1348" t="s">
        <v>19</v>
      </c>
      <c r="F1348" t="s">
        <v>23</v>
      </c>
      <c r="O1348">
        <v>2048</v>
      </c>
    </row>
    <row r="1349" spans="1:16" x14ac:dyDescent="0.3">
      <c r="A1349" t="str">
        <f t="shared" si="21"/>
        <v>PD|NewCapacity|RE1|PWRHYDDAM|2048</v>
      </c>
      <c r="B1349" t="s">
        <v>16</v>
      </c>
      <c r="C1349" t="s">
        <v>17</v>
      </c>
      <c r="D1349" t="s">
        <v>37</v>
      </c>
      <c r="E1349" t="s">
        <v>19</v>
      </c>
      <c r="F1349" t="s">
        <v>24</v>
      </c>
      <c r="O1349">
        <v>2048</v>
      </c>
    </row>
    <row r="1350" spans="1:16" x14ac:dyDescent="0.3">
      <c r="A1350" t="str">
        <f t="shared" si="21"/>
        <v>PD|NewCapacity|RE1|PWRHYDROR|2048</v>
      </c>
      <c r="B1350" t="s">
        <v>16</v>
      </c>
      <c r="C1350" t="s">
        <v>17</v>
      </c>
      <c r="D1350" t="s">
        <v>37</v>
      </c>
      <c r="E1350" t="s">
        <v>19</v>
      </c>
      <c r="F1350" t="s">
        <v>25</v>
      </c>
      <c r="O1350">
        <v>2048</v>
      </c>
    </row>
    <row r="1351" spans="1:16" x14ac:dyDescent="0.3">
      <c r="A1351" t="str">
        <f t="shared" si="21"/>
        <v>PD|NewCapacity|RE1|PWRHYDROR_NDC|2048</v>
      </c>
      <c r="B1351" t="s">
        <v>16</v>
      </c>
      <c r="C1351" t="s">
        <v>17</v>
      </c>
      <c r="D1351" t="s">
        <v>37</v>
      </c>
      <c r="E1351" t="s">
        <v>19</v>
      </c>
      <c r="F1351" t="s">
        <v>26</v>
      </c>
      <c r="O1351">
        <v>2048</v>
      </c>
    </row>
    <row r="1352" spans="1:16" x14ac:dyDescent="0.3">
      <c r="A1352" t="str">
        <f t="shared" si="21"/>
        <v>PD|NewCapacity|RE1|PWRJET|2048</v>
      </c>
      <c r="B1352" t="s">
        <v>16</v>
      </c>
      <c r="C1352" t="s">
        <v>17</v>
      </c>
      <c r="D1352" t="s">
        <v>37</v>
      </c>
      <c r="E1352" t="s">
        <v>19</v>
      </c>
      <c r="F1352" t="s">
        <v>27</v>
      </c>
      <c r="O1352">
        <v>2048</v>
      </c>
    </row>
    <row r="1353" spans="1:16" x14ac:dyDescent="0.3">
      <c r="A1353" t="str">
        <f t="shared" si="21"/>
        <v>PD|NewCapacity|RE1|PWRLPG|2048</v>
      </c>
      <c r="B1353" t="s">
        <v>16</v>
      </c>
      <c r="C1353" t="s">
        <v>17</v>
      </c>
      <c r="D1353" t="s">
        <v>37</v>
      </c>
      <c r="E1353" t="s">
        <v>19</v>
      </c>
      <c r="F1353" t="s">
        <v>28</v>
      </c>
      <c r="O1353">
        <v>2048</v>
      </c>
    </row>
    <row r="1354" spans="1:16" x14ac:dyDescent="0.3">
      <c r="A1354" t="str">
        <f t="shared" si="21"/>
        <v>PD|NewCapacity|RE1|PWRNGS_CC|2048</v>
      </c>
      <c r="B1354" t="s">
        <v>16</v>
      </c>
      <c r="C1354" t="s">
        <v>17</v>
      </c>
      <c r="D1354" t="s">
        <v>37</v>
      </c>
      <c r="E1354" t="s">
        <v>19</v>
      </c>
      <c r="F1354" t="s">
        <v>29</v>
      </c>
      <c r="O1354">
        <v>2048</v>
      </c>
    </row>
    <row r="1355" spans="1:16" x14ac:dyDescent="0.3">
      <c r="A1355" t="str">
        <f t="shared" si="21"/>
        <v>PD|NewCapacity|RE1|PWRNGS_CS|2048</v>
      </c>
      <c r="B1355" t="s">
        <v>16</v>
      </c>
      <c r="C1355" t="s">
        <v>17</v>
      </c>
      <c r="D1355" t="s">
        <v>37</v>
      </c>
      <c r="E1355" t="s">
        <v>19</v>
      </c>
      <c r="F1355" t="s">
        <v>30</v>
      </c>
      <c r="O1355">
        <v>2048</v>
      </c>
    </row>
    <row r="1356" spans="1:16" x14ac:dyDescent="0.3">
      <c r="A1356" t="str">
        <f t="shared" si="21"/>
        <v>PD|NewCapacity|RE1|PWRSOLRTP|2048</v>
      </c>
      <c r="B1356" t="s">
        <v>16</v>
      </c>
      <c r="C1356" t="s">
        <v>17</v>
      </c>
      <c r="D1356" t="s">
        <v>37</v>
      </c>
      <c r="E1356" t="s">
        <v>19</v>
      </c>
      <c r="F1356" t="s">
        <v>31</v>
      </c>
      <c r="O1356">
        <v>2048</v>
      </c>
      <c r="P1356">
        <v>1.426759670259987</v>
      </c>
    </row>
    <row r="1357" spans="1:16" x14ac:dyDescent="0.3">
      <c r="A1357" t="str">
        <f t="shared" si="21"/>
        <v>PD|NewCapacity|RE1|PWRSOLRTP_ZNI|2048</v>
      </c>
      <c r="B1357" t="s">
        <v>16</v>
      </c>
      <c r="C1357" t="s">
        <v>17</v>
      </c>
      <c r="D1357" t="s">
        <v>37</v>
      </c>
      <c r="E1357" t="s">
        <v>19</v>
      </c>
      <c r="F1357" t="s">
        <v>32</v>
      </c>
      <c r="O1357">
        <v>2048</v>
      </c>
    </row>
    <row r="1358" spans="1:16" x14ac:dyDescent="0.3">
      <c r="A1358" t="str">
        <f t="shared" si="21"/>
        <v>PD|NewCapacity|RE1|PWRSOLUGE|2048</v>
      </c>
      <c r="B1358" t="s">
        <v>16</v>
      </c>
      <c r="C1358" t="s">
        <v>17</v>
      </c>
      <c r="D1358" t="s">
        <v>37</v>
      </c>
      <c r="E1358" t="s">
        <v>19</v>
      </c>
      <c r="F1358" t="s">
        <v>33</v>
      </c>
      <c r="O1358">
        <v>2048</v>
      </c>
    </row>
    <row r="1359" spans="1:16" x14ac:dyDescent="0.3">
      <c r="A1359" t="str">
        <f t="shared" si="21"/>
        <v>PD|NewCapacity|RE1|PWRSOLUPE|2048</v>
      </c>
      <c r="B1359" t="s">
        <v>16</v>
      </c>
      <c r="C1359" t="s">
        <v>17</v>
      </c>
      <c r="D1359" t="s">
        <v>37</v>
      </c>
      <c r="E1359" t="s">
        <v>19</v>
      </c>
      <c r="F1359" t="s">
        <v>34</v>
      </c>
      <c r="O1359">
        <v>2048</v>
      </c>
    </row>
    <row r="1360" spans="1:16" x14ac:dyDescent="0.3">
      <c r="A1360" t="str">
        <f t="shared" si="21"/>
        <v>PD|NewCapacity|RE1|PWRSTD|2048</v>
      </c>
      <c r="B1360" t="s">
        <v>16</v>
      </c>
      <c r="C1360" t="s">
        <v>17</v>
      </c>
      <c r="D1360" t="s">
        <v>37</v>
      </c>
      <c r="E1360" t="s">
        <v>19</v>
      </c>
      <c r="F1360" t="s">
        <v>35</v>
      </c>
      <c r="O1360">
        <v>2048</v>
      </c>
    </row>
    <row r="1361" spans="1:16" x14ac:dyDescent="0.3">
      <c r="A1361" t="str">
        <f t="shared" si="21"/>
        <v>PD|NewCapacity|RE1|PWRWNDONS|2048</v>
      </c>
      <c r="B1361" t="s">
        <v>16</v>
      </c>
      <c r="C1361" t="s">
        <v>17</v>
      </c>
      <c r="D1361" t="s">
        <v>37</v>
      </c>
      <c r="E1361" t="s">
        <v>19</v>
      </c>
      <c r="F1361" t="s">
        <v>36</v>
      </c>
      <c r="O1361">
        <v>2048</v>
      </c>
      <c r="P1361">
        <v>47.31</v>
      </c>
    </row>
    <row r="1362" spans="1:16" x14ac:dyDescent="0.3">
      <c r="A1362" t="str">
        <f t="shared" si="21"/>
        <v>PD|TotalCapacityAnnual|RE1|PWRBGS|2048</v>
      </c>
      <c r="B1362" t="s">
        <v>16</v>
      </c>
      <c r="C1362" t="s">
        <v>17</v>
      </c>
      <c r="D1362" t="s">
        <v>38</v>
      </c>
      <c r="E1362" t="s">
        <v>19</v>
      </c>
      <c r="F1362" t="s">
        <v>20</v>
      </c>
      <c r="O1362">
        <v>2048</v>
      </c>
      <c r="P1362">
        <v>2.5488587520000001E-2</v>
      </c>
    </row>
    <row r="1363" spans="1:16" x14ac:dyDescent="0.3">
      <c r="A1363" t="str">
        <f t="shared" si="21"/>
        <v>PD|TotalCapacityAnnual|RE1|PWRCOA|2048</v>
      </c>
      <c r="B1363" t="s">
        <v>16</v>
      </c>
      <c r="C1363" t="s">
        <v>17</v>
      </c>
      <c r="D1363" t="s">
        <v>38</v>
      </c>
      <c r="E1363" t="s">
        <v>19</v>
      </c>
      <c r="F1363" t="s">
        <v>21</v>
      </c>
      <c r="O1363">
        <v>2048</v>
      </c>
    </row>
    <row r="1364" spans="1:16" x14ac:dyDescent="0.3">
      <c r="A1364" t="str">
        <f t="shared" si="21"/>
        <v>PD|TotalCapacityAnnual|RE1|PWRDSL|2048</v>
      </c>
      <c r="B1364" t="s">
        <v>16</v>
      </c>
      <c r="C1364" t="s">
        <v>17</v>
      </c>
      <c r="D1364" t="s">
        <v>38</v>
      </c>
      <c r="E1364" t="s">
        <v>19</v>
      </c>
      <c r="F1364" t="s">
        <v>22</v>
      </c>
      <c r="O1364">
        <v>2048</v>
      </c>
      <c r="P1364">
        <v>24.944976</v>
      </c>
    </row>
    <row r="1365" spans="1:16" x14ac:dyDescent="0.3">
      <c r="A1365" t="str">
        <f t="shared" si="21"/>
        <v>PD|TotalCapacityAnnual|RE1|PWRFOL|2048</v>
      </c>
      <c r="B1365" t="s">
        <v>16</v>
      </c>
      <c r="C1365" t="s">
        <v>17</v>
      </c>
      <c r="D1365" t="s">
        <v>38</v>
      </c>
      <c r="E1365" t="s">
        <v>19</v>
      </c>
      <c r="F1365" t="s">
        <v>23</v>
      </c>
      <c r="O1365">
        <v>2048</v>
      </c>
      <c r="P1365">
        <v>8.3885759999999987</v>
      </c>
    </row>
    <row r="1366" spans="1:16" x14ac:dyDescent="0.3">
      <c r="A1366" t="str">
        <f t="shared" si="21"/>
        <v>PD|TotalCapacityAnnual|RE1|PWRHYDDAM|2048</v>
      </c>
      <c r="B1366" t="s">
        <v>16</v>
      </c>
      <c r="C1366" t="s">
        <v>17</v>
      </c>
      <c r="D1366" t="s">
        <v>38</v>
      </c>
      <c r="E1366" t="s">
        <v>19</v>
      </c>
      <c r="F1366" t="s">
        <v>24</v>
      </c>
      <c r="O1366">
        <v>2048</v>
      </c>
      <c r="P1366">
        <v>440.49164800000011</v>
      </c>
    </row>
    <row r="1367" spans="1:16" x14ac:dyDescent="0.3">
      <c r="A1367" t="str">
        <f t="shared" si="21"/>
        <v>PD|TotalCapacityAnnual|RE1|PWRHYDROR|2048</v>
      </c>
      <c r="B1367" t="s">
        <v>16</v>
      </c>
      <c r="C1367" t="s">
        <v>17</v>
      </c>
      <c r="D1367" t="s">
        <v>38</v>
      </c>
      <c r="E1367" t="s">
        <v>19</v>
      </c>
      <c r="F1367" t="s">
        <v>25</v>
      </c>
      <c r="O1367">
        <v>2048</v>
      </c>
      <c r="P1367">
        <v>21.097584000000001</v>
      </c>
    </row>
    <row r="1368" spans="1:16" x14ac:dyDescent="0.3">
      <c r="A1368" t="str">
        <f t="shared" si="21"/>
        <v>PD|TotalCapacityAnnual|RE1|PWRHYDROR_NDC|2048</v>
      </c>
      <c r="B1368" t="s">
        <v>16</v>
      </c>
      <c r="C1368" t="s">
        <v>17</v>
      </c>
      <c r="D1368" t="s">
        <v>38</v>
      </c>
      <c r="E1368" t="s">
        <v>19</v>
      </c>
      <c r="F1368" t="s">
        <v>26</v>
      </c>
      <c r="O1368">
        <v>2048</v>
      </c>
      <c r="P1368">
        <v>29.725108271999989</v>
      </c>
    </row>
    <row r="1369" spans="1:16" x14ac:dyDescent="0.3">
      <c r="A1369" t="str">
        <f t="shared" si="21"/>
        <v>PD|TotalCapacityAnnual|RE1|PWRJET|2048</v>
      </c>
      <c r="B1369" t="s">
        <v>16</v>
      </c>
      <c r="C1369" t="s">
        <v>17</v>
      </c>
      <c r="D1369" t="s">
        <v>38</v>
      </c>
      <c r="E1369" t="s">
        <v>19</v>
      </c>
      <c r="F1369" t="s">
        <v>27</v>
      </c>
      <c r="O1369">
        <v>2048</v>
      </c>
      <c r="P1369">
        <v>1.5768</v>
      </c>
    </row>
    <row r="1370" spans="1:16" x14ac:dyDescent="0.3">
      <c r="A1370" t="str">
        <f t="shared" si="21"/>
        <v>PD|TotalCapacityAnnual|RE1|PWRLPG|2048</v>
      </c>
      <c r="B1370" t="s">
        <v>16</v>
      </c>
      <c r="C1370" t="s">
        <v>17</v>
      </c>
      <c r="D1370" t="s">
        <v>38</v>
      </c>
      <c r="E1370" t="s">
        <v>19</v>
      </c>
      <c r="F1370" t="s">
        <v>28</v>
      </c>
      <c r="O1370">
        <v>2048</v>
      </c>
      <c r="P1370">
        <v>1.639872</v>
      </c>
    </row>
    <row r="1371" spans="1:16" x14ac:dyDescent="0.3">
      <c r="A1371" t="str">
        <f t="shared" si="21"/>
        <v>PD|TotalCapacityAnnual|RE1|PWRNGS_CC|2048</v>
      </c>
      <c r="B1371" t="s">
        <v>16</v>
      </c>
      <c r="C1371" t="s">
        <v>17</v>
      </c>
      <c r="D1371" t="s">
        <v>38</v>
      </c>
      <c r="E1371" t="s">
        <v>19</v>
      </c>
      <c r="F1371" t="s">
        <v>29</v>
      </c>
      <c r="O1371">
        <v>2048</v>
      </c>
      <c r="P1371">
        <v>70.104500000000002</v>
      </c>
    </row>
    <row r="1372" spans="1:16" x14ac:dyDescent="0.3">
      <c r="A1372" t="str">
        <f t="shared" si="21"/>
        <v>PD|TotalCapacityAnnual|RE1|PWRNGS_CS|2048</v>
      </c>
      <c r="B1372" t="s">
        <v>16</v>
      </c>
      <c r="C1372" t="s">
        <v>17</v>
      </c>
      <c r="D1372" t="s">
        <v>38</v>
      </c>
      <c r="E1372" t="s">
        <v>19</v>
      </c>
      <c r="F1372" t="s">
        <v>30</v>
      </c>
      <c r="O1372">
        <v>2048</v>
      </c>
      <c r="P1372">
        <v>23.084351999999999</v>
      </c>
    </row>
    <row r="1373" spans="1:16" x14ac:dyDescent="0.3">
      <c r="A1373" t="str">
        <f t="shared" si="21"/>
        <v>PD|TotalCapacityAnnual|RE1|PWRSOLRTP|2048</v>
      </c>
      <c r="B1373" t="s">
        <v>16</v>
      </c>
      <c r="C1373" t="s">
        <v>17</v>
      </c>
      <c r="D1373" t="s">
        <v>38</v>
      </c>
      <c r="E1373" t="s">
        <v>19</v>
      </c>
      <c r="F1373" t="s">
        <v>31</v>
      </c>
      <c r="O1373">
        <v>2048</v>
      </c>
      <c r="P1373">
        <v>132.8397468611287</v>
      </c>
    </row>
    <row r="1374" spans="1:16" x14ac:dyDescent="0.3">
      <c r="A1374" t="str">
        <f t="shared" si="21"/>
        <v>PD|TotalCapacityAnnual|RE1|PWRSOLRTP_ZNI|2048</v>
      </c>
      <c r="B1374" t="s">
        <v>16</v>
      </c>
      <c r="C1374" t="s">
        <v>17</v>
      </c>
      <c r="D1374" t="s">
        <v>38</v>
      </c>
      <c r="E1374" t="s">
        <v>19</v>
      </c>
      <c r="F1374" t="s">
        <v>32</v>
      </c>
      <c r="O1374">
        <v>2048</v>
      </c>
      <c r="P1374">
        <v>1.3482492298090729</v>
      </c>
    </row>
    <row r="1375" spans="1:16" x14ac:dyDescent="0.3">
      <c r="A1375" t="str">
        <f t="shared" si="21"/>
        <v>PD|TotalCapacityAnnual|RE1|PWRSOLUGE|2048</v>
      </c>
      <c r="B1375" t="s">
        <v>16</v>
      </c>
      <c r="C1375" t="s">
        <v>17</v>
      </c>
      <c r="D1375" t="s">
        <v>38</v>
      </c>
      <c r="E1375" t="s">
        <v>19</v>
      </c>
      <c r="F1375" t="s">
        <v>33</v>
      </c>
      <c r="O1375">
        <v>2048</v>
      </c>
      <c r="P1375">
        <v>191.79189199999999</v>
      </c>
    </row>
    <row r="1376" spans="1:16" x14ac:dyDescent="0.3">
      <c r="A1376" t="str">
        <f t="shared" si="21"/>
        <v>PD|TotalCapacityAnnual|RE1|PWRSOLUPE|2048</v>
      </c>
      <c r="B1376" t="s">
        <v>16</v>
      </c>
      <c r="C1376" t="s">
        <v>17</v>
      </c>
      <c r="D1376" t="s">
        <v>38</v>
      </c>
      <c r="E1376" t="s">
        <v>19</v>
      </c>
      <c r="F1376" t="s">
        <v>34</v>
      </c>
      <c r="O1376">
        <v>2048</v>
      </c>
      <c r="P1376">
        <v>12.14419823999993</v>
      </c>
    </row>
    <row r="1377" spans="1:16" x14ac:dyDescent="0.3">
      <c r="A1377" t="str">
        <f t="shared" si="21"/>
        <v>PD|TotalCapacityAnnual|RE1|PWRSTD|2048</v>
      </c>
      <c r="B1377" t="s">
        <v>16</v>
      </c>
      <c r="C1377" t="s">
        <v>17</v>
      </c>
      <c r="D1377" t="s">
        <v>38</v>
      </c>
      <c r="E1377" t="s">
        <v>19</v>
      </c>
      <c r="F1377" t="s">
        <v>35</v>
      </c>
      <c r="O1377">
        <v>2048</v>
      </c>
      <c r="P1377">
        <v>8.163062064</v>
      </c>
    </row>
    <row r="1378" spans="1:16" x14ac:dyDescent="0.3">
      <c r="A1378" t="str">
        <f t="shared" si="21"/>
        <v>PD|TotalCapacityAnnual|RE1|PWRWNDONS|2048</v>
      </c>
      <c r="B1378" t="s">
        <v>16</v>
      </c>
      <c r="C1378" t="s">
        <v>17</v>
      </c>
      <c r="D1378" t="s">
        <v>38</v>
      </c>
      <c r="E1378" t="s">
        <v>19</v>
      </c>
      <c r="F1378" t="s">
        <v>36</v>
      </c>
      <c r="O1378">
        <v>2048</v>
      </c>
      <c r="P1378">
        <v>440.40939900181581</v>
      </c>
    </row>
    <row r="1379" spans="1:16" x14ac:dyDescent="0.3">
      <c r="A1379" t="str">
        <f t="shared" si="21"/>
        <v>PD|AccumulatedNewCapacity|RE1|PWRBGS|2049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O1379">
        <v>2049</v>
      </c>
    </row>
    <row r="1380" spans="1:16" x14ac:dyDescent="0.3">
      <c r="A1380" t="str">
        <f t="shared" si="21"/>
        <v>PD|AccumulatedNewCapacity|RE1|PWRCOA|2049</v>
      </c>
      <c r="B1380" t="s">
        <v>16</v>
      </c>
      <c r="C1380" t="s">
        <v>17</v>
      </c>
      <c r="D1380" t="s">
        <v>18</v>
      </c>
      <c r="E1380" t="s">
        <v>19</v>
      </c>
      <c r="F1380" t="s">
        <v>21</v>
      </c>
      <c r="O1380">
        <v>2049</v>
      </c>
    </row>
    <row r="1381" spans="1:16" x14ac:dyDescent="0.3">
      <c r="A1381" t="str">
        <f t="shared" si="21"/>
        <v>PD|AccumulatedNewCapacity|RE1|PWRDSL|2049</v>
      </c>
      <c r="B1381" t="s">
        <v>16</v>
      </c>
      <c r="C1381" t="s">
        <v>17</v>
      </c>
      <c r="D1381" t="s">
        <v>18</v>
      </c>
      <c r="E1381" t="s">
        <v>19</v>
      </c>
      <c r="F1381" t="s">
        <v>22</v>
      </c>
      <c r="O1381">
        <v>2049</v>
      </c>
    </row>
    <row r="1382" spans="1:16" x14ac:dyDescent="0.3">
      <c r="A1382" t="str">
        <f t="shared" si="21"/>
        <v>PD|AccumulatedNewCapacity|RE1|PWRFOL|2049</v>
      </c>
      <c r="B1382" t="s">
        <v>16</v>
      </c>
      <c r="C1382" t="s">
        <v>17</v>
      </c>
      <c r="D1382" t="s">
        <v>18</v>
      </c>
      <c r="E1382" t="s">
        <v>19</v>
      </c>
      <c r="F1382" t="s">
        <v>23</v>
      </c>
      <c r="O1382">
        <v>2049</v>
      </c>
    </row>
    <row r="1383" spans="1:16" x14ac:dyDescent="0.3">
      <c r="A1383" t="str">
        <f t="shared" si="21"/>
        <v>PD|AccumulatedNewCapacity|RE1|PWRHYDDAM|2049</v>
      </c>
      <c r="B1383" t="s">
        <v>16</v>
      </c>
      <c r="C1383" t="s">
        <v>17</v>
      </c>
      <c r="D1383" t="s">
        <v>18</v>
      </c>
      <c r="E1383" t="s">
        <v>19</v>
      </c>
      <c r="F1383" t="s">
        <v>24</v>
      </c>
      <c r="O1383">
        <v>2049</v>
      </c>
      <c r="P1383">
        <v>37.840000000000003</v>
      </c>
    </row>
    <row r="1384" spans="1:16" x14ac:dyDescent="0.3">
      <c r="A1384" t="str">
        <f t="shared" si="21"/>
        <v>PD|AccumulatedNewCapacity|RE1|PWRHYDROR|2049</v>
      </c>
      <c r="B1384" t="s">
        <v>16</v>
      </c>
      <c r="C1384" t="s">
        <v>17</v>
      </c>
      <c r="D1384" t="s">
        <v>18</v>
      </c>
      <c r="E1384" t="s">
        <v>19</v>
      </c>
      <c r="F1384" t="s">
        <v>25</v>
      </c>
      <c r="O1384">
        <v>2049</v>
      </c>
    </row>
    <row r="1385" spans="1:16" x14ac:dyDescent="0.3">
      <c r="A1385" t="str">
        <f t="shared" si="21"/>
        <v>PD|AccumulatedNewCapacity|RE1|PWRHYDROR_NDC|2049</v>
      </c>
      <c r="B1385" t="s">
        <v>16</v>
      </c>
      <c r="C1385" t="s">
        <v>17</v>
      </c>
      <c r="D1385" t="s">
        <v>18</v>
      </c>
      <c r="E1385" t="s">
        <v>19</v>
      </c>
      <c r="F1385" t="s">
        <v>26</v>
      </c>
      <c r="O1385">
        <v>2049</v>
      </c>
    </row>
    <row r="1386" spans="1:16" x14ac:dyDescent="0.3">
      <c r="A1386" t="str">
        <f t="shared" si="21"/>
        <v>PD|AccumulatedNewCapacity|RE1|PWRJET|2049</v>
      </c>
      <c r="B1386" t="s">
        <v>16</v>
      </c>
      <c r="C1386" t="s">
        <v>17</v>
      </c>
      <c r="D1386" t="s">
        <v>18</v>
      </c>
      <c r="E1386" t="s">
        <v>19</v>
      </c>
      <c r="F1386" t="s">
        <v>27</v>
      </c>
      <c r="O1386">
        <v>2049</v>
      </c>
    </row>
    <row r="1387" spans="1:16" x14ac:dyDescent="0.3">
      <c r="A1387" t="str">
        <f t="shared" si="21"/>
        <v>PD|AccumulatedNewCapacity|RE1|PWRLPG|2049</v>
      </c>
      <c r="B1387" t="s">
        <v>16</v>
      </c>
      <c r="C1387" t="s">
        <v>17</v>
      </c>
      <c r="D1387" t="s">
        <v>18</v>
      </c>
      <c r="E1387" t="s">
        <v>19</v>
      </c>
      <c r="F1387" t="s">
        <v>28</v>
      </c>
      <c r="O1387">
        <v>2049</v>
      </c>
    </row>
    <row r="1388" spans="1:16" x14ac:dyDescent="0.3">
      <c r="A1388" t="str">
        <f t="shared" si="21"/>
        <v>PD|AccumulatedNewCapacity|RE1|PWRNGS_CC|2049</v>
      </c>
      <c r="B1388" t="s">
        <v>16</v>
      </c>
      <c r="C1388" t="s">
        <v>17</v>
      </c>
      <c r="D1388" t="s">
        <v>18</v>
      </c>
      <c r="E1388" t="s">
        <v>19</v>
      </c>
      <c r="F1388" t="s">
        <v>29</v>
      </c>
      <c r="O1388">
        <v>2049</v>
      </c>
    </row>
    <row r="1389" spans="1:16" x14ac:dyDescent="0.3">
      <c r="A1389" t="str">
        <f t="shared" si="21"/>
        <v>PD|AccumulatedNewCapacity|RE1|PWRNGS_CS|2049</v>
      </c>
      <c r="B1389" t="s">
        <v>16</v>
      </c>
      <c r="C1389" t="s">
        <v>17</v>
      </c>
      <c r="D1389" t="s">
        <v>18</v>
      </c>
      <c r="E1389" t="s">
        <v>19</v>
      </c>
      <c r="F1389" t="s">
        <v>30</v>
      </c>
      <c r="O1389">
        <v>2049</v>
      </c>
    </row>
    <row r="1390" spans="1:16" x14ac:dyDescent="0.3">
      <c r="A1390" t="str">
        <f t="shared" si="21"/>
        <v>PD|AccumulatedNewCapacity|RE1|PWRSOLRTP|2049</v>
      </c>
      <c r="B1390" t="s">
        <v>16</v>
      </c>
      <c r="C1390" t="s">
        <v>17</v>
      </c>
      <c r="D1390" t="s">
        <v>18</v>
      </c>
      <c r="E1390" t="s">
        <v>19</v>
      </c>
      <c r="F1390" t="s">
        <v>31</v>
      </c>
      <c r="O1390">
        <v>2049</v>
      </c>
      <c r="P1390">
        <v>117.9261065313887</v>
      </c>
    </row>
    <row r="1391" spans="1:16" x14ac:dyDescent="0.3">
      <c r="A1391" t="str">
        <f t="shared" si="21"/>
        <v>PD|AccumulatedNewCapacity|RE1|PWRSOLRTP_ZNI|2049</v>
      </c>
      <c r="B1391" t="s">
        <v>16</v>
      </c>
      <c r="C1391" t="s">
        <v>17</v>
      </c>
      <c r="D1391" t="s">
        <v>18</v>
      </c>
      <c r="E1391" t="s">
        <v>19</v>
      </c>
      <c r="F1391" t="s">
        <v>32</v>
      </c>
      <c r="O1391">
        <v>2049</v>
      </c>
      <c r="P1391">
        <v>0.88750826980907294</v>
      </c>
    </row>
    <row r="1392" spans="1:16" x14ac:dyDescent="0.3">
      <c r="A1392" t="str">
        <f t="shared" si="21"/>
        <v>PD|AccumulatedNewCapacity|RE1|PWRSOLUGE|2049</v>
      </c>
      <c r="B1392" t="s">
        <v>16</v>
      </c>
      <c r="C1392" t="s">
        <v>17</v>
      </c>
      <c r="D1392" t="s">
        <v>18</v>
      </c>
      <c r="E1392" t="s">
        <v>19</v>
      </c>
      <c r="F1392" t="s">
        <v>33</v>
      </c>
      <c r="O1392">
        <v>2049</v>
      </c>
      <c r="P1392">
        <v>143.394192</v>
      </c>
    </row>
    <row r="1393" spans="1:16" x14ac:dyDescent="0.3">
      <c r="A1393" t="str">
        <f t="shared" si="21"/>
        <v>PD|AccumulatedNewCapacity|RE1|PWRSOLUPE|2049</v>
      </c>
      <c r="B1393" t="s">
        <v>16</v>
      </c>
      <c r="C1393" t="s">
        <v>17</v>
      </c>
      <c r="D1393" t="s">
        <v>18</v>
      </c>
      <c r="E1393" t="s">
        <v>19</v>
      </c>
      <c r="F1393" t="s">
        <v>34</v>
      </c>
      <c r="O1393">
        <v>2049</v>
      </c>
      <c r="P1393">
        <v>12.14419823999993</v>
      </c>
    </row>
    <row r="1394" spans="1:16" x14ac:dyDescent="0.3">
      <c r="A1394" t="str">
        <f t="shared" si="21"/>
        <v>PD|AccumulatedNewCapacity|RE1|PWRSTD|2049</v>
      </c>
      <c r="B1394" t="s">
        <v>16</v>
      </c>
      <c r="C1394" t="s">
        <v>17</v>
      </c>
      <c r="D1394" t="s">
        <v>18</v>
      </c>
      <c r="E1394" t="s">
        <v>19</v>
      </c>
      <c r="F1394" t="s">
        <v>35</v>
      </c>
      <c r="O1394">
        <v>2049</v>
      </c>
    </row>
    <row r="1395" spans="1:16" x14ac:dyDescent="0.3">
      <c r="A1395" t="str">
        <f t="shared" si="21"/>
        <v>PD|AccumulatedNewCapacity|RE1|PWRWNDONS|2049</v>
      </c>
      <c r="B1395" t="s">
        <v>16</v>
      </c>
      <c r="C1395" t="s">
        <v>17</v>
      </c>
      <c r="D1395" t="s">
        <v>18</v>
      </c>
      <c r="E1395" t="s">
        <v>19</v>
      </c>
      <c r="F1395" t="s">
        <v>36</v>
      </c>
      <c r="O1395">
        <v>2049</v>
      </c>
      <c r="P1395">
        <v>439.04073660181581</v>
      </c>
    </row>
    <row r="1396" spans="1:16" x14ac:dyDescent="0.3">
      <c r="A1396" t="str">
        <f t="shared" si="21"/>
        <v>PD|NewCapacity|RE1|PWRBGS|2049</v>
      </c>
      <c r="B1396" t="s">
        <v>16</v>
      </c>
      <c r="C1396" t="s">
        <v>17</v>
      </c>
      <c r="D1396" t="s">
        <v>37</v>
      </c>
      <c r="E1396" t="s">
        <v>19</v>
      </c>
      <c r="F1396" t="s">
        <v>20</v>
      </c>
      <c r="O1396">
        <v>2049</v>
      </c>
    </row>
    <row r="1397" spans="1:16" x14ac:dyDescent="0.3">
      <c r="A1397" t="str">
        <f t="shared" si="21"/>
        <v>PD|NewCapacity|RE1|PWRCOA|2049</v>
      </c>
      <c r="B1397" t="s">
        <v>16</v>
      </c>
      <c r="C1397" t="s">
        <v>17</v>
      </c>
      <c r="D1397" t="s">
        <v>37</v>
      </c>
      <c r="E1397" t="s">
        <v>19</v>
      </c>
      <c r="F1397" t="s">
        <v>21</v>
      </c>
      <c r="O1397">
        <v>2049</v>
      </c>
    </row>
    <row r="1398" spans="1:16" x14ac:dyDescent="0.3">
      <c r="A1398" t="str">
        <f t="shared" si="21"/>
        <v>PD|NewCapacity|RE1|PWRDSL|2049</v>
      </c>
      <c r="B1398" t="s">
        <v>16</v>
      </c>
      <c r="C1398" t="s">
        <v>17</v>
      </c>
      <c r="D1398" t="s">
        <v>37</v>
      </c>
      <c r="E1398" t="s">
        <v>19</v>
      </c>
      <c r="F1398" t="s">
        <v>22</v>
      </c>
      <c r="O1398">
        <v>2049</v>
      </c>
    </row>
    <row r="1399" spans="1:16" x14ac:dyDescent="0.3">
      <c r="A1399" t="str">
        <f t="shared" si="21"/>
        <v>PD|NewCapacity|RE1|PWRFOL|2049</v>
      </c>
      <c r="B1399" t="s">
        <v>16</v>
      </c>
      <c r="C1399" t="s">
        <v>17</v>
      </c>
      <c r="D1399" t="s">
        <v>37</v>
      </c>
      <c r="E1399" t="s">
        <v>19</v>
      </c>
      <c r="F1399" t="s">
        <v>23</v>
      </c>
      <c r="O1399">
        <v>2049</v>
      </c>
    </row>
    <row r="1400" spans="1:16" x14ac:dyDescent="0.3">
      <c r="A1400" t="str">
        <f t="shared" si="21"/>
        <v>PD|NewCapacity|RE1|PWRHYDDAM|2049</v>
      </c>
      <c r="B1400" t="s">
        <v>16</v>
      </c>
      <c r="C1400" t="s">
        <v>17</v>
      </c>
      <c r="D1400" t="s">
        <v>37</v>
      </c>
      <c r="E1400" t="s">
        <v>19</v>
      </c>
      <c r="F1400" t="s">
        <v>24</v>
      </c>
      <c r="O1400">
        <v>2049</v>
      </c>
    </row>
    <row r="1401" spans="1:16" x14ac:dyDescent="0.3">
      <c r="A1401" t="str">
        <f t="shared" si="21"/>
        <v>PD|NewCapacity|RE1|PWRHYDROR|2049</v>
      </c>
      <c r="B1401" t="s">
        <v>16</v>
      </c>
      <c r="C1401" t="s">
        <v>17</v>
      </c>
      <c r="D1401" t="s">
        <v>37</v>
      </c>
      <c r="E1401" t="s">
        <v>19</v>
      </c>
      <c r="F1401" t="s">
        <v>25</v>
      </c>
      <c r="O1401">
        <v>2049</v>
      </c>
    </row>
    <row r="1402" spans="1:16" x14ac:dyDescent="0.3">
      <c r="A1402" t="str">
        <f t="shared" si="21"/>
        <v>PD|NewCapacity|RE1|PWRHYDROR_NDC|2049</v>
      </c>
      <c r="B1402" t="s">
        <v>16</v>
      </c>
      <c r="C1402" t="s">
        <v>17</v>
      </c>
      <c r="D1402" t="s">
        <v>37</v>
      </c>
      <c r="E1402" t="s">
        <v>19</v>
      </c>
      <c r="F1402" t="s">
        <v>26</v>
      </c>
      <c r="O1402">
        <v>2049</v>
      </c>
    </row>
    <row r="1403" spans="1:16" x14ac:dyDescent="0.3">
      <c r="A1403" t="str">
        <f t="shared" si="21"/>
        <v>PD|NewCapacity|RE1|PWRJET|2049</v>
      </c>
      <c r="B1403" t="s">
        <v>16</v>
      </c>
      <c r="C1403" t="s">
        <v>17</v>
      </c>
      <c r="D1403" t="s">
        <v>37</v>
      </c>
      <c r="E1403" t="s">
        <v>19</v>
      </c>
      <c r="F1403" t="s">
        <v>27</v>
      </c>
      <c r="O1403">
        <v>2049</v>
      </c>
    </row>
    <row r="1404" spans="1:16" x14ac:dyDescent="0.3">
      <c r="A1404" t="str">
        <f t="shared" si="21"/>
        <v>PD|NewCapacity|RE1|PWRLPG|2049</v>
      </c>
      <c r="B1404" t="s">
        <v>16</v>
      </c>
      <c r="C1404" t="s">
        <v>17</v>
      </c>
      <c r="D1404" t="s">
        <v>37</v>
      </c>
      <c r="E1404" t="s">
        <v>19</v>
      </c>
      <c r="F1404" t="s">
        <v>28</v>
      </c>
      <c r="O1404">
        <v>2049</v>
      </c>
    </row>
    <row r="1405" spans="1:16" x14ac:dyDescent="0.3">
      <c r="A1405" t="str">
        <f t="shared" si="21"/>
        <v>PD|NewCapacity|RE1|PWRNGS_CC|2049</v>
      </c>
      <c r="B1405" t="s">
        <v>16</v>
      </c>
      <c r="C1405" t="s">
        <v>17</v>
      </c>
      <c r="D1405" t="s">
        <v>37</v>
      </c>
      <c r="E1405" t="s">
        <v>19</v>
      </c>
      <c r="F1405" t="s">
        <v>29</v>
      </c>
      <c r="O1405">
        <v>2049</v>
      </c>
    </row>
    <row r="1406" spans="1:16" x14ac:dyDescent="0.3">
      <c r="A1406" t="str">
        <f t="shared" si="21"/>
        <v>PD|NewCapacity|RE1|PWRNGS_CS|2049</v>
      </c>
      <c r="B1406" t="s">
        <v>16</v>
      </c>
      <c r="C1406" t="s">
        <v>17</v>
      </c>
      <c r="D1406" t="s">
        <v>37</v>
      </c>
      <c r="E1406" t="s">
        <v>19</v>
      </c>
      <c r="F1406" t="s">
        <v>30</v>
      </c>
      <c r="O1406">
        <v>2049</v>
      </c>
    </row>
    <row r="1407" spans="1:16" x14ac:dyDescent="0.3">
      <c r="A1407" t="str">
        <f t="shared" si="21"/>
        <v>PD|NewCapacity|RE1|PWRSOLRTP|2049</v>
      </c>
      <c r="B1407" t="s">
        <v>16</v>
      </c>
      <c r="C1407" t="s">
        <v>17</v>
      </c>
      <c r="D1407" t="s">
        <v>37</v>
      </c>
      <c r="E1407" t="s">
        <v>19</v>
      </c>
      <c r="F1407" t="s">
        <v>31</v>
      </c>
      <c r="O1407">
        <v>2049</v>
      </c>
      <c r="P1407">
        <v>1.426759670259987</v>
      </c>
    </row>
    <row r="1408" spans="1:16" x14ac:dyDescent="0.3">
      <c r="A1408" t="str">
        <f t="shared" si="21"/>
        <v>PD|NewCapacity|RE1|PWRSOLRTP_ZNI|2049</v>
      </c>
      <c r="B1408" t="s">
        <v>16</v>
      </c>
      <c r="C1408" t="s">
        <v>17</v>
      </c>
      <c r="D1408" t="s">
        <v>37</v>
      </c>
      <c r="E1408" t="s">
        <v>19</v>
      </c>
      <c r="F1408" t="s">
        <v>32</v>
      </c>
      <c r="O1408">
        <v>2049</v>
      </c>
    </row>
    <row r="1409" spans="1:16" x14ac:dyDescent="0.3">
      <c r="A1409" t="str">
        <f t="shared" si="21"/>
        <v>PD|NewCapacity|RE1|PWRSOLUGE|2049</v>
      </c>
      <c r="B1409" t="s">
        <v>16</v>
      </c>
      <c r="C1409" t="s">
        <v>17</v>
      </c>
      <c r="D1409" t="s">
        <v>37</v>
      </c>
      <c r="E1409" t="s">
        <v>19</v>
      </c>
      <c r="F1409" t="s">
        <v>33</v>
      </c>
      <c r="O1409">
        <v>2049</v>
      </c>
    </row>
    <row r="1410" spans="1:16" x14ac:dyDescent="0.3">
      <c r="A1410" t="str">
        <f t="shared" ref="A1410:A1473" si="22">B1410&amp;"|"&amp;D1410&amp;"|"&amp;E1410&amp;"|"&amp;F1410&amp;"|"&amp;O1410</f>
        <v>PD|NewCapacity|RE1|PWRSOLUPE|2049</v>
      </c>
      <c r="B1410" t="s">
        <v>16</v>
      </c>
      <c r="C1410" t="s">
        <v>17</v>
      </c>
      <c r="D1410" t="s">
        <v>37</v>
      </c>
      <c r="E1410" t="s">
        <v>19</v>
      </c>
      <c r="F1410" t="s">
        <v>34</v>
      </c>
      <c r="O1410">
        <v>2049</v>
      </c>
    </row>
    <row r="1411" spans="1:16" x14ac:dyDescent="0.3">
      <c r="A1411" t="str">
        <f t="shared" si="22"/>
        <v>PD|NewCapacity|RE1|PWRSTD|2049</v>
      </c>
      <c r="B1411" t="s">
        <v>16</v>
      </c>
      <c r="C1411" t="s">
        <v>17</v>
      </c>
      <c r="D1411" t="s">
        <v>37</v>
      </c>
      <c r="E1411" t="s">
        <v>19</v>
      </c>
      <c r="F1411" t="s">
        <v>35</v>
      </c>
      <c r="O1411">
        <v>2049</v>
      </c>
    </row>
    <row r="1412" spans="1:16" x14ac:dyDescent="0.3">
      <c r="A1412" t="str">
        <f t="shared" si="22"/>
        <v>PD|NewCapacity|RE1|PWRWNDONS|2049</v>
      </c>
      <c r="B1412" t="s">
        <v>16</v>
      </c>
      <c r="C1412" t="s">
        <v>17</v>
      </c>
      <c r="D1412" t="s">
        <v>37</v>
      </c>
      <c r="E1412" t="s">
        <v>19</v>
      </c>
      <c r="F1412" t="s">
        <v>36</v>
      </c>
      <c r="O1412">
        <v>2049</v>
      </c>
    </row>
    <row r="1413" spans="1:16" x14ac:dyDescent="0.3">
      <c r="A1413" t="str">
        <f t="shared" si="22"/>
        <v>PD|TotalCapacityAnnual|RE1|PWRBGS|2049</v>
      </c>
      <c r="B1413" t="s">
        <v>16</v>
      </c>
      <c r="C1413" t="s">
        <v>17</v>
      </c>
      <c r="D1413" t="s">
        <v>38</v>
      </c>
      <c r="E1413" t="s">
        <v>19</v>
      </c>
      <c r="F1413" t="s">
        <v>20</v>
      </c>
      <c r="O1413">
        <v>2049</v>
      </c>
      <c r="P1413">
        <v>2.5488587520000001E-2</v>
      </c>
    </row>
    <row r="1414" spans="1:16" x14ac:dyDescent="0.3">
      <c r="A1414" t="str">
        <f t="shared" si="22"/>
        <v>PD|TotalCapacityAnnual|RE1|PWRCOA|2049</v>
      </c>
      <c r="B1414" t="s">
        <v>16</v>
      </c>
      <c r="C1414" t="s">
        <v>17</v>
      </c>
      <c r="D1414" t="s">
        <v>38</v>
      </c>
      <c r="E1414" t="s">
        <v>19</v>
      </c>
      <c r="F1414" t="s">
        <v>21</v>
      </c>
      <c r="O1414">
        <v>2049</v>
      </c>
    </row>
    <row r="1415" spans="1:16" x14ac:dyDescent="0.3">
      <c r="A1415" t="str">
        <f t="shared" si="22"/>
        <v>PD|TotalCapacityAnnual|RE1|PWRDSL|2049</v>
      </c>
      <c r="B1415" t="s">
        <v>16</v>
      </c>
      <c r="C1415" t="s">
        <v>17</v>
      </c>
      <c r="D1415" t="s">
        <v>38</v>
      </c>
      <c r="E1415" t="s">
        <v>19</v>
      </c>
      <c r="F1415" t="s">
        <v>22</v>
      </c>
      <c r="O1415">
        <v>2049</v>
      </c>
      <c r="P1415">
        <v>24.944976</v>
      </c>
    </row>
    <row r="1416" spans="1:16" x14ac:dyDescent="0.3">
      <c r="A1416" t="str">
        <f t="shared" si="22"/>
        <v>PD|TotalCapacityAnnual|RE1|PWRFOL|2049</v>
      </c>
      <c r="B1416" t="s">
        <v>16</v>
      </c>
      <c r="C1416" t="s">
        <v>17</v>
      </c>
      <c r="D1416" t="s">
        <v>38</v>
      </c>
      <c r="E1416" t="s">
        <v>19</v>
      </c>
      <c r="F1416" t="s">
        <v>23</v>
      </c>
      <c r="O1416">
        <v>2049</v>
      </c>
      <c r="P1416">
        <v>8.3885759999999987</v>
      </c>
    </row>
    <row r="1417" spans="1:16" x14ac:dyDescent="0.3">
      <c r="A1417" t="str">
        <f t="shared" si="22"/>
        <v>PD|TotalCapacityAnnual|RE1|PWRHYDDAM|2049</v>
      </c>
      <c r="B1417" t="s">
        <v>16</v>
      </c>
      <c r="C1417" t="s">
        <v>17</v>
      </c>
      <c r="D1417" t="s">
        <v>38</v>
      </c>
      <c r="E1417" t="s">
        <v>19</v>
      </c>
      <c r="F1417" t="s">
        <v>24</v>
      </c>
      <c r="O1417">
        <v>2049</v>
      </c>
      <c r="P1417">
        <v>440.49164800000011</v>
      </c>
    </row>
    <row r="1418" spans="1:16" x14ac:dyDescent="0.3">
      <c r="A1418" t="str">
        <f t="shared" si="22"/>
        <v>PD|TotalCapacityAnnual|RE1|PWRHYDROR|2049</v>
      </c>
      <c r="B1418" t="s">
        <v>16</v>
      </c>
      <c r="C1418" t="s">
        <v>17</v>
      </c>
      <c r="D1418" t="s">
        <v>38</v>
      </c>
      <c r="E1418" t="s">
        <v>19</v>
      </c>
      <c r="F1418" t="s">
        <v>25</v>
      </c>
      <c r="O1418">
        <v>2049</v>
      </c>
      <c r="P1418">
        <v>21.097584000000001</v>
      </c>
    </row>
    <row r="1419" spans="1:16" x14ac:dyDescent="0.3">
      <c r="A1419" t="str">
        <f t="shared" si="22"/>
        <v>PD|TotalCapacityAnnual|RE1|PWRHYDROR_NDC|2049</v>
      </c>
      <c r="B1419" t="s">
        <v>16</v>
      </c>
      <c r="C1419" t="s">
        <v>17</v>
      </c>
      <c r="D1419" t="s">
        <v>38</v>
      </c>
      <c r="E1419" t="s">
        <v>19</v>
      </c>
      <c r="F1419" t="s">
        <v>26</v>
      </c>
      <c r="O1419">
        <v>2049</v>
      </c>
      <c r="P1419">
        <v>29.725108271999989</v>
      </c>
    </row>
    <row r="1420" spans="1:16" x14ac:dyDescent="0.3">
      <c r="A1420" t="str">
        <f t="shared" si="22"/>
        <v>PD|TotalCapacityAnnual|RE1|PWRJET|2049</v>
      </c>
      <c r="B1420" t="s">
        <v>16</v>
      </c>
      <c r="C1420" t="s">
        <v>17</v>
      </c>
      <c r="D1420" t="s">
        <v>38</v>
      </c>
      <c r="E1420" t="s">
        <v>19</v>
      </c>
      <c r="F1420" t="s">
        <v>27</v>
      </c>
      <c r="O1420">
        <v>2049</v>
      </c>
      <c r="P1420">
        <v>1.5768</v>
      </c>
    </row>
    <row r="1421" spans="1:16" x14ac:dyDescent="0.3">
      <c r="A1421" t="str">
        <f t="shared" si="22"/>
        <v>PD|TotalCapacityAnnual|RE1|PWRLPG|2049</v>
      </c>
      <c r="B1421" t="s">
        <v>16</v>
      </c>
      <c r="C1421" t="s">
        <v>17</v>
      </c>
      <c r="D1421" t="s">
        <v>38</v>
      </c>
      <c r="E1421" t="s">
        <v>19</v>
      </c>
      <c r="F1421" t="s">
        <v>28</v>
      </c>
      <c r="O1421">
        <v>2049</v>
      </c>
      <c r="P1421">
        <v>1.639872</v>
      </c>
    </row>
    <row r="1422" spans="1:16" x14ac:dyDescent="0.3">
      <c r="A1422" t="str">
        <f t="shared" si="22"/>
        <v>PD|TotalCapacityAnnual|RE1|PWRNGS_CC|2049</v>
      </c>
      <c r="B1422" t="s">
        <v>16</v>
      </c>
      <c r="C1422" t="s">
        <v>17</v>
      </c>
      <c r="D1422" t="s">
        <v>38</v>
      </c>
      <c r="E1422" t="s">
        <v>19</v>
      </c>
      <c r="F1422" t="s">
        <v>29</v>
      </c>
      <c r="O1422">
        <v>2049</v>
      </c>
      <c r="P1422">
        <v>70.104500000000002</v>
      </c>
    </row>
    <row r="1423" spans="1:16" x14ac:dyDescent="0.3">
      <c r="A1423" t="str">
        <f t="shared" si="22"/>
        <v>PD|TotalCapacityAnnual|RE1|PWRNGS_CS|2049</v>
      </c>
      <c r="B1423" t="s">
        <v>16</v>
      </c>
      <c r="C1423" t="s">
        <v>17</v>
      </c>
      <c r="D1423" t="s">
        <v>38</v>
      </c>
      <c r="E1423" t="s">
        <v>19</v>
      </c>
      <c r="F1423" t="s">
        <v>30</v>
      </c>
      <c r="O1423">
        <v>2049</v>
      </c>
      <c r="P1423">
        <v>23.084351999999999</v>
      </c>
    </row>
    <row r="1424" spans="1:16" x14ac:dyDescent="0.3">
      <c r="A1424" t="str">
        <f t="shared" si="22"/>
        <v>PD|TotalCapacityAnnual|RE1|PWRSOLRTP|2049</v>
      </c>
      <c r="B1424" t="s">
        <v>16</v>
      </c>
      <c r="C1424" t="s">
        <v>17</v>
      </c>
      <c r="D1424" t="s">
        <v>38</v>
      </c>
      <c r="E1424" t="s">
        <v>19</v>
      </c>
      <c r="F1424" t="s">
        <v>31</v>
      </c>
      <c r="O1424">
        <v>2049</v>
      </c>
      <c r="P1424">
        <v>128.9104065313887</v>
      </c>
    </row>
    <row r="1425" spans="1:16" x14ac:dyDescent="0.3">
      <c r="A1425" t="str">
        <f t="shared" si="22"/>
        <v>PD|TotalCapacityAnnual|RE1|PWRSOLRTP_ZNI|2049</v>
      </c>
      <c r="B1425" t="s">
        <v>16</v>
      </c>
      <c r="C1425" t="s">
        <v>17</v>
      </c>
      <c r="D1425" t="s">
        <v>38</v>
      </c>
      <c r="E1425" t="s">
        <v>19</v>
      </c>
      <c r="F1425" t="s">
        <v>32</v>
      </c>
      <c r="O1425">
        <v>2049</v>
      </c>
      <c r="P1425">
        <v>1.3482492298090729</v>
      </c>
    </row>
    <row r="1426" spans="1:16" x14ac:dyDescent="0.3">
      <c r="A1426" t="str">
        <f t="shared" si="22"/>
        <v>PD|TotalCapacityAnnual|RE1|PWRSOLUGE|2049</v>
      </c>
      <c r="B1426" t="s">
        <v>16</v>
      </c>
      <c r="C1426" t="s">
        <v>17</v>
      </c>
      <c r="D1426" t="s">
        <v>38</v>
      </c>
      <c r="E1426" t="s">
        <v>19</v>
      </c>
      <c r="F1426" t="s">
        <v>33</v>
      </c>
      <c r="O1426">
        <v>2049</v>
      </c>
      <c r="P1426">
        <v>191.79189199999999</v>
      </c>
    </row>
    <row r="1427" spans="1:16" x14ac:dyDescent="0.3">
      <c r="A1427" t="str">
        <f t="shared" si="22"/>
        <v>PD|TotalCapacityAnnual|RE1|PWRSOLUPE|2049</v>
      </c>
      <c r="B1427" t="s">
        <v>16</v>
      </c>
      <c r="C1427" t="s">
        <v>17</v>
      </c>
      <c r="D1427" t="s">
        <v>38</v>
      </c>
      <c r="E1427" t="s">
        <v>19</v>
      </c>
      <c r="F1427" t="s">
        <v>34</v>
      </c>
      <c r="O1427">
        <v>2049</v>
      </c>
      <c r="P1427">
        <v>12.14419823999993</v>
      </c>
    </row>
    <row r="1428" spans="1:16" x14ac:dyDescent="0.3">
      <c r="A1428" t="str">
        <f t="shared" si="22"/>
        <v>PD|TotalCapacityAnnual|RE1|PWRSTD|2049</v>
      </c>
      <c r="B1428" t="s">
        <v>16</v>
      </c>
      <c r="C1428" t="s">
        <v>17</v>
      </c>
      <c r="D1428" t="s">
        <v>38</v>
      </c>
      <c r="E1428" t="s">
        <v>19</v>
      </c>
      <c r="F1428" t="s">
        <v>35</v>
      </c>
      <c r="O1428">
        <v>2049</v>
      </c>
      <c r="P1428">
        <v>8.163062064</v>
      </c>
    </row>
    <row r="1429" spans="1:16" x14ac:dyDescent="0.3">
      <c r="A1429" t="str">
        <f t="shared" si="22"/>
        <v>PD|TotalCapacityAnnual|RE1|PWRWNDONS|2049</v>
      </c>
      <c r="B1429" t="s">
        <v>16</v>
      </c>
      <c r="C1429" t="s">
        <v>17</v>
      </c>
      <c r="D1429" t="s">
        <v>38</v>
      </c>
      <c r="E1429" t="s">
        <v>19</v>
      </c>
      <c r="F1429" t="s">
        <v>36</v>
      </c>
      <c r="O1429">
        <v>2049</v>
      </c>
      <c r="P1429">
        <v>440.40939900181581</v>
      </c>
    </row>
    <row r="1430" spans="1:16" x14ac:dyDescent="0.3">
      <c r="A1430" t="str">
        <f t="shared" si="22"/>
        <v>PD|AccumulatedNewCapacity|RE1|PWRBGS|2050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O1430">
        <v>2050</v>
      </c>
    </row>
    <row r="1431" spans="1:16" x14ac:dyDescent="0.3">
      <c r="A1431" t="str">
        <f t="shared" si="22"/>
        <v>PD|AccumulatedNewCapacity|RE1|PWRCOA|2050</v>
      </c>
      <c r="B1431" t="s">
        <v>16</v>
      </c>
      <c r="C1431" t="s">
        <v>17</v>
      </c>
      <c r="D1431" t="s">
        <v>18</v>
      </c>
      <c r="E1431" t="s">
        <v>19</v>
      </c>
      <c r="F1431" t="s">
        <v>21</v>
      </c>
      <c r="O1431">
        <v>2050</v>
      </c>
    </row>
    <row r="1432" spans="1:16" x14ac:dyDescent="0.3">
      <c r="A1432" t="str">
        <f t="shared" si="22"/>
        <v>PD|AccumulatedNewCapacity|RE1|PWRDSL|2050</v>
      </c>
      <c r="B1432" t="s">
        <v>16</v>
      </c>
      <c r="C1432" t="s">
        <v>17</v>
      </c>
      <c r="D1432" t="s">
        <v>18</v>
      </c>
      <c r="E1432" t="s">
        <v>19</v>
      </c>
      <c r="F1432" t="s">
        <v>22</v>
      </c>
      <c r="O1432">
        <v>2050</v>
      </c>
    </row>
    <row r="1433" spans="1:16" x14ac:dyDescent="0.3">
      <c r="A1433" t="str">
        <f t="shared" si="22"/>
        <v>PD|AccumulatedNewCapacity|RE1|PWRFOL|2050</v>
      </c>
      <c r="B1433" t="s">
        <v>16</v>
      </c>
      <c r="C1433" t="s">
        <v>17</v>
      </c>
      <c r="D1433" t="s">
        <v>18</v>
      </c>
      <c r="E1433" t="s">
        <v>19</v>
      </c>
      <c r="F1433" t="s">
        <v>23</v>
      </c>
      <c r="O1433">
        <v>2050</v>
      </c>
    </row>
    <row r="1434" spans="1:16" x14ac:dyDescent="0.3">
      <c r="A1434" t="str">
        <f t="shared" si="22"/>
        <v>PD|AccumulatedNewCapacity|RE1|PWRHYDDAM|2050</v>
      </c>
      <c r="B1434" t="s">
        <v>16</v>
      </c>
      <c r="C1434" t="s">
        <v>17</v>
      </c>
      <c r="D1434" t="s">
        <v>18</v>
      </c>
      <c r="E1434" t="s">
        <v>19</v>
      </c>
      <c r="F1434" t="s">
        <v>24</v>
      </c>
      <c r="O1434">
        <v>2050</v>
      </c>
      <c r="P1434">
        <v>37.840000000000003</v>
      </c>
    </row>
    <row r="1435" spans="1:16" x14ac:dyDescent="0.3">
      <c r="A1435" t="str">
        <f t="shared" si="22"/>
        <v>PD|AccumulatedNewCapacity|RE1|PWRHYDROR|2050</v>
      </c>
      <c r="B1435" t="s">
        <v>16</v>
      </c>
      <c r="C1435" t="s">
        <v>17</v>
      </c>
      <c r="D1435" t="s">
        <v>18</v>
      </c>
      <c r="E1435" t="s">
        <v>19</v>
      </c>
      <c r="F1435" t="s">
        <v>25</v>
      </c>
      <c r="O1435">
        <v>2050</v>
      </c>
    </row>
    <row r="1436" spans="1:16" x14ac:dyDescent="0.3">
      <c r="A1436" t="str">
        <f t="shared" si="22"/>
        <v>PD|AccumulatedNewCapacity|RE1|PWRHYDROR_NDC|2050</v>
      </c>
      <c r="B1436" t="s">
        <v>16</v>
      </c>
      <c r="C1436" t="s">
        <v>17</v>
      </c>
      <c r="D1436" t="s">
        <v>18</v>
      </c>
      <c r="E1436" t="s">
        <v>19</v>
      </c>
      <c r="F1436" t="s">
        <v>26</v>
      </c>
      <c r="O1436">
        <v>2050</v>
      </c>
    </row>
    <row r="1437" spans="1:16" x14ac:dyDescent="0.3">
      <c r="A1437" t="str">
        <f t="shared" si="22"/>
        <v>PD|AccumulatedNewCapacity|RE1|PWRJET|2050</v>
      </c>
      <c r="B1437" t="s">
        <v>16</v>
      </c>
      <c r="C1437" t="s">
        <v>17</v>
      </c>
      <c r="D1437" t="s">
        <v>18</v>
      </c>
      <c r="E1437" t="s">
        <v>19</v>
      </c>
      <c r="F1437" t="s">
        <v>27</v>
      </c>
      <c r="O1437">
        <v>2050</v>
      </c>
    </row>
    <row r="1438" spans="1:16" x14ac:dyDescent="0.3">
      <c r="A1438" t="str">
        <f t="shared" si="22"/>
        <v>PD|AccumulatedNewCapacity|RE1|PWRLPG|2050</v>
      </c>
      <c r="B1438" t="s">
        <v>16</v>
      </c>
      <c r="C1438" t="s">
        <v>17</v>
      </c>
      <c r="D1438" t="s">
        <v>18</v>
      </c>
      <c r="E1438" t="s">
        <v>19</v>
      </c>
      <c r="F1438" t="s">
        <v>28</v>
      </c>
      <c r="O1438">
        <v>2050</v>
      </c>
    </row>
    <row r="1439" spans="1:16" x14ac:dyDescent="0.3">
      <c r="A1439" t="str">
        <f t="shared" si="22"/>
        <v>PD|AccumulatedNewCapacity|RE1|PWRNGS_CC|2050</v>
      </c>
      <c r="B1439" t="s">
        <v>16</v>
      </c>
      <c r="C1439" t="s">
        <v>17</v>
      </c>
      <c r="D1439" t="s">
        <v>18</v>
      </c>
      <c r="E1439" t="s">
        <v>19</v>
      </c>
      <c r="F1439" t="s">
        <v>29</v>
      </c>
      <c r="O1439">
        <v>2050</v>
      </c>
    </row>
    <row r="1440" spans="1:16" x14ac:dyDescent="0.3">
      <c r="A1440" t="str">
        <f t="shared" si="22"/>
        <v>PD|AccumulatedNewCapacity|RE1|PWRNGS_CS|2050</v>
      </c>
      <c r="B1440" t="s">
        <v>16</v>
      </c>
      <c r="C1440" t="s">
        <v>17</v>
      </c>
      <c r="D1440" t="s">
        <v>18</v>
      </c>
      <c r="E1440" t="s">
        <v>19</v>
      </c>
      <c r="F1440" t="s">
        <v>30</v>
      </c>
      <c r="O1440">
        <v>2050</v>
      </c>
    </row>
    <row r="1441" spans="1:16" x14ac:dyDescent="0.3">
      <c r="A1441" t="str">
        <f t="shared" si="22"/>
        <v>PD|AccumulatedNewCapacity|RE1|PWRSOLRTP|2050</v>
      </c>
      <c r="B1441" t="s">
        <v>16</v>
      </c>
      <c r="C1441" t="s">
        <v>17</v>
      </c>
      <c r="D1441" t="s">
        <v>18</v>
      </c>
      <c r="E1441" t="s">
        <v>19</v>
      </c>
      <c r="F1441" t="s">
        <v>31</v>
      </c>
      <c r="O1441">
        <v>2050</v>
      </c>
      <c r="P1441">
        <v>119.35286620164869</v>
      </c>
    </row>
    <row r="1442" spans="1:16" x14ac:dyDescent="0.3">
      <c r="A1442" t="str">
        <f t="shared" si="22"/>
        <v>PD|AccumulatedNewCapacity|RE1|PWRSOLRTP_ZNI|2050</v>
      </c>
      <c r="B1442" t="s">
        <v>16</v>
      </c>
      <c r="C1442" t="s">
        <v>17</v>
      </c>
      <c r="D1442" t="s">
        <v>18</v>
      </c>
      <c r="E1442" t="s">
        <v>19</v>
      </c>
      <c r="F1442" t="s">
        <v>32</v>
      </c>
      <c r="O1442">
        <v>2050</v>
      </c>
      <c r="P1442">
        <v>0.88750826980907294</v>
      </c>
    </row>
    <row r="1443" spans="1:16" x14ac:dyDescent="0.3">
      <c r="A1443" t="str">
        <f t="shared" si="22"/>
        <v>PD|AccumulatedNewCapacity|RE1|PWRSOLUGE|2050</v>
      </c>
      <c r="B1443" t="s">
        <v>16</v>
      </c>
      <c r="C1443" t="s">
        <v>17</v>
      </c>
      <c r="D1443" t="s">
        <v>18</v>
      </c>
      <c r="E1443" t="s">
        <v>19</v>
      </c>
      <c r="F1443" t="s">
        <v>33</v>
      </c>
      <c r="O1443">
        <v>2050</v>
      </c>
      <c r="P1443">
        <v>143.394192</v>
      </c>
    </row>
    <row r="1444" spans="1:16" x14ac:dyDescent="0.3">
      <c r="A1444" t="str">
        <f t="shared" si="22"/>
        <v>PD|AccumulatedNewCapacity|RE1|PWRSOLUPE|2050</v>
      </c>
      <c r="B1444" t="s">
        <v>16</v>
      </c>
      <c r="C1444" t="s">
        <v>17</v>
      </c>
      <c r="D1444" t="s">
        <v>18</v>
      </c>
      <c r="E1444" t="s">
        <v>19</v>
      </c>
      <c r="F1444" t="s">
        <v>34</v>
      </c>
      <c r="O1444">
        <v>2050</v>
      </c>
      <c r="P1444">
        <v>6.833535839999973</v>
      </c>
    </row>
    <row r="1445" spans="1:16" x14ac:dyDescent="0.3">
      <c r="A1445" t="str">
        <f t="shared" si="22"/>
        <v>PD|AccumulatedNewCapacity|RE1|PWRSTD|2050</v>
      </c>
      <c r="B1445" t="s">
        <v>16</v>
      </c>
      <c r="C1445" t="s">
        <v>17</v>
      </c>
      <c r="D1445" t="s">
        <v>18</v>
      </c>
      <c r="E1445" t="s">
        <v>19</v>
      </c>
      <c r="F1445" t="s">
        <v>35</v>
      </c>
      <c r="O1445">
        <v>2050</v>
      </c>
    </row>
    <row r="1446" spans="1:16" x14ac:dyDescent="0.3">
      <c r="A1446" t="str">
        <f t="shared" si="22"/>
        <v>PD|AccumulatedNewCapacity|RE1|PWRWNDONS|2050</v>
      </c>
      <c r="B1446" t="s">
        <v>16</v>
      </c>
      <c r="C1446" t="s">
        <v>17</v>
      </c>
      <c r="D1446" t="s">
        <v>18</v>
      </c>
      <c r="E1446" t="s">
        <v>19</v>
      </c>
      <c r="F1446" t="s">
        <v>36</v>
      </c>
      <c r="O1446">
        <v>2050</v>
      </c>
      <c r="P1446">
        <v>439.04073660181581</v>
      </c>
    </row>
    <row r="1447" spans="1:16" x14ac:dyDescent="0.3">
      <c r="A1447" t="str">
        <f t="shared" si="22"/>
        <v>PD|NewCapacity|RE1|PWRBGS|2050</v>
      </c>
      <c r="B1447" t="s">
        <v>16</v>
      </c>
      <c r="C1447" t="s">
        <v>17</v>
      </c>
      <c r="D1447" t="s">
        <v>37</v>
      </c>
      <c r="E1447" t="s">
        <v>19</v>
      </c>
      <c r="F1447" t="s">
        <v>20</v>
      </c>
      <c r="O1447">
        <v>2050</v>
      </c>
    </row>
    <row r="1448" spans="1:16" x14ac:dyDescent="0.3">
      <c r="A1448" t="str">
        <f t="shared" si="22"/>
        <v>PD|NewCapacity|RE1|PWRCOA|2050</v>
      </c>
      <c r="B1448" t="s">
        <v>16</v>
      </c>
      <c r="C1448" t="s">
        <v>17</v>
      </c>
      <c r="D1448" t="s">
        <v>37</v>
      </c>
      <c r="E1448" t="s">
        <v>19</v>
      </c>
      <c r="F1448" t="s">
        <v>21</v>
      </c>
      <c r="O1448">
        <v>2050</v>
      </c>
    </row>
    <row r="1449" spans="1:16" x14ac:dyDescent="0.3">
      <c r="A1449" t="str">
        <f t="shared" si="22"/>
        <v>PD|NewCapacity|RE1|PWRDSL|2050</v>
      </c>
      <c r="B1449" t="s">
        <v>16</v>
      </c>
      <c r="C1449" t="s">
        <v>17</v>
      </c>
      <c r="D1449" t="s">
        <v>37</v>
      </c>
      <c r="E1449" t="s">
        <v>19</v>
      </c>
      <c r="F1449" t="s">
        <v>22</v>
      </c>
      <c r="O1449">
        <v>2050</v>
      </c>
    </row>
    <row r="1450" spans="1:16" x14ac:dyDescent="0.3">
      <c r="A1450" t="str">
        <f t="shared" si="22"/>
        <v>PD|NewCapacity|RE1|PWRFOL|2050</v>
      </c>
      <c r="B1450" t="s">
        <v>16</v>
      </c>
      <c r="C1450" t="s">
        <v>17</v>
      </c>
      <c r="D1450" t="s">
        <v>37</v>
      </c>
      <c r="E1450" t="s">
        <v>19</v>
      </c>
      <c r="F1450" t="s">
        <v>23</v>
      </c>
      <c r="O1450">
        <v>2050</v>
      </c>
    </row>
    <row r="1451" spans="1:16" x14ac:dyDescent="0.3">
      <c r="A1451" t="str">
        <f t="shared" si="22"/>
        <v>PD|NewCapacity|RE1|PWRHYDDAM|2050</v>
      </c>
      <c r="B1451" t="s">
        <v>16</v>
      </c>
      <c r="C1451" t="s">
        <v>17</v>
      </c>
      <c r="D1451" t="s">
        <v>37</v>
      </c>
      <c r="E1451" t="s">
        <v>19</v>
      </c>
      <c r="F1451" t="s">
        <v>24</v>
      </c>
      <c r="O1451">
        <v>2050</v>
      </c>
    </row>
    <row r="1452" spans="1:16" x14ac:dyDescent="0.3">
      <c r="A1452" t="str">
        <f t="shared" si="22"/>
        <v>PD|NewCapacity|RE1|PWRHYDROR|2050</v>
      </c>
      <c r="B1452" t="s">
        <v>16</v>
      </c>
      <c r="C1452" t="s">
        <v>17</v>
      </c>
      <c r="D1452" t="s">
        <v>37</v>
      </c>
      <c r="E1452" t="s">
        <v>19</v>
      </c>
      <c r="F1452" t="s">
        <v>25</v>
      </c>
      <c r="O1452">
        <v>2050</v>
      </c>
    </row>
    <row r="1453" spans="1:16" x14ac:dyDescent="0.3">
      <c r="A1453" t="str">
        <f t="shared" si="22"/>
        <v>PD|NewCapacity|RE1|PWRHYDROR_NDC|2050</v>
      </c>
      <c r="B1453" t="s">
        <v>16</v>
      </c>
      <c r="C1453" t="s">
        <v>17</v>
      </c>
      <c r="D1453" t="s">
        <v>37</v>
      </c>
      <c r="E1453" t="s">
        <v>19</v>
      </c>
      <c r="F1453" t="s">
        <v>26</v>
      </c>
      <c r="O1453">
        <v>2050</v>
      </c>
    </row>
    <row r="1454" spans="1:16" x14ac:dyDescent="0.3">
      <c r="A1454" t="str">
        <f t="shared" si="22"/>
        <v>PD|NewCapacity|RE1|PWRJET|2050</v>
      </c>
      <c r="B1454" t="s">
        <v>16</v>
      </c>
      <c r="C1454" t="s">
        <v>17</v>
      </c>
      <c r="D1454" t="s">
        <v>37</v>
      </c>
      <c r="E1454" t="s">
        <v>19</v>
      </c>
      <c r="F1454" t="s">
        <v>27</v>
      </c>
      <c r="O1454">
        <v>2050</v>
      </c>
    </row>
    <row r="1455" spans="1:16" x14ac:dyDescent="0.3">
      <c r="A1455" t="str">
        <f t="shared" si="22"/>
        <v>PD|NewCapacity|RE1|PWRLPG|2050</v>
      </c>
      <c r="B1455" t="s">
        <v>16</v>
      </c>
      <c r="C1455" t="s">
        <v>17</v>
      </c>
      <c r="D1455" t="s">
        <v>37</v>
      </c>
      <c r="E1455" t="s">
        <v>19</v>
      </c>
      <c r="F1455" t="s">
        <v>28</v>
      </c>
      <c r="O1455">
        <v>2050</v>
      </c>
    </row>
    <row r="1456" spans="1:16" x14ac:dyDescent="0.3">
      <c r="A1456" t="str">
        <f t="shared" si="22"/>
        <v>PD|NewCapacity|RE1|PWRNGS_CC|2050</v>
      </c>
      <c r="B1456" t="s">
        <v>16</v>
      </c>
      <c r="C1456" t="s">
        <v>17</v>
      </c>
      <c r="D1456" t="s">
        <v>37</v>
      </c>
      <c r="E1456" t="s">
        <v>19</v>
      </c>
      <c r="F1456" t="s">
        <v>29</v>
      </c>
      <c r="O1456">
        <v>2050</v>
      </c>
    </row>
    <row r="1457" spans="1:16" x14ac:dyDescent="0.3">
      <c r="A1457" t="str">
        <f t="shared" si="22"/>
        <v>PD|NewCapacity|RE1|PWRNGS_CS|2050</v>
      </c>
      <c r="B1457" t="s">
        <v>16</v>
      </c>
      <c r="C1457" t="s">
        <v>17</v>
      </c>
      <c r="D1457" t="s">
        <v>37</v>
      </c>
      <c r="E1457" t="s">
        <v>19</v>
      </c>
      <c r="F1457" t="s">
        <v>30</v>
      </c>
      <c r="O1457">
        <v>2050</v>
      </c>
    </row>
    <row r="1458" spans="1:16" x14ac:dyDescent="0.3">
      <c r="A1458" t="str">
        <f t="shared" si="22"/>
        <v>PD|NewCapacity|RE1|PWRSOLRTP|2050</v>
      </c>
      <c r="B1458" t="s">
        <v>16</v>
      </c>
      <c r="C1458" t="s">
        <v>17</v>
      </c>
      <c r="D1458" t="s">
        <v>37</v>
      </c>
      <c r="E1458" t="s">
        <v>19</v>
      </c>
      <c r="F1458" t="s">
        <v>31</v>
      </c>
      <c r="O1458">
        <v>2050</v>
      </c>
      <c r="P1458">
        <v>1.426759670259987</v>
      </c>
    </row>
    <row r="1459" spans="1:16" x14ac:dyDescent="0.3">
      <c r="A1459" t="str">
        <f t="shared" si="22"/>
        <v>PD|NewCapacity|RE1|PWRSOLRTP_ZNI|2050</v>
      </c>
      <c r="B1459" t="s">
        <v>16</v>
      </c>
      <c r="C1459" t="s">
        <v>17</v>
      </c>
      <c r="D1459" t="s">
        <v>37</v>
      </c>
      <c r="E1459" t="s">
        <v>19</v>
      </c>
      <c r="F1459" t="s">
        <v>32</v>
      </c>
      <c r="O1459">
        <v>2050</v>
      </c>
    </row>
    <row r="1460" spans="1:16" x14ac:dyDescent="0.3">
      <c r="A1460" t="str">
        <f t="shared" si="22"/>
        <v>PD|NewCapacity|RE1|PWRSOLUGE|2050</v>
      </c>
      <c r="B1460" t="s">
        <v>16</v>
      </c>
      <c r="C1460" t="s">
        <v>17</v>
      </c>
      <c r="D1460" t="s">
        <v>37</v>
      </c>
      <c r="E1460" t="s">
        <v>19</v>
      </c>
      <c r="F1460" t="s">
        <v>33</v>
      </c>
      <c r="O1460">
        <v>2050</v>
      </c>
    </row>
    <row r="1461" spans="1:16" x14ac:dyDescent="0.3">
      <c r="A1461" t="str">
        <f t="shared" si="22"/>
        <v>PD|NewCapacity|RE1|PWRSOLUPE|2050</v>
      </c>
      <c r="B1461" t="s">
        <v>16</v>
      </c>
      <c r="C1461" t="s">
        <v>17</v>
      </c>
      <c r="D1461" t="s">
        <v>37</v>
      </c>
      <c r="E1461" t="s">
        <v>19</v>
      </c>
      <c r="F1461" t="s">
        <v>34</v>
      </c>
      <c r="O1461">
        <v>2050</v>
      </c>
    </row>
    <row r="1462" spans="1:16" x14ac:dyDescent="0.3">
      <c r="A1462" t="str">
        <f t="shared" si="22"/>
        <v>PD|NewCapacity|RE1|PWRSTD|2050</v>
      </c>
      <c r="B1462" t="s">
        <v>16</v>
      </c>
      <c r="C1462" t="s">
        <v>17</v>
      </c>
      <c r="D1462" t="s">
        <v>37</v>
      </c>
      <c r="E1462" t="s">
        <v>19</v>
      </c>
      <c r="F1462" t="s">
        <v>35</v>
      </c>
      <c r="O1462">
        <v>2050</v>
      </c>
    </row>
    <row r="1463" spans="1:16" x14ac:dyDescent="0.3">
      <c r="A1463" t="str">
        <f t="shared" si="22"/>
        <v>PD|NewCapacity|RE1|PWRWNDONS|2050</v>
      </c>
      <c r="B1463" t="s">
        <v>16</v>
      </c>
      <c r="C1463" t="s">
        <v>17</v>
      </c>
      <c r="D1463" t="s">
        <v>37</v>
      </c>
      <c r="E1463" t="s">
        <v>19</v>
      </c>
      <c r="F1463" t="s">
        <v>36</v>
      </c>
      <c r="O1463">
        <v>2050</v>
      </c>
    </row>
    <row r="1464" spans="1:16" x14ac:dyDescent="0.3">
      <c r="A1464" t="str">
        <f t="shared" si="22"/>
        <v>PD|TotalCapacityAnnual|RE1|PWRBGS|2050</v>
      </c>
      <c r="B1464" t="s">
        <v>16</v>
      </c>
      <c r="C1464" t="s">
        <v>17</v>
      </c>
      <c r="D1464" t="s">
        <v>38</v>
      </c>
      <c r="E1464" t="s">
        <v>19</v>
      </c>
      <c r="F1464" t="s">
        <v>20</v>
      </c>
      <c r="O1464">
        <v>2050</v>
      </c>
      <c r="P1464">
        <v>2.5488587520000001E-2</v>
      </c>
    </row>
    <row r="1465" spans="1:16" x14ac:dyDescent="0.3">
      <c r="A1465" t="str">
        <f t="shared" si="22"/>
        <v>PD|TotalCapacityAnnual|RE1|PWRCOA|2050</v>
      </c>
      <c r="B1465" t="s">
        <v>16</v>
      </c>
      <c r="C1465" t="s">
        <v>17</v>
      </c>
      <c r="D1465" t="s">
        <v>38</v>
      </c>
      <c r="E1465" t="s">
        <v>19</v>
      </c>
      <c r="F1465" t="s">
        <v>21</v>
      </c>
      <c r="O1465">
        <v>2050</v>
      </c>
    </row>
    <row r="1466" spans="1:16" x14ac:dyDescent="0.3">
      <c r="A1466" t="str">
        <f t="shared" si="22"/>
        <v>PD|TotalCapacityAnnual|RE1|PWRDSL|2050</v>
      </c>
      <c r="B1466" t="s">
        <v>16</v>
      </c>
      <c r="C1466" t="s">
        <v>17</v>
      </c>
      <c r="D1466" t="s">
        <v>38</v>
      </c>
      <c r="E1466" t="s">
        <v>19</v>
      </c>
      <c r="F1466" t="s">
        <v>22</v>
      </c>
      <c r="O1466">
        <v>2050</v>
      </c>
      <c r="P1466">
        <v>24.944976</v>
      </c>
    </row>
    <row r="1467" spans="1:16" x14ac:dyDescent="0.3">
      <c r="A1467" t="str">
        <f t="shared" si="22"/>
        <v>PD|TotalCapacityAnnual|RE1|PWRFOL|2050</v>
      </c>
      <c r="B1467" t="s">
        <v>16</v>
      </c>
      <c r="C1467" t="s">
        <v>17</v>
      </c>
      <c r="D1467" t="s">
        <v>38</v>
      </c>
      <c r="E1467" t="s">
        <v>19</v>
      </c>
      <c r="F1467" t="s">
        <v>23</v>
      </c>
      <c r="O1467">
        <v>2050</v>
      </c>
      <c r="P1467">
        <v>8.3885759999999987</v>
      </c>
    </row>
    <row r="1468" spans="1:16" x14ac:dyDescent="0.3">
      <c r="A1468" t="str">
        <f t="shared" si="22"/>
        <v>PD|TotalCapacityAnnual|RE1|PWRHYDDAM|2050</v>
      </c>
      <c r="B1468" t="s">
        <v>16</v>
      </c>
      <c r="C1468" t="s">
        <v>17</v>
      </c>
      <c r="D1468" t="s">
        <v>38</v>
      </c>
      <c r="E1468" t="s">
        <v>19</v>
      </c>
      <c r="F1468" t="s">
        <v>24</v>
      </c>
      <c r="O1468">
        <v>2050</v>
      </c>
      <c r="P1468">
        <v>440.49164800000011</v>
      </c>
    </row>
    <row r="1469" spans="1:16" x14ac:dyDescent="0.3">
      <c r="A1469" t="str">
        <f t="shared" si="22"/>
        <v>PD|TotalCapacityAnnual|RE1|PWRHYDROR|2050</v>
      </c>
      <c r="B1469" t="s">
        <v>16</v>
      </c>
      <c r="C1469" t="s">
        <v>17</v>
      </c>
      <c r="D1469" t="s">
        <v>38</v>
      </c>
      <c r="E1469" t="s">
        <v>19</v>
      </c>
      <c r="F1469" t="s">
        <v>25</v>
      </c>
      <c r="O1469">
        <v>2050</v>
      </c>
      <c r="P1469">
        <v>21.097584000000001</v>
      </c>
    </row>
    <row r="1470" spans="1:16" x14ac:dyDescent="0.3">
      <c r="A1470" t="str">
        <f t="shared" si="22"/>
        <v>PD|TotalCapacityAnnual|RE1|PWRHYDROR_NDC|2050</v>
      </c>
      <c r="B1470" t="s">
        <v>16</v>
      </c>
      <c r="C1470" t="s">
        <v>17</v>
      </c>
      <c r="D1470" t="s">
        <v>38</v>
      </c>
      <c r="E1470" t="s">
        <v>19</v>
      </c>
      <c r="F1470" t="s">
        <v>26</v>
      </c>
      <c r="O1470">
        <v>2050</v>
      </c>
      <c r="P1470">
        <v>29.725108271999989</v>
      </c>
    </row>
    <row r="1471" spans="1:16" x14ac:dyDescent="0.3">
      <c r="A1471" t="str">
        <f t="shared" si="22"/>
        <v>PD|TotalCapacityAnnual|RE1|PWRJET|2050</v>
      </c>
      <c r="B1471" t="s">
        <v>16</v>
      </c>
      <c r="C1471" t="s">
        <v>17</v>
      </c>
      <c r="D1471" t="s">
        <v>38</v>
      </c>
      <c r="E1471" t="s">
        <v>19</v>
      </c>
      <c r="F1471" t="s">
        <v>27</v>
      </c>
      <c r="O1471">
        <v>2050</v>
      </c>
      <c r="P1471">
        <v>1.5768</v>
      </c>
    </row>
    <row r="1472" spans="1:16" x14ac:dyDescent="0.3">
      <c r="A1472" t="str">
        <f t="shared" si="22"/>
        <v>PD|TotalCapacityAnnual|RE1|PWRLPG|2050</v>
      </c>
      <c r="B1472" t="s">
        <v>16</v>
      </c>
      <c r="C1472" t="s">
        <v>17</v>
      </c>
      <c r="D1472" t="s">
        <v>38</v>
      </c>
      <c r="E1472" t="s">
        <v>19</v>
      </c>
      <c r="F1472" t="s">
        <v>28</v>
      </c>
      <c r="O1472">
        <v>2050</v>
      </c>
      <c r="P1472">
        <v>1.639872</v>
      </c>
    </row>
    <row r="1473" spans="1:16" x14ac:dyDescent="0.3">
      <c r="A1473" t="str">
        <f t="shared" si="22"/>
        <v>PD|TotalCapacityAnnual|RE1|PWRNGS_CC|2050</v>
      </c>
      <c r="B1473" t="s">
        <v>16</v>
      </c>
      <c r="C1473" t="s">
        <v>17</v>
      </c>
      <c r="D1473" t="s">
        <v>38</v>
      </c>
      <c r="E1473" t="s">
        <v>19</v>
      </c>
      <c r="F1473" t="s">
        <v>29</v>
      </c>
      <c r="O1473">
        <v>2050</v>
      </c>
      <c r="P1473">
        <v>70.104500000000002</v>
      </c>
    </row>
    <row r="1474" spans="1:16" x14ac:dyDescent="0.3">
      <c r="A1474" t="str">
        <f t="shared" ref="A1474:A1537" si="23">B1474&amp;"|"&amp;D1474&amp;"|"&amp;E1474&amp;"|"&amp;F1474&amp;"|"&amp;O1474</f>
        <v>PD|TotalCapacityAnnual|RE1|PWRNGS_CS|2050</v>
      </c>
      <c r="B1474" t="s">
        <v>16</v>
      </c>
      <c r="C1474" t="s">
        <v>17</v>
      </c>
      <c r="D1474" t="s">
        <v>38</v>
      </c>
      <c r="E1474" t="s">
        <v>19</v>
      </c>
      <c r="F1474" t="s">
        <v>30</v>
      </c>
      <c r="O1474">
        <v>2050</v>
      </c>
      <c r="P1474">
        <v>23.084351999999999</v>
      </c>
    </row>
    <row r="1475" spans="1:16" x14ac:dyDescent="0.3">
      <c r="A1475" t="str">
        <f t="shared" si="23"/>
        <v>PD|TotalCapacityAnnual|RE1|PWRSOLRTP|2050</v>
      </c>
      <c r="B1475" t="s">
        <v>16</v>
      </c>
      <c r="C1475" t="s">
        <v>17</v>
      </c>
      <c r="D1475" t="s">
        <v>38</v>
      </c>
      <c r="E1475" t="s">
        <v>19</v>
      </c>
      <c r="F1475" t="s">
        <v>31</v>
      </c>
      <c r="O1475">
        <v>2050</v>
      </c>
      <c r="P1475">
        <v>121.0931662016487</v>
      </c>
    </row>
    <row r="1476" spans="1:16" x14ac:dyDescent="0.3">
      <c r="A1476" t="str">
        <f t="shared" si="23"/>
        <v>PD|TotalCapacityAnnual|RE1|PWRSOLRTP_ZNI|2050</v>
      </c>
      <c r="B1476" t="s">
        <v>16</v>
      </c>
      <c r="C1476" t="s">
        <v>17</v>
      </c>
      <c r="D1476" t="s">
        <v>38</v>
      </c>
      <c r="E1476" t="s">
        <v>19</v>
      </c>
      <c r="F1476" t="s">
        <v>32</v>
      </c>
      <c r="O1476">
        <v>2050</v>
      </c>
      <c r="P1476">
        <v>1.3482492298090729</v>
      </c>
    </row>
    <row r="1477" spans="1:16" x14ac:dyDescent="0.3">
      <c r="A1477" t="str">
        <f t="shared" si="23"/>
        <v>PD|TotalCapacityAnnual|RE1|PWRSOLUGE|2050</v>
      </c>
      <c r="B1477" t="s">
        <v>16</v>
      </c>
      <c r="C1477" t="s">
        <v>17</v>
      </c>
      <c r="D1477" t="s">
        <v>38</v>
      </c>
      <c r="E1477" t="s">
        <v>19</v>
      </c>
      <c r="F1477" t="s">
        <v>33</v>
      </c>
      <c r="O1477">
        <v>2050</v>
      </c>
      <c r="P1477">
        <v>191.79189199999999</v>
      </c>
    </row>
    <row r="1478" spans="1:16" x14ac:dyDescent="0.3">
      <c r="A1478" t="str">
        <f t="shared" si="23"/>
        <v>PD|TotalCapacityAnnual|RE1|PWRSOLUPE|2050</v>
      </c>
      <c r="B1478" t="s">
        <v>16</v>
      </c>
      <c r="C1478" t="s">
        <v>17</v>
      </c>
      <c r="D1478" t="s">
        <v>38</v>
      </c>
      <c r="E1478" t="s">
        <v>19</v>
      </c>
      <c r="F1478" t="s">
        <v>34</v>
      </c>
      <c r="O1478">
        <v>2050</v>
      </c>
      <c r="P1478">
        <v>6.833535839999973</v>
      </c>
    </row>
    <row r="1479" spans="1:16" x14ac:dyDescent="0.3">
      <c r="A1479" t="str">
        <f t="shared" si="23"/>
        <v>PD|TotalCapacityAnnual|RE1|PWRSTD|2050</v>
      </c>
      <c r="B1479" t="s">
        <v>16</v>
      </c>
      <c r="C1479" t="s">
        <v>17</v>
      </c>
      <c r="D1479" t="s">
        <v>38</v>
      </c>
      <c r="E1479" t="s">
        <v>19</v>
      </c>
      <c r="F1479" t="s">
        <v>35</v>
      </c>
      <c r="O1479">
        <v>2050</v>
      </c>
      <c r="P1479">
        <v>8.163062064</v>
      </c>
    </row>
    <row r="1480" spans="1:16" x14ac:dyDescent="0.3">
      <c r="A1480" t="str">
        <f t="shared" si="23"/>
        <v>PD|TotalCapacityAnnual|RE1|PWRWNDONS|2050</v>
      </c>
      <c r="B1480" t="s">
        <v>16</v>
      </c>
      <c r="C1480" t="s">
        <v>17</v>
      </c>
      <c r="D1480" t="s">
        <v>38</v>
      </c>
      <c r="E1480" t="s">
        <v>19</v>
      </c>
      <c r="F1480" t="s">
        <v>36</v>
      </c>
      <c r="O1480">
        <v>2050</v>
      </c>
      <c r="P1480">
        <v>440.40939900181581</v>
      </c>
    </row>
    <row r="1481" spans="1:16" x14ac:dyDescent="0.3">
      <c r="A1481" t="str">
        <f t="shared" si="23"/>
        <v>PD|AccumulatedNewCapacity|RE1|PWRBGS|2051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O1481">
        <v>2051</v>
      </c>
    </row>
    <row r="1482" spans="1:16" x14ac:dyDescent="0.3">
      <c r="A1482" t="str">
        <f t="shared" si="23"/>
        <v>PD|AccumulatedNewCapacity|RE1|PWRCOA|2051</v>
      </c>
      <c r="B1482" t="s">
        <v>16</v>
      </c>
      <c r="C1482" t="s">
        <v>17</v>
      </c>
      <c r="D1482" t="s">
        <v>18</v>
      </c>
      <c r="E1482" t="s">
        <v>19</v>
      </c>
      <c r="F1482" t="s">
        <v>21</v>
      </c>
      <c r="O1482">
        <v>2051</v>
      </c>
    </row>
    <row r="1483" spans="1:16" x14ac:dyDescent="0.3">
      <c r="A1483" t="str">
        <f t="shared" si="23"/>
        <v>PD|AccumulatedNewCapacity|RE1|PWRDSL|2051</v>
      </c>
      <c r="B1483" t="s">
        <v>16</v>
      </c>
      <c r="C1483" t="s">
        <v>17</v>
      </c>
      <c r="D1483" t="s">
        <v>18</v>
      </c>
      <c r="E1483" t="s">
        <v>19</v>
      </c>
      <c r="F1483" t="s">
        <v>22</v>
      </c>
      <c r="O1483">
        <v>2051</v>
      </c>
    </row>
    <row r="1484" spans="1:16" x14ac:dyDescent="0.3">
      <c r="A1484" t="str">
        <f t="shared" si="23"/>
        <v>PD|AccumulatedNewCapacity|RE1|PWRFOL|2051</v>
      </c>
      <c r="B1484" t="s">
        <v>16</v>
      </c>
      <c r="C1484" t="s">
        <v>17</v>
      </c>
      <c r="D1484" t="s">
        <v>18</v>
      </c>
      <c r="E1484" t="s">
        <v>19</v>
      </c>
      <c r="F1484" t="s">
        <v>23</v>
      </c>
      <c r="O1484">
        <v>2051</v>
      </c>
    </row>
    <row r="1485" spans="1:16" x14ac:dyDescent="0.3">
      <c r="A1485" t="str">
        <f t="shared" si="23"/>
        <v>PD|AccumulatedNewCapacity|RE1|PWRHYDDAM|2051</v>
      </c>
      <c r="B1485" t="s">
        <v>16</v>
      </c>
      <c r="C1485" t="s">
        <v>17</v>
      </c>
      <c r="D1485" t="s">
        <v>18</v>
      </c>
      <c r="E1485" t="s">
        <v>19</v>
      </c>
      <c r="F1485" t="s">
        <v>24</v>
      </c>
      <c r="O1485">
        <v>2051</v>
      </c>
      <c r="P1485">
        <v>37.840000000000003</v>
      </c>
    </row>
    <row r="1486" spans="1:16" x14ac:dyDescent="0.3">
      <c r="A1486" t="str">
        <f t="shared" si="23"/>
        <v>PD|AccumulatedNewCapacity|RE1|PWRHYDROR|2051</v>
      </c>
      <c r="B1486" t="s">
        <v>16</v>
      </c>
      <c r="C1486" t="s">
        <v>17</v>
      </c>
      <c r="D1486" t="s">
        <v>18</v>
      </c>
      <c r="E1486" t="s">
        <v>19</v>
      </c>
      <c r="F1486" t="s">
        <v>25</v>
      </c>
      <c r="O1486">
        <v>2051</v>
      </c>
    </row>
    <row r="1487" spans="1:16" x14ac:dyDescent="0.3">
      <c r="A1487" t="str">
        <f t="shared" si="23"/>
        <v>PD|AccumulatedNewCapacity|RE1|PWRHYDROR_NDC|2051</v>
      </c>
      <c r="B1487" t="s">
        <v>16</v>
      </c>
      <c r="C1487" t="s">
        <v>17</v>
      </c>
      <c r="D1487" t="s">
        <v>18</v>
      </c>
      <c r="E1487" t="s">
        <v>19</v>
      </c>
      <c r="F1487" t="s">
        <v>26</v>
      </c>
      <c r="O1487">
        <v>2051</v>
      </c>
    </row>
    <row r="1488" spans="1:16" x14ac:dyDescent="0.3">
      <c r="A1488" t="str">
        <f t="shared" si="23"/>
        <v>PD|AccumulatedNewCapacity|RE1|PWRJET|2051</v>
      </c>
      <c r="B1488" t="s">
        <v>16</v>
      </c>
      <c r="C1488" t="s">
        <v>17</v>
      </c>
      <c r="D1488" t="s">
        <v>18</v>
      </c>
      <c r="E1488" t="s">
        <v>19</v>
      </c>
      <c r="F1488" t="s">
        <v>27</v>
      </c>
      <c r="O1488">
        <v>2051</v>
      </c>
    </row>
    <row r="1489" spans="1:16" x14ac:dyDescent="0.3">
      <c r="A1489" t="str">
        <f t="shared" si="23"/>
        <v>PD|AccumulatedNewCapacity|RE1|PWRLPG|2051</v>
      </c>
      <c r="B1489" t="s">
        <v>16</v>
      </c>
      <c r="C1489" t="s">
        <v>17</v>
      </c>
      <c r="D1489" t="s">
        <v>18</v>
      </c>
      <c r="E1489" t="s">
        <v>19</v>
      </c>
      <c r="F1489" t="s">
        <v>28</v>
      </c>
      <c r="O1489">
        <v>2051</v>
      </c>
    </row>
    <row r="1490" spans="1:16" x14ac:dyDescent="0.3">
      <c r="A1490" t="str">
        <f t="shared" si="23"/>
        <v>PD|AccumulatedNewCapacity|RE1|PWRNGS_CC|2051</v>
      </c>
      <c r="B1490" t="s">
        <v>16</v>
      </c>
      <c r="C1490" t="s">
        <v>17</v>
      </c>
      <c r="D1490" t="s">
        <v>18</v>
      </c>
      <c r="E1490" t="s">
        <v>19</v>
      </c>
      <c r="F1490" t="s">
        <v>29</v>
      </c>
      <c r="O1490">
        <v>2051</v>
      </c>
    </row>
    <row r="1491" spans="1:16" x14ac:dyDescent="0.3">
      <c r="A1491" t="str">
        <f t="shared" si="23"/>
        <v>PD|AccumulatedNewCapacity|RE1|PWRNGS_CS|2051</v>
      </c>
      <c r="B1491" t="s">
        <v>16</v>
      </c>
      <c r="C1491" t="s">
        <v>17</v>
      </c>
      <c r="D1491" t="s">
        <v>18</v>
      </c>
      <c r="E1491" t="s">
        <v>19</v>
      </c>
      <c r="F1491" t="s">
        <v>30</v>
      </c>
      <c r="O1491">
        <v>2051</v>
      </c>
    </row>
    <row r="1492" spans="1:16" x14ac:dyDescent="0.3">
      <c r="A1492" t="str">
        <f t="shared" si="23"/>
        <v>PD|AccumulatedNewCapacity|RE1|PWRSOLRTP|2051</v>
      </c>
      <c r="B1492" t="s">
        <v>16</v>
      </c>
      <c r="C1492" t="s">
        <v>17</v>
      </c>
      <c r="D1492" t="s">
        <v>18</v>
      </c>
      <c r="E1492" t="s">
        <v>19</v>
      </c>
      <c r="F1492" t="s">
        <v>31</v>
      </c>
      <c r="O1492">
        <v>2051</v>
      </c>
      <c r="P1492">
        <v>112.84083703233991</v>
      </c>
    </row>
    <row r="1493" spans="1:16" x14ac:dyDescent="0.3">
      <c r="A1493" t="str">
        <f t="shared" si="23"/>
        <v>PD|AccumulatedNewCapacity|RE1|PWRSOLRTP_ZNI|2051</v>
      </c>
      <c r="B1493" t="s">
        <v>16</v>
      </c>
      <c r="C1493" t="s">
        <v>17</v>
      </c>
      <c r="D1493" t="s">
        <v>18</v>
      </c>
      <c r="E1493" t="s">
        <v>19</v>
      </c>
      <c r="F1493" t="s">
        <v>32</v>
      </c>
      <c r="O1493">
        <v>2051</v>
      </c>
      <c r="P1493">
        <v>0.88750826980907294</v>
      </c>
    </row>
    <row r="1494" spans="1:16" x14ac:dyDescent="0.3">
      <c r="A1494" t="str">
        <f t="shared" si="23"/>
        <v>PD|AccumulatedNewCapacity|RE1|PWRSOLUGE|2051</v>
      </c>
      <c r="B1494" t="s">
        <v>16</v>
      </c>
      <c r="C1494" t="s">
        <v>17</v>
      </c>
      <c r="D1494" t="s">
        <v>18</v>
      </c>
      <c r="E1494" t="s">
        <v>19</v>
      </c>
      <c r="F1494" t="s">
        <v>33</v>
      </c>
      <c r="O1494">
        <v>2051</v>
      </c>
      <c r="P1494">
        <v>143.394192</v>
      </c>
    </row>
    <row r="1495" spans="1:16" x14ac:dyDescent="0.3">
      <c r="A1495" t="str">
        <f t="shared" si="23"/>
        <v>PD|AccumulatedNewCapacity|RE1|PWRSOLUPE|2051</v>
      </c>
      <c r="B1495" t="s">
        <v>16</v>
      </c>
      <c r="C1495" t="s">
        <v>17</v>
      </c>
      <c r="D1495" t="s">
        <v>18</v>
      </c>
      <c r="E1495" t="s">
        <v>19</v>
      </c>
      <c r="F1495" t="s">
        <v>34</v>
      </c>
      <c r="O1495">
        <v>2051</v>
      </c>
      <c r="P1495">
        <v>3.4689599999999992</v>
      </c>
    </row>
    <row r="1496" spans="1:16" x14ac:dyDescent="0.3">
      <c r="A1496" t="str">
        <f t="shared" si="23"/>
        <v>PD|AccumulatedNewCapacity|RE1|PWRSTD|2051</v>
      </c>
      <c r="B1496" t="s">
        <v>16</v>
      </c>
      <c r="C1496" t="s">
        <v>17</v>
      </c>
      <c r="D1496" t="s">
        <v>18</v>
      </c>
      <c r="E1496" t="s">
        <v>19</v>
      </c>
      <c r="F1496" t="s">
        <v>35</v>
      </c>
      <c r="O1496">
        <v>2051</v>
      </c>
    </row>
    <row r="1497" spans="1:16" x14ac:dyDescent="0.3">
      <c r="A1497" t="str">
        <f t="shared" si="23"/>
        <v>PD|AccumulatedNewCapacity|RE1|PWRWNDONS|2051</v>
      </c>
      <c r="B1497" t="s">
        <v>16</v>
      </c>
      <c r="C1497" t="s">
        <v>17</v>
      </c>
      <c r="D1497" t="s">
        <v>18</v>
      </c>
      <c r="E1497" t="s">
        <v>19</v>
      </c>
      <c r="F1497" t="s">
        <v>36</v>
      </c>
      <c r="O1497">
        <v>2051</v>
      </c>
      <c r="P1497">
        <v>439.04073660181581</v>
      </c>
    </row>
    <row r="1498" spans="1:16" x14ac:dyDescent="0.3">
      <c r="A1498" t="str">
        <f t="shared" si="23"/>
        <v>PD|NewCapacity|RE1|PWRBGS|2051</v>
      </c>
      <c r="B1498" t="s">
        <v>16</v>
      </c>
      <c r="C1498" t="s">
        <v>17</v>
      </c>
      <c r="D1498" t="s">
        <v>37</v>
      </c>
      <c r="E1498" t="s">
        <v>19</v>
      </c>
      <c r="F1498" t="s">
        <v>20</v>
      </c>
      <c r="O1498">
        <v>2051</v>
      </c>
    </row>
    <row r="1499" spans="1:16" x14ac:dyDescent="0.3">
      <c r="A1499" t="str">
        <f t="shared" si="23"/>
        <v>PD|NewCapacity|RE1|PWRCOA|2051</v>
      </c>
      <c r="B1499" t="s">
        <v>16</v>
      </c>
      <c r="C1499" t="s">
        <v>17</v>
      </c>
      <c r="D1499" t="s">
        <v>37</v>
      </c>
      <c r="E1499" t="s">
        <v>19</v>
      </c>
      <c r="F1499" t="s">
        <v>21</v>
      </c>
      <c r="O1499">
        <v>2051</v>
      </c>
    </row>
    <row r="1500" spans="1:16" x14ac:dyDescent="0.3">
      <c r="A1500" t="str">
        <f t="shared" si="23"/>
        <v>PD|NewCapacity|RE1|PWRDSL|2051</v>
      </c>
      <c r="B1500" t="s">
        <v>16</v>
      </c>
      <c r="C1500" t="s">
        <v>17</v>
      </c>
      <c r="D1500" t="s">
        <v>37</v>
      </c>
      <c r="E1500" t="s">
        <v>19</v>
      </c>
      <c r="F1500" t="s">
        <v>22</v>
      </c>
      <c r="O1500">
        <v>2051</v>
      </c>
    </row>
    <row r="1501" spans="1:16" x14ac:dyDescent="0.3">
      <c r="A1501" t="str">
        <f t="shared" si="23"/>
        <v>PD|NewCapacity|RE1|PWRFOL|2051</v>
      </c>
      <c r="B1501" t="s">
        <v>16</v>
      </c>
      <c r="C1501" t="s">
        <v>17</v>
      </c>
      <c r="D1501" t="s">
        <v>37</v>
      </c>
      <c r="E1501" t="s">
        <v>19</v>
      </c>
      <c r="F1501" t="s">
        <v>23</v>
      </c>
      <c r="O1501">
        <v>2051</v>
      </c>
    </row>
    <row r="1502" spans="1:16" x14ac:dyDescent="0.3">
      <c r="A1502" t="str">
        <f t="shared" si="23"/>
        <v>PD|NewCapacity|RE1|PWRHYDDAM|2051</v>
      </c>
      <c r="B1502" t="s">
        <v>16</v>
      </c>
      <c r="C1502" t="s">
        <v>17</v>
      </c>
      <c r="D1502" t="s">
        <v>37</v>
      </c>
      <c r="E1502" t="s">
        <v>19</v>
      </c>
      <c r="F1502" t="s">
        <v>24</v>
      </c>
      <c r="O1502">
        <v>2051</v>
      </c>
    </row>
    <row r="1503" spans="1:16" x14ac:dyDescent="0.3">
      <c r="A1503" t="str">
        <f t="shared" si="23"/>
        <v>PD|NewCapacity|RE1|PWRHYDROR|2051</v>
      </c>
      <c r="B1503" t="s">
        <v>16</v>
      </c>
      <c r="C1503" t="s">
        <v>17</v>
      </c>
      <c r="D1503" t="s">
        <v>37</v>
      </c>
      <c r="E1503" t="s">
        <v>19</v>
      </c>
      <c r="F1503" t="s">
        <v>25</v>
      </c>
      <c r="O1503">
        <v>2051</v>
      </c>
    </row>
    <row r="1504" spans="1:16" x14ac:dyDescent="0.3">
      <c r="A1504" t="str">
        <f t="shared" si="23"/>
        <v>PD|NewCapacity|RE1|PWRHYDROR_NDC|2051</v>
      </c>
      <c r="B1504" t="s">
        <v>16</v>
      </c>
      <c r="C1504" t="s">
        <v>17</v>
      </c>
      <c r="D1504" t="s">
        <v>37</v>
      </c>
      <c r="E1504" t="s">
        <v>19</v>
      </c>
      <c r="F1504" t="s">
        <v>26</v>
      </c>
      <c r="O1504">
        <v>2051</v>
      </c>
    </row>
    <row r="1505" spans="1:16" x14ac:dyDescent="0.3">
      <c r="A1505" t="str">
        <f t="shared" si="23"/>
        <v>PD|NewCapacity|RE1|PWRJET|2051</v>
      </c>
      <c r="B1505" t="s">
        <v>16</v>
      </c>
      <c r="C1505" t="s">
        <v>17</v>
      </c>
      <c r="D1505" t="s">
        <v>37</v>
      </c>
      <c r="E1505" t="s">
        <v>19</v>
      </c>
      <c r="F1505" t="s">
        <v>27</v>
      </c>
      <c r="O1505">
        <v>2051</v>
      </c>
    </row>
    <row r="1506" spans="1:16" x14ac:dyDescent="0.3">
      <c r="A1506" t="str">
        <f t="shared" si="23"/>
        <v>PD|NewCapacity|RE1|PWRLPG|2051</v>
      </c>
      <c r="B1506" t="s">
        <v>16</v>
      </c>
      <c r="C1506" t="s">
        <v>17</v>
      </c>
      <c r="D1506" t="s">
        <v>37</v>
      </c>
      <c r="E1506" t="s">
        <v>19</v>
      </c>
      <c r="F1506" t="s">
        <v>28</v>
      </c>
      <c r="O1506">
        <v>2051</v>
      </c>
    </row>
    <row r="1507" spans="1:16" x14ac:dyDescent="0.3">
      <c r="A1507" t="str">
        <f t="shared" si="23"/>
        <v>PD|NewCapacity|RE1|PWRNGS_CC|2051</v>
      </c>
      <c r="B1507" t="s">
        <v>16</v>
      </c>
      <c r="C1507" t="s">
        <v>17</v>
      </c>
      <c r="D1507" t="s">
        <v>37</v>
      </c>
      <c r="E1507" t="s">
        <v>19</v>
      </c>
      <c r="F1507" t="s">
        <v>29</v>
      </c>
      <c r="O1507">
        <v>2051</v>
      </c>
    </row>
    <row r="1508" spans="1:16" x14ac:dyDescent="0.3">
      <c r="A1508" t="str">
        <f t="shared" si="23"/>
        <v>PD|NewCapacity|RE1|PWRNGS_CS|2051</v>
      </c>
      <c r="B1508" t="s">
        <v>16</v>
      </c>
      <c r="C1508" t="s">
        <v>17</v>
      </c>
      <c r="D1508" t="s">
        <v>37</v>
      </c>
      <c r="E1508" t="s">
        <v>19</v>
      </c>
      <c r="F1508" t="s">
        <v>30</v>
      </c>
      <c r="O1508">
        <v>2051</v>
      </c>
    </row>
    <row r="1509" spans="1:16" x14ac:dyDescent="0.3">
      <c r="A1509" t="str">
        <f t="shared" si="23"/>
        <v>PD|NewCapacity|RE1|PWRSOLRTP|2051</v>
      </c>
      <c r="B1509" t="s">
        <v>16</v>
      </c>
      <c r="C1509" t="s">
        <v>17</v>
      </c>
      <c r="D1509" t="s">
        <v>37</v>
      </c>
      <c r="E1509" t="s">
        <v>19</v>
      </c>
      <c r="F1509" t="s">
        <v>31</v>
      </c>
      <c r="O1509">
        <v>2051</v>
      </c>
      <c r="P1509">
        <v>1.426759670259987</v>
      </c>
    </row>
    <row r="1510" spans="1:16" x14ac:dyDescent="0.3">
      <c r="A1510" t="str">
        <f t="shared" si="23"/>
        <v>PD|NewCapacity|RE1|PWRSOLRTP_ZNI|2051</v>
      </c>
      <c r="B1510" t="s">
        <v>16</v>
      </c>
      <c r="C1510" t="s">
        <v>17</v>
      </c>
      <c r="D1510" t="s">
        <v>37</v>
      </c>
      <c r="E1510" t="s">
        <v>19</v>
      </c>
      <c r="F1510" t="s">
        <v>32</v>
      </c>
      <c r="O1510">
        <v>2051</v>
      </c>
    </row>
    <row r="1511" spans="1:16" x14ac:dyDescent="0.3">
      <c r="A1511" t="str">
        <f t="shared" si="23"/>
        <v>PD|NewCapacity|RE1|PWRSOLUGE|2051</v>
      </c>
      <c r="B1511" t="s">
        <v>16</v>
      </c>
      <c r="C1511" t="s">
        <v>17</v>
      </c>
      <c r="D1511" t="s">
        <v>37</v>
      </c>
      <c r="E1511" t="s">
        <v>19</v>
      </c>
      <c r="F1511" t="s">
        <v>33</v>
      </c>
      <c r="O1511">
        <v>2051</v>
      </c>
    </row>
    <row r="1512" spans="1:16" x14ac:dyDescent="0.3">
      <c r="A1512" t="str">
        <f t="shared" si="23"/>
        <v>PD|NewCapacity|RE1|PWRSOLUPE|2051</v>
      </c>
      <c r="B1512" t="s">
        <v>16</v>
      </c>
      <c r="C1512" t="s">
        <v>17</v>
      </c>
      <c r="D1512" t="s">
        <v>37</v>
      </c>
      <c r="E1512" t="s">
        <v>19</v>
      </c>
      <c r="F1512" t="s">
        <v>34</v>
      </c>
      <c r="O1512">
        <v>2051</v>
      </c>
    </row>
    <row r="1513" spans="1:16" x14ac:dyDescent="0.3">
      <c r="A1513" t="str">
        <f t="shared" si="23"/>
        <v>PD|NewCapacity|RE1|PWRSTD|2051</v>
      </c>
      <c r="B1513" t="s">
        <v>16</v>
      </c>
      <c r="C1513" t="s">
        <v>17</v>
      </c>
      <c r="D1513" t="s">
        <v>37</v>
      </c>
      <c r="E1513" t="s">
        <v>19</v>
      </c>
      <c r="F1513" t="s">
        <v>35</v>
      </c>
      <c r="O1513">
        <v>2051</v>
      </c>
    </row>
    <row r="1514" spans="1:16" x14ac:dyDescent="0.3">
      <c r="A1514" t="str">
        <f t="shared" si="23"/>
        <v>PD|NewCapacity|RE1|PWRWNDONS|2051</v>
      </c>
      <c r="B1514" t="s">
        <v>16</v>
      </c>
      <c r="C1514" t="s">
        <v>17</v>
      </c>
      <c r="D1514" t="s">
        <v>37</v>
      </c>
      <c r="E1514" t="s">
        <v>19</v>
      </c>
      <c r="F1514" t="s">
        <v>36</v>
      </c>
      <c r="O1514">
        <v>2051</v>
      </c>
    </row>
    <row r="1515" spans="1:16" x14ac:dyDescent="0.3">
      <c r="A1515" t="str">
        <f t="shared" si="23"/>
        <v>PD|TotalCapacityAnnual|RE1|PWRBGS|2051</v>
      </c>
      <c r="B1515" t="s">
        <v>16</v>
      </c>
      <c r="C1515" t="s">
        <v>17</v>
      </c>
      <c r="D1515" t="s">
        <v>38</v>
      </c>
      <c r="E1515" t="s">
        <v>19</v>
      </c>
      <c r="F1515" t="s">
        <v>20</v>
      </c>
      <c r="O1515">
        <v>2051</v>
      </c>
      <c r="P1515">
        <v>2.5488587520000001E-2</v>
      </c>
    </row>
    <row r="1516" spans="1:16" x14ac:dyDescent="0.3">
      <c r="A1516" t="str">
        <f t="shared" si="23"/>
        <v>PD|TotalCapacityAnnual|RE1|PWRCOA|2051</v>
      </c>
      <c r="B1516" t="s">
        <v>16</v>
      </c>
      <c r="C1516" t="s">
        <v>17</v>
      </c>
      <c r="D1516" t="s">
        <v>38</v>
      </c>
      <c r="E1516" t="s">
        <v>19</v>
      </c>
      <c r="F1516" t="s">
        <v>21</v>
      </c>
      <c r="O1516">
        <v>2051</v>
      </c>
    </row>
    <row r="1517" spans="1:16" x14ac:dyDescent="0.3">
      <c r="A1517" t="str">
        <f t="shared" si="23"/>
        <v>PD|TotalCapacityAnnual|RE1|PWRDSL|2051</v>
      </c>
      <c r="B1517" t="s">
        <v>16</v>
      </c>
      <c r="C1517" t="s">
        <v>17</v>
      </c>
      <c r="D1517" t="s">
        <v>38</v>
      </c>
      <c r="E1517" t="s">
        <v>19</v>
      </c>
      <c r="F1517" t="s">
        <v>22</v>
      </c>
      <c r="O1517">
        <v>2051</v>
      </c>
      <c r="P1517">
        <v>24.944976</v>
      </c>
    </row>
    <row r="1518" spans="1:16" x14ac:dyDescent="0.3">
      <c r="A1518" t="str">
        <f t="shared" si="23"/>
        <v>PD|TotalCapacityAnnual|RE1|PWRFOL|2051</v>
      </c>
      <c r="B1518" t="s">
        <v>16</v>
      </c>
      <c r="C1518" t="s">
        <v>17</v>
      </c>
      <c r="D1518" t="s">
        <v>38</v>
      </c>
      <c r="E1518" t="s">
        <v>19</v>
      </c>
      <c r="F1518" t="s">
        <v>23</v>
      </c>
      <c r="O1518">
        <v>2051</v>
      </c>
      <c r="P1518">
        <v>8.3885759999999987</v>
      </c>
    </row>
    <row r="1519" spans="1:16" x14ac:dyDescent="0.3">
      <c r="A1519" t="str">
        <f t="shared" si="23"/>
        <v>PD|TotalCapacityAnnual|RE1|PWRHYDDAM|2051</v>
      </c>
      <c r="B1519" t="s">
        <v>16</v>
      </c>
      <c r="C1519" t="s">
        <v>17</v>
      </c>
      <c r="D1519" t="s">
        <v>38</v>
      </c>
      <c r="E1519" t="s">
        <v>19</v>
      </c>
      <c r="F1519" t="s">
        <v>24</v>
      </c>
      <c r="O1519">
        <v>2051</v>
      </c>
      <c r="P1519">
        <v>440.49164800000011</v>
      </c>
    </row>
    <row r="1520" spans="1:16" x14ac:dyDescent="0.3">
      <c r="A1520" t="str">
        <f t="shared" si="23"/>
        <v>PD|TotalCapacityAnnual|RE1|PWRHYDROR|2051</v>
      </c>
      <c r="B1520" t="s">
        <v>16</v>
      </c>
      <c r="C1520" t="s">
        <v>17</v>
      </c>
      <c r="D1520" t="s">
        <v>38</v>
      </c>
      <c r="E1520" t="s">
        <v>19</v>
      </c>
      <c r="F1520" t="s">
        <v>25</v>
      </c>
      <c r="O1520">
        <v>2051</v>
      </c>
      <c r="P1520">
        <v>21.097584000000001</v>
      </c>
    </row>
    <row r="1521" spans="1:16" x14ac:dyDescent="0.3">
      <c r="A1521" t="str">
        <f t="shared" si="23"/>
        <v>PD|TotalCapacityAnnual|RE1|PWRHYDROR_NDC|2051</v>
      </c>
      <c r="B1521" t="s">
        <v>16</v>
      </c>
      <c r="C1521" t="s">
        <v>17</v>
      </c>
      <c r="D1521" t="s">
        <v>38</v>
      </c>
      <c r="E1521" t="s">
        <v>19</v>
      </c>
      <c r="F1521" t="s">
        <v>26</v>
      </c>
      <c r="O1521">
        <v>2051</v>
      </c>
      <c r="P1521">
        <v>29.725108271999989</v>
      </c>
    </row>
    <row r="1522" spans="1:16" x14ac:dyDescent="0.3">
      <c r="A1522" t="str">
        <f t="shared" si="23"/>
        <v>PD|TotalCapacityAnnual|RE1|PWRJET|2051</v>
      </c>
      <c r="B1522" t="s">
        <v>16</v>
      </c>
      <c r="C1522" t="s">
        <v>17</v>
      </c>
      <c r="D1522" t="s">
        <v>38</v>
      </c>
      <c r="E1522" t="s">
        <v>19</v>
      </c>
      <c r="F1522" t="s">
        <v>27</v>
      </c>
      <c r="O1522">
        <v>2051</v>
      </c>
      <c r="P1522">
        <v>1.5768</v>
      </c>
    </row>
    <row r="1523" spans="1:16" x14ac:dyDescent="0.3">
      <c r="A1523" t="str">
        <f t="shared" si="23"/>
        <v>PD|TotalCapacityAnnual|RE1|PWRLPG|2051</v>
      </c>
      <c r="B1523" t="s">
        <v>16</v>
      </c>
      <c r="C1523" t="s">
        <v>17</v>
      </c>
      <c r="D1523" t="s">
        <v>38</v>
      </c>
      <c r="E1523" t="s">
        <v>19</v>
      </c>
      <c r="F1523" t="s">
        <v>28</v>
      </c>
      <c r="O1523">
        <v>2051</v>
      </c>
      <c r="P1523">
        <v>1.639872</v>
      </c>
    </row>
    <row r="1524" spans="1:16" x14ac:dyDescent="0.3">
      <c r="A1524" t="str">
        <f t="shared" si="23"/>
        <v>PD|TotalCapacityAnnual|RE1|PWRNGS_CC|2051</v>
      </c>
      <c r="B1524" t="s">
        <v>16</v>
      </c>
      <c r="C1524" t="s">
        <v>17</v>
      </c>
      <c r="D1524" t="s">
        <v>38</v>
      </c>
      <c r="E1524" t="s">
        <v>19</v>
      </c>
      <c r="F1524" t="s">
        <v>29</v>
      </c>
      <c r="O1524">
        <v>2051</v>
      </c>
      <c r="P1524">
        <v>70.104500000000002</v>
      </c>
    </row>
    <row r="1525" spans="1:16" x14ac:dyDescent="0.3">
      <c r="A1525" t="str">
        <f t="shared" si="23"/>
        <v>PD|TotalCapacityAnnual|RE1|PWRNGS_CS|2051</v>
      </c>
      <c r="B1525" t="s">
        <v>16</v>
      </c>
      <c r="C1525" t="s">
        <v>17</v>
      </c>
      <c r="D1525" t="s">
        <v>38</v>
      </c>
      <c r="E1525" t="s">
        <v>19</v>
      </c>
      <c r="F1525" t="s">
        <v>30</v>
      </c>
      <c r="O1525">
        <v>2051</v>
      </c>
      <c r="P1525">
        <v>23.084351999999999</v>
      </c>
    </row>
    <row r="1526" spans="1:16" x14ac:dyDescent="0.3">
      <c r="A1526" t="str">
        <f t="shared" si="23"/>
        <v>PD|TotalCapacityAnnual|RE1|PWRSOLRTP|2051</v>
      </c>
      <c r="B1526" t="s">
        <v>16</v>
      </c>
      <c r="C1526" t="s">
        <v>17</v>
      </c>
      <c r="D1526" t="s">
        <v>38</v>
      </c>
      <c r="E1526" t="s">
        <v>19</v>
      </c>
      <c r="F1526" t="s">
        <v>31</v>
      </c>
      <c r="O1526">
        <v>2051</v>
      </c>
      <c r="P1526">
        <v>112.84083703233991</v>
      </c>
    </row>
    <row r="1527" spans="1:16" x14ac:dyDescent="0.3">
      <c r="A1527" t="str">
        <f t="shared" si="23"/>
        <v>PD|TotalCapacityAnnual|RE1|PWRSOLRTP_ZNI|2051</v>
      </c>
      <c r="B1527" t="s">
        <v>16</v>
      </c>
      <c r="C1527" t="s">
        <v>17</v>
      </c>
      <c r="D1527" t="s">
        <v>38</v>
      </c>
      <c r="E1527" t="s">
        <v>19</v>
      </c>
      <c r="F1527" t="s">
        <v>32</v>
      </c>
      <c r="O1527">
        <v>2051</v>
      </c>
      <c r="P1527">
        <v>1.3482492298090729</v>
      </c>
    </row>
    <row r="1528" spans="1:16" x14ac:dyDescent="0.3">
      <c r="A1528" t="str">
        <f t="shared" si="23"/>
        <v>PD|TotalCapacityAnnual|RE1|PWRSOLUGE|2051</v>
      </c>
      <c r="B1528" t="s">
        <v>16</v>
      </c>
      <c r="C1528" t="s">
        <v>17</v>
      </c>
      <c r="D1528" t="s">
        <v>38</v>
      </c>
      <c r="E1528" t="s">
        <v>19</v>
      </c>
      <c r="F1528" t="s">
        <v>33</v>
      </c>
      <c r="O1528">
        <v>2051</v>
      </c>
      <c r="P1528">
        <v>191.79189199999999</v>
      </c>
    </row>
    <row r="1529" spans="1:16" x14ac:dyDescent="0.3">
      <c r="A1529" t="str">
        <f t="shared" si="23"/>
        <v>PD|TotalCapacityAnnual|RE1|PWRSOLUPE|2051</v>
      </c>
      <c r="B1529" t="s">
        <v>16</v>
      </c>
      <c r="C1529" t="s">
        <v>17</v>
      </c>
      <c r="D1529" t="s">
        <v>38</v>
      </c>
      <c r="E1529" t="s">
        <v>19</v>
      </c>
      <c r="F1529" t="s">
        <v>34</v>
      </c>
      <c r="O1529">
        <v>2051</v>
      </c>
      <c r="P1529">
        <v>3.4689599999999992</v>
      </c>
    </row>
    <row r="1530" spans="1:16" x14ac:dyDescent="0.3">
      <c r="A1530" t="str">
        <f t="shared" si="23"/>
        <v>PD|TotalCapacityAnnual|RE1|PWRSTD|2051</v>
      </c>
      <c r="B1530" t="s">
        <v>16</v>
      </c>
      <c r="C1530" t="s">
        <v>17</v>
      </c>
      <c r="D1530" t="s">
        <v>38</v>
      </c>
      <c r="E1530" t="s">
        <v>19</v>
      </c>
      <c r="F1530" t="s">
        <v>35</v>
      </c>
      <c r="O1530">
        <v>2051</v>
      </c>
      <c r="P1530">
        <v>8.163062064</v>
      </c>
    </row>
    <row r="1531" spans="1:16" x14ac:dyDescent="0.3">
      <c r="A1531" t="str">
        <f t="shared" si="23"/>
        <v>PD|TotalCapacityAnnual|RE1|PWRWNDONS|2051</v>
      </c>
      <c r="B1531" t="s">
        <v>16</v>
      </c>
      <c r="C1531" t="s">
        <v>17</v>
      </c>
      <c r="D1531" t="s">
        <v>38</v>
      </c>
      <c r="E1531" t="s">
        <v>19</v>
      </c>
      <c r="F1531" t="s">
        <v>36</v>
      </c>
      <c r="O1531">
        <v>2051</v>
      </c>
      <c r="P1531">
        <v>440.40939900181581</v>
      </c>
    </row>
    <row r="1532" spans="1:16" x14ac:dyDescent="0.3">
      <c r="A1532" t="str">
        <f t="shared" si="23"/>
        <v>PD|AccumulatedNewCapacity|RE1|PWRBGS|2052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O1532">
        <v>2052</v>
      </c>
    </row>
    <row r="1533" spans="1:16" x14ac:dyDescent="0.3">
      <c r="A1533" t="str">
        <f t="shared" si="23"/>
        <v>PD|AccumulatedNewCapacity|RE1|PWRCOA|2052</v>
      </c>
      <c r="B1533" t="s">
        <v>16</v>
      </c>
      <c r="C1533" t="s">
        <v>17</v>
      </c>
      <c r="D1533" t="s">
        <v>18</v>
      </c>
      <c r="E1533" t="s">
        <v>19</v>
      </c>
      <c r="F1533" t="s">
        <v>21</v>
      </c>
      <c r="O1533">
        <v>2052</v>
      </c>
    </row>
    <row r="1534" spans="1:16" x14ac:dyDescent="0.3">
      <c r="A1534" t="str">
        <f t="shared" si="23"/>
        <v>PD|AccumulatedNewCapacity|RE1|PWRDSL|2052</v>
      </c>
      <c r="B1534" t="s">
        <v>16</v>
      </c>
      <c r="C1534" t="s">
        <v>17</v>
      </c>
      <c r="D1534" t="s">
        <v>18</v>
      </c>
      <c r="E1534" t="s">
        <v>19</v>
      </c>
      <c r="F1534" t="s">
        <v>22</v>
      </c>
      <c r="O1534">
        <v>2052</v>
      </c>
    </row>
    <row r="1535" spans="1:16" x14ac:dyDescent="0.3">
      <c r="A1535" t="str">
        <f t="shared" si="23"/>
        <v>PD|AccumulatedNewCapacity|RE1|PWRFOL|2052</v>
      </c>
      <c r="B1535" t="s">
        <v>16</v>
      </c>
      <c r="C1535" t="s">
        <v>17</v>
      </c>
      <c r="D1535" t="s">
        <v>18</v>
      </c>
      <c r="E1535" t="s">
        <v>19</v>
      </c>
      <c r="F1535" t="s">
        <v>23</v>
      </c>
      <c r="O1535">
        <v>2052</v>
      </c>
    </row>
    <row r="1536" spans="1:16" x14ac:dyDescent="0.3">
      <c r="A1536" t="str">
        <f t="shared" si="23"/>
        <v>PD|AccumulatedNewCapacity|RE1|PWRHYDDAM|2052</v>
      </c>
      <c r="B1536" t="s">
        <v>16</v>
      </c>
      <c r="C1536" t="s">
        <v>17</v>
      </c>
      <c r="D1536" t="s">
        <v>18</v>
      </c>
      <c r="E1536" t="s">
        <v>19</v>
      </c>
      <c r="F1536" t="s">
        <v>24</v>
      </c>
      <c r="O1536">
        <v>2052</v>
      </c>
      <c r="P1536">
        <v>37.840000000000003</v>
      </c>
    </row>
    <row r="1537" spans="1:16" x14ac:dyDescent="0.3">
      <c r="A1537" t="str">
        <f t="shared" si="23"/>
        <v>PD|AccumulatedNewCapacity|RE1|PWRHYDROR|2052</v>
      </c>
      <c r="B1537" t="s">
        <v>16</v>
      </c>
      <c r="C1537" t="s">
        <v>17</v>
      </c>
      <c r="D1537" t="s">
        <v>18</v>
      </c>
      <c r="E1537" t="s">
        <v>19</v>
      </c>
      <c r="F1537" t="s">
        <v>25</v>
      </c>
      <c r="O1537">
        <v>2052</v>
      </c>
    </row>
    <row r="1538" spans="1:16" x14ac:dyDescent="0.3">
      <c r="A1538" t="str">
        <f t="shared" ref="A1538:A1601" si="24">B1538&amp;"|"&amp;D1538&amp;"|"&amp;E1538&amp;"|"&amp;F1538&amp;"|"&amp;O1538</f>
        <v>PD|AccumulatedNewCapacity|RE1|PWRHYDROR_NDC|2052</v>
      </c>
      <c r="B1538" t="s">
        <v>16</v>
      </c>
      <c r="C1538" t="s">
        <v>17</v>
      </c>
      <c r="D1538" t="s">
        <v>18</v>
      </c>
      <c r="E1538" t="s">
        <v>19</v>
      </c>
      <c r="F1538" t="s">
        <v>26</v>
      </c>
      <c r="O1538">
        <v>2052</v>
      </c>
    </row>
    <row r="1539" spans="1:16" x14ac:dyDescent="0.3">
      <c r="A1539" t="str">
        <f t="shared" si="24"/>
        <v>PD|AccumulatedNewCapacity|RE1|PWRJET|2052</v>
      </c>
      <c r="B1539" t="s">
        <v>16</v>
      </c>
      <c r="C1539" t="s">
        <v>17</v>
      </c>
      <c r="D1539" t="s">
        <v>18</v>
      </c>
      <c r="E1539" t="s">
        <v>19</v>
      </c>
      <c r="F1539" t="s">
        <v>27</v>
      </c>
      <c r="O1539">
        <v>2052</v>
      </c>
    </row>
    <row r="1540" spans="1:16" x14ac:dyDescent="0.3">
      <c r="A1540" t="str">
        <f t="shared" si="24"/>
        <v>PD|AccumulatedNewCapacity|RE1|PWRLPG|2052</v>
      </c>
      <c r="B1540" t="s">
        <v>16</v>
      </c>
      <c r="C1540" t="s">
        <v>17</v>
      </c>
      <c r="D1540" t="s">
        <v>18</v>
      </c>
      <c r="E1540" t="s">
        <v>19</v>
      </c>
      <c r="F1540" t="s">
        <v>28</v>
      </c>
      <c r="O1540">
        <v>2052</v>
      </c>
    </row>
    <row r="1541" spans="1:16" x14ac:dyDescent="0.3">
      <c r="A1541" t="str">
        <f t="shared" si="24"/>
        <v>PD|AccumulatedNewCapacity|RE1|PWRNGS_CC|2052</v>
      </c>
      <c r="B1541" t="s">
        <v>16</v>
      </c>
      <c r="C1541" t="s">
        <v>17</v>
      </c>
      <c r="D1541" t="s">
        <v>18</v>
      </c>
      <c r="E1541" t="s">
        <v>19</v>
      </c>
      <c r="F1541" t="s">
        <v>29</v>
      </c>
      <c r="O1541">
        <v>2052</v>
      </c>
    </row>
    <row r="1542" spans="1:16" x14ac:dyDescent="0.3">
      <c r="A1542" t="str">
        <f t="shared" si="24"/>
        <v>PD|AccumulatedNewCapacity|RE1|PWRNGS_CS|2052</v>
      </c>
      <c r="B1542" t="s">
        <v>16</v>
      </c>
      <c r="C1542" t="s">
        <v>17</v>
      </c>
      <c r="D1542" t="s">
        <v>18</v>
      </c>
      <c r="E1542" t="s">
        <v>19</v>
      </c>
      <c r="F1542" t="s">
        <v>30</v>
      </c>
      <c r="O1542">
        <v>2052</v>
      </c>
    </row>
    <row r="1543" spans="1:16" x14ac:dyDescent="0.3">
      <c r="A1543" t="str">
        <f t="shared" si="24"/>
        <v>PD|AccumulatedNewCapacity|RE1|PWRSOLRTP|2052</v>
      </c>
      <c r="B1543" t="s">
        <v>16</v>
      </c>
      <c r="C1543" t="s">
        <v>17</v>
      </c>
      <c r="D1543" t="s">
        <v>18</v>
      </c>
      <c r="E1543" t="s">
        <v>19</v>
      </c>
      <c r="F1543" t="s">
        <v>31</v>
      </c>
      <c r="O1543">
        <v>2052</v>
      </c>
      <c r="P1543">
        <v>103.4876347495244</v>
      </c>
    </row>
    <row r="1544" spans="1:16" x14ac:dyDescent="0.3">
      <c r="A1544" t="str">
        <f t="shared" si="24"/>
        <v>PD|AccumulatedNewCapacity|RE1|PWRSOLRTP_ZNI|2052</v>
      </c>
      <c r="B1544" t="s">
        <v>16</v>
      </c>
      <c r="C1544" t="s">
        <v>17</v>
      </c>
      <c r="D1544" t="s">
        <v>18</v>
      </c>
      <c r="E1544" t="s">
        <v>19</v>
      </c>
      <c r="F1544" t="s">
        <v>32</v>
      </c>
      <c r="O1544">
        <v>2052</v>
      </c>
      <c r="P1544">
        <v>0.88750826980907294</v>
      </c>
    </row>
    <row r="1545" spans="1:16" x14ac:dyDescent="0.3">
      <c r="A1545" t="str">
        <f t="shared" si="24"/>
        <v>PD|AccumulatedNewCapacity|RE1|PWRSOLUGE|2052</v>
      </c>
      <c r="B1545" t="s">
        <v>16</v>
      </c>
      <c r="C1545" t="s">
        <v>17</v>
      </c>
      <c r="D1545" t="s">
        <v>18</v>
      </c>
      <c r="E1545" t="s">
        <v>19</v>
      </c>
      <c r="F1545" t="s">
        <v>33</v>
      </c>
      <c r="O1545">
        <v>2052</v>
      </c>
      <c r="P1545">
        <v>143.394192</v>
      </c>
    </row>
    <row r="1546" spans="1:16" x14ac:dyDescent="0.3">
      <c r="A1546" t="str">
        <f t="shared" si="24"/>
        <v>PD|AccumulatedNewCapacity|RE1|PWRSOLUPE|2052</v>
      </c>
      <c r="B1546" t="s">
        <v>16</v>
      </c>
      <c r="C1546" t="s">
        <v>17</v>
      </c>
      <c r="D1546" t="s">
        <v>18</v>
      </c>
      <c r="E1546" t="s">
        <v>19</v>
      </c>
      <c r="F1546" t="s">
        <v>34</v>
      </c>
      <c r="O1546">
        <v>2052</v>
      </c>
    </row>
    <row r="1547" spans="1:16" x14ac:dyDescent="0.3">
      <c r="A1547" t="str">
        <f t="shared" si="24"/>
        <v>PD|AccumulatedNewCapacity|RE1|PWRSTD|2052</v>
      </c>
      <c r="B1547" t="s">
        <v>16</v>
      </c>
      <c r="C1547" t="s">
        <v>17</v>
      </c>
      <c r="D1547" t="s">
        <v>18</v>
      </c>
      <c r="E1547" t="s">
        <v>19</v>
      </c>
      <c r="F1547" t="s">
        <v>35</v>
      </c>
      <c r="O1547">
        <v>2052</v>
      </c>
    </row>
    <row r="1548" spans="1:16" x14ac:dyDescent="0.3">
      <c r="A1548" t="str">
        <f t="shared" si="24"/>
        <v>PD|AccumulatedNewCapacity|RE1|PWRWNDONS|2052</v>
      </c>
      <c r="B1548" t="s">
        <v>16</v>
      </c>
      <c r="C1548" t="s">
        <v>17</v>
      </c>
      <c r="D1548" t="s">
        <v>18</v>
      </c>
      <c r="E1548" t="s">
        <v>19</v>
      </c>
      <c r="F1548" t="s">
        <v>36</v>
      </c>
      <c r="O1548">
        <v>2052</v>
      </c>
      <c r="P1548">
        <v>486.35073660181581</v>
      </c>
    </row>
    <row r="1549" spans="1:16" x14ac:dyDescent="0.3">
      <c r="A1549" t="str">
        <f t="shared" si="24"/>
        <v>PD|NewCapacity|RE1|PWRBGS|2052</v>
      </c>
      <c r="B1549" t="s">
        <v>16</v>
      </c>
      <c r="C1549" t="s">
        <v>17</v>
      </c>
      <c r="D1549" t="s">
        <v>37</v>
      </c>
      <c r="E1549" t="s">
        <v>19</v>
      </c>
      <c r="F1549" t="s">
        <v>20</v>
      </c>
      <c r="O1549">
        <v>2052</v>
      </c>
    </row>
    <row r="1550" spans="1:16" x14ac:dyDescent="0.3">
      <c r="A1550" t="str">
        <f t="shared" si="24"/>
        <v>PD|NewCapacity|RE1|PWRCOA|2052</v>
      </c>
      <c r="B1550" t="s">
        <v>16</v>
      </c>
      <c r="C1550" t="s">
        <v>17</v>
      </c>
      <c r="D1550" t="s">
        <v>37</v>
      </c>
      <c r="E1550" t="s">
        <v>19</v>
      </c>
      <c r="F1550" t="s">
        <v>21</v>
      </c>
      <c r="O1550">
        <v>2052</v>
      </c>
    </row>
    <row r="1551" spans="1:16" x14ac:dyDescent="0.3">
      <c r="A1551" t="str">
        <f t="shared" si="24"/>
        <v>PD|NewCapacity|RE1|PWRDSL|2052</v>
      </c>
      <c r="B1551" t="s">
        <v>16</v>
      </c>
      <c r="C1551" t="s">
        <v>17</v>
      </c>
      <c r="D1551" t="s">
        <v>37</v>
      </c>
      <c r="E1551" t="s">
        <v>19</v>
      </c>
      <c r="F1551" t="s">
        <v>22</v>
      </c>
      <c r="O1551">
        <v>2052</v>
      </c>
    </row>
    <row r="1552" spans="1:16" x14ac:dyDescent="0.3">
      <c r="A1552" t="str">
        <f t="shared" si="24"/>
        <v>PD|NewCapacity|RE1|PWRFOL|2052</v>
      </c>
      <c r="B1552" t="s">
        <v>16</v>
      </c>
      <c r="C1552" t="s">
        <v>17</v>
      </c>
      <c r="D1552" t="s">
        <v>37</v>
      </c>
      <c r="E1552" t="s">
        <v>19</v>
      </c>
      <c r="F1552" t="s">
        <v>23</v>
      </c>
      <c r="O1552">
        <v>2052</v>
      </c>
    </row>
    <row r="1553" spans="1:16" x14ac:dyDescent="0.3">
      <c r="A1553" t="str">
        <f t="shared" si="24"/>
        <v>PD|NewCapacity|RE1|PWRHYDDAM|2052</v>
      </c>
      <c r="B1553" t="s">
        <v>16</v>
      </c>
      <c r="C1553" t="s">
        <v>17</v>
      </c>
      <c r="D1553" t="s">
        <v>37</v>
      </c>
      <c r="E1553" t="s">
        <v>19</v>
      </c>
      <c r="F1553" t="s">
        <v>24</v>
      </c>
      <c r="O1553">
        <v>2052</v>
      </c>
    </row>
    <row r="1554" spans="1:16" x14ac:dyDescent="0.3">
      <c r="A1554" t="str">
        <f t="shared" si="24"/>
        <v>PD|NewCapacity|RE1|PWRHYDROR|2052</v>
      </c>
      <c r="B1554" t="s">
        <v>16</v>
      </c>
      <c r="C1554" t="s">
        <v>17</v>
      </c>
      <c r="D1554" t="s">
        <v>37</v>
      </c>
      <c r="E1554" t="s">
        <v>19</v>
      </c>
      <c r="F1554" t="s">
        <v>25</v>
      </c>
      <c r="O1554">
        <v>2052</v>
      </c>
    </row>
    <row r="1555" spans="1:16" x14ac:dyDescent="0.3">
      <c r="A1555" t="str">
        <f t="shared" si="24"/>
        <v>PD|NewCapacity|RE1|PWRHYDROR_NDC|2052</v>
      </c>
      <c r="B1555" t="s">
        <v>16</v>
      </c>
      <c r="C1555" t="s">
        <v>17</v>
      </c>
      <c r="D1555" t="s">
        <v>37</v>
      </c>
      <c r="E1555" t="s">
        <v>19</v>
      </c>
      <c r="F1555" t="s">
        <v>26</v>
      </c>
      <c r="O1555">
        <v>2052</v>
      </c>
    </row>
    <row r="1556" spans="1:16" x14ac:dyDescent="0.3">
      <c r="A1556" t="str">
        <f t="shared" si="24"/>
        <v>PD|NewCapacity|RE1|PWRJET|2052</v>
      </c>
      <c r="B1556" t="s">
        <v>16</v>
      </c>
      <c r="C1556" t="s">
        <v>17</v>
      </c>
      <c r="D1556" t="s">
        <v>37</v>
      </c>
      <c r="E1556" t="s">
        <v>19</v>
      </c>
      <c r="F1556" t="s">
        <v>27</v>
      </c>
      <c r="O1556">
        <v>2052</v>
      </c>
    </row>
    <row r="1557" spans="1:16" x14ac:dyDescent="0.3">
      <c r="A1557" t="str">
        <f t="shared" si="24"/>
        <v>PD|NewCapacity|RE1|PWRLPG|2052</v>
      </c>
      <c r="B1557" t="s">
        <v>16</v>
      </c>
      <c r="C1557" t="s">
        <v>17</v>
      </c>
      <c r="D1557" t="s">
        <v>37</v>
      </c>
      <c r="E1557" t="s">
        <v>19</v>
      </c>
      <c r="F1557" t="s">
        <v>28</v>
      </c>
      <c r="O1557">
        <v>2052</v>
      </c>
    </row>
    <row r="1558" spans="1:16" x14ac:dyDescent="0.3">
      <c r="A1558" t="str">
        <f t="shared" si="24"/>
        <v>PD|NewCapacity|RE1|PWRNGS_CC|2052</v>
      </c>
      <c r="B1558" t="s">
        <v>16</v>
      </c>
      <c r="C1558" t="s">
        <v>17</v>
      </c>
      <c r="D1558" t="s">
        <v>37</v>
      </c>
      <c r="E1558" t="s">
        <v>19</v>
      </c>
      <c r="F1558" t="s">
        <v>29</v>
      </c>
      <c r="O1558">
        <v>2052</v>
      </c>
    </row>
    <row r="1559" spans="1:16" x14ac:dyDescent="0.3">
      <c r="A1559" t="str">
        <f t="shared" si="24"/>
        <v>PD|NewCapacity|RE1|PWRNGS_CS|2052</v>
      </c>
      <c r="B1559" t="s">
        <v>16</v>
      </c>
      <c r="C1559" t="s">
        <v>17</v>
      </c>
      <c r="D1559" t="s">
        <v>37</v>
      </c>
      <c r="E1559" t="s">
        <v>19</v>
      </c>
      <c r="F1559" t="s">
        <v>30</v>
      </c>
      <c r="O1559">
        <v>2052</v>
      </c>
    </row>
    <row r="1560" spans="1:16" x14ac:dyDescent="0.3">
      <c r="A1560" t="str">
        <f t="shared" si="24"/>
        <v>PD|NewCapacity|RE1|PWRSOLRTP|2052</v>
      </c>
      <c r="B1560" t="s">
        <v>16</v>
      </c>
      <c r="C1560" t="s">
        <v>17</v>
      </c>
      <c r="D1560" t="s">
        <v>37</v>
      </c>
      <c r="E1560" t="s">
        <v>19</v>
      </c>
      <c r="F1560" t="s">
        <v>31</v>
      </c>
      <c r="O1560">
        <v>2052</v>
      </c>
      <c r="P1560">
        <v>1.426759670259987</v>
      </c>
    </row>
    <row r="1561" spans="1:16" x14ac:dyDescent="0.3">
      <c r="A1561" t="str">
        <f t="shared" si="24"/>
        <v>PD|NewCapacity|RE1|PWRSOLRTP_ZNI|2052</v>
      </c>
      <c r="B1561" t="s">
        <v>16</v>
      </c>
      <c r="C1561" t="s">
        <v>17</v>
      </c>
      <c r="D1561" t="s">
        <v>37</v>
      </c>
      <c r="E1561" t="s">
        <v>19</v>
      </c>
      <c r="F1561" t="s">
        <v>32</v>
      </c>
      <c r="O1561">
        <v>2052</v>
      </c>
    </row>
    <row r="1562" spans="1:16" x14ac:dyDescent="0.3">
      <c r="A1562" t="str">
        <f t="shared" si="24"/>
        <v>PD|NewCapacity|RE1|PWRSOLUGE|2052</v>
      </c>
      <c r="B1562" t="s">
        <v>16</v>
      </c>
      <c r="C1562" t="s">
        <v>17</v>
      </c>
      <c r="D1562" t="s">
        <v>37</v>
      </c>
      <c r="E1562" t="s">
        <v>19</v>
      </c>
      <c r="F1562" t="s">
        <v>33</v>
      </c>
      <c r="O1562">
        <v>2052</v>
      </c>
    </row>
    <row r="1563" spans="1:16" x14ac:dyDescent="0.3">
      <c r="A1563" t="str">
        <f t="shared" si="24"/>
        <v>PD|NewCapacity|RE1|PWRSOLUPE|2052</v>
      </c>
      <c r="B1563" t="s">
        <v>16</v>
      </c>
      <c r="C1563" t="s">
        <v>17</v>
      </c>
      <c r="D1563" t="s">
        <v>37</v>
      </c>
      <c r="E1563" t="s">
        <v>19</v>
      </c>
      <c r="F1563" t="s">
        <v>34</v>
      </c>
      <c r="O1563">
        <v>2052</v>
      </c>
    </row>
    <row r="1564" spans="1:16" x14ac:dyDescent="0.3">
      <c r="A1564" t="str">
        <f t="shared" si="24"/>
        <v>PD|NewCapacity|RE1|PWRSTD|2052</v>
      </c>
      <c r="B1564" t="s">
        <v>16</v>
      </c>
      <c r="C1564" t="s">
        <v>17</v>
      </c>
      <c r="D1564" t="s">
        <v>37</v>
      </c>
      <c r="E1564" t="s">
        <v>19</v>
      </c>
      <c r="F1564" t="s">
        <v>35</v>
      </c>
      <c r="O1564">
        <v>2052</v>
      </c>
    </row>
    <row r="1565" spans="1:16" x14ac:dyDescent="0.3">
      <c r="A1565" t="str">
        <f t="shared" si="24"/>
        <v>PD|NewCapacity|RE1|PWRWNDONS|2052</v>
      </c>
      <c r="B1565" t="s">
        <v>16</v>
      </c>
      <c r="C1565" t="s">
        <v>17</v>
      </c>
      <c r="D1565" t="s">
        <v>37</v>
      </c>
      <c r="E1565" t="s">
        <v>19</v>
      </c>
      <c r="F1565" t="s">
        <v>36</v>
      </c>
      <c r="O1565">
        <v>2052</v>
      </c>
      <c r="P1565">
        <v>47.31</v>
      </c>
    </row>
    <row r="1566" spans="1:16" x14ac:dyDescent="0.3">
      <c r="A1566" t="str">
        <f t="shared" si="24"/>
        <v>PD|TotalCapacityAnnual|RE1|PWRBGS|2052</v>
      </c>
      <c r="B1566" t="s">
        <v>16</v>
      </c>
      <c r="C1566" t="s">
        <v>17</v>
      </c>
      <c r="D1566" t="s">
        <v>38</v>
      </c>
      <c r="E1566" t="s">
        <v>19</v>
      </c>
      <c r="F1566" t="s">
        <v>20</v>
      </c>
      <c r="O1566">
        <v>2052</v>
      </c>
      <c r="P1566">
        <v>2.5488587520000001E-2</v>
      </c>
    </row>
    <row r="1567" spans="1:16" x14ac:dyDescent="0.3">
      <c r="A1567" t="str">
        <f t="shared" si="24"/>
        <v>PD|TotalCapacityAnnual|RE1|PWRCOA|2052</v>
      </c>
      <c r="B1567" t="s">
        <v>16</v>
      </c>
      <c r="C1567" t="s">
        <v>17</v>
      </c>
      <c r="D1567" t="s">
        <v>38</v>
      </c>
      <c r="E1567" t="s">
        <v>19</v>
      </c>
      <c r="F1567" t="s">
        <v>21</v>
      </c>
      <c r="O1567">
        <v>2052</v>
      </c>
    </row>
    <row r="1568" spans="1:16" x14ac:dyDescent="0.3">
      <c r="A1568" t="str">
        <f t="shared" si="24"/>
        <v>PD|TotalCapacityAnnual|RE1|PWRDSL|2052</v>
      </c>
      <c r="B1568" t="s">
        <v>16</v>
      </c>
      <c r="C1568" t="s">
        <v>17</v>
      </c>
      <c r="D1568" t="s">
        <v>38</v>
      </c>
      <c r="E1568" t="s">
        <v>19</v>
      </c>
      <c r="F1568" t="s">
        <v>22</v>
      </c>
      <c r="O1568">
        <v>2052</v>
      </c>
      <c r="P1568">
        <v>24.944976</v>
      </c>
    </row>
    <row r="1569" spans="1:16" x14ac:dyDescent="0.3">
      <c r="A1569" t="str">
        <f t="shared" si="24"/>
        <v>PD|TotalCapacityAnnual|RE1|PWRFOL|2052</v>
      </c>
      <c r="B1569" t="s">
        <v>16</v>
      </c>
      <c r="C1569" t="s">
        <v>17</v>
      </c>
      <c r="D1569" t="s">
        <v>38</v>
      </c>
      <c r="E1569" t="s">
        <v>19</v>
      </c>
      <c r="F1569" t="s">
        <v>23</v>
      </c>
      <c r="O1569">
        <v>2052</v>
      </c>
      <c r="P1569">
        <v>8.3885759999999987</v>
      </c>
    </row>
    <row r="1570" spans="1:16" x14ac:dyDescent="0.3">
      <c r="A1570" t="str">
        <f t="shared" si="24"/>
        <v>PD|TotalCapacityAnnual|RE1|PWRHYDDAM|2052</v>
      </c>
      <c r="B1570" t="s">
        <v>16</v>
      </c>
      <c r="C1570" t="s">
        <v>17</v>
      </c>
      <c r="D1570" t="s">
        <v>38</v>
      </c>
      <c r="E1570" t="s">
        <v>19</v>
      </c>
      <c r="F1570" t="s">
        <v>24</v>
      </c>
      <c r="O1570">
        <v>2052</v>
      </c>
      <c r="P1570">
        <v>440.49164800000011</v>
      </c>
    </row>
    <row r="1571" spans="1:16" x14ac:dyDescent="0.3">
      <c r="A1571" t="str">
        <f t="shared" si="24"/>
        <v>PD|TotalCapacityAnnual|RE1|PWRHYDROR|2052</v>
      </c>
      <c r="B1571" t="s">
        <v>16</v>
      </c>
      <c r="C1571" t="s">
        <v>17</v>
      </c>
      <c r="D1571" t="s">
        <v>38</v>
      </c>
      <c r="E1571" t="s">
        <v>19</v>
      </c>
      <c r="F1571" t="s">
        <v>25</v>
      </c>
      <c r="O1571">
        <v>2052</v>
      </c>
      <c r="P1571">
        <v>21.097584000000001</v>
      </c>
    </row>
    <row r="1572" spans="1:16" x14ac:dyDescent="0.3">
      <c r="A1572" t="str">
        <f t="shared" si="24"/>
        <v>PD|TotalCapacityAnnual|RE1|PWRHYDROR_NDC|2052</v>
      </c>
      <c r="B1572" t="s">
        <v>16</v>
      </c>
      <c r="C1572" t="s">
        <v>17</v>
      </c>
      <c r="D1572" t="s">
        <v>38</v>
      </c>
      <c r="E1572" t="s">
        <v>19</v>
      </c>
      <c r="F1572" t="s">
        <v>26</v>
      </c>
      <c r="O1572">
        <v>2052</v>
      </c>
      <c r="P1572">
        <v>29.725108271999989</v>
      </c>
    </row>
    <row r="1573" spans="1:16" x14ac:dyDescent="0.3">
      <c r="A1573" t="str">
        <f t="shared" si="24"/>
        <v>PD|TotalCapacityAnnual|RE1|PWRJET|2052</v>
      </c>
      <c r="B1573" t="s">
        <v>16</v>
      </c>
      <c r="C1573" t="s">
        <v>17</v>
      </c>
      <c r="D1573" t="s">
        <v>38</v>
      </c>
      <c r="E1573" t="s">
        <v>19</v>
      </c>
      <c r="F1573" t="s">
        <v>27</v>
      </c>
      <c r="O1573">
        <v>2052</v>
      </c>
      <c r="P1573">
        <v>1.5768</v>
      </c>
    </row>
    <row r="1574" spans="1:16" x14ac:dyDescent="0.3">
      <c r="A1574" t="str">
        <f t="shared" si="24"/>
        <v>PD|TotalCapacityAnnual|RE1|PWRLPG|2052</v>
      </c>
      <c r="B1574" t="s">
        <v>16</v>
      </c>
      <c r="C1574" t="s">
        <v>17</v>
      </c>
      <c r="D1574" t="s">
        <v>38</v>
      </c>
      <c r="E1574" t="s">
        <v>19</v>
      </c>
      <c r="F1574" t="s">
        <v>28</v>
      </c>
      <c r="O1574">
        <v>2052</v>
      </c>
      <c r="P1574">
        <v>1.639872</v>
      </c>
    </row>
    <row r="1575" spans="1:16" x14ac:dyDescent="0.3">
      <c r="A1575" t="str">
        <f t="shared" si="24"/>
        <v>PD|TotalCapacityAnnual|RE1|PWRNGS_CC|2052</v>
      </c>
      <c r="B1575" t="s">
        <v>16</v>
      </c>
      <c r="C1575" t="s">
        <v>17</v>
      </c>
      <c r="D1575" t="s">
        <v>38</v>
      </c>
      <c r="E1575" t="s">
        <v>19</v>
      </c>
      <c r="F1575" t="s">
        <v>29</v>
      </c>
      <c r="O1575">
        <v>2052</v>
      </c>
      <c r="P1575">
        <v>70.104500000000002</v>
      </c>
    </row>
    <row r="1576" spans="1:16" x14ac:dyDescent="0.3">
      <c r="A1576" t="str">
        <f t="shared" si="24"/>
        <v>PD|TotalCapacityAnnual|RE1|PWRNGS_CS|2052</v>
      </c>
      <c r="B1576" t="s">
        <v>16</v>
      </c>
      <c r="C1576" t="s">
        <v>17</v>
      </c>
      <c r="D1576" t="s">
        <v>38</v>
      </c>
      <c r="E1576" t="s">
        <v>19</v>
      </c>
      <c r="F1576" t="s">
        <v>30</v>
      </c>
      <c r="O1576">
        <v>2052</v>
      </c>
      <c r="P1576">
        <v>23.084351999999999</v>
      </c>
    </row>
    <row r="1577" spans="1:16" x14ac:dyDescent="0.3">
      <c r="A1577" t="str">
        <f t="shared" si="24"/>
        <v>PD|TotalCapacityAnnual|RE1|PWRSOLRTP|2052</v>
      </c>
      <c r="B1577" t="s">
        <v>16</v>
      </c>
      <c r="C1577" t="s">
        <v>17</v>
      </c>
      <c r="D1577" t="s">
        <v>38</v>
      </c>
      <c r="E1577" t="s">
        <v>19</v>
      </c>
      <c r="F1577" t="s">
        <v>31</v>
      </c>
      <c r="O1577">
        <v>2052</v>
      </c>
      <c r="P1577">
        <v>103.4876347495244</v>
      </c>
    </row>
    <row r="1578" spans="1:16" x14ac:dyDescent="0.3">
      <c r="A1578" t="str">
        <f t="shared" si="24"/>
        <v>PD|TotalCapacityAnnual|RE1|PWRSOLRTP_ZNI|2052</v>
      </c>
      <c r="B1578" t="s">
        <v>16</v>
      </c>
      <c r="C1578" t="s">
        <v>17</v>
      </c>
      <c r="D1578" t="s">
        <v>38</v>
      </c>
      <c r="E1578" t="s">
        <v>19</v>
      </c>
      <c r="F1578" t="s">
        <v>32</v>
      </c>
      <c r="O1578">
        <v>2052</v>
      </c>
      <c r="P1578">
        <v>1.3482492298090729</v>
      </c>
    </row>
    <row r="1579" spans="1:16" x14ac:dyDescent="0.3">
      <c r="A1579" t="str">
        <f t="shared" si="24"/>
        <v>PD|TotalCapacityAnnual|RE1|PWRSOLUGE|2052</v>
      </c>
      <c r="B1579" t="s">
        <v>16</v>
      </c>
      <c r="C1579" t="s">
        <v>17</v>
      </c>
      <c r="D1579" t="s">
        <v>38</v>
      </c>
      <c r="E1579" t="s">
        <v>19</v>
      </c>
      <c r="F1579" t="s">
        <v>33</v>
      </c>
      <c r="O1579">
        <v>2052</v>
      </c>
      <c r="P1579">
        <v>191.79189199999999</v>
      </c>
    </row>
    <row r="1580" spans="1:16" x14ac:dyDescent="0.3">
      <c r="A1580" t="str">
        <f t="shared" si="24"/>
        <v>PD|TotalCapacityAnnual|RE1|PWRSOLUPE|2052</v>
      </c>
      <c r="B1580" t="s">
        <v>16</v>
      </c>
      <c r="C1580" t="s">
        <v>17</v>
      </c>
      <c r="D1580" t="s">
        <v>38</v>
      </c>
      <c r="E1580" t="s">
        <v>19</v>
      </c>
      <c r="F1580" t="s">
        <v>34</v>
      </c>
      <c r="O1580">
        <v>2052</v>
      </c>
    </row>
    <row r="1581" spans="1:16" x14ac:dyDescent="0.3">
      <c r="A1581" t="str">
        <f t="shared" si="24"/>
        <v>PD|TotalCapacityAnnual|RE1|PWRSTD|2052</v>
      </c>
      <c r="B1581" t="s">
        <v>16</v>
      </c>
      <c r="C1581" t="s">
        <v>17</v>
      </c>
      <c r="D1581" t="s">
        <v>38</v>
      </c>
      <c r="E1581" t="s">
        <v>19</v>
      </c>
      <c r="F1581" t="s">
        <v>35</v>
      </c>
      <c r="O1581">
        <v>2052</v>
      </c>
      <c r="P1581">
        <v>8.163062064</v>
      </c>
    </row>
    <row r="1582" spans="1:16" x14ac:dyDescent="0.3">
      <c r="A1582" t="str">
        <f t="shared" si="24"/>
        <v>PD|TotalCapacityAnnual|RE1|PWRWNDONS|2052</v>
      </c>
      <c r="B1582" t="s">
        <v>16</v>
      </c>
      <c r="C1582" t="s">
        <v>17</v>
      </c>
      <c r="D1582" t="s">
        <v>38</v>
      </c>
      <c r="E1582" t="s">
        <v>19</v>
      </c>
      <c r="F1582" t="s">
        <v>36</v>
      </c>
      <c r="O1582">
        <v>2052</v>
      </c>
      <c r="P1582">
        <v>487.71939900181582</v>
      </c>
    </row>
    <row r="1583" spans="1:16" x14ac:dyDescent="0.3">
      <c r="A1583" t="str">
        <f t="shared" si="24"/>
        <v>PD|AccumulatedNewCapacity|RE1|PWRBGS|2053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O1583">
        <v>2053</v>
      </c>
    </row>
    <row r="1584" spans="1:16" x14ac:dyDescent="0.3">
      <c r="A1584" t="str">
        <f t="shared" si="24"/>
        <v>PD|AccumulatedNewCapacity|RE1|PWRCOA|2053</v>
      </c>
      <c r="B1584" t="s">
        <v>16</v>
      </c>
      <c r="C1584" t="s">
        <v>17</v>
      </c>
      <c r="D1584" t="s">
        <v>18</v>
      </c>
      <c r="E1584" t="s">
        <v>19</v>
      </c>
      <c r="F1584" t="s">
        <v>21</v>
      </c>
      <c r="O1584">
        <v>2053</v>
      </c>
    </row>
    <row r="1585" spans="1:16" x14ac:dyDescent="0.3">
      <c r="A1585" t="str">
        <f t="shared" si="24"/>
        <v>PD|AccumulatedNewCapacity|RE1|PWRDSL|2053</v>
      </c>
      <c r="B1585" t="s">
        <v>16</v>
      </c>
      <c r="C1585" t="s">
        <v>17</v>
      </c>
      <c r="D1585" t="s">
        <v>18</v>
      </c>
      <c r="E1585" t="s">
        <v>19</v>
      </c>
      <c r="F1585" t="s">
        <v>22</v>
      </c>
      <c r="O1585">
        <v>2053</v>
      </c>
    </row>
    <row r="1586" spans="1:16" x14ac:dyDescent="0.3">
      <c r="A1586" t="str">
        <f t="shared" si="24"/>
        <v>PD|AccumulatedNewCapacity|RE1|PWRFOL|2053</v>
      </c>
      <c r="B1586" t="s">
        <v>16</v>
      </c>
      <c r="C1586" t="s">
        <v>17</v>
      </c>
      <c r="D1586" t="s">
        <v>18</v>
      </c>
      <c r="E1586" t="s">
        <v>19</v>
      </c>
      <c r="F1586" t="s">
        <v>23</v>
      </c>
      <c r="O1586">
        <v>2053</v>
      </c>
    </row>
    <row r="1587" spans="1:16" x14ac:dyDescent="0.3">
      <c r="A1587" t="str">
        <f t="shared" si="24"/>
        <v>PD|AccumulatedNewCapacity|RE1|PWRHYDDAM|2053</v>
      </c>
      <c r="B1587" t="s">
        <v>16</v>
      </c>
      <c r="C1587" t="s">
        <v>17</v>
      </c>
      <c r="D1587" t="s">
        <v>18</v>
      </c>
      <c r="E1587" t="s">
        <v>19</v>
      </c>
      <c r="F1587" t="s">
        <v>24</v>
      </c>
      <c r="O1587">
        <v>2053</v>
      </c>
      <c r="P1587">
        <v>37.840000000000003</v>
      </c>
    </row>
    <row r="1588" spans="1:16" x14ac:dyDescent="0.3">
      <c r="A1588" t="str">
        <f t="shared" si="24"/>
        <v>PD|AccumulatedNewCapacity|RE1|PWRHYDROR|2053</v>
      </c>
      <c r="B1588" t="s">
        <v>16</v>
      </c>
      <c r="C1588" t="s">
        <v>17</v>
      </c>
      <c r="D1588" t="s">
        <v>18</v>
      </c>
      <c r="E1588" t="s">
        <v>19</v>
      </c>
      <c r="F1588" t="s">
        <v>25</v>
      </c>
      <c r="O1588">
        <v>2053</v>
      </c>
    </row>
    <row r="1589" spans="1:16" x14ac:dyDescent="0.3">
      <c r="A1589" t="str">
        <f t="shared" si="24"/>
        <v>PD|AccumulatedNewCapacity|RE1|PWRHYDROR_NDC|2053</v>
      </c>
      <c r="B1589" t="s">
        <v>16</v>
      </c>
      <c r="C1589" t="s">
        <v>17</v>
      </c>
      <c r="D1589" t="s">
        <v>18</v>
      </c>
      <c r="E1589" t="s">
        <v>19</v>
      </c>
      <c r="F1589" t="s">
        <v>26</v>
      </c>
      <c r="O1589">
        <v>2053</v>
      </c>
    </row>
    <row r="1590" spans="1:16" x14ac:dyDescent="0.3">
      <c r="A1590" t="str">
        <f t="shared" si="24"/>
        <v>PD|AccumulatedNewCapacity|RE1|PWRJET|2053</v>
      </c>
      <c r="B1590" t="s">
        <v>16</v>
      </c>
      <c r="C1590" t="s">
        <v>17</v>
      </c>
      <c r="D1590" t="s">
        <v>18</v>
      </c>
      <c r="E1590" t="s">
        <v>19</v>
      </c>
      <c r="F1590" t="s">
        <v>27</v>
      </c>
      <c r="O1590">
        <v>2053</v>
      </c>
    </row>
    <row r="1591" spans="1:16" x14ac:dyDescent="0.3">
      <c r="A1591" t="str">
        <f t="shared" si="24"/>
        <v>PD|AccumulatedNewCapacity|RE1|PWRLPG|2053</v>
      </c>
      <c r="B1591" t="s">
        <v>16</v>
      </c>
      <c r="C1591" t="s">
        <v>17</v>
      </c>
      <c r="D1591" t="s">
        <v>18</v>
      </c>
      <c r="E1591" t="s">
        <v>19</v>
      </c>
      <c r="F1591" t="s">
        <v>28</v>
      </c>
      <c r="O1591">
        <v>2053</v>
      </c>
    </row>
    <row r="1592" spans="1:16" x14ac:dyDescent="0.3">
      <c r="A1592" t="str">
        <f t="shared" si="24"/>
        <v>PD|AccumulatedNewCapacity|RE1|PWRNGS_CC|2053</v>
      </c>
      <c r="B1592" t="s">
        <v>16</v>
      </c>
      <c r="C1592" t="s">
        <v>17</v>
      </c>
      <c r="D1592" t="s">
        <v>18</v>
      </c>
      <c r="E1592" t="s">
        <v>19</v>
      </c>
      <c r="F1592" t="s">
        <v>29</v>
      </c>
      <c r="O1592">
        <v>2053</v>
      </c>
    </row>
    <row r="1593" spans="1:16" x14ac:dyDescent="0.3">
      <c r="A1593" t="str">
        <f t="shared" si="24"/>
        <v>PD|AccumulatedNewCapacity|RE1|PWRNGS_CS|2053</v>
      </c>
      <c r="B1593" t="s">
        <v>16</v>
      </c>
      <c r="C1593" t="s">
        <v>17</v>
      </c>
      <c r="D1593" t="s">
        <v>18</v>
      </c>
      <c r="E1593" t="s">
        <v>19</v>
      </c>
      <c r="F1593" t="s">
        <v>30</v>
      </c>
      <c r="O1593">
        <v>2053</v>
      </c>
    </row>
    <row r="1594" spans="1:16" x14ac:dyDescent="0.3">
      <c r="A1594" t="str">
        <f t="shared" si="24"/>
        <v>PD|AccumulatedNewCapacity|RE1|PWRSOLRTP|2053</v>
      </c>
      <c r="B1594" t="s">
        <v>16</v>
      </c>
      <c r="C1594" t="s">
        <v>17</v>
      </c>
      <c r="D1594" t="s">
        <v>18</v>
      </c>
      <c r="E1594" t="s">
        <v>19</v>
      </c>
      <c r="F1594" t="s">
        <v>31</v>
      </c>
      <c r="O1594">
        <v>2053</v>
      </c>
      <c r="P1594">
        <v>93.500317057704478</v>
      </c>
    </row>
    <row r="1595" spans="1:16" x14ac:dyDescent="0.3">
      <c r="A1595" t="str">
        <f t="shared" si="24"/>
        <v>PD|AccumulatedNewCapacity|RE1|PWRSOLRTP_ZNI|2053</v>
      </c>
      <c r="B1595" t="s">
        <v>16</v>
      </c>
      <c r="C1595" t="s">
        <v>17</v>
      </c>
      <c r="D1595" t="s">
        <v>18</v>
      </c>
      <c r="E1595" t="s">
        <v>19</v>
      </c>
      <c r="F1595" t="s">
        <v>32</v>
      </c>
      <c r="O1595">
        <v>2053</v>
      </c>
      <c r="P1595">
        <v>0.88750826980907294</v>
      </c>
    </row>
    <row r="1596" spans="1:16" x14ac:dyDescent="0.3">
      <c r="A1596" t="str">
        <f t="shared" si="24"/>
        <v>PD|AccumulatedNewCapacity|RE1|PWRSOLUGE|2053</v>
      </c>
      <c r="B1596" t="s">
        <v>16</v>
      </c>
      <c r="C1596" t="s">
        <v>17</v>
      </c>
      <c r="D1596" t="s">
        <v>18</v>
      </c>
      <c r="E1596" t="s">
        <v>19</v>
      </c>
      <c r="F1596" t="s">
        <v>33</v>
      </c>
      <c r="O1596">
        <v>2053</v>
      </c>
      <c r="P1596">
        <v>143.394192</v>
      </c>
    </row>
    <row r="1597" spans="1:16" x14ac:dyDescent="0.3">
      <c r="A1597" t="str">
        <f t="shared" si="24"/>
        <v>PD|AccumulatedNewCapacity|RE1|PWRSOLUPE|2053</v>
      </c>
      <c r="B1597" t="s">
        <v>16</v>
      </c>
      <c r="C1597" t="s">
        <v>17</v>
      </c>
      <c r="D1597" t="s">
        <v>18</v>
      </c>
      <c r="E1597" t="s">
        <v>19</v>
      </c>
      <c r="F1597" t="s">
        <v>34</v>
      </c>
      <c r="O1597">
        <v>2053</v>
      </c>
    </row>
    <row r="1598" spans="1:16" x14ac:dyDescent="0.3">
      <c r="A1598" t="str">
        <f t="shared" si="24"/>
        <v>PD|AccumulatedNewCapacity|RE1|PWRSTD|2053</v>
      </c>
      <c r="B1598" t="s">
        <v>16</v>
      </c>
      <c r="C1598" t="s">
        <v>17</v>
      </c>
      <c r="D1598" t="s">
        <v>18</v>
      </c>
      <c r="E1598" t="s">
        <v>19</v>
      </c>
      <c r="F1598" t="s">
        <v>35</v>
      </c>
      <c r="O1598">
        <v>2053</v>
      </c>
    </row>
    <row r="1599" spans="1:16" x14ac:dyDescent="0.3">
      <c r="A1599" t="str">
        <f t="shared" si="24"/>
        <v>PD|AccumulatedNewCapacity|RE1|PWRWNDONS|2053</v>
      </c>
      <c r="B1599" t="s">
        <v>16</v>
      </c>
      <c r="C1599" t="s">
        <v>17</v>
      </c>
      <c r="D1599" t="s">
        <v>18</v>
      </c>
      <c r="E1599" t="s">
        <v>19</v>
      </c>
      <c r="F1599" t="s">
        <v>36</v>
      </c>
      <c r="O1599">
        <v>2053</v>
      </c>
      <c r="P1599">
        <v>533.66073660181576</v>
      </c>
    </row>
    <row r="1600" spans="1:16" x14ac:dyDescent="0.3">
      <c r="A1600" t="str">
        <f t="shared" si="24"/>
        <v>PD|NewCapacity|RE1|PWRBGS|2053</v>
      </c>
      <c r="B1600" t="s">
        <v>16</v>
      </c>
      <c r="C1600" t="s">
        <v>17</v>
      </c>
      <c r="D1600" t="s">
        <v>37</v>
      </c>
      <c r="E1600" t="s">
        <v>19</v>
      </c>
      <c r="F1600" t="s">
        <v>20</v>
      </c>
      <c r="O1600">
        <v>2053</v>
      </c>
    </row>
    <row r="1601" spans="1:16" x14ac:dyDescent="0.3">
      <c r="A1601" t="str">
        <f t="shared" si="24"/>
        <v>PD|NewCapacity|RE1|PWRCOA|2053</v>
      </c>
      <c r="B1601" t="s">
        <v>16</v>
      </c>
      <c r="C1601" t="s">
        <v>17</v>
      </c>
      <c r="D1601" t="s">
        <v>37</v>
      </c>
      <c r="E1601" t="s">
        <v>19</v>
      </c>
      <c r="F1601" t="s">
        <v>21</v>
      </c>
      <c r="O1601">
        <v>2053</v>
      </c>
    </row>
    <row r="1602" spans="1:16" x14ac:dyDescent="0.3">
      <c r="A1602" t="str">
        <f t="shared" ref="A1602:A1665" si="25">B1602&amp;"|"&amp;D1602&amp;"|"&amp;E1602&amp;"|"&amp;F1602&amp;"|"&amp;O1602</f>
        <v>PD|NewCapacity|RE1|PWRDSL|2053</v>
      </c>
      <c r="B1602" t="s">
        <v>16</v>
      </c>
      <c r="C1602" t="s">
        <v>17</v>
      </c>
      <c r="D1602" t="s">
        <v>37</v>
      </c>
      <c r="E1602" t="s">
        <v>19</v>
      </c>
      <c r="F1602" t="s">
        <v>22</v>
      </c>
      <c r="O1602">
        <v>2053</v>
      </c>
    </row>
    <row r="1603" spans="1:16" x14ac:dyDescent="0.3">
      <c r="A1603" t="str">
        <f t="shared" si="25"/>
        <v>PD|NewCapacity|RE1|PWRFOL|2053</v>
      </c>
      <c r="B1603" t="s">
        <v>16</v>
      </c>
      <c r="C1603" t="s">
        <v>17</v>
      </c>
      <c r="D1603" t="s">
        <v>37</v>
      </c>
      <c r="E1603" t="s">
        <v>19</v>
      </c>
      <c r="F1603" t="s">
        <v>23</v>
      </c>
      <c r="O1603">
        <v>2053</v>
      </c>
    </row>
    <row r="1604" spans="1:16" x14ac:dyDescent="0.3">
      <c r="A1604" t="str">
        <f t="shared" si="25"/>
        <v>PD|NewCapacity|RE1|PWRHYDDAM|2053</v>
      </c>
      <c r="B1604" t="s">
        <v>16</v>
      </c>
      <c r="C1604" t="s">
        <v>17</v>
      </c>
      <c r="D1604" t="s">
        <v>37</v>
      </c>
      <c r="E1604" t="s">
        <v>19</v>
      </c>
      <c r="F1604" t="s">
        <v>24</v>
      </c>
      <c r="O1604">
        <v>2053</v>
      </c>
    </row>
    <row r="1605" spans="1:16" x14ac:dyDescent="0.3">
      <c r="A1605" t="str">
        <f t="shared" si="25"/>
        <v>PD|NewCapacity|RE1|PWRHYDROR|2053</v>
      </c>
      <c r="B1605" t="s">
        <v>16</v>
      </c>
      <c r="C1605" t="s">
        <v>17</v>
      </c>
      <c r="D1605" t="s">
        <v>37</v>
      </c>
      <c r="E1605" t="s">
        <v>19</v>
      </c>
      <c r="F1605" t="s">
        <v>25</v>
      </c>
      <c r="O1605">
        <v>2053</v>
      </c>
    </row>
    <row r="1606" spans="1:16" x14ac:dyDescent="0.3">
      <c r="A1606" t="str">
        <f t="shared" si="25"/>
        <v>PD|NewCapacity|RE1|PWRHYDROR_NDC|2053</v>
      </c>
      <c r="B1606" t="s">
        <v>16</v>
      </c>
      <c r="C1606" t="s">
        <v>17</v>
      </c>
      <c r="D1606" t="s">
        <v>37</v>
      </c>
      <c r="E1606" t="s">
        <v>19</v>
      </c>
      <c r="F1606" t="s">
        <v>26</v>
      </c>
      <c r="O1606">
        <v>2053</v>
      </c>
    </row>
    <row r="1607" spans="1:16" x14ac:dyDescent="0.3">
      <c r="A1607" t="str">
        <f t="shared" si="25"/>
        <v>PD|NewCapacity|RE1|PWRJET|2053</v>
      </c>
      <c r="B1607" t="s">
        <v>16</v>
      </c>
      <c r="C1607" t="s">
        <v>17</v>
      </c>
      <c r="D1607" t="s">
        <v>37</v>
      </c>
      <c r="E1607" t="s">
        <v>19</v>
      </c>
      <c r="F1607" t="s">
        <v>27</v>
      </c>
      <c r="O1607">
        <v>2053</v>
      </c>
    </row>
    <row r="1608" spans="1:16" x14ac:dyDescent="0.3">
      <c r="A1608" t="str">
        <f t="shared" si="25"/>
        <v>PD|NewCapacity|RE1|PWRLPG|2053</v>
      </c>
      <c r="B1608" t="s">
        <v>16</v>
      </c>
      <c r="C1608" t="s">
        <v>17</v>
      </c>
      <c r="D1608" t="s">
        <v>37</v>
      </c>
      <c r="E1608" t="s">
        <v>19</v>
      </c>
      <c r="F1608" t="s">
        <v>28</v>
      </c>
      <c r="O1608">
        <v>2053</v>
      </c>
    </row>
    <row r="1609" spans="1:16" x14ac:dyDescent="0.3">
      <c r="A1609" t="str">
        <f t="shared" si="25"/>
        <v>PD|NewCapacity|RE1|PWRNGS_CC|2053</v>
      </c>
      <c r="B1609" t="s">
        <v>16</v>
      </c>
      <c r="C1609" t="s">
        <v>17</v>
      </c>
      <c r="D1609" t="s">
        <v>37</v>
      </c>
      <c r="E1609" t="s">
        <v>19</v>
      </c>
      <c r="F1609" t="s">
        <v>29</v>
      </c>
      <c r="O1609">
        <v>2053</v>
      </c>
    </row>
    <row r="1610" spans="1:16" x14ac:dyDescent="0.3">
      <c r="A1610" t="str">
        <f t="shared" si="25"/>
        <v>PD|NewCapacity|RE1|PWRNGS_CS|2053</v>
      </c>
      <c r="B1610" t="s">
        <v>16</v>
      </c>
      <c r="C1610" t="s">
        <v>17</v>
      </c>
      <c r="D1610" t="s">
        <v>37</v>
      </c>
      <c r="E1610" t="s">
        <v>19</v>
      </c>
      <c r="F1610" t="s">
        <v>30</v>
      </c>
      <c r="O1610">
        <v>2053</v>
      </c>
    </row>
    <row r="1611" spans="1:16" x14ac:dyDescent="0.3">
      <c r="A1611" t="str">
        <f t="shared" si="25"/>
        <v>PD|NewCapacity|RE1|PWRSOLRTP|2053</v>
      </c>
      <c r="B1611" t="s">
        <v>16</v>
      </c>
      <c r="C1611" t="s">
        <v>17</v>
      </c>
      <c r="D1611" t="s">
        <v>37</v>
      </c>
      <c r="E1611" t="s">
        <v>19</v>
      </c>
      <c r="F1611" t="s">
        <v>31</v>
      </c>
      <c r="O1611">
        <v>2053</v>
      </c>
      <c r="P1611">
        <v>1.426759670259987</v>
      </c>
    </row>
    <row r="1612" spans="1:16" x14ac:dyDescent="0.3">
      <c r="A1612" t="str">
        <f t="shared" si="25"/>
        <v>PD|NewCapacity|RE1|PWRSOLRTP_ZNI|2053</v>
      </c>
      <c r="B1612" t="s">
        <v>16</v>
      </c>
      <c r="C1612" t="s">
        <v>17</v>
      </c>
      <c r="D1612" t="s">
        <v>37</v>
      </c>
      <c r="E1612" t="s">
        <v>19</v>
      </c>
      <c r="F1612" t="s">
        <v>32</v>
      </c>
      <c r="O1612">
        <v>2053</v>
      </c>
    </row>
    <row r="1613" spans="1:16" x14ac:dyDescent="0.3">
      <c r="A1613" t="str">
        <f t="shared" si="25"/>
        <v>PD|NewCapacity|RE1|PWRSOLUGE|2053</v>
      </c>
      <c r="B1613" t="s">
        <v>16</v>
      </c>
      <c r="C1613" t="s">
        <v>17</v>
      </c>
      <c r="D1613" t="s">
        <v>37</v>
      </c>
      <c r="E1613" t="s">
        <v>19</v>
      </c>
      <c r="F1613" t="s">
        <v>33</v>
      </c>
      <c r="O1613">
        <v>2053</v>
      </c>
    </row>
    <row r="1614" spans="1:16" x14ac:dyDescent="0.3">
      <c r="A1614" t="str">
        <f t="shared" si="25"/>
        <v>PD|NewCapacity|RE1|PWRSOLUPE|2053</v>
      </c>
      <c r="B1614" t="s">
        <v>16</v>
      </c>
      <c r="C1614" t="s">
        <v>17</v>
      </c>
      <c r="D1614" t="s">
        <v>37</v>
      </c>
      <c r="E1614" t="s">
        <v>19</v>
      </c>
      <c r="F1614" t="s">
        <v>34</v>
      </c>
      <c r="O1614">
        <v>2053</v>
      </c>
    </row>
    <row r="1615" spans="1:16" x14ac:dyDescent="0.3">
      <c r="A1615" t="str">
        <f t="shared" si="25"/>
        <v>PD|NewCapacity|RE1|PWRSTD|2053</v>
      </c>
      <c r="B1615" t="s">
        <v>16</v>
      </c>
      <c r="C1615" t="s">
        <v>17</v>
      </c>
      <c r="D1615" t="s">
        <v>37</v>
      </c>
      <c r="E1615" t="s">
        <v>19</v>
      </c>
      <c r="F1615" t="s">
        <v>35</v>
      </c>
      <c r="O1615">
        <v>2053</v>
      </c>
    </row>
    <row r="1616" spans="1:16" x14ac:dyDescent="0.3">
      <c r="A1616" t="str">
        <f t="shared" si="25"/>
        <v>PD|NewCapacity|RE1|PWRWNDONS|2053</v>
      </c>
      <c r="B1616" t="s">
        <v>16</v>
      </c>
      <c r="C1616" t="s">
        <v>17</v>
      </c>
      <c r="D1616" t="s">
        <v>37</v>
      </c>
      <c r="E1616" t="s">
        <v>19</v>
      </c>
      <c r="F1616" t="s">
        <v>36</v>
      </c>
      <c r="O1616">
        <v>2053</v>
      </c>
      <c r="P1616">
        <v>47.31</v>
      </c>
    </row>
    <row r="1617" spans="1:16" x14ac:dyDescent="0.3">
      <c r="A1617" t="str">
        <f t="shared" si="25"/>
        <v>PD|TotalCapacityAnnual|RE1|PWRBGS|2053</v>
      </c>
      <c r="B1617" t="s">
        <v>16</v>
      </c>
      <c r="C1617" t="s">
        <v>17</v>
      </c>
      <c r="D1617" t="s">
        <v>38</v>
      </c>
      <c r="E1617" t="s">
        <v>19</v>
      </c>
      <c r="F1617" t="s">
        <v>20</v>
      </c>
      <c r="O1617">
        <v>2053</v>
      </c>
      <c r="P1617">
        <v>2.5488587520000001E-2</v>
      </c>
    </row>
    <row r="1618" spans="1:16" x14ac:dyDescent="0.3">
      <c r="A1618" t="str">
        <f t="shared" si="25"/>
        <v>PD|TotalCapacityAnnual|RE1|PWRCOA|2053</v>
      </c>
      <c r="B1618" t="s">
        <v>16</v>
      </c>
      <c r="C1618" t="s">
        <v>17</v>
      </c>
      <c r="D1618" t="s">
        <v>38</v>
      </c>
      <c r="E1618" t="s">
        <v>19</v>
      </c>
      <c r="F1618" t="s">
        <v>21</v>
      </c>
      <c r="O1618">
        <v>2053</v>
      </c>
    </row>
    <row r="1619" spans="1:16" x14ac:dyDescent="0.3">
      <c r="A1619" t="str">
        <f t="shared" si="25"/>
        <v>PD|TotalCapacityAnnual|RE1|PWRDSL|2053</v>
      </c>
      <c r="B1619" t="s">
        <v>16</v>
      </c>
      <c r="C1619" t="s">
        <v>17</v>
      </c>
      <c r="D1619" t="s">
        <v>38</v>
      </c>
      <c r="E1619" t="s">
        <v>19</v>
      </c>
      <c r="F1619" t="s">
        <v>22</v>
      </c>
      <c r="O1619">
        <v>2053</v>
      </c>
      <c r="P1619">
        <v>24.944976</v>
      </c>
    </row>
    <row r="1620" spans="1:16" x14ac:dyDescent="0.3">
      <c r="A1620" t="str">
        <f t="shared" si="25"/>
        <v>PD|TotalCapacityAnnual|RE1|PWRFOL|2053</v>
      </c>
      <c r="B1620" t="s">
        <v>16</v>
      </c>
      <c r="C1620" t="s">
        <v>17</v>
      </c>
      <c r="D1620" t="s">
        <v>38</v>
      </c>
      <c r="E1620" t="s">
        <v>19</v>
      </c>
      <c r="F1620" t="s">
        <v>23</v>
      </c>
      <c r="O1620">
        <v>2053</v>
      </c>
      <c r="P1620">
        <v>8.3885759999999987</v>
      </c>
    </row>
    <row r="1621" spans="1:16" x14ac:dyDescent="0.3">
      <c r="A1621" t="str">
        <f t="shared" si="25"/>
        <v>PD|TotalCapacityAnnual|RE1|PWRHYDDAM|2053</v>
      </c>
      <c r="B1621" t="s">
        <v>16</v>
      </c>
      <c r="C1621" t="s">
        <v>17</v>
      </c>
      <c r="D1621" t="s">
        <v>38</v>
      </c>
      <c r="E1621" t="s">
        <v>19</v>
      </c>
      <c r="F1621" t="s">
        <v>24</v>
      </c>
      <c r="O1621">
        <v>2053</v>
      </c>
      <c r="P1621">
        <v>440.49164800000011</v>
      </c>
    </row>
    <row r="1622" spans="1:16" x14ac:dyDescent="0.3">
      <c r="A1622" t="str">
        <f t="shared" si="25"/>
        <v>PD|TotalCapacityAnnual|RE1|PWRHYDROR|2053</v>
      </c>
      <c r="B1622" t="s">
        <v>16</v>
      </c>
      <c r="C1622" t="s">
        <v>17</v>
      </c>
      <c r="D1622" t="s">
        <v>38</v>
      </c>
      <c r="E1622" t="s">
        <v>19</v>
      </c>
      <c r="F1622" t="s">
        <v>25</v>
      </c>
      <c r="O1622">
        <v>2053</v>
      </c>
      <c r="P1622">
        <v>21.097584000000001</v>
      </c>
    </row>
    <row r="1623" spans="1:16" x14ac:dyDescent="0.3">
      <c r="A1623" t="str">
        <f t="shared" si="25"/>
        <v>PD|TotalCapacityAnnual|RE1|PWRHYDROR_NDC|2053</v>
      </c>
      <c r="B1623" t="s">
        <v>16</v>
      </c>
      <c r="C1623" t="s">
        <v>17</v>
      </c>
      <c r="D1623" t="s">
        <v>38</v>
      </c>
      <c r="E1623" t="s">
        <v>19</v>
      </c>
      <c r="F1623" t="s">
        <v>26</v>
      </c>
      <c r="O1623">
        <v>2053</v>
      </c>
      <c r="P1623">
        <v>29.725108271999989</v>
      </c>
    </row>
    <row r="1624" spans="1:16" x14ac:dyDescent="0.3">
      <c r="A1624" t="str">
        <f t="shared" si="25"/>
        <v>PD|TotalCapacityAnnual|RE1|PWRJET|2053</v>
      </c>
      <c r="B1624" t="s">
        <v>16</v>
      </c>
      <c r="C1624" t="s">
        <v>17</v>
      </c>
      <c r="D1624" t="s">
        <v>38</v>
      </c>
      <c r="E1624" t="s">
        <v>19</v>
      </c>
      <c r="F1624" t="s">
        <v>27</v>
      </c>
      <c r="O1624">
        <v>2053</v>
      </c>
      <c r="P1624">
        <v>1.5768</v>
      </c>
    </row>
    <row r="1625" spans="1:16" x14ac:dyDescent="0.3">
      <c r="A1625" t="str">
        <f t="shared" si="25"/>
        <v>PD|TotalCapacityAnnual|RE1|PWRLPG|2053</v>
      </c>
      <c r="B1625" t="s">
        <v>16</v>
      </c>
      <c r="C1625" t="s">
        <v>17</v>
      </c>
      <c r="D1625" t="s">
        <v>38</v>
      </c>
      <c r="E1625" t="s">
        <v>19</v>
      </c>
      <c r="F1625" t="s">
        <v>28</v>
      </c>
      <c r="O1625">
        <v>2053</v>
      </c>
      <c r="P1625">
        <v>1.639872</v>
      </c>
    </row>
    <row r="1626" spans="1:16" x14ac:dyDescent="0.3">
      <c r="A1626" t="str">
        <f t="shared" si="25"/>
        <v>PD|TotalCapacityAnnual|RE1|PWRNGS_CC|2053</v>
      </c>
      <c r="B1626" t="s">
        <v>16</v>
      </c>
      <c r="C1626" t="s">
        <v>17</v>
      </c>
      <c r="D1626" t="s">
        <v>38</v>
      </c>
      <c r="E1626" t="s">
        <v>19</v>
      </c>
      <c r="F1626" t="s">
        <v>29</v>
      </c>
      <c r="O1626">
        <v>2053</v>
      </c>
      <c r="P1626">
        <v>70.104500000000002</v>
      </c>
    </row>
    <row r="1627" spans="1:16" x14ac:dyDescent="0.3">
      <c r="A1627" t="str">
        <f t="shared" si="25"/>
        <v>PD|TotalCapacityAnnual|RE1|PWRNGS_CS|2053</v>
      </c>
      <c r="B1627" t="s">
        <v>16</v>
      </c>
      <c r="C1627" t="s">
        <v>17</v>
      </c>
      <c r="D1627" t="s">
        <v>38</v>
      </c>
      <c r="E1627" t="s">
        <v>19</v>
      </c>
      <c r="F1627" t="s">
        <v>30</v>
      </c>
      <c r="O1627">
        <v>2053</v>
      </c>
      <c r="P1627">
        <v>23.084351999999999</v>
      </c>
    </row>
    <row r="1628" spans="1:16" x14ac:dyDescent="0.3">
      <c r="A1628" t="str">
        <f t="shared" si="25"/>
        <v>PD|TotalCapacityAnnual|RE1|PWRSOLRTP|2053</v>
      </c>
      <c r="B1628" t="s">
        <v>16</v>
      </c>
      <c r="C1628" t="s">
        <v>17</v>
      </c>
      <c r="D1628" t="s">
        <v>38</v>
      </c>
      <c r="E1628" t="s">
        <v>19</v>
      </c>
      <c r="F1628" t="s">
        <v>31</v>
      </c>
      <c r="O1628">
        <v>2053</v>
      </c>
      <c r="P1628">
        <v>93.500317057704478</v>
      </c>
    </row>
    <row r="1629" spans="1:16" x14ac:dyDescent="0.3">
      <c r="A1629" t="str">
        <f t="shared" si="25"/>
        <v>PD|TotalCapacityAnnual|RE1|PWRSOLRTP_ZNI|2053</v>
      </c>
      <c r="B1629" t="s">
        <v>16</v>
      </c>
      <c r="C1629" t="s">
        <v>17</v>
      </c>
      <c r="D1629" t="s">
        <v>38</v>
      </c>
      <c r="E1629" t="s">
        <v>19</v>
      </c>
      <c r="F1629" t="s">
        <v>32</v>
      </c>
      <c r="O1629">
        <v>2053</v>
      </c>
      <c r="P1629">
        <v>1.3482492298090729</v>
      </c>
    </row>
    <row r="1630" spans="1:16" x14ac:dyDescent="0.3">
      <c r="A1630" t="str">
        <f t="shared" si="25"/>
        <v>PD|TotalCapacityAnnual|RE1|PWRSOLUGE|2053</v>
      </c>
      <c r="B1630" t="s">
        <v>16</v>
      </c>
      <c r="C1630" t="s">
        <v>17</v>
      </c>
      <c r="D1630" t="s">
        <v>38</v>
      </c>
      <c r="E1630" t="s">
        <v>19</v>
      </c>
      <c r="F1630" t="s">
        <v>33</v>
      </c>
      <c r="O1630">
        <v>2053</v>
      </c>
      <c r="P1630">
        <v>191.79189199999999</v>
      </c>
    </row>
    <row r="1631" spans="1:16" x14ac:dyDescent="0.3">
      <c r="A1631" t="str">
        <f t="shared" si="25"/>
        <v>PD|TotalCapacityAnnual|RE1|PWRSOLUPE|2053</v>
      </c>
      <c r="B1631" t="s">
        <v>16</v>
      </c>
      <c r="C1631" t="s">
        <v>17</v>
      </c>
      <c r="D1631" t="s">
        <v>38</v>
      </c>
      <c r="E1631" t="s">
        <v>19</v>
      </c>
      <c r="F1631" t="s">
        <v>34</v>
      </c>
      <c r="O1631">
        <v>2053</v>
      </c>
    </row>
    <row r="1632" spans="1:16" x14ac:dyDescent="0.3">
      <c r="A1632" t="str">
        <f t="shared" si="25"/>
        <v>PD|TotalCapacityAnnual|RE1|PWRSTD|2053</v>
      </c>
      <c r="B1632" t="s">
        <v>16</v>
      </c>
      <c r="C1632" t="s">
        <v>17</v>
      </c>
      <c r="D1632" t="s">
        <v>38</v>
      </c>
      <c r="E1632" t="s">
        <v>19</v>
      </c>
      <c r="F1632" t="s">
        <v>35</v>
      </c>
      <c r="O1632">
        <v>2053</v>
      </c>
      <c r="P1632">
        <v>8.163062064</v>
      </c>
    </row>
    <row r="1633" spans="1:16" x14ac:dyDescent="0.3">
      <c r="A1633" t="str">
        <f t="shared" si="25"/>
        <v>PD|TotalCapacityAnnual|RE1|PWRWNDONS|2053</v>
      </c>
      <c r="B1633" t="s">
        <v>16</v>
      </c>
      <c r="C1633" t="s">
        <v>17</v>
      </c>
      <c r="D1633" t="s">
        <v>38</v>
      </c>
      <c r="E1633" t="s">
        <v>19</v>
      </c>
      <c r="F1633" t="s">
        <v>36</v>
      </c>
      <c r="O1633">
        <v>2053</v>
      </c>
      <c r="P1633">
        <v>535.0293990018157</v>
      </c>
    </row>
    <row r="1634" spans="1:16" x14ac:dyDescent="0.3">
      <c r="A1634" t="str">
        <f t="shared" si="25"/>
        <v>PD|AccumulatedNewCapacity|RE1|PWRBGS|2054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O1634">
        <v>2054</v>
      </c>
    </row>
    <row r="1635" spans="1:16" x14ac:dyDescent="0.3">
      <c r="A1635" t="str">
        <f t="shared" si="25"/>
        <v>PD|AccumulatedNewCapacity|RE1|PWRCOA|2054</v>
      </c>
      <c r="B1635" t="s">
        <v>16</v>
      </c>
      <c r="C1635" t="s">
        <v>17</v>
      </c>
      <c r="D1635" t="s">
        <v>18</v>
      </c>
      <c r="E1635" t="s">
        <v>19</v>
      </c>
      <c r="F1635" t="s">
        <v>21</v>
      </c>
      <c r="O1635">
        <v>2054</v>
      </c>
    </row>
    <row r="1636" spans="1:16" x14ac:dyDescent="0.3">
      <c r="A1636" t="str">
        <f t="shared" si="25"/>
        <v>PD|AccumulatedNewCapacity|RE1|PWRDSL|2054</v>
      </c>
      <c r="B1636" t="s">
        <v>16</v>
      </c>
      <c r="C1636" t="s">
        <v>17</v>
      </c>
      <c r="D1636" t="s">
        <v>18</v>
      </c>
      <c r="E1636" t="s">
        <v>19</v>
      </c>
      <c r="F1636" t="s">
        <v>22</v>
      </c>
      <c r="O1636">
        <v>2054</v>
      </c>
    </row>
    <row r="1637" spans="1:16" x14ac:dyDescent="0.3">
      <c r="A1637" t="str">
        <f t="shared" si="25"/>
        <v>PD|AccumulatedNewCapacity|RE1|PWRFOL|2054</v>
      </c>
      <c r="B1637" t="s">
        <v>16</v>
      </c>
      <c r="C1637" t="s">
        <v>17</v>
      </c>
      <c r="D1637" t="s">
        <v>18</v>
      </c>
      <c r="E1637" t="s">
        <v>19</v>
      </c>
      <c r="F1637" t="s">
        <v>23</v>
      </c>
      <c r="O1637">
        <v>2054</v>
      </c>
    </row>
    <row r="1638" spans="1:16" x14ac:dyDescent="0.3">
      <c r="A1638" t="str">
        <f t="shared" si="25"/>
        <v>PD|AccumulatedNewCapacity|RE1|PWRHYDDAM|2054</v>
      </c>
      <c r="B1638" t="s">
        <v>16</v>
      </c>
      <c r="C1638" t="s">
        <v>17</v>
      </c>
      <c r="D1638" t="s">
        <v>18</v>
      </c>
      <c r="E1638" t="s">
        <v>19</v>
      </c>
      <c r="F1638" t="s">
        <v>24</v>
      </c>
      <c r="O1638">
        <v>2054</v>
      </c>
      <c r="P1638">
        <v>37.840000000000003</v>
      </c>
    </row>
    <row r="1639" spans="1:16" x14ac:dyDescent="0.3">
      <c r="A1639" t="str">
        <f t="shared" si="25"/>
        <v>PD|AccumulatedNewCapacity|RE1|PWRHYDROR|2054</v>
      </c>
      <c r="B1639" t="s">
        <v>16</v>
      </c>
      <c r="C1639" t="s">
        <v>17</v>
      </c>
      <c r="D1639" t="s">
        <v>18</v>
      </c>
      <c r="E1639" t="s">
        <v>19</v>
      </c>
      <c r="F1639" t="s">
        <v>25</v>
      </c>
      <c r="O1639">
        <v>2054</v>
      </c>
    </row>
    <row r="1640" spans="1:16" x14ac:dyDescent="0.3">
      <c r="A1640" t="str">
        <f t="shared" si="25"/>
        <v>PD|AccumulatedNewCapacity|RE1|PWRHYDROR_NDC|2054</v>
      </c>
      <c r="B1640" t="s">
        <v>16</v>
      </c>
      <c r="C1640" t="s">
        <v>17</v>
      </c>
      <c r="D1640" t="s">
        <v>18</v>
      </c>
      <c r="E1640" t="s">
        <v>19</v>
      </c>
      <c r="F1640" t="s">
        <v>26</v>
      </c>
      <c r="O1640">
        <v>2054</v>
      </c>
    </row>
    <row r="1641" spans="1:16" x14ac:dyDescent="0.3">
      <c r="A1641" t="str">
        <f t="shared" si="25"/>
        <v>PD|AccumulatedNewCapacity|RE1|PWRJET|2054</v>
      </c>
      <c r="B1641" t="s">
        <v>16</v>
      </c>
      <c r="C1641" t="s">
        <v>17</v>
      </c>
      <c r="D1641" t="s">
        <v>18</v>
      </c>
      <c r="E1641" t="s">
        <v>19</v>
      </c>
      <c r="F1641" t="s">
        <v>27</v>
      </c>
      <c r="O1641">
        <v>2054</v>
      </c>
    </row>
    <row r="1642" spans="1:16" x14ac:dyDescent="0.3">
      <c r="A1642" t="str">
        <f t="shared" si="25"/>
        <v>PD|AccumulatedNewCapacity|RE1|PWRLPG|2054</v>
      </c>
      <c r="B1642" t="s">
        <v>16</v>
      </c>
      <c r="C1642" t="s">
        <v>17</v>
      </c>
      <c r="D1642" t="s">
        <v>18</v>
      </c>
      <c r="E1642" t="s">
        <v>19</v>
      </c>
      <c r="F1642" t="s">
        <v>28</v>
      </c>
      <c r="O1642">
        <v>2054</v>
      </c>
    </row>
    <row r="1643" spans="1:16" x14ac:dyDescent="0.3">
      <c r="A1643" t="str">
        <f t="shared" si="25"/>
        <v>PD|AccumulatedNewCapacity|RE1|PWRNGS_CC|2054</v>
      </c>
      <c r="B1643" t="s">
        <v>16</v>
      </c>
      <c r="C1643" t="s">
        <v>17</v>
      </c>
      <c r="D1643" t="s">
        <v>18</v>
      </c>
      <c r="E1643" t="s">
        <v>19</v>
      </c>
      <c r="F1643" t="s">
        <v>29</v>
      </c>
      <c r="O1643">
        <v>2054</v>
      </c>
    </row>
    <row r="1644" spans="1:16" x14ac:dyDescent="0.3">
      <c r="A1644" t="str">
        <f t="shared" si="25"/>
        <v>PD|AccumulatedNewCapacity|RE1|PWRNGS_CS|2054</v>
      </c>
      <c r="B1644" t="s">
        <v>16</v>
      </c>
      <c r="C1644" t="s">
        <v>17</v>
      </c>
      <c r="D1644" t="s">
        <v>18</v>
      </c>
      <c r="E1644" t="s">
        <v>19</v>
      </c>
      <c r="F1644" t="s">
        <v>30</v>
      </c>
      <c r="O1644">
        <v>2054</v>
      </c>
    </row>
    <row r="1645" spans="1:16" x14ac:dyDescent="0.3">
      <c r="A1645" t="str">
        <f t="shared" si="25"/>
        <v>PD|AccumulatedNewCapacity|RE1|PWRSOLRTP|2054</v>
      </c>
      <c r="B1645" t="s">
        <v>16</v>
      </c>
      <c r="C1645" t="s">
        <v>17</v>
      </c>
      <c r="D1645" t="s">
        <v>18</v>
      </c>
      <c r="E1645" t="s">
        <v>19</v>
      </c>
      <c r="F1645" t="s">
        <v>31</v>
      </c>
      <c r="O1645">
        <v>2054</v>
      </c>
      <c r="P1645">
        <v>83.671528218135677</v>
      </c>
    </row>
    <row r="1646" spans="1:16" x14ac:dyDescent="0.3">
      <c r="A1646" t="str">
        <f t="shared" si="25"/>
        <v>PD|AccumulatedNewCapacity|RE1|PWRSOLRTP_ZNI|2054</v>
      </c>
      <c r="B1646" t="s">
        <v>16</v>
      </c>
      <c r="C1646" t="s">
        <v>17</v>
      </c>
      <c r="D1646" t="s">
        <v>18</v>
      </c>
      <c r="E1646" t="s">
        <v>19</v>
      </c>
      <c r="F1646" t="s">
        <v>32</v>
      </c>
      <c r="O1646">
        <v>2054</v>
      </c>
      <c r="P1646">
        <v>0.88750826980907294</v>
      </c>
    </row>
    <row r="1647" spans="1:16" x14ac:dyDescent="0.3">
      <c r="A1647" t="str">
        <f t="shared" si="25"/>
        <v>PD|AccumulatedNewCapacity|RE1|PWRSOLUGE|2054</v>
      </c>
      <c r="B1647" t="s">
        <v>16</v>
      </c>
      <c r="C1647" t="s">
        <v>17</v>
      </c>
      <c r="D1647" t="s">
        <v>18</v>
      </c>
      <c r="E1647" t="s">
        <v>19</v>
      </c>
      <c r="F1647" t="s">
        <v>33</v>
      </c>
      <c r="O1647">
        <v>2054</v>
      </c>
      <c r="P1647">
        <v>143.394192</v>
      </c>
    </row>
    <row r="1648" spans="1:16" x14ac:dyDescent="0.3">
      <c r="A1648" t="str">
        <f t="shared" si="25"/>
        <v>PD|AccumulatedNewCapacity|RE1|PWRSOLUPE|2054</v>
      </c>
      <c r="B1648" t="s">
        <v>16</v>
      </c>
      <c r="C1648" t="s">
        <v>17</v>
      </c>
      <c r="D1648" t="s">
        <v>18</v>
      </c>
      <c r="E1648" t="s">
        <v>19</v>
      </c>
      <c r="F1648" t="s">
        <v>34</v>
      </c>
      <c r="O1648">
        <v>2054</v>
      </c>
    </row>
    <row r="1649" spans="1:16" x14ac:dyDescent="0.3">
      <c r="A1649" t="str">
        <f t="shared" si="25"/>
        <v>PD|AccumulatedNewCapacity|RE1|PWRSTD|2054</v>
      </c>
      <c r="B1649" t="s">
        <v>16</v>
      </c>
      <c r="C1649" t="s">
        <v>17</v>
      </c>
      <c r="D1649" t="s">
        <v>18</v>
      </c>
      <c r="E1649" t="s">
        <v>19</v>
      </c>
      <c r="F1649" t="s">
        <v>35</v>
      </c>
      <c r="O1649">
        <v>2054</v>
      </c>
    </row>
    <row r="1650" spans="1:16" x14ac:dyDescent="0.3">
      <c r="A1650" t="str">
        <f t="shared" si="25"/>
        <v>PD|AccumulatedNewCapacity|RE1|PWRWNDONS|2054</v>
      </c>
      <c r="B1650" t="s">
        <v>16</v>
      </c>
      <c r="C1650" t="s">
        <v>17</v>
      </c>
      <c r="D1650" t="s">
        <v>18</v>
      </c>
      <c r="E1650" t="s">
        <v>19</v>
      </c>
      <c r="F1650" t="s">
        <v>36</v>
      </c>
      <c r="O1650">
        <v>2054</v>
      </c>
      <c r="P1650">
        <v>580.97073660181582</v>
      </c>
    </row>
    <row r="1651" spans="1:16" x14ac:dyDescent="0.3">
      <c r="A1651" t="str">
        <f t="shared" si="25"/>
        <v>PD|NewCapacity|RE1|PWRBGS|2054</v>
      </c>
      <c r="B1651" t="s">
        <v>16</v>
      </c>
      <c r="C1651" t="s">
        <v>17</v>
      </c>
      <c r="D1651" t="s">
        <v>37</v>
      </c>
      <c r="E1651" t="s">
        <v>19</v>
      </c>
      <c r="F1651" t="s">
        <v>20</v>
      </c>
      <c r="O1651">
        <v>2054</v>
      </c>
    </row>
    <row r="1652" spans="1:16" x14ac:dyDescent="0.3">
      <c r="A1652" t="str">
        <f t="shared" si="25"/>
        <v>PD|NewCapacity|RE1|PWRCOA|2054</v>
      </c>
      <c r="B1652" t="s">
        <v>16</v>
      </c>
      <c r="C1652" t="s">
        <v>17</v>
      </c>
      <c r="D1652" t="s">
        <v>37</v>
      </c>
      <c r="E1652" t="s">
        <v>19</v>
      </c>
      <c r="F1652" t="s">
        <v>21</v>
      </c>
      <c r="O1652">
        <v>2054</v>
      </c>
    </row>
    <row r="1653" spans="1:16" x14ac:dyDescent="0.3">
      <c r="A1653" t="str">
        <f t="shared" si="25"/>
        <v>PD|NewCapacity|RE1|PWRDSL|2054</v>
      </c>
      <c r="B1653" t="s">
        <v>16</v>
      </c>
      <c r="C1653" t="s">
        <v>17</v>
      </c>
      <c r="D1653" t="s">
        <v>37</v>
      </c>
      <c r="E1653" t="s">
        <v>19</v>
      </c>
      <c r="F1653" t="s">
        <v>22</v>
      </c>
      <c r="O1653">
        <v>2054</v>
      </c>
    </row>
    <row r="1654" spans="1:16" x14ac:dyDescent="0.3">
      <c r="A1654" t="str">
        <f t="shared" si="25"/>
        <v>PD|NewCapacity|RE1|PWRFOL|2054</v>
      </c>
      <c r="B1654" t="s">
        <v>16</v>
      </c>
      <c r="C1654" t="s">
        <v>17</v>
      </c>
      <c r="D1654" t="s">
        <v>37</v>
      </c>
      <c r="E1654" t="s">
        <v>19</v>
      </c>
      <c r="F1654" t="s">
        <v>23</v>
      </c>
      <c r="O1654">
        <v>2054</v>
      </c>
    </row>
    <row r="1655" spans="1:16" x14ac:dyDescent="0.3">
      <c r="A1655" t="str">
        <f t="shared" si="25"/>
        <v>PD|NewCapacity|RE1|PWRHYDDAM|2054</v>
      </c>
      <c r="B1655" t="s">
        <v>16</v>
      </c>
      <c r="C1655" t="s">
        <v>17</v>
      </c>
      <c r="D1655" t="s">
        <v>37</v>
      </c>
      <c r="E1655" t="s">
        <v>19</v>
      </c>
      <c r="F1655" t="s">
        <v>24</v>
      </c>
      <c r="O1655">
        <v>2054</v>
      </c>
    </row>
    <row r="1656" spans="1:16" x14ac:dyDescent="0.3">
      <c r="A1656" t="str">
        <f t="shared" si="25"/>
        <v>PD|NewCapacity|RE1|PWRHYDROR|2054</v>
      </c>
      <c r="B1656" t="s">
        <v>16</v>
      </c>
      <c r="C1656" t="s">
        <v>17</v>
      </c>
      <c r="D1656" t="s">
        <v>37</v>
      </c>
      <c r="E1656" t="s">
        <v>19</v>
      </c>
      <c r="F1656" t="s">
        <v>25</v>
      </c>
      <c r="O1656">
        <v>2054</v>
      </c>
    </row>
    <row r="1657" spans="1:16" x14ac:dyDescent="0.3">
      <c r="A1657" t="str">
        <f t="shared" si="25"/>
        <v>PD|NewCapacity|RE1|PWRHYDROR_NDC|2054</v>
      </c>
      <c r="B1657" t="s">
        <v>16</v>
      </c>
      <c r="C1657" t="s">
        <v>17</v>
      </c>
      <c r="D1657" t="s">
        <v>37</v>
      </c>
      <c r="E1657" t="s">
        <v>19</v>
      </c>
      <c r="F1657" t="s">
        <v>26</v>
      </c>
      <c r="O1657">
        <v>2054</v>
      </c>
    </row>
    <row r="1658" spans="1:16" x14ac:dyDescent="0.3">
      <c r="A1658" t="str">
        <f t="shared" si="25"/>
        <v>PD|NewCapacity|RE1|PWRJET|2054</v>
      </c>
      <c r="B1658" t="s">
        <v>16</v>
      </c>
      <c r="C1658" t="s">
        <v>17</v>
      </c>
      <c r="D1658" t="s">
        <v>37</v>
      </c>
      <c r="E1658" t="s">
        <v>19</v>
      </c>
      <c r="F1658" t="s">
        <v>27</v>
      </c>
      <c r="O1658">
        <v>2054</v>
      </c>
    </row>
    <row r="1659" spans="1:16" x14ac:dyDescent="0.3">
      <c r="A1659" t="str">
        <f t="shared" si="25"/>
        <v>PD|NewCapacity|RE1|PWRLPG|2054</v>
      </c>
      <c r="B1659" t="s">
        <v>16</v>
      </c>
      <c r="C1659" t="s">
        <v>17</v>
      </c>
      <c r="D1659" t="s">
        <v>37</v>
      </c>
      <c r="E1659" t="s">
        <v>19</v>
      </c>
      <c r="F1659" t="s">
        <v>28</v>
      </c>
      <c r="O1659">
        <v>2054</v>
      </c>
    </row>
    <row r="1660" spans="1:16" x14ac:dyDescent="0.3">
      <c r="A1660" t="str">
        <f t="shared" si="25"/>
        <v>PD|NewCapacity|RE1|PWRNGS_CC|2054</v>
      </c>
      <c r="B1660" t="s">
        <v>16</v>
      </c>
      <c r="C1660" t="s">
        <v>17</v>
      </c>
      <c r="D1660" t="s">
        <v>37</v>
      </c>
      <c r="E1660" t="s">
        <v>19</v>
      </c>
      <c r="F1660" t="s">
        <v>29</v>
      </c>
      <c r="O1660">
        <v>2054</v>
      </c>
    </row>
    <row r="1661" spans="1:16" x14ac:dyDescent="0.3">
      <c r="A1661" t="str">
        <f t="shared" si="25"/>
        <v>PD|NewCapacity|RE1|PWRNGS_CS|2054</v>
      </c>
      <c r="B1661" t="s">
        <v>16</v>
      </c>
      <c r="C1661" t="s">
        <v>17</v>
      </c>
      <c r="D1661" t="s">
        <v>37</v>
      </c>
      <c r="E1661" t="s">
        <v>19</v>
      </c>
      <c r="F1661" t="s">
        <v>30</v>
      </c>
      <c r="O1661">
        <v>2054</v>
      </c>
    </row>
    <row r="1662" spans="1:16" x14ac:dyDescent="0.3">
      <c r="A1662" t="str">
        <f t="shared" si="25"/>
        <v>PD|NewCapacity|RE1|PWRSOLRTP|2054</v>
      </c>
      <c r="B1662" t="s">
        <v>16</v>
      </c>
      <c r="C1662" t="s">
        <v>17</v>
      </c>
      <c r="D1662" t="s">
        <v>37</v>
      </c>
      <c r="E1662" t="s">
        <v>19</v>
      </c>
      <c r="F1662" t="s">
        <v>31</v>
      </c>
      <c r="O1662">
        <v>2054</v>
      </c>
      <c r="P1662">
        <v>1.426759670259987</v>
      </c>
    </row>
    <row r="1663" spans="1:16" x14ac:dyDescent="0.3">
      <c r="A1663" t="str">
        <f t="shared" si="25"/>
        <v>PD|NewCapacity|RE1|PWRSOLRTP_ZNI|2054</v>
      </c>
      <c r="B1663" t="s">
        <v>16</v>
      </c>
      <c r="C1663" t="s">
        <v>17</v>
      </c>
      <c r="D1663" t="s">
        <v>37</v>
      </c>
      <c r="E1663" t="s">
        <v>19</v>
      </c>
      <c r="F1663" t="s">
        <v>32</v>
      </c>
      <c r="O1663">
        <v>2054</v>
      </c>
    </row>
    <row r="1664" spans="1:16" x14ac:dyDescent="0.3">
      <c r="A1664" t="str">
        <f t="shared" si="25"/>
        <v>PD|NewCapacity|RE1|PWRSOLUGE|2054</v>
      </c>
      <c r="B1664" t="s">
        <v>16</v>
      </c>
      <c r="C1664" t="s">
        <v>17</v>
      </c>
      <c r="D1664" t="s">
        <v>37</v>
      </c>
      <c r="E1664" t="s">
        <v>19</v>
      </c>
      <c r="F1664" t="s">
        <v>33</v>
      </c>
      <c r="O1664">
        <v>2054</v>
      </c>
    </row>
    <row r="1665" spans="1:16" x14ac:dyDescent="0.3">
      <c r="A1665" t="str">
        <f t="shared" si="25"/>
        <v>PD|NewCapacity|RE1|PWRSOLUPE|2054</v>
      </c>
      <c r="B1665" t="s">
        <v>16</v>
      </c>
      <c r="C1665" t="s">
        <v>17</v>
      </c>
      <c r="D1665" t="s">
        <v>37</v>
      </c>
      <c r="E1665" t="s">
        <v>19</v>
      </c>
      <c r="F1665" t="s">
        <v>34</v>
      </c>
      <c r="O1665">
        <v>2054</v>
      </c>
    </row>
    <row r="1666" spans="1:16" x14ac:dyDescent="0.3">
      <c r="A1666" t="str">
        <f t="shared" ref="A1666:A1729" si="26">B1666&amp;"|"&amp;D1666&amp;"|"&amp;E1666&amp;"|"&amp;F1666&amp;"|"&amp;O1666</f>
        <v>PD|NewCapacity|RE1|PWRSTD|2054</v>
      </c>
      <c r="B1666" t="s">
        <v>16</v>
      </c>
      <c r="C1666" t="s">
        <v>17</v>
      </c>
      <c r="D1666" t="s">
        <v>37</v>
      </c>
      <c r="E1666" t="s">
        <v>19</v>
      </c>
      <c r="F1666" t="s">
        <v>35</v>
      </c>
      <c r="O1666">
        <v>2054</v>
      </c>
    </row>
    <row r="1667" spans="1:16" x14ac:dyDescent="0.3">
      <c r="A1667" t="str">
        <f t="shared" si="26"/>
        <v>PD|NewCapacity|RE1|PWRWNDONS|2054</v>
      </c>
      <c r="B1667" t="s">
        <v>16</v>
      </c>
      <c r="C1667" t="s">
        <v>17</v>
      </c>
      <c r="D1667" t="s">
        <v>37</v>
      </c>
      <c r="E1667" t="s">
        <v>19</v>
      </c>
      <c r="F1667" t="s">
        <v>36</v>
      </c>
      <c r="O1667">
        <v>2054</v>
      </c>
      <c r="P1667">
        <v>47.31</v>
      </c>
    </row>
    <row r="1668" spans="1:16" x14ac:dyDescent="0.3">
      <c r="A1668" t="str">
        <f t="shared" si="26"/>
        <v>PD|TotalCapacityAnnual|RE1|PWRBGS|2054</v>
      </c>
      <c r="B1668" t="s">
        <v>16</v>
      </c>
      <c r="C1668" t="s">
        <v>17</v>
      </c>
      <c r="D1668" t="s">
        <v>38</v>
      </c>
      <c r="E1668" t="s">
        <v>19</v>
      </c>
      <c r="F1668" t="s">
        <v>20</v>
      </c>
      <c r="O1668">
        <v>2054</v>
      </c>
      <c r="P1668">
        <v>2.5488587520000001E-2</v>
      </c>
    </row>
    <row r="1669" spans="1:16" x14ac:dyDescent="0.3">
      <c r="A1669" t="str">
        <f t="shared" si="26"/>
        <v>PD|TotalCapacityAnnual|RE1|PWRCOA|2054</v>
      </c>
      <c r="B1669" t="s">
        <v>16</v>
      </c>
      <c r="C1669" t="s">
        <v>17</v>
      </c>
      <c r="D1669" t="s">
        <v>38</v>
      </c>
      <c r="E1669" t="s">
        <v>19</v>
      </c>
      <c r="F1669" t="s">
        <v>21</v>
      </c>
      <c r="O1669">
        <v>2054</v>
      </c>
    </row>
    <row r="1670" spans="1:16" x14ac:dyDescent="0.3">
      <c r="A1670" t="str">
        <f t="shared" si="26"/>
        <v>PD|TotalCapacityAnnual|RE1|PWRDSL|2054</v>
      </c>
      <c r="B1670" t="s">
        <v>16</v>
      </c>
      <c r="C1670" t="s">
        <v>17</v>
      </c>
      <c r="D1670" t="s">
        <v>38</v>
      </c>
      <c r="E1670" t="s">
        <v>19</v>
      </c>
      <c r="F1670" t="s">
        <v>22</v>
      </c>
      <c r="O1670">
        <v>2054</v>
      </c>
      <c r="P1670">
        <v>24.944976</v>
      </c>
    </row>
    <row r="1671" spans="1:16" x14ac:dyDescent="0.3">
      <c r="A1671" t="str">
        <f t="shared" si="26"/>
        <v>PD|TotalCapacityAnnual|RE1|PWRFOL|2054</v>
      </c>
      <c r="B1671" t="s">
        <v>16</v>
      </c>
      <c r="C1671" t="s">
        <v>17</v>
      </c>
      <c r="D1671" t="s">
        <v>38</v>
      </c>
      <c r="E1671" t="s">
        <v>19</v>
      </c>
      <c r="F1671" t="s">
        <v>23</v>
      </c>
      <c r="O1671">
        <v>2054</v>
      </c>
      <c r="P1671">
        <v>8.3885759999999987</v>
      </c>
    </row>
    <row r="1672" spans="1:16" x14ac:dyDescent="0.3">
      <c r="A1672" t="str">
        <f t="shared" si="26"/>
        <v>PD|TotalCapacityAnnual|RE1|PWRHYDDAM|2054</v>
      </c>
      <c r="B1672" t="s">
        <v>16</v>
      </c>
      <c r="C1672" t="s">
        <v>17</v>
      </c>
      <c r="D1672" t="s">
        <v>38</v>
      </c>
      <c r="E1672" t="s">
        <v>19</v>
      </c>
      <c r="F1672" t="s">
        <v>24</v>
      </c>
      <c r="O1672">
        <v>2054</v>
      </c>
      <c r="P1672">
        <v>440.49164800000011</v>
      </c>
    </row>
    <row r="1673" spans="1:16" x14ac:dyDescent="0.3">
      <c r="A1673" t="str">
        <f t="shared" si="26"/>
        <v>PD|TotalCapacityAnnual|RE1|PWRHYDROR|2054</v>
      </c>
      <c r="B1673" t="s">
        <v>16</v>
      </c>
      <c r="C1673" t="s">
        <v>17</v>
      </c>
      <c r="D1673" t="s">
        <v>38</v>
      </c>
      <c r="E1673" t="s">
        <v>19</v>
      </c>
      <c r="F1673" t="s">
        <v>25</v>
      </c>
      <c r="O1673">
        <v>2054</v>
      </c>
      <c r="P1673">
        <v>21.097584000000001</v>
      </c>
    </row>
    <row r="1674" spans="1:16" x14ac:dyDescent="0.3">
      <c r="A1674" t="str">
        <f t="shared" si="26"/>
        <v>PD|TotalCapacityAnnual|RE1|PWRHYDROR_NDC|2054</v>
      </c>
      <c r="B1674" t="s">
        <v>16</v>
      </c>
      <c r="C1674" t="s">
        <v>17</v>
      </c>
      <c r="D1674" t="s">
        <v>38</v>
      </c>
      <c r="E1674" t="s">
        <v>19</v>
      </c>
      <c r="F1674" t="s">
        <v>26</v>
      </c>
      <c r="O1674">
        <v>2054</v>
      </c>
      <c r="P1674">
        <v>29.725108271999989</v>
      </c>
    </row>
    <row r="1675" spans="1:16" x14ac:dyDescent="0.3">
      <c r="A1675" t="str">
        <f t="shared" si="26"/>
        <v>PD|TotalCapacityAnnual|RE1|PWRJET|2054</v>
      </c>
      <c r="B1675" t="s">
        <v>16</v>
      </c>
      <c r="C1675" t="s">
        <v>17</v>
      </c>
      <c r="D1675" t="s">
        <v>38</v>
      </c>
      <c r="E1675" t="s">
        <v>19</v>
      </c>
      <c r="F1675" t="s">
        <v>27</v>
      </c>
      <c r="O1675">
        <v>2054</v>
      </c>
      <c r="P1675">
        <v>1.5768</v>
      </c>
    </row>
    <row r="1676" spans="1:16" x14ac:dyDescent="0.3">
      <c r="A1676" t="str">
        <f t="shared" si="26"/>
        <v>PD|TotalCapacityAnnual|RE1|PWRLPG|2054</v>
      </c>
      <c r="B1676" t="s">
        <v>16</v>
      </c>
      <c r="C1676" t="s">
        <v>17</v>
      </c>
      <c r="D1676" t="s">
        <v>38</v>
      </c>
      <c r="E1676" t="s">
        <v>19</v>
      </c>
      <c r="F1676" t="s">
        <v>28</v>
      </c>
      <c r="O1676">
        <v>2054</v>
      </c>
      <c r="P1676">
        <v>1.639872</v>
      </c>
    </row>
    <row r="1677" spans="1:16" x14ac:dyDescent="0.3">
      <c r="A1677" t="str">
        <f t="shared" si="26"/>
        <v>PD|TotalCapacityAnnual|RE1|PWRNGS_CC|2054</v>
      </c>
      <c r="B1677" t="s">
        <v>16</v>
      </c>
      <c r="C1677" t="s">
        <v>17</v>
      </c>
      <c r="D1677" t="s">
        <v>38</v>
      </c>
      <c r="E1677" t="s">
        <v>19</v>
      </c>
      <c r="F1677" t="s">
        <v>29</v>
      </c>
      <c r="O1677">
        <v>2054</v>
      </c>
      <c r="P1677">
        <v>70.104500000000002</v>
      </c>
    </row>
    <row r="1678" spans="1:16" x14ac:dyDescent="0.3">
      <c r="A1678" t="str">
        <f t="shared" si="26"/>
        <v>PD|TotalCapacityAnnual|RE1|PWRNGS_CS|2054</v>
      </c>
      <c r="B1678" t="s">
        <v>16</v>
      </c>
      <c r="C1678" t="s">
        <v>17</v>
      </c>
      <c r="D1678" t="s">
        <v>38</v>
      </c>
      <c r="E1678" t="s">
        <v>19</v>
      </c>
      <c r="F1678" t="s">
        <v>30</v>
      </c>
      <c r="O1678">
        <v>2054</v>
      </c>
      <c r="P1678">
        <v>23.084351999999999</v>
      </c>
    </row>
    <row r="1679" spans="1:16" x14ac:dyDescent="0.3">
      <c r="A1679" t="str">
        <f t="shared" si="26"/>
        <v>PD|TotalCapacityAnnual|RE1|PWRSOLRTP|2054</v>
      </c>
      <c r="B1679" t="s">
        <v>16</v>
      </c>
      <c r="C1679" t="s">
        <v>17</v>
      </c>
      <c r="D1679" t="s">
        <v>38</v>
      </c>
      <c r="E1679" t="s">
        <v>19</v>
      </c>
      <c r="F1679" t="s">
        <v>31</v>
      </c>
      <c r="O1679">
        <v>2054</v>
      </c>
      <c r="P1679">
        <v>83.671528218135677</v>
      </c>
    </row>
    <row r="1680" spans="1:16" x14ac:dyDescent="0.3">
      <c r="A1680" t="str">
        <f t="shared" si="26"/>
        <v>PD|TotalCapacityAnnual|RE1|PWRSOLRTP_ZNI|2054</v>
      </c>
      <c r="B1680" t="s">
        <v>16</v>
      </c>
      <c r="C1680" t="s">
        <v>17</v>
      </c>
      <c r="D1680" t="s">
        <v>38</v>
      </c>
      <c r="E1680" t="s">
        <v>19</v>
      </c>
      <c r="F1680" t="s">
        <v>32</v>
      </c>
      <c r="O1680">
        <v>2054</v>
      </c>
      <c r="P1680">
        <v>1.3482492298090729</v>
      </c>
    </row>
    <row r="1681" spans="1:16" x14ac:dyDescent="0.3">
      <c r="A1681" t="str">
        <f t="shared" si="26"/>
        <v>PD|TotalCapacityAnnual|RE1|PWRSOLUGE|2054</v>
      </c>
      <c r="B1681" t="s">
        <v>16</v>
      </c>
      <c r="C1681" t="s">
        <v>17</v>
      </c>
      <c r="D1681" t="s">
        <v>38</v>
      </c>
      <c r="E1681" t="s">
        <v>19</v>
      </c>
      <c r="F1681" t="s">
        <v>33</v>
      </c>
      <c r="O1681">
        <v>2054</v>
      </c>
      <c r="P1681">
        <v>191.79189199999999</v>
      </c>
    </row>
    <row r="1682" spans="1:16" x14ac:dyDescent="0.3">
      <c r="A1682" t="str">
        <f t="shared" si="26"/>
        <v>PD|TotalCapacityAnnual|RE1|PWRSOLUPE|2054</v>
      </c>
      <c r="B1682" t="s">
        <v>16</v>
      </c>
      <c r="C1682" t="s">
        <v>17</v>
      </c>
      <c r="D1682" t="s">
        <v>38</v>
      </c>
      <c r="E1682" t="s">
        <v>19</v>
      </c>
      <c r="F1682" t="s">
        <v>34</v>
      </c>
      <c r="O1682">
        <v>2054</v>
      </c>
    </row>
    <row r="1683" spans="1:16" x14ac:dyDescent="0.3">
      <c r="A1683" t="str">
        <f t="shared" si="26"/>
        <v>PD|TotalCapacityAnnual|RE1|PWRSTD|2054</v>
      </c>
      <c r="B1683" t="s">
        <v>16</v>
      </c>
      <c r="C1683" t="s">
        <v>17</v>
      </c>
      <c r="D1683" t="s">
        <v>38</v>
      </c>
      <c r="E1683" t="s">
        <v>19</v>
      </c>
      <c r="F1683" t="s">
        <v>35</v>
      </c>
      <c r="O1683">
        <v>2054</v>
      </c>
      <c r="P1683">
        <v>8.163062064</v>
      </c>
    </row>
    <row r="1684" spans="1:16" x14ac:dyDescent="0.3">
      <c r="A1684" t="str">
        <f t="shared" si="26"/>
        <v>PD|TotalCapacityAnnual|RE1|PWRWNDONS|2054</v>
      </c>
      <c r="B1684" t="s">
        <v>16</v>
      </c>
      <c r="C1684" t="s">
        <v>17</v>
      </c>
      <c r="D1684" t="s">
        <v>38</v>
      </c>
      <c r="E1684" t="s">
        <v>19</v>
      </c>
      <c r="F1684" t="s">
        <v>36</v>
      </c>
      <c r="O1684">
        <v>2054</v>
      </c>
      <c r="P1684">
        <v>582.33939900181576</v>
      </c>
    </row>
    <row r="1685" spans="1:16" x14ac:dyDescent="0.3">
      <c r="A1685" t="str">
        <f t="shared" si="26"/>
        <v>PD|AccumulatedNewCapacity|RE1|PWRBGS|2055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O1685">
        <v>2055</v>
      </c>
    </row>
    <row r="1686" spans="1:16" x14ac:dyDescent="0.3">
      <c r="A1686" t="str">
        <f t="shared" si="26"/>
        <v>PD|AccumulatedNewCapacity|RE1|PWRCOA|2055</v>
      </c>
      <c r="B1686" t="s">
        <v>16</v>
      </c>
      <c r="C1686" t="s">
        <v>17</v>
      </c>
      <c r="D1686" t="s">
        <v>18</v>
      </c>
      <c r="E1686" t="s">
        <v>19</v>
      </c>
      <c r="F1686" t="s">
        <v>21</v>
      </c>
      <c r="O1686">
        <v>2055</v>
      </c>
    </row>
    <row r="1687" spans="1:16" x14ac:dyDescent="0.3">
      <c r="A1687" t="str">
        <f t="shared" si="26"/>
        <v>PD|AccumulatedNewCapacity|RE1|PWRDSL|2055</v>
      </c>
      <c r="B1687" t="s">
        <v>16</v>
      </c>
      <c r="C1687" t="s">
        <v>17</v>
      </c>
      <c r="D1687" t="s">
        <v>18</v>
      </c>
      <c r="E1687" t="s">
        <v>19</v>
      </c>
      <c r="F1687" t="s">
        <v>22</v>
      </c>
      <c r="O1687">
        <v>2055</v>
      </c>
    </row>
    <row r="1688" spans="1:16" x14ac:dyDescent="0.3">
      <c r="A1688" t="str">
        <f t="shared" si="26"/>
        <v>PD|AccumulatedNewCapacity|RE1|PWRFOL|2055</v>
      </c>
      <c r="B1688" t="s">
        <v>16</v>
      </c>
      <c r="C1688" t="s">
        <v>17</v>
      </c>
      <c r="D1688" t="s">
        <v>18</v>
      </c>
      <c r="E1688" t="s">
        <v>19</v>
      </c>
      <c r="F1688" t="s">
        <v>23</v>
      </c>
      <c r="O1688">
        <v>2055</v>
      </c>
    </row>
    <row r="1689" spans="1:16" x14ac:dyDescent="0.3">
      <c r="A1689" t="str">
        <f t="shared" si="26"/>
        <v>PD|AccumulatedNewCapacity|RE1|PWRHYDDAM|2055</v>
      </c>
      <c r="B1689" t="s">
        <v>16</v>
      </c>
      <c r="C1689" t="s">
        <v>17</v>
      </c>
      <c r="D1689" t="s">
        <v>18</v>
      </c>
      <c r="E1689" t="s">
        <v>19</v>
      </c>
      <c r="F1689" t="s">
        <v>24</v>
      </c>
      <c r="O1689">
        <v>2055</v>
      </c>
      <c r="P1689">
        <v>37.840000000000003</v>
      </c>
    </row>
    <row r="1690" spans="1:16" x14ac:dyDescent="0.3">
      <c r="A1690" t="str">
        <f t="shared" si="26"/>
        <v>PD|AccumulatedNewCapacity|RE1|PWRHYDROR|2055</v>
      </c>
      <c r="B1690" t="s">
        <v>16</v>
      </c>
      <c r="C1690" t="s">
        <v>17</v>
      </c>
      <c r="D1690" t="s">
        <v>18</v>
      </c>
      <c r="E1690" t="s">
        <v>19</v>
      </c>
      <c r="F1690" t="s">
        <v>25</v>
      </c>
      <c r="O1690">
        <v>2055</v>
      </c>
    </row>
    <row r="1691" spans="1:16" x14ac:dyDescent="0.3">
      <c r="A1691" t="str">
        <f t="shared" si="26"/>
        <v>PD|AccumulatedNewCapacity|RE1|PWRHYDROR_NDC|2055</v>
      </c>
      <c r="B1691" t="s">
        <v>16</v>
      </c>
      <c r="C1691" t="s">
        <v>17</v>
      </c>
      <c r="D1691" t="s">
        <v>18</v>
      </c>
      <c r="E1691" t="s">
        <v>19</v>
      </c>
      <c r="F1691" t="s">
        <v>26</v>
      </c>
      <c r="O1691">
        <v>2055</v>
      </c>
    </row>
    <row r="1692" spans="1:16" x14ac:dyDescent="0.3">
      <c r="A1692" t="str">
        <f t="shared" si="26"/>
        <v>PD|AccumulatedNewCapacity|RE1|PWRJET|2055</v>
      </c>
      <c r="B1692" t="s">
        <v>16</v>
      </c>
      <c r="C1692" t="s">
        <v>17</v>
      </c>
      <c r="D1692" t="s">
        <v>18</v>
      </c>
      <c r="E1692" t="s">
        <v>19</v>
      </c>
      <c r="F1692" t="s">
        <v>27</v>
      </c>
      <c r="O1692">
        <v>2055</v>
      </c>
    </row>
    <row r="1693" spans="1:16" x14ac:dyDescent="0.3">
      <c r="A1693" t="str">
        <f t="shared" si="26"/>
        <v>PD|AccumulatedNewCapacity|RE1|PWRLPG|2055</v>
      </c>
      <c r="B1693" t="s">
        <v>16</v>
      </c>
      <c r="C1693" t="s">
        <v>17</v>
      </c>
      <c r="D1693" t="s">
        <v>18</v>
      </c>
      <c r="E1693" t="s">
        <v>19</v>
      </c>
      <c r="F1693" t="s">
        <v>28</v>
      </c>
      <c r="O1693">
        <v>2055</v>
      </c>
    </row>
    <row r="1694" spans="1:16" x14ac:dyDescent="0.3">
      <c r="A1694" t="str">
        <f t="shared" si="26"/>
        <v>PD|AccumulatedNewCapacity|RE1|PWRNGS_CC|2055</v>
      </c>
      <c r="B1694" t="s">
        <v>16</v>
      </c>
      <c r="C1694" t="s">
        <v>17</v>
      </c>
      <c r="D1694" t="s">
        <v>18</v>
      </c>
      <c r="E1694" t="s">
        <v>19</v>
      </c>
      <c r="F1694" t="s">
        <v>29</v>
      </c>
      <c r="O1694">
        <v>2055</v>
      </c>
    </row>
    <row r="1695" spans="1:16" x14ac:dyDescent="0.3">
      <c r="A1695" t="str">
        <f t="shared" si="26"/>
        <v>PD|AccumulatedNewCapacity|RE1|PWRNGS_CS|2055</v>
      </c>
      <c r="B1695" t="s">
        <v>16</v>
      </c>
      <c r="C1695" t="s">
        <v>17</v>
      </c>
      <c r="D1695" t="s">
        <v>18</v>
      </c>
      <c r="E1695" t="s">
        <v>19</v>
      </c>
      <c r="F1695" t="s">
        <v>30</v>
      </c>
      <c r="O1695">
        <v>2055</v>
      </c>
    </row>
    <row r="1696" spans="1:16" x14ac:dyDescent="0.3">
      <c r="A1696" t="str">
        <f t="shared" si="26"/>
        <v>PD|AccumulatedNewCapacity|RE1|PWRSOLRTP|2055</v>
      </c>
      <c r="B1696" t="s">
        <v>16</v>
      </c>
      <c r="C1696" t="s">
        <v>17</v>
      </c>
      <c r="D1696" t="s">
        <v>18</v>
      </c>
      <c r="E1696" t="s">
        <v>19</v>
      </c>
      <c r="F1696" t="s">
        <v>31</v>
      </c>
      <c r="O1696">
        <v>2055</v>
      </c>
      <c r="P1696">
        <v>74.476854787571312</v>
      </c>
    </row>
    <row r="1697" spans="1:16" x14ac:dyDescent="0.3">
      <c r="A1697" t="str">
        <f t="shared" si="26"/>
        <v>PD|AccumulatedNewCapacity|RE1|PWRSOLRTP_ZNI|2055</v>
      </c>
      <c r="B1697" t="s">
        <v>16</v>
      </c>
      <c r="C1697" t="s">
        <v>17</v>
      </c>
      <c r="D1697" t="s">
        <v>18</v>
      </c>
      <c r="E1697" t="s">
        <v>19</v>
      </c>
      <c r="F1697" t="s">
        <v>32</v>
      </c>
      <c r="O1697">
        <v>2055</v>
      </c>
      <c r="P1697">
        <v>0.88750826980907294</v>
      </c>
    </row>
    <row r="1698" spans="1:16" x14ac:dyDescent="0.3">
      <c r="A1698" t="str">
        <f t="shared" si="26"/>
        <v>PD|AccumulatedNewCapacity|RE1|PWRSOLUGE|2055</v>
      </c>
      <c r="B1698" t="s">
        <v>16</v>
      </c>
      <c r="C1698" t="s">
        <v>17</v>
      </c>
      <c r="D1698" t="s">
        <v>18</v>
      </c>
      <c r="E1698" t="s">
        <v>19</v>
      </c>
      <c r="F1698" t="s">
        <v>33</v>
      </c>
      <c r="O1698">
        <v>2055</v>
      </c>
      <c r="P1698">
        <v>136.67702399999999</v>
      </c>
    </row>
    <row r="1699" spans="1:16" x14ac:dyDescent="0.3">
      <c r="A1699" t="str">
        <f t="shared" si="26"/>
        <v>PD|AccumulatedNewCapacity|RE1|PWRSOLUPE|2055</v>
      </c>
      <c r="B1699" t="s">
        <v>16</v>
      </c>
      <c r="C1699" t="s">
        <v>17</v>
      </c>
      <c r="D1699" t="s">
        <v>18</v>
      </c>
      <c r="E1699" t="s">
        <v>19</v>
      </c>
      <c r="F1699" t="s">
        <v>34</v>
      </c>
      <c r="O1699">
        <v>2055</v>
      </c>
    </row>
    <row r="1700" spans="1:16" x14ac:dyDescent="0.3">
      <c r="A1700" t="str">
        <f t="shared" si="26"/>
        <v>PD|AccumulatedNewCapacity|RE1|PWRSTD|2055</v>
      </c>
      <c r="B1700" t="s">
        <v>16</v>
      </c>
      <c r="C1700" t="s">
        <v>17</v>
      </c>
      <c r="D1700" t="s">
        <v>18</v>
      </c>
      <c r="E1700" t="s">
        <v>19</v>
      </c>
      <c r="F1700" t="s">
        <v>35</v>
      </c>
      <c r="O1700">
        <v>2055</v>
      </c>
    </row>
    <row r="1701" spans="1:16" x14ac:dyDescent="0.3">
      <c r="A1701" t="str">
        <f t="shared" si="26"/>
        <v>PD|AccumulatedNewCapacity|RE1|PWRWNDONS|2055</v>
      </c>
      <c r="B1701" t="s">
        <v>16</v>
      </c>
      <c r="C1701" t="s">
        <v>17</v>
      </c>
      <c r="D1701" t="s">
        <v>18</v>
      </c>
      <c r="E1701" t="s">
        <v>19</v>
      </c>
      <c r="F1701" t="s">
        <v>36</v>
      </c>
      <c r="O1701">
        <v>2055</v>
      </c>
      <c r="P1701">
        <v>621.5943202703611</v>
      </c>
    </row>
    <row r="1702" spans="1:16" x14ac:dyDescent="0.3">
      <c r="A1702" t="str">
        <f t="shared" si="26"/>
        <v>PD|NewCapacity|RE1|PWRBGS|2055</v>
      </c>
      <c r="B1702" t="s">
        <v>16</v>
      </c>
      <c r="C1702" t="s">
        <v>17</v>
      </c>
      <c r="D1702" t="s">
        <v>37</v>
      </c>
      <c r="E1702" t="s">
        <v>19</v>
      </c>
      <c r="F1702" t="s">
        <v>20</v>
      </c>
      <c r="O1702">
        <v>2055</v>
      </c>
    </row>
    <row r="1703" spans="1:16" x14ac:dyDescent="0.3">
      <c r="A1703" t="str">
        <f t="shared" si="26"/>
        <v>PD|NewCapacity|RE1|PWRCOA|2055</v>
      </c>
      <c r="B1703" t="s">
        <v>16</v>
      </c>
      <c r="C1703" t="s">
        <v>17</v>
      </c>
      <c r="D1703" t="s">
        <v>37</v>
      </c>
      <c r="E1703" t="s">
        <v>19</v>
      </c>
      <c r="F1703" t="s">
        <v>21</v>
      </c>
      <c r="O1703">
        <v>2055</v>
      </c>
    </row>
    <row r="1704" spans="1:16" x14ac:dyDescent="0.3">
      <c r="A1704" t="str">
        <f t="shared" si="26"/>
        <v>PD|NewCapacity|RE1|PWRDSL|2055</v>
      </c>
      <c r="B1704" t="s">
        <v>16</v>
      </c>
      <c r="C1704" t="s">
        <v>17</v>
      </c>
      <c r="D1704" t="s">
        <v>37</v>
      </c>
      <c r="E1704" t="s">
        <v>19</v>
      </c>
      <c r="F1704" t="s">
        <v>22</v>
      </c>
      <c r="O1704">
        <v>2055</v>
      </c>
    </row>
    <row r="1705" spans="1:16" x14ac:dyDescent="0.3">
      <c r="A1705" t="str">
        <f t="shared" si="26"/>
        <v>PD|NewCapacity|RE1|PWRFOL|2055</v>
      </c>
      <c r="B1705" t="s">
        <v>16</v>
      </c>
      <c r="C1705" t="s">
        <v>17</v>
      </c>
      <c r="D1705" t="s">
        <v>37</v>
      </c>
      <c r="E1705" t="s">
        <v>19</v>
      </c>
      <c r="F1705" t="s">
        <v>23</v>
      </c>
      <c r="O1705">
        <v>2055</v>
      </c>
    </row>
    <row r="1706" spans="1:16" x14ac:dyDescent="0.3">
      <c r="A1706" t="str">
        <f t="shared" si="26"/>
        <v>PD|NewCapacity|RE1|PWRHYDDAM|2055</v>
      </c>
      <c r="B1706" t="s">
        <v>16</v>
      </c>
      <c r="C1706" t="s">
        <v>17</v>
      </c>
      <c r="D1706" t="s">
        <v>37</v>
      </c>
      <c r="E1706" t="s">
        <v>19</v>
      </c>
      <c r="F1706" t="s">
        <v>24</v>
      </c>
      <c r="O1706">
        <v>2055</v>
      </c>
    </row>
    <row r="1707" spans="1:16" x14ac:dyDescent="0.3">
      <c r="A1707" t="str">
        <f t="shared" si="26"/>
        <v>PD|NewCapacity|RE1|PWRHYDROR|2055</v>
      </c>
      <c r="B1707" t="s">
        <v>16</v>
      </c>
      <c r="C1707" t="s">
        <v>17</v>
      </c>
      <c r="D1707" t="s">
        <v>37</v>
      </c>
      <c r="E1707" t="s">
        <v>19</v>
      </c>
      <c r="F1707" t="s">
        <v>25</v>
      </c>
      <c r="O1707">
        <v>2055</v>
      </c>
    </row>
    <row r="1708" spans="1:16" x14ac:dyDescent="0.3">
      <c r="A1708" t="str">
        <f t="shared" si="26"/>
        <v>PD|NewCapacity|RE1|PWRHYDROR_NDC|2055</v>
      </c>
      <c r="B1708" t="s">
        <v>16</v>
      </c>
      <c r="C1708" t="s">
        <v>17</v>
      </c>
      <c r="D1708" t="s">
        <v>37</v>
      </c>
      <c r="E1708" t="s">
        <v>19</v>
      </c>
      <c r="F1708" t="s">
        <v>26</v>
      </c>
      <c r="O1708">
        <v>2055</v>
      </c>
    </row>
    <row r="1709" spans="1:16" x14ac:dyDescent="0.3">
      <c r="A1709" t="str">
        <f t="shared" si="26"/>
        <v>PD|NewCapacity|RE1|PWRJET|2055</v>
      </c>
      <c r="B1709" t="s">
        <v>16</v>
      </c>
      <c r="C1709" t="s">
        <v>17</v>
      </c>
      <c r="D1709" t="s">
        <v>37</v>
      </c>
      <c r="E1709" t="s">
        <v>19</v>
      </c>
      <c r="F1709" t="s">
        <v>27</v>
      </c>
      <c r="O1709">
        <v>2055</v>
      </c>
    </row>
    <row r="1710" spans="1:16" x14ac:dyDescent="0.3">
      <c r="A1710" t="str">
        <f t="shared" si="26"/>
        <v>PD|NewCapacity|RE1|PWRLPG|2055</v>
      </c>
      <c r="B1710" t="s">
        <v>16</v>
      </c>
      <c r="C1710" t="s">
        <v>17</v>
      </c>
      <c r="D1710" t="s">
        <v>37</v>
      </c>
      <c r="E1710" t="s">
        <v>19</v>
      </c>
      <c r="F1710" t="s">
        <v>28</v>
      </c>
      <c r="O1710">
        <v>2055</v>
      </c>
    </row>
    <row r="1711" spans="1:16" x14ac:dyDescent="0.3">
      <c r="A1711" t="str">
        <f t="shared" si="26"/>
        <v>PD|NewCapacity|RE1|PWRNGS_CC|2055</v>
      </c>
      <c r="B1711" t="s">
        <v>16</v>
      </c>
      <c r="C1711" t="s">
        <v>17</v>
      </c>
      <c r="D1711" t="s">
        <v>37</v>
      </c>
      <c r="E1711" t="s">
        <v>19</v>
      </c>
      <c r="F1711" t="s">
        <v>29</v>
      </c>
      <c r="O1711">
        <v>2055</v>
      </c>
    </row>
    <row r="1712" spans="1:16" x14ac:dyDescent="0.3">
      <c r="A1712" t="str">
        <f t="shared" si="26"/>
        <v>PD|NewCapacity|RE1|PWRNGS_CS|2055</v>
      </c>
      <c r="B1712" t="s">
        <v>16</v>
      </c>
      <c r="C1712" t="s">
        <v>17</v>
      </c>
      <c r="D1712" t="s">
        <v>37</v>
      </c>
      <c r="E1712" t="s">
        <v>19</v>
      </c>
      <c r="F1712" t="s">
        <v>30</v>
      </c>
      <c r="O1712">
        <v>2055</v>
      </c>
    </row>
    <row r="1713" spans="1:16" x14ac:dyDescent="0.3">
      <c r="A1713" t="str">
        <f t="shared" si="26"/>
        <v>PD|NewCapacity|RE1|PWRSOLRTP|2055</v>
      </c>
      <c r="B1713" t="s">
        <v>16</v>
      </c>
      <c r="C1713" t="s">
        <v>17</v>
      </c>
      <c r="D1713" t="s">
        <v>37</v>
      </c>
      <c r="E1713" t="s">
        <v>19</v>
      </c>
      <c r="F1713" t="s">
        <v>31</v>
      </c>
      <c r="O1713">
        <v>2055</v>
      </c>
      <c r="P1713">
        <v>1.426759670259987</v>
      </c>
    </row>
    <row r="1714" spans="1:16" x14ac:dyDescent="0.3">
      <c r="A1714" t="str">
        <f t="shared" si="26"/>
        <v>PD|NewCapacity|RE1|PWRSOLRTP_ZNI|2055</v>
      </c>
      <c r="B1714" t="s">
        <v>16</v>
      </c>
      <c r="C1714" t="s">
        <v>17</v>
      </c>
      <c r="D1714" t="s">
        <v>37</v>
      </c>
      <c r="E1714" t="s">
        <v>19</v>
      </c>
      <c r="F1714" t="s">
        <v>32</v>
      </c>
      <c r="O1714">
        <v>2055</v>
      </c>
    </row>
    <row r="1715" spans="1:16" x14ac:dyDescent="0.3">
      <c r="A1715" t="str">
        <f t="shared" si="26"/>
        <v>PD|NewCapacity|RE1|PWRSOLUGE|2055</v>
      </c>
      <c r="B1715" t="s">
        <v>16</v>
      </c>
      <c r="C1715" t="s">
        <v>17</v>
      </c>
      <c r="D1715" t="s">
        <v>37</v>
      </c>
      <c r="E1715" t="s">
        <v>19</v>
      </c>
      <c r="F1715" t="s">
        <v>33</v>
      </c>
      <c r="O1715">
        <v>2055</v>
      </c>
    </row>
    <row r="1716" spans="1:16" x14ac:dyDescent="0.3">
      <c r="A1716" t="str">
        <f t="shared" si="26"/>
        <v>PD|NewCapacity|RE1|PWRSOLUPE|2055</v>
      </c>
      <c r="B1716" t="s">
        <v>16</v>
      </c>
      <c r="C1716" t="s">
        <v>17</v>
      </c>
      <c r="D1716" t="s">
        <v>37</v>
      </c>
      <c r="E1716" t="s">
        <v>19</v>
      </c>
      <c r="F1716" t="s">
        <v>34</v>
      </c>
      <c r="O1716">
        <v>2055</v>
      </c>
    </row>
    <row r="1717" spans="1:16" x14ac:dyDescent="0.3">
      <c r="A1717" t="str">
        <f t="shared" si="26"/>
        <v>PD|NewCapacity|RE1|PWRSTD|2055</v>
      </c>
      <c r="B1717" t="s">
        <v>16</v>
      </c>
      <c r="C1717" t="s">
        <v>17</v>
      </c>
      <c r="D1717" t="s">
        <v>37</v>
      </c>
      <c r="E1717" t="s">
        <v>19</v>
      </c>
      <c r="F1717" t="s">
        <v>35</v>
      </c>
      <c r="O1717">
        <v>2055</v>
      </c>
    </row>
    <row r="1718" spans="1:16" x14ac:dyDescent="0.3">
      <c r="A1718" t="str">
        <f t="shared" si="26"/>
        <v>PD|NewCapacity|RE1|PWRWNDONS|2055</v>
      </c>
      <c r="B1718" t="s">
        <v>16</v>
      </c>
      <c r="C1718" t="s">
        <v>17</v>
      </c>
      <c r="D1718" t="s">
        <v>37</v>
      </c>
      <c r="E1718" t="s">
        <v>19</v>
      </c>
      <c r="F1718" t="s">
        <v>36</v>
      </c>
      <c r="O1718">
        <v>2055</v>
      </c>
      <c r="P1718">
        <v>40.777206982831032</v>
      </c>
    </row>
    <row r="1719" spans="1:16" x14ac:dyDescent="0.3">
      <c r="A1719" t="str">
        <f t="shared" si="26"/>
        <v>PD|TotalCapacityAnnual|RE1|PWRBGS|2055</v>
      </c>
      <c r="B1719" t="s">
        <v>16</v>
      </c>
      <c r="C1719" t="s">
        <v>17</v>
      </c>
      <c r="D1719" t="s">
        <v>38</v>
      </c>
      <c r="E1719" t="s">
        <v>19</v>
      </c>
      <c r="F1719" t="s">
        <v>20</v>
      </c>
      <c r="O1719">
        <v>2055</v>
      </c>
      <c r="P1719">
        <v>2.5488587520000001E-2</v>
      </c>
    </row>
    <row r="1720" spans="1:16" x14ac:dyDescent="0.3">
      <c r="A1720" t="str">
        <f t="shared" si="26"/>
        <v>PD|TotalCapacityAnnual|RE1|PWRCOA|2055</v>
      </c>
      <c r="B1720" t="s">
        <v>16</v>
      </c>
      <c r="C1720" t="s">
        <v>17</v>
      </c>
      <c r="D1720" t="s">
        <v>38</v>
      </c>
      <c r="E1720" t="s">
        <v>19</v>
      </c>
      <c r="F1720" t="s">
        <v>21</v>
      </c>
      <c r="O1720">
        <v>2055</v>
      </c>
    </row>
    <row r="1721" spans="1:16" x14ac:dyDescent="0.3">
      <c r="A1721" t="str">
        <f t="shared" si="26"/>
        <v>PD|TotalCapacityAnnual|RE1|PWRDSL|2055</v>
      </c>
      <c r="B1721" t="s">
        <v>16</v>
      </c>
      <c r="C1721" t="s">
        <v>17</v>
      </c>
      <c r="D1721" t="s">
        <v>38</v>
      </c>
      <c r="E1721" t="s">
        <v>19</v>
      </c>
      <c r="F1721" t="s">
        <v>22</v>
      </c>
      <c r="O1721">
        <v>2055</v>
      </c>
      <c r="P1721">
        <v>24.944976</v>
      </c>
    </row>
    <row r="1722" spans="1:16" x14ac:dyDescent="0.3">
      <c r="A1722" t="str">
        <f t="shared" si="26"/>
        <v>PD|TotalCapacityAnnual|RE1|PWRFOL|2055</v>
      </c>
      <c r="B1722" t="s">
        <v>16</v>
      </c>
      <c r="C1722" t="s">
        <v>17</v>
      </c>
      <c r="D1722" t="s">
        <v>38</v>
      </c>
      <c r="E1722" t="s">
        <v>19</v>
      </c>
      <c r="F1722" t="s">
        <v>23</v>
      </c>
      <c r="O1722">
        <v>2055</v>
      </c>
      <c r="P1722">
        <v>8.3885759999999987</v>
      </c>
    </row>
    <row r="1723" spans="1:16" x14ac:dyDescent="0.3">
      <c r="A1723" t="str">
        <f t="shared" si="26"/>
        <v>PD|TotalCapacityAnnual|RE1|PWRHYDDAM|2055</v>
      </c>
      <c r="B1723" t="s">
        <v>16</v>
      </c>
      <c r="C1723" t="s">
        <v>17</v>
      </c>
      <c r="D1723" t="s">
        <v>38</v>
      </c>
      <c r="E1723" t="s">
        <v>19</v>
      </c>
      <c r="F1723" t="s">
        <v>24</v>
      </c>
      <c r="O1723">
        <v>2055</v>
      </c>
      <c r="P1723">
        <v>440.49164800000011</v>
      </c>
    </row>
    <row r="1724" spans="1:16" x14ac:dyDescent="0.3">
      <c r="A1724" t="str">
        <f t="shared" si="26"/>
        <v>PD|TotalCapacityAnnual|RE1|PWRHYDROR|2055</v>
      </c>
      <c r="B1724" t="s">
        <v>16</v>
      </c>
      <c r="C1724" t="s">
        <v>17</v>
      </c>
      <c r="D1724" t="s">
        <v>38</v>
      </c>
      <c r="E1724" t="s">
        <v>19</v>
      </c>
      <c r="F1724" t="s">
        <v>25</v>
      </c>
      <c r="O1724">
        <v>2055</v>
      </c>
      <c r="P1724">
        <v>21.097584000000001</v>
      </c>
    </row>
    <row r="1725" spans="1:16" x14ac:dyDescent="0.3">
      <c r="A1725" t="str">
        <f t="shared" si="26"/>
        <v>PD|TotalCapacityAnnual|RE1|PWRHYDROR_NDC|2055</v>
      </c>
      <c r="B1725" t="s">
        <v>16</v>
      </c>
      <c r="C1725" t="s">
        <v>17</v>
      </c>
      <c r="D1725" t="s">
        <v>38</v>
      </c>
      <c r="E1725" t="s">
        <v>19</v>
      </c>
      <c r="F1725" t="s">
        <v>26</v>
      </c>
      <c r="O1725">
        <v>2055</v>
      </c>
      <c r="P1725">
        <v>29.725108271999989</v>
      </c>
    </row>
    <row r="1726" spans="1:16" x14ac:dyDescent="0.3">
      <c r="A1726" t="str">
        <f t="shared" si="26"/>
        <v>PD|TotalCapacityAnnual|RE1|PWRJET|2055</v>
      </c>
      <c r="B1726" t="s">
        <v>16</v>
      </c>
      <c r="C1726" t="s">
        <v>17</v>
      </c>
      <c r="D1726" t="s">
        <v>38</v>
      </c>
      <c r="E1726" t="s">
        <v>19</v>
      </c>
      <c r="F1726" t="s">
        <v>27</v>
      </c>
      <c r="O1726">
        <v>2055</v>
      </c>
      <c r="P1726">
        <v>1.5768</v>
      </c>
    </row>
    <row r="1727" spans="1:16" x14ac:dyDescent="0.3">
      <c r="A1727" t="str">
        <f t="shared" si="26"/>
        <v>PD|TotalCapacityAnnual|RE1|PWRLPG|2055</v>
      </c>
      <c r="B1727" t="s">
        <v>16</v>
      </c>
      <c r="C1727" t="s">
        <v>17</v>
      </c>
      <c r="D1727" t="s">
        <v>38</v>
      </c>
      <c r="E1727" t="s">
        <v>19</v>
      </c>
      <c r="F1727" t="s">
        <v>28</v>
      </c>
      <c r="O1727">
        <v>2055</v>
      </c>
      <c r="P1727">
        <v>1.639872</v>
      </c>
    </row>
    <row r="1728" spans="1:16" x14ac:dyDescent="0.3">
      <c r="A1728" t="str">
        <f t="shared" si="26"/>
        <v>PD|TotalCapacityAnnual|RE1|PWRNGS_CC|2055</v>
      </c>
      <c r="B1728" t="s">
        <v>16</v>
      </c>
      <c r="C1728" t="s">
        <v>17</v>
      </c>
      <c r="D1728" t="s">
        <v>38</v>
      </c>
      <c r="E1728" t="s">
        <v>19</v>
      </c>
      <c r="F1728" t="s">
        <v>29</v>
      </c>
      <c r="O1728">
        <v>2055</v>
      </c>
      <c r="P1728">
        <v>70.104500000000002</v>
      </c>
    </row>
    <row r="1729" spans="1:16" x14ac:dyDescent="0.3">
      <c r="A1729" t="str">
        <f t="shared" si="26"/>
        <v>PD|TotalCapacityAnnual|RE1|PWRNGS_CS|2055</v>
      </c>
      <c r="B1729" t="s">
        <v>16</v>
      </c>
      <c r="C1729" t="s">
        <v>17</v>
      </c>
      <c r="D1729" t="s">
        <v>38</v>
      </c>
      <c r="E1729" t="s">
        <v>19</v>
      </c>
      <c r="F1729" t="s">
        <v>30</v>
      </c>
      <c r="O1729">
        <v>2055</v>
      </c>
      <c r="P1729">
        <v>23.084351999999999</v>
      </c>
    </row>
    <row r="1730" spans="1:16" x14ac:dyDescent="0.3">
      <c r="A1730" t="str">
        <f t="shared" ref="A1730:A1793" si="27">B1730&amp;"|"&amp;D1730&amp;"|"&amp;E1730&amp;"|"&amp;F1730&amp;"|"&amp;O1730</f>
        <v>PD|TotalCapacityAnnual|RE1|PWRSOLRTP|2055</v>
      </c>
      <c r="B1730" t="s">
        <v>16</v>
      </c>
      <c r="C1730" t="s">
        <v>17</v>
      </c>
      <c r="D1730" t="s">
        <v>38</v>
      </c>
      <c r="E1730" t="s">
        <v>19</v>
      </c>
      <c r="F1730" t="s">
        <v>31</v>
      </c>
      <c r="O1730">
        <v>2055</v>
      </c>
      <c r="P1730">
        <v>74.476854787571312</v>
      </c>
    </row>
    <row r="1731" spans="1:16" x14ac:dyDescent="0.3">
      <c r="A1731" t="str">
        <f t="shared" si="27"/>
        <v>PD|TotalCapacityAnnual|RE1|PWRSOLRTP_ZNI|2055</v>
      </c>
      <c r="B1731" t="s">
        <v>16</v>
      </c>
      <c r="C1731" t="s">
        <v>17</v>
      </c>
      <c r="D1731" t="s">
        <v>38</v>
      </c>
      <c r="E1731" t="s">
        <v>19</v>
      </c>
      <c r="F1731" t="s">
        <v>32</v>
      </c>
      <c r="O1731">
        <v>2055</v>
      </c>
      <c r="P1731">
        <v>1.3482492298090729</v>
      </c>
    </row>
    <row r="1732" spans="1:16" x14ac:dyDescent="0.3">
      <c r="A1732" t="str">
        <f t="shared" si="27"/>
        <v>PD|TotalCapacityAnnual|RE1|PWRSOLUGE|2055</v>
      </c>
      <c r="B1732" t="s">
        <v>16</v>
      </c>
      <c r="C1732" t="s">
        <v>17</v>
      </c>
      <c r="D1732" t="s">
        <v>38</v>
      </c>
      <c r="E1732" t="s">
        <v>19</v>
      </c>
      <c r="F1732" t="s">
        <v>33</v>
      </c>
      <c r="O1732">
        <v>2055</v>
      </c>
      <c r="P1732">
        <v>185.07472400000009</v>
      </c>
    </row>
    <row r="1733" spans="1:16" x14ac:dyDescent="0.3">
      <c r="A1733" t="str">
        <f t="shared" si="27"/>
        <v>PD|TotalCapacityAnnual|RE1|PWRSOLUPE|2055</v>
      </c>
      <c r="B1733" t="s">
        <v>16</v>
      </c>
      <c r="C1733" t="s">
        <v>17</v>
      </c>
      <c r="D1733" t="s">
        <v>38</v>
      </c>
      <c r="E1733" t="s">
        <v>19</v>
      </c>
      <c r="F1733" t="s">
        <v>34</v>
      </c>
      <c r="O1733">
        <v>2055</v>
      </c>
    </row>
    <row r="1734" spans="1:16" x14ac:dyDescent="0.3">
      <c r="A1734" t="str">
        <f t="shared" si="27"/>
        <v>PD|TotalCapacityAnnual|RE1|PWRSTD|2055</v>
      </c>
      <c r="B1734" t="s">
        <v>16</v>
      </c>
      <c r="C1734" t="s">
        <v>17</v>
      </c>
      <c r="D1734" t="s">
        <v>38</v>
      </c>
      <c r="E1734" t="s">
        <v>19</v>
      </c>
      <c r="F1734" t="s">
        <v>35</v>
      </c>
      <c r="O1734">
        <v>2055</v>
      </c>
      <c r="P1734">
        <v>8.163062064</v>
      </c>
    </row>
    <row r="1735" spans="1:16" x14ac:dyDescent="0.3">
      <c r="A1735" t="str">
        <f t="shared" si="27"/>
        <v>PD|TotalCapacityAnnual|RE1|PWRWNDONS|2055</v>
      </c>
      <c r="B1735" t="s">
        <v>16</v>
      </c>
      <c r="C1735" t="s">
        <v>17</v>
      </c>
      <c r="D1735" t="s">
        <v>38</v>
      </c>
      <c r="E1735" t="s">
        <v>19</v>
      </c>
      <c r="F1735" t="s">
        <v>36</v>
      </c>
      <c r="O1735">
        <v>2055</v>
      </c>
      <c r="P1735">
        <v>622.96298267036104</v>
      </c>
    </row>
    <row r="1736" spans="1:16" x14ac:dyDescent="0.3">
      <c r="A1736" t="str">
        <f t="shared" si="27"/>
        <v>CN|AccumulatedNewCapacity|RE1|PWRBGS|2022</v>
      </c>
      <c r="B1736" t="s">
        <v>39</v>
      </c>
      <c r="C1736" t="s">
        <v>40</v>
      </c>
      <c r="D1736" t="s">
        <v>18</v>
      </c>
      <c r="E1736" t="s">
        <v>19</v>
      </c>
      <c r="F1736" t="s">
        <v>20</v>
      </c>
      <c r="O1736">
        <v>2022</v>
      </c>
    </row>
    <row r="1737" spans="1:16" x14ac:dyDescent="0.3">
      <c r="A1737" t="str">
        <f t="shared" si="27"/>
        <v>CN|AccumulatedNewCapacity|RE1|PWRCOA|2022</v>
      </c>
      <c r="B1737" t="s">
        <v>39</v>
      </c>
      <c r="C1737" t="s">
        <v>40</v>
      </c>
      <c r="D1737" t="s">
        <v>18</v>
      </c>
      <c r="E1737" t="s">
        <v>19</v>
      </c>
      <c r="F1737" t="s">
        <v>21</v>
      </c>
      <c r="O1737">
        <v>2022</v>
      </c>
    </row>
    <row r="1738" spans="1:16" x14ac:dyDescent="0.3">
      <c r="A1738" t="str">
        <f t="shared" si="27"/>
        <v>CN|AccumulatedNewCapacity|RE1|PWRDSL|2022</v>
      </c>
      <c r="B1738" t="s">
        <v>39</v>
      </c>
      <c r="C1738" t="s">
        <v>40</v>
      </c>
      <c r="D1738" t="s">
        <v>18</v>
      </c>
      <c r="E1738" t="s">
        <v>19</v>
      </c>
      <c r="F1738" t="s">
        <v>22</v>
      </c>
      <c r="O1738">
        <v>2022</v>
      </c>
    </row>
    <row r="1739" spans="1:16" x14ac:dyDescent="0.3">
      <c r="A1739" t="str">
        <f t="shared" si="27"/>
        <v>CN|AccumulatedNewCapacity|RE1|PWRFOL|2022</v>
      </c>
      <c r="B1739" t="s">
        <v>39</v>
      </c>
      <c r="C1739" t="s">
        <v>40</v>
      </c>
      <c r="D1739" t="s">
        <v>18</v>
      </c>
      <c r="E1739" t="s">
        <v>19</v>
      </c>
      <c r="F1739" t="s">
        <v>23</v>
      </c>
      <c r="O1739">
        <v>2022</v>
      </c>
    </row>
    <row r="1740" spans="1:16" x14ac:dyDescent="0.3">
      <c r="A1740" t="str">
        <f t="shared" si="27"/>
        <v>CN|AccumulatedNewCapacity|RE1|PWRHYDDAM|2022</v>
      </c>
      <c r="B1740" t="s">
        <v>39</v>
      </c>
      <c r="C1740" t="s">
        <v>40</v>
      </c>
      <c r="D1740" t="s">
        <v>18</v>
      </c>
      <c r="E1740" t="s">
        <v>19</v>
      </c>
      <c r="F1740" t="s">
        <v>24</v>
      </c>
      <c r="O1740">
        <v>2022</v>
      </c>
    </row>
    <row r="1741" spans="1:16" x14ac:dyDescent="0.3">
      <c r="A1741" t="str">
        <f t="shared" si="27"/>
        <v>CN|AccumulatedNewCapacity|RE1|PWRHYDROR|2022</v>
      </c>
      <c r="B1741" t="s">
        <v>39</v>
      </c>
      <c r="C1741" t="s">
        <v>40</v>
      </c>
      <c r="D1741" t="s">
        <v>18</v>
      </c>
      <c r="E1741" t="s">
        <v>19</v>
      </c>
      <c r="F1741" t="s">
        <v>25</v>
      </c>
      <c r="O1741">
        <v>2022</v>
      </c>
    </row>
    <row r="1742" spans="1:16" x14ac:dyDescent="0.3">
      <c r="A1742" t="str">
        <f t="shared" si="27"/>
        <v>CN|AccumulatedNewCapacity|RE1|PWRHYDROR_NDC|2022</v>
      </c>
      <c r="B1742" t="s">
        <v>39</v>
      </c>
      <c r="C1742" t="s">
        <v>40</v>
      </c>
      <c r="D1742" t="s">
        <v>18</v>
      </c>
      <c r="E1742" t="s">
        <v>19</v>
      </c>
      <c r="F1742" t="s">
        <v>26</v>
      </c>
      <c r="O1742">
        <v>2022</v>
      </c>
    </row>
    <row r="1743" spans="1:16" x14ac:dyDescent="0.3">
      <c r="A1743" t="str">
        <f t="shared" si="27"/>
        <v>CN|AccumulatedNewCapacity|RE1|PWRJET|2022</v>
      </c>
      <c r="B1743" t="s">
        <v>39</v>
      </c>
      <c r="C1743" t="s">
        <v>40</v>
      </c>
      <c r="D1743" t="s">
        <v>18</v>
      </c>
      <c r="E1743" t="s">
        <v>19</v>
      </c>
      <c r="F1743" t="s">
        <v>27</v>
      </c>
      <c r="O1743">
        <v>2022</v>
      </c>
    </row>
    <row r="1744" spans="1:16" x14ac:dyDescent="0.3">
      <c r="A1744" t="str">
        <f t="shared" si="27"/>
        <v>CN|AccumulatedNewCapacity|RE1|PWRLPG|2022</v>
      </c>
      <c r="B1744" t="s">
        <v>39</v>
      </c>
      <c r="C1744" t="s">
        <v>40</v>
      </c>
      <c r="D1744" t="s">
        <v>18</v>
      </c>
      <c r="E1744" t="s">
        <v>19</v>
      </c>
      <c r="F1744" t="s">
        <v>28</v>
      </c>
      <c r="O1744">
        <v>2022</v>
      </c>
    </row>
    <row r="1745" spans="1:15" x14ac:dyDescent="0.3">
      <c r="A1745" t="str">
        <f t="shared" si="27"/>
        <v>CN|AccumulatedNewCapacity|RE1|PWRNGS_CC|2022</v>
      </c>
      <c r="B1745" t="s">
        <v>39</v>
      </c>
      <c r="C1745" t="s">
        <v>40</v>
      </c>
      <c r="D1745" t="s">
        <v>18</v>
      </c>
      <c r="E1745" t="s">
        <v>19</v>
      </c>
      <c r="F1745" t="s">
        <v>29</v>
      </c>
      <c r="O1745">
        <v>2022</v>
      </c>
    </row>
    <row r="1746" spans="1:15" x14ac:dyDescent="0.3">
      <c r="A1746" t="str">
        <f t="shared" si="27"/>
        <v>CN|AccumulatedNewCapacity|RE1|PWRNGS_CS|2022</v>
      </c>
      <c r="B1746" t="s">
        <v>39</v>
      </c>
      <c r="C1746" t="s">
        <v>40</v>
      </c>
      <c r="D1746" t="s">
        <v>18</v>
      </c>
      <c r="E1746" t="s">
        <v>19</v>
      </c>
      <c r="F1746" t="s">
        <v>30</v>
      </c>
      <c r="O1746">
        <v>2022</v>
      </c>
    </row>
    <row r="1747" spans="1:15" x14ac:dyDescent="0.3">
      <c r="A1747" t="str">
        <f t="shared" si="27"/>
        <v>CN|AccumulatedNewCapacity|RE1|PWRSOLRTP|2022</v>
      </c>
      <c r="B1747" t="s">
        <v>39</v>
      </c>
      <c r="C1747" t="s">
        <v>40</v>
      </c>
      <c r="D1747" t="s">
        <v>18</v>
      </c>
      <c r="E1747" t="s">
        <v>19</v>
      </c>
      <c r="F1747" t="s">
        <v>31</v>
      </c>
      <c r="O1747">
        <v>2022</v>
      </c>
    </row>
    <row r="1748" spans="1:15" x14ac:dyDescent="0.3">
      <c r="A1748" t="str">
        <f t="shared" si="27"/>
        <v>CN|AccumulatedNewCapacity|RE1|PWRSOLRTP_ZNI|2022</v>
      </c>
      <c r="B1748" t="s">
        <v>39</v>
      </c>
      <c r="C1748" t="s">
        <v>40</v>
      </c>
      <c r="D1748" t="s">
        <v>18</v>
      </c>
      <c r="E1748" t="s">
        <v>19</v>
      </c>
      <c r="F1748" t="s">
        <v>32</v>
      </c>
      <c r="O1748">
        <v>2022</v>
      </c>
    </row>
    <row r="1749" spans="1:15" x14ac:dyDescent="0.3">
      <c r="A1749" t="str">
        <f t="shared" si="27"/>
        <v>CN|AccumulatedNewCapacity|RE1|PWRSOLUGE|2022</v>
      </c>
      <c r="B1749" t="s">
        <v>39</v>
      </c>
      <c r="C1749" t="s">
        <v>40</v>
      </c>
      <c r="D1749" t="s">
        <v>18</v>
      </c>
      <c r="E1749" t="s">
        <v>19</v>
      </c>
      <c r="F1749" t="s">
        <v>33</v>
      </c>
      <c r="O1749">
        <v>2022</v>
      </c>
    </row>
    <row r="1750" spans="1:15" x14ac:dyDescent="0.3">
      <c r="A1750" t="str">
        <f t="shared" si="27"/>
        <v>CN|AccumulatedNewCapacity|RE1|PWRSOLUGE_BAT|2022</v>
      </c>
      <c r="B1750" t="s">
        <v>39</v>
      </c>
      <c r="C1750" t="s">
        <v>40</v>
      </c>
      <c r="D1750" t="s">
        <v>18</v>
      </c>
      <c r="E1750" t="s">
        <v>19</v>
      </c>
      <c r="F1750" t="s">
        <v>41</v>
      </c>
      <c r="O1750">
        <v>2022</v>
      </c>
    </row>
    <row r="1751" spans="1:15" x14ac:dyDescent="0.3">
      <c r="A1751" t="str">
        <f t="shared" si="27"/>
        <v>CN|AccumulatedNewCapacity|RE1|PWRSOLUPE|2022</v>
      </c>
      <c r="B1751" t="s">
        <v>39</v>
      </c>
      <c r="C1751" t="s">
        <v>40</v>
      </c>
      <c r="D1751" t="s">
        <v>18</v>
      </c>
      <c r="E1751" t="s">
        <v>19</v>
      </c>
      <c r="F1751" t="s">
        <v>34</v>
      </c>
      <c r="O1751">
        <v>2022</v>
      </c>
    </row>
    <row r="1752" spans="1:15" x14ac:dyDescent="0.3">
      <c r="A1752" t="str">
        <f t="shared" si="27"/>
        <v>CN|AccumulatedNewCapacity|RE1|PWRSTD|2022</v>
      </c>
      <c r="B1752" t="s">
        <v>39</v>
      </c>
      <c r="C1752" t="s">
        <v>40</v>
      </c>
      <c r="D1752" t="s">
        <v>18</v>
      </c>
      <c r="E1752" t="s">
        <v>19</v>
      </c>
      <c r="F1752" t="s">
        <v>35</v>
      </c>
      <c r="O1752">
        <v>2022</v>
      </c>
    </row>
    <row r="1753" spans="1:15" x14ac:dyDescent="0.3">
      <c r="A1753" t="str">
        <f t="shared" si="27"/>
        <v>CN|AccumulatedNewCapacity|RE1|PWRWNDOFS_FIX|2022</v>
      </c>
      <c r="B1753" t="s">
        <v>39</v>
      </c>
      <c r="C1753" t="s">
        <v>40</v>
      </c>
      <c r="D1753" t="s">
        <v>18</v>
      </c>
      <c r="E1753" t="s">
        <v>19</v>
      </c>
      <c r="F1753" t="s">
        <v>42</v>
      </c>
      <c r="O1753">
        <v>2022</v>
      </c>
    </row>
    <row r="1754" spans="1:15" x14ac:dyDescent="0.3">
      <c r="A1754" t="str">
        <f t="shared" si="27"/>
        <v>CN|AccumulatedNewCapacity|RE1|PWRWNDOFS_FLO|2022</v>
      </c>
      <c r="B1754" t="s">
        <v>39</v>
      </c>
      <c r="C1754" t="s">
        <v>40</v>
      </c>
      <c r="D1754" t="s">
        <v>18</v>
      </c>
      <c r="E1754" t="s">
        <v>19</v>
      </c>
      <c r="F1754" t="s">
        <v>43</v>
      </c>
      <c r="O1754">
        <v>2022</v>
      </c>
    </row>
    <row r="1755" spans="1:15" x14ac:dyDescent="0.3">
      <c r="A1755" t="str">
        <f t="shared" si="27"/>
        <v>CN|AccumulatedNewCapacity|RE1|PWRWNDONS|2022</v>
      </c>
      <c r="B1755" t="s">
        <v>39</v>
      </c>
      <c r="C1755" t="s">
        <v>40</v>
      </c>
      <c r="D1755" t="s">
        <v>18</v>
      </c>
      <c r="E1755" t="s">
        <v>19</v>
      </c>
      <c r="F1755" t="s">
        <v>36</v>
      </c>
      <c r="O1755">
        <v>2022</v>
      </c>
    </row>
    <row r="1756" spans="1:15" x14ac:dyDescent="0.3">
      <c r="A1756" t="str">
        <f t="shared" si="27"/>
        <v>CN|NewCapacity|RE1|PWRBGS|2022</v>
      </c>
      <c r="B1756" t="s">
        <v>39</v>
      </c>
      <c r="C1756" t="s">
        <v>40</v>
      </c>
      <c r="D1756" t="s">
        <v>37</v>
      </c>
      <c r="E1756" t="s">
        <v>19</v>
      </c>
      <c r="F1756" t="s">
        <v>20</v>
      </c>
      <c r="O1756">
        <v>2022</v>
      </c>
    </row>
    <row r="1757" spans="1:15" x14ac:dyDescent="0.3">
      <c r="A1757" t="str">
        <f t="shared" si="27"/>
        <v>CN|NewCapacity|RE1|PWRCOA|2022</v>
      </c>
      <c r="B1757" t="s">
        <v>39</v>
      </c>
      <c r="C1757" t="s">
        <v>40</v>
      </c>
      <c r="D1757" t="s">
        <v>37</v>
      </c>
      <c r="E1757" t="s">
        <v>19</v>
      </c>
      <c r="F1757" t="s">
        <v>21</v>
      </c>
      <c r="O1757">
        <v>2022</v>
      </c>
    </row>
    <row r="1758" spans="1:15" x14ac:dyDescent="0.3">
      <c r="A1758" t="str">
        <f t="shared" si="27"/>
        <v>CN|NewCapacity|RE1|PWRDSL|2022</v>
      </c>
      <c r="B1758" t="s">
        <v>39</v>
      </c>
      <c r="C1758" t="s">
        <v>40</v>
      </c>
      <c r="D1758" t="s">
        <v>37</v>
      </c>
      <c r="E1758" t="s">
        <v>19</v>
      </c>
      <c r="F1758" t="s">
        <v>22</v>
      </c>
      <c r="O1758">
        <v>2022</v>
      </c>
    </row>
    <row r="1759" spans="1:15" x14ac:dyDescent="0.3">
      <c r="A1759" t="str">
        <f t="shared" si="27"/>
        <v>CN|NewCapacity|RE1|PWRFOL|2022</v>
      </c>
      <c r="B1759" t="s">
        <v>39</v>
      </c>
      <c r="C1759" t="s">
        <v>40</v>
      </c>
      <c r="D1759" t="s">
        <v>37</v>
      </c>
      <c r="E1759" t="s">
        <v>19</v>
      </c>
      <c r="F1759" t="s">
        <v>23</v>
      </c>
      <c r="O1759">
        <v>2022</v>
      </c>
    </row>
    <row r="1760" spans="1:15" x14ac:dyDescent="0.3">
      <c r="A1760" t="str">
        <f t="shared" si="27"/>
        <v>CN|NewCapacity|RE1|PWRHYDDAM|2022</v>
      </c>
      <c r="B1760" t="s">
        <v>39</v>
      </c>
      <c r="C1760" t="s">
        <v>40</v>
      </c>
      <c r="D1760" t="s">
        <v>37</v>
      </c>
      <c r="E1760" t="s">
        <v>19</v>
      </c>
      <c r="F1760" t="s">
        <v>24</v>
      </c>
      <c r="O1760">
        <v>2022</v>
      </c>
    </row>
    <row r="1761" spans="1:16" x14ac:dyDescent="0.3">
      <c r="A1761" t="str">
        <f t="shared" si="27"/>
        <v>CN|NewCapacity|RE1|PWRHYDROR|2022</v>
      </c>
      <c r="B1761" t="s">
        <v>39</v>
      </c>
      <c r="C1761" t="s">
        <v>40</v>
      </c>
      <c r="D1761" t="s">
        <v>37</v>
      </c>
      <c r="E1761" t="s">
        <v>19</v>
      </c>
      <c r="F1761" t="s">
        <v>25</v>
      </c>
      <c r="O1761">
        <v>2022</v>
      </c>
    </row>
    <row r="1762" spans="1:16" x14ac:dyDescent="0.3">
      <c r="A1762" t="str">
        <f t="shared" si="27"/>
        <v>CN|NewCapacity|RE1|PWRHYDROR_NDC|2022</v>
      </c>
      <c r="B1762" t="s">
        <v>39</v>
      </c>
      <c r="C1762" t="s">
        <v>40</v>
      </c>
      <c r="D1762" t="s">
        <v>37</v>
      </c>
      <c r="E1762" t="s">
        <v>19</v>
      </c>
      <c r="F1762" t="s">
        <v>26</v>
      </c>
      <c r="O1762">
        <v>2022</v>
      </c>
    </row>
    <row r="1763" spans="1:16" x14ac:dyDescent="0.3">
      <c r="A1763" t="str">
        <f t="shared" si="27"/>
        <v>CN|NewCapacity|RE1|PWRJET|2022</v>
      </c>
      <c r="B1763" t="s">
        <v>39</v>
      </c>
      <c r="C1763" t="s">
        <v>40</v>
      </c>
      <c r="D1763" t="s">
        <v>37</v>
      </c>
      <c r="E1763" t="s">
        <v>19</v>
      </c>
      <c r="F1763" t="s">
        <v>27</v>
      </c>
      <c r="O1763">
        <v>2022</v>
      </c>
    </row>
    <row r="1764" spans="1:16" x14ac:dyDescent="0.3">
      <c r="A1764" t="str">
        <f t="shared" si="27"/>
        <v>CN|NewCapacity|RE1|PWRLPG|2022</v>
      </c>
      <c r="B1764" t="s">
        <v>39</v>
      </c>
      <c r="C1764" t="s">
        <v>40</v>
      </c>
      <c r="D1764" t="s">
        <v>37</v>
      </c>
      <c r="E1764" t="s">
        <v>19</v>
      </c>
      <c r="F1764" t="s">
        <v>28</v>
      </c>
      <c r="O1764">
        <v>2022</v>
      </c>
    </row>
    <row r="1765" spans="1:16" x14ac:dyDescent="0.3">
      <c r="A1765" t="str">
        <f t="shared" si="27"/>
        <v>CN|NewCapacity|RE1|PWRNGS_CC|2022</v>
      </c>
      <c r="B1765" t="s">
        <v>39</v>
      </c>
      <c r="C1765" t="s">
        <v>40</v>
      </c>
      <c r="D1765" t="s">
        <v>37</v>
      </c>
      <c r="E1765" t="s">
        <v>19</v>
      </c>
      <c r="F1765" t="s">
        <v>29</v>
      </c>
      <c r="O1765">
        <v>2022</v>
      </c>
    </row>
    <row r="1766" spans="1:16" x14ac:dyDescent="0.3">
      <c r="A1766" t="str">
        <f t="shared" si="27"/>
        <v>CN|NewCapacity|RE1|PWRNGS_CS|2022</v>
      </c>
      <c r="B1766" t="s">
        <v>39</v>
      </c>
      <c r="C1766" t="s">
        <v>40</v>
      </c>
      <c r="D1766" t="s">
        <v>37</v>
      </c>
      <c r="E1766" t="s">
        <v>19</v>
      </c>
      <c r="F1766" t="s">
        <v>30</v>
      </c>
      <c r="O1766">
        <v>2022</v>
      </c>
    </row>
    <row r="1767" spans="1:16" x14ac:dyDescent="0.3">
      <c r="A1767" t="str">
        <f t="shared" si="27"/>
        <v>CN|NewCapacity|RE1|PWRSOLRTP|2022</v>
      </c>
      <c r="B1767" t="s">
        <v>39</v>
      </c>
      <c r="C1767" t="s">
        <v>40</v>
      </c>
      <c r="D1767" t="s">
        <v>37</v>
      </c>
      <c r="E1767" t="s">
        <v>19</v>
      </c>
      <c r="F1767" t="s">
        <v>31</v>
      </c>
      <c r="O1767">
        <v>2022</v>
      </c>
    </row>
    <row r="1768" spans="1:16" x14ac:dyDescent="0.3">
      <c r="A1768" t="str">
        <f t="shared" si="27"/>
        <v>CN|NewCapacity|RE1|PWRSOLRTP_ZNI|2022</v>
      </c>
      <c r="B1768" t="s">
        <v>39</v>
      </c>
      <c r="C1768" t="s">
        <v>40</v>
      </c>
      <c r="D1768" t="s">
        <v>37</v>
      </c>
      <c r="E1768" t="s">
        <v>19</v>
      </c>
      <c r="F1768" t="s">
        <v>32</v>
      </c>
      <c r="O1768">
        <v>2022</v>
      </c>
    </row>
    <row r="1769" spans="1:16" x14ac:dyDescent="0.3">
      <c r="A1769" t="str">
        <f t="shared" si="27"/>
        <v>CN|NewCapacity|RE1|PWRSOLUGE|2022</v>
      </c>
      <c r="B1769" t="s">
        <v>39</v>
      </c>
      <c r="C1769" t="s">
        <v>40</v>
      </c>
      <c r="D1769" t="s">
        <v>37</v>
      </c>
      <c r="E1769" t="s">
        <v>19</v>
      </c>
      <c r="F1769" t="s">
        <v>33</v>
      </c>
      <c r="O1769">
        <v>2022</v>
      </c>
    </row>
    <row r="1770" spans="1:16" x14ac:dyDescent="0.3">
      <c r="A1770" t="str">
        <f t="shared" si="27"/>
        <v>CN|NewCapacity|RE1|PWRSOLUGE_BAT|2022</v>
      </c>
      <c r="B1770" t="s">
        <v>39</v>
      </c>
      <c r="C1770" t="s">
        <v>40</v>
      </c>
      <c r="D1770" t="s">
        <v>37</v>
      </c>
      <c r="E1770" t="s">
        <v>19</v>
      </c>
      <c r="F1770" t="s">
        <v>41</v>
      </c>
      <c r="O1770">
        <v>2022</v>
      </c>
    </row>
    <row r="1771" spans="1:16" x14ac:dyDescent="0.3">
      <c r="A1771" t="str">
        <f t="shared" si="27"/>
        <v>CN|NewCapacity|RE1|PWRSOLUPE|2022</v>
      </c>
      <c r="B1771" t="s">
        <v>39</v>
      </c>
      <c r="C1771" t="s">
        <v>40</v>
      </c>
      <c r="D1771" t="s">
        <v>37</v>
      </c>
      <c r="E1771" t="s">
        <v>19</v>
      </c>
      <c r="F1771" t="s">
        <v>34</v>
      </c>
      <c r="O1771">
        <v>2022</v>
      </c>
    </row>
    <row r="1772" spans="1:16" x14ac:dyDescent="0.3">
      <c r="A1772" t="str">
        <f t="shared" si="27"/>
        <v>CN|NewCapacity|RE1|PWRSTD|2022</v>
      </c>
      <c r="B1772" t="s">
        <v>39</v>
      </c>
      <c r="C1772" t="s">
        <v>40</v>
      </c>
      <c r="D1772" t="s">
        <v>37</v>
      </c>
      <c r="E1772" t="s">
        <v>19</v>
      </c>
      <c r="F1772" t="s">
        <v>35</v>
      </c>
      <c r="O1772">
        <v>2022</v>
      </c>
    </row>
    <row r="1773" spans="1:16" x14ac:dyDescent="0.3">
      <c r="A1773" t="str">
        <f t="shared" si="27"/>
        <v>CN|NewCapacity|RE1|PWRWNDOFS_FIX|2022</v>
      </c>
      <c r="B1773" t="s">
        <v>39</v>
      </c>
      <c r="C1773" t="s">
        <v>40</v>
      </c>
      <c r="D1773" t="s">
        <v>37</v>
      </c>
      <c r="E1773" t="s">
        <v>19</v>
      </c>
      <c r="F1773" t="s">
        <v>42</v>
      </c>
      <c r="O1773">
        <v>2022</v>
      </c>
    </row>
    <row r="1774" spans="1:16" x14ac:dyDescent="0.3">
      <c r="A1774" t="str">
        <f t="shared" si="27"/>
        <v>CN|NewCapacity|RE1|PWRWNDOFS_FLO|2022</v>
      </c>
      <c r="B1774" t="s">
        <v>39</v>
      </c>
      <c r="C1774" t="s">
        <v>40</v>
      </c>
      <c r="D1774" t="s">
        <v>37</v>
      </c>
      <c r="E1774" t="s">
        <v>19</v>
      </c>
      <c r="F1774" t="s">
        <v>43</v>
      </c>
      <c r="O1774">
        <v>2022</v>
      </c>
    </row>
    <row r="1775" spans="1:16" x14ac:dyDescent="0.3">
      <c r="A1775" t="str">
        <f t="shared" si="27"/>
        <v>CN|NewCapacity|RE1|PWRWNDONS|2022</v>
      </c>
      <c r="B1775" t="s">
        <v>39</v>
      </c>
      <c r="C1775" t="s">
        <v>40</v>
      </c>
      <c r="D1775" t="s">
        <v>37</v>
      </c>
      <c r="E1775" t="s">
        <v>19</v>
      </c>
      <c r="F1775" t="s">
        <v>36</v>
      </c>
      <c r="O1775">
        <v>2022</v>
      </c>
    </row>
    <row r="1776" spans="1:16" x14ac:dyDescent="0.3">
      <c r="A1776" t="str">
        <f t="shared" si="27"/>
        <v>CN|TotalCapacityAnnual|RE1|PWRBGS|2022</v>
      </c>
      <c r="B1776" t="s">
        <v>39</v>
      </c>
      <c r="C1776" t="s">
        <v>40</v>
      </c>
      <c r="D1776" t="s">
        <v>38</v>
      </c>
      <c r="E1776" t="s">
        <v>19</v>
      </c>
      <c r="F1776" t="s">
        <v>20</v>
      </c>
      <c r="O1776">
        <v>2022</v>
      </c>
      <c r="P1776">
        <v>2.5488587520000001E-2</v>
      </c>
    </row>
    <row r="1777" spans="1:16" x14ac:dyDescent="0.3">
      <c r="A1777" t="str">
        <f t="shared" si="27"/>
        <v>CN|TotalCapacityAnnual|RE1|PWRCOA|2022</v>
      </c>
      <c r="B1777" t="s">
        <v>39</v>
      </c>
      <c r="C1777" t="s">
        <v>40</v>
      </c>
      <c r="D1777" t="s">
        <v>38</v>
      </c>
      <c r="E1777" t="s">
        <v>19</v>
      </c>
      <c r="F1777" t="s">
        <v>21</v>
      </c>
      <c r="O1777">
        <v>2022</v>
      </c>
      <c r="P1777">
        <v>51.466751999999993</v>
      </c>
    </row>
    <row r="1778" spans="1:16" x14ac:dyDescent="0.3">
      <c r="A1778" t="str">
        <f t="shared" si="27"/>
        <v>CN|TotalCapacityAnnual|RE1|PWRDSL|2022</v>
      </c>
      <c r="B1778" t="s">
        <v>39</v>
      </c>
      <c r="C1778" t="s">
        <v>40</v>
      </c>
      <c r="D1778" t="s">
        <v>38</v>
      </c>
      <c r="E1778" t="s">
        <v>19</v>
      </c>
      <c r="F1778" t="s">
        <v>22</v>
      </c>
      <c r="O1778">
        <v>2022</v>
      </c>
      <c r="P1778">
        <v>25.954128000000001</v>
      </c>
    </row>
    <row r="1779" spans="1:16" x14ac:dyDescent="0.3">
      <c r="A1779" t="str">
        <f t="shared" si="27"/>
        <v>CN|TotalCapacityAnnual|RE1|PWRFOL|2022</v>
      </c>
      <c r="B1779" t="s">
        <v>39</v>
      </c>
      <c r="C1779" t="s">
        <v>40</v>
      </c>
      <c r="D1779" t="s">
        <v>38</v>
      </c>
      <c r="E1779" t="s">
        <v>19</v>
      </c>
      <c r="F1779" t="s">
        <v>23</v>
      </c>
      <c r="O1779">
        <v>2022</v>
      </c>
      <c r="P1779">
        <v>8.4516479999999987</v>
      </c>
    </row>
    <row r="1780" spans="1:16" x14ac:dyDescent="0.3">
      <c r="A1780" t="str">
        <f t="shared" si="27"/>
        <v>CN|TotalCapacityAnnual|RE1|PWRHYDDAM|2022</v>
      </c>
      <c r="B1780" t="s">
        <v>39</v>
      </c>
      <c r="C1780" t="s">
        <v>40</v>
      </c>
      <c r="D1780" t="s">
        <v>38</v>
      </c>
      <c r="E1780" t="s">
        <v>19</v>
      </c>
      <c r="F1780" t="s">
        <v>24</v>
      </c>
      <c r="O1780">
        <v>2022</v>
      </c>
      <c r="P1780">
        <v>345.25612799999999</v>
      </c>
    </row>
    <row r="1781" spans="1:16" x14ac:dyDescent="0.3">
      <c r="A1781" t="str">
        <f t="shared" si="27"/>
        <v>CN|TotalCapacityAnnual|RE1|PWRHYDROR|2022</v>
      </c>
      <c r="B1781" t="s">
        <v>39</v>
      </c>
      <c r="C1781" t="s">
        <v>40</v>
      </c>
      <c r="D1781" t="s">
        <v>38</v>
      </c>
      <c r="E1781" t="s">
        <v>19</v>
      </c>
      <c r="F1781" t="s">
        <v>25</v>
      </c>
      <c r="O1781">
        <v>2022</v>
      </c>
      <c r="P1781">
        <v>21.160655999999999</v>
      </c>
    </row>
    <row r="1782" spans="1:16" x14ac:dyDescent="0.3">
      <c r="A1782" t="str">
        <f t="shared" si="27"/>
        <v>CN|TotalCapacityAnnual|RE1|PWRHYDROR_NDC|2022</v>
      </c>
      <c r="B1782" t="s">
        <v>39</v>
      </c>
      <c r="C1782" t="s">
        <v>40</v>
      </c>
      <c r="D1782" t="s">
        <v>38</v>
      </c>
      <c r="E1782" t="s">
        <v>19</v>
      </c>
      <c r="F1782" t="s">
        <v>26</v>
      </c>
      <c r="O1782">
        <v>2022</v>
      </c>
      <c r="P1782">
        <v>28.102581071999989</v>
      </c>
    </row>
    <row r="1783" spans="1:16" x14ac:dyDescent="0.3">
      <c r="A1783" t="str">
        <f t="shared" si="27"/>
        <v>CN|TotalCapacityAnnual|RE1|PWRJET|2022</v>
      </c>
      <c r="B1783" t="s">
        <v>39</v>
      </c>
      <c r="C1783" t="s">
        <v>40</v>
      </c>
      <c r="D1783" t="s">
        <v>38</v>
      </c>
      <c r="E1783" t="s">
        <v>19</v>
      </c>
      <c r="F1783" t="s">
        <v>27</v>
      </c>
      <c r="O1783">
        <v>2022</v>
      </c>
      <c r="P1783">
        <v>1.608336</v>
      </c>
    </row>
    <row r="1784" spans="1:16" x14ac:dyDescent="0.3">
      <c r="A1784" t="str">
        <f t="shared" si="27"/>
        <v>CN|TotalCapacityAnnual|RE1|PWRLPG|2022</v>
      </c>
      <c r="B1784" t="s">
        <v>39</v>
      </c>
      <c r="C1784" t="s">
        <v>40</v>
      </c>
      <c r="D1784" t="s">
        <v>38</v>
      </c>
      <c r="E1784" t="s">
        <v>19</v>
      </c>
      <c r="F1784" t="s">
        <v>28</v>
      </c>
      <c r="O1784">
        <v>2022</v>
      </c>
    </row>
    <row r="1785" spans="1:16" x14ac:dyDescent="0.3">
      <c r="A1785" t="str">
        <f t="shared" si="27"/>
        <v>CN|TotalCapacityAnnual|RE1|PWRNGS_CC|2022</v>
      </c>
      <c r="B1785" t="s">
        <v>39</v>
      </c>
      <c r="C1785" t="s">
        <v>40</v>
      </c>
      <c r="D1785" t="s">
        <v>38</v>
      </c>
      <c r="E1785" t="s">
        <v>19</v>
      </c>
      <c r="F1785" t="s">
        <v>29</v>
      </c>
      <c r="O1785">
        <v>2022</v>
      </c>
      <c r="P1785">
        <v>62.504399999999997</v>
      </c>
    </row>
    <row r="1786" spans="1:16" x14ac:dyDescent="0.3">
      <c r="A1786" t="str">
        <f t="shared" si="27"/>
        <v>CN|TotalCapacityAnnual|RE1|PWRNGS_CS|2022</v>
      </c>
      <c r="B1786" t="s">
        <v>39</v>
      </c>
      <c r="C1786" t="s">
        <v>40</v>
      </c>
      <c r="D1786" t="s">
        <v>38</v>
      </c>
      <c r="E1786" t="s">
        <v>19</v>
      </c>
      <c r="F1786" t="s">
        <v>30</v>
      </c>
      <c r="O1786">
        <v>2022</v>
      </c>
      <c r="P1786">
        <v>23.967359999999999</v>
      </c>
    </row>
    <row r="1787" spans="1:16" x14ac:dyDescent="0.3">
      <c r="A1787" t="str">
        <f t="shared" si="27"/>
        <v>CN|TotalCapacityAnnual|RE1|PWRSOLRTP|2022</v>
      </c>
      <c r="B1787" t="s">
        <v>39</v>
      </c>
      <c r="C1787" t="s">
        <v>40</v>
      </c>
      <c r="D1787" t="s">
        <v>38</v>
      </c>
      <c r="E1787" t="s">
        <v>19</v>
      </c>
      <c r="F1787" t="s">
        <v>31</v>
      </c>
      <c r="O1787">
        <v>2022</v>
      </c>
      <c r="P1787">
        <v>3.9230227960000001</v>
      </c>
    </row>
    <row r="1788" spans="1:16" x14ac:dyDescent="0.3">
      <c r="A1788" t="str">
        <f t="shared" si="27"/>
        <v>CN|TotalCapacityAnnual|RE1|PWRSOLRTP_ZNI|2022</v>
      </c>
      <c r="B1788" t="s">
        <v>39</v>
      </c>
      <c r="C1788" t="s">
        <v>40</v>
      </c>
      <c r="D1788" t="s">
        <v>38</v>
      </c>
      <c r="E1788" t="s">
        <v>19</v>
      </c>
      <c r="F1788" t="s">
        <v>32</v>
      </c>
      <c r="O1788">
        <v>2022</v>
      </c>
      <c r="P1788">
        <v>0.46074095999999998</v>
      </c>
    </row>
    <row r="1789" spans="1:16" x14ac:dyDescent="0.3">
      <c r="A1789" t="str">
        <f t="shared" si="27"/>
        <v>CN|TotalCapacityAnnual|RE1|PWRSOLUGE|2022</v>
      </c>
      <c r="B1789" t="s">
        <v>39</v>
      </c>
      <c r="C1789" t="s">
        <v>40</v>
      </c>
      <c r="D1789" t="s">
        <v>38</v>
      </c>
      <c r="E1789" t="s">
        <v>19</v>
      </c>
      <c r="F1789" t="s">
        <v>33</v>
      </c>
      <c r="O1789">
        <v>2022</v>
      </c>
      <c r="P1789">
        <v>6.8748479999999992</v>
      </c>
    </row>
    <row r="1790" spans="1:16" x14ac:dyDescent="0.3">
      <c r="A1790" t="str">
        <f t="shared" si="27"/>
        <v>CN|TotalCapacityAnnual|RE1|PWRSOLUGE_BAT|2022</v>
      </c>
      <c r="B1790" t="s">
        <v>39</v>
      </c>
      <c r="C1790" t="s">
        <v>40</v>
      </c>
      <c r="D1790" t="s">
        <v>38</v>
      </c>
      <c r="E1790" t="s">
        <v>19</v>
      </c>
      <c r="F1790" t="s">
        <v>41</v>
      </c>
      <c r="O1790">
        <v>2022</v>
      </c>
    </row>
    <row r="1791" spans="1:16" x14ac:dyDescent="0.3">
      <c r="A1791" t="str">
        <f t="shared" si="27"/>
        <v>CN|TotalCapacityAnnual|RE1|PWRSOLUPE|2022</v>
      </c>
      <c r="B1791" t="s">
        <v>39</v>
      </c>
      <c r="C1791" t="s">
        <v>40</v>
      </c>
      <c r="D1791" t="s">
        <v>38</v>
      </c>
      <c r="E1791" t="s">
        <v>19</v>
      </c>
      <c r="F1791" t="s">
        <v>34</v>
      </c>
      <c r="O1791">
        <v>2022</v>
      </c>
      <c r="P1791">
        <v>7.9224739200000007</v>
      </c>
    </row>
    <row r="1792" spans="1:16" x14ac:dyDescent="0.3">
      <c r="A1792" t="str">
        <f t="shared" si="27"/>
        <v>CN|TotalCapacityAnnual|RE1|PWRSTD|2022</v>
      </c>
      <c r="B1792" t="s">
        <v>39</v>
      </c>
      <c r="C1792" t="s">
        <v>40</v>
      </c>
      <c r="D1792" t="s">
        <v>38</v>
      </c>
      <c r="E1792" t="s">
        <v>19</v>
      </c>
      <c r="F1792" t="s">
        <v>35</v>
      </c>
      <c r="O1792">
        <v>2022</v>
      </c>
      <c r="P1792">
        <v>8.163062064</v>
      </c>
    </row>
    <row r="1793" spans="1:16" x14ac:dyDescent="0.3">
      <c r="A1793" t="str">
        <f t="shared" si="27"/>
        <v>CN|TotalCapacityAnnual|RE1|PWRWNDOFS_FIX|2022</v>
      </c>
      <c r="B1793" t="s">
        <v>39</v>
      </c>
      <c r="C1793" t="s">
        <v>40</v>
      </c>
      <c r="D1793" t="s">
        <v>38</v>
      </c>
      <c r="E1793" t="s">
        <v>19</v>
      </c>
      <c r="F1793" t="s">
        <v>42</v>
      </c>
      <c r="O1793">
        <v>2022</v>
      </c>
    </row>
    <row r="1794" spans="1:16" x14ac:dyDescent="0.3">
      <c r="A1794" t="str">
        <f t="shared" ref="A1794:A1857" si="28">B1794&amp;"|"&amp;D1794&amp;"|"&amp;E1794&amp;"|"&amp;F1794&amp;"|"&amp;O1794</f>
        <v>CN|TotalCapacityAnnual|RE1|PWRWNDOFS_FLO|2022</v>
      </c>
      <c r="B1794" t="s">
        <v>39</v>
      </c>
      <c r="C1794" t="s">
        <v>40</v>
      </c>
      <c r="D1794" t="s">
        <v>38</v>
      </c>
      <c r="E1794" t="s">
        <v>19</v>
      </c>
      <c r="F1794" t="s">
        <v>43</v>
      </c>
      <c r="O1794">
        <v>2022</v>
      </c>
    </row>
    <row r="1795" spans="1:16" x14ac:dyDescent="0.3">
      <c r="A1795" t="str">
        <f t="shared" si="28"/>
        <v>CN|TotalCapacityAnnual|RE1|PWRWNDONS|2022</v>
      </c>
      <c r="B1795" t="s">
        <v>39</v>
      </c>
      <c r="C1795" t="s">
        <v>40</v>
      </c>
      <c r="D1795" t="s">
        <v>38</v>
      </c>
      <c r="E1795" t="s">
        <v>19</v>
      </c>
      <c r="F1795" t="s">
        <v>36</v>
      </c>
      <c r="O1795">
        <v>2022</v>
      </c>
      <c r="P1795">
        <v>1.21161312</v>
      </c>
    </row>
    <row r="1796" spans="1:16" x14ac:dyDescent="0.3">
      <c r="A1796" t="str">
        <f t="shared" si="28"/>
        <v>CN|AccumulatedNewCapacity|RE1|PWRBGS|2023</v>
      </c>
      <c r="B1796" t="s">
        <v>39</v>
      </c>
      <c r="C1796" t="s">
        <v>40</v>
      </c>
      <c r="D1796" t="s">
        <v>18</v>
      </c>
      <c r="E1796" t="s">
        <v>19</v>
      </c>
      <c r="F1796" t="s">
        <v>20</v>
      </c>
      <c r="O1796">
        <v>2023</v>
      </c>
    </row>
    <row r="1797" spans="1:16" x14ac:dyDescent="0.3">
      <c r="A1797" t="str">
        <f t="shared" si="28"/>
        <v>CN|AccumulatedNewCapacity|RE1|PWRCOA|2023</v>
      </c>
      <c r="B1797" t="s">
        <v>39</v>
      </c>
      <c r="C1797" t="s">
        <v>40</v>
      </c>
      <c r="D1797" t="s">
        <v>18</v>
      </c>
      <c r="E1797" t="s">
        <v>19</v>
      </c>
      <c r="F1797" t="s">
        <v>21</v>
      </c>
      <c r="O1797">
        <v>2023</v>
      </c>
    </row>
    <row r="1798" spans="1:16" x14ac:dyDescent="0.3">
      <c r="A1798" t="str">
        <f t="shared" si="28"/>
        <v>CN|AccumulatedNewCapacity|RE1|PWRDSL|2023</v>
      </c>
      <c r="B1798" t="s">
        <v>39</v>
      </c>
      <c r="C1798" t="s">
        <v>40</v>
      </c>
      <c r="D1798" t="s">
        <v>18</v>
      </c>
      <c r="E1798" t="s">
        <v>19</v>
      </c>
      <c r="F1798" t="s">
        <v>22</v>
      </c>
      <c r="O1798">
        <v>2023</v>
      </c>
    </row>
    <row r="1799" spans="1:16" x14ac:dyDescent="0.3">
      <c r="A1799" t="str">
        <f t="shared" si="28"/>
        <v>CN|AccumulatedNewCapacity|RE1|PWRFOL|2023</v>
      </c>
      <c r="B1799" t="s">
        <v>39</v>
      </c>
      <c r="C1799" t="s">
        <v>40</v>
      </c>
      <c r="D1799" t="s">
        <v>18</v>
      </c>
      <c r="E1799" t="s">
        <v>19</v>
      </c>
      <c r="F1799" t="s">
        <v>23</v>
      </c>
      <c r="O1799">
        <v>2023</v>
      </c>
    </row>
    <row r="1800" spans="1:16" x14ac:dyDescent="0.3">
      <c r="A1800" t="str">
        <f t="shared" si="28"/>
        <v>CN|AccumulatedNewCapacity|RE1|PWRHYDDAM|2023</v>
      </c>
      <c r="B1800" t="s">
        <v>39</v>
      </c>
      <c r="C1800" t="s">
        <v>40</v>
      </c>
      <c r="D1800" t="s">
        <v>18</v>
      </c>
      <c r="E1800" t="s">
        <v>19</v>
      </c>
      <c r="F1800" t="s">
        <v>24</v>
      </c>
      <c r="O1800">
        <v>2023</v>
      </c>
    </row>
    <row r="1801" spans="1:16" x14ac:dyDescent="0.3">
      <c r="A1801" t="str">
        <f t="shared" si="28"/>
        <v>CN|AccumulatedNewCapacity|RE1|PWRHYDROR|2023</v>
      </c>
      <c r="B1801" t="s">
        <v>39</v>
      </c>
      <c r="C1801" t="s">
        <v>40</v>
      </c>
      <c r="D1801" t="s">
        <v>18</v>
      </c>
      <c r="E1801" t="s">
        <v>19</v>
      </c>
      <c r="F1801" t="s">
        <v>25</v>
      </c>
      <c r="O1801">
        <v>2023</v>
      </c>
    </row>
    <row r="1802" spans="1:16" x14ac:dyDescent="0.3">
      <c r="A1802" t="str">
        <f t="shared" si="28"/>
        <v>CN|AccumulatedNewCapacity|RE1|PWRHYDROR_NDC|2023</v>
      </c>
      <c r="B1802" t="s">
        <v>39</v>
      </c>
      <c r="C1802" t="s">
        <v>40</v>
      </c>
      <c r="D1802" t="s">
        <v>18</v>
      </c>
      <c r="E1802" t="s">
        <v>19</v>
      </c>
      <c r="F1802" t="s">
        <v>26</v>
      </c>
      <c r="O1802">
        <v>2023</v>
      </c>
    </row>
    <row r="1803" spans="1:16" x14ac:dyDescent="0.3">
      <c r="A1803" t="str">
        <f t="shared" si="28"/>
        <v>CN|AccumulatedNewCapacity|RE1|PWRJET|2023</v>
      </c>
      <c r="B1803" t="s">
        <v>39</v>
      </c>
      <c r="C1803" t="s">
        <v>40</v>
      </c>
      <c r="D1803" t="s">
        <v>18</v>
      </c>
      <c r="E1803" t="s">
        <v>19</v>
      </c>
      <c r="F1803" t="s">
        <v>27</v>
      </c>
      <c r="O1803">
        <v>2023</v>
      </c>
    </row>
    <row r="1804" spans="1:16" x14ac:dyDescent="0.3">
      <c r="A1804" t="str">
        <f t="shared" si="28"/>
        <v>CN|AccumulatedNewCapacity|RE1|PWRLPG|2023</v>
      </c>
      <c r="B1804" t="s">
        <v>39</v>
      </c>
      <c r="C1804" t="s">
        <v>40</v>
      </c>
      <c r="D1804" t="s">
        <v>18</v>
      </c>
      <c r="E1804" t="s">
        <v>19</v>
      </c>
      <c r="F1804" t="s">
        <v>28</v>
      </c>
      <c r="O1804">
        <v>2023</v>
      </c>
    </row>
    <row r="1805" spans="1:16" x14ac:dyDescent="0.3">
      <c r="A1805" t="str">
        <f t="shared" si="28"/>
        <v>CN|AccumulatedNewCapacity|RE1|PWRNGS_CC|2023</v>
      </c>
      <c r="B1805" t="s">
        <v>39</v>
      </c>
      <c r="C1805" t="s">
        <v>40</v>
      </c>
      <c r="D1805" t="s">
        <v>18</v>
      </c>
      <c r="E1805" t="s">
        <v>19</v>
      </c>
      <c r="F1805" t="s">
        <v>29</v>
      </c>
      <c r="O1805">
        <v>2023</v>
      </c>
    </row>
    <row r="1806" spans="1:16" x14ac:dyDescent="0.3">
      <c r="A1806" t="str">
        <f t="shared" si="28"/>
        <v>CN|AccumulatedNewCapacity|RE1|PWRNGS_CS|2023</v>
      </c>
      <c r="B1806" t="s">
        <v>39</v>
      </c>
      <c r="C1806" t="s">
        <v>40</v>
      </c>
      <c r="D1806" t="s">
        <v>18</v>
      </c>
      <c r="E1806" t="s">
        <v>19</v>
      </c>
      <c r="F1806" t="s">
        <v>30</v>
      </c>
      <c r="O1806">
        <v>2023</v>
      </c>
    </row>
    <row r="1807" spans="1:16" x14ac:dyDescent="0.3">
      <c r="A1807" t="str">
        <f t="shared" si="28"/>
        <v>CN|AccumulatedNewCapacity|RE1|PWRSOLRTP|2023</v>
      </c>
      <c r="B1807" t="s">
        <v>39</v>
      </c>
      <c r="C1807" t="s">
        <v>40</v>
      </c>
      <c r="D1807" t="s">
        <v>18</v>
      </c>
      <c r="E1807" t="s">
        <v>19</v>
      </c>
      <c r="F1807" t="s">
        <v>31</v>
      </c>
      <c r="O1807">
        <v>2023</v>
      </c>
    </row>
    <row r="1808" spans="1:16" x14ac:dyDescent="0.3">
      <c r="A1808" t="str">
        <f t="shared" si="28"/>
        <v>CN|AccumulatedNewCapacity|RE1|PWRSOLRTP_ZNI|2023</v>
      </c>
      <c r="B1808" t="s">
        <v>39</v>
      </c>
      <c r="C1808" t="s">
        <v>40</v>
      </c>
      <c r="D1808" t="s">
        <v>18</v>
      </c>
      <c r="E1808" t="s">
        <v>19</v>
      </c>
      <c r="F1808" t="s">
        <v>32</v>
      </c>
      <c r="O1808">
        <v>2023</v>
      </c>
    </row>
    <row r="1809" spans="1:15" x14ac:dyDescent="0.3">
      <c r="A1809" t="str">
        <f t="shared" si="28"/>
        <v>CN|AccumulatedNewCapacity|RE1|PWRSOLUGE|2023</v>
      </c>
      <c r="B1809" t="s">
        <v>39</v>
      </c>
      <c r="C1809" t="s">
        <v>40</v>
      </c>
      <c r="D1809" t="s">
        <v>18</v>
      </c>
      <c r="E1809" t="s">
        <v>19</v>
      </c>
      <c r="F1809" t="s">
        <v>33</v>
      </c>
      <c r="O1809">
        <v>2023</v>
      </c>
    </row>
    <row r="1810" spans="1:15" x14ac:dyDescent="0.3">
      <c r="A1810" t="str">
        <f t="shared" si="28"/>
        <v>CN|AccumulatedNewCapacity|RE1|PWRSOLUGE_BAT|2023</v>
      </c>
      <c r="B1810" t="s">
        <v>39</v>
      </c>
      <c r="C1810" t="s">
        <v>40</v>
      </c>
      <c r="D1810" t="s">
        <v>18</v>
      </c>
      <c r="E1810" t="s">
        <v>19</v>
      </c>
      <c r="F1810" t="s">
        <v>41</v>
      </c>
      <c r="O1810">
        <v>2023</v>
      </c>
    </row>
    <row r="1811" spans="1:15" x14ac:dyDescent="0.3">
      <c r="A1811" t="str">
        <f t="shared" si="28"/>
        <v>CN|AccumulatedNewCapacity|RE1|PWRSOLUPE|2023</v>
      </c>
      <c r="B1811" t="s">
        <v>39</v>
      </c>
      <c r="C1811" t="s">
        <v>40</v>
      </c>
      <c r="D1811" t="s">
        <v>18</v>
      </c>
      <c r="E1811" t="s">
        <v>19</v>
      </c>
      <c r="F1811" t="s">
        <v>34</v>
      </c>
      <c r="O1811">
        <v>2023</v>
      </c>
    </row>
    <row r="1812" spans="1:15" x14ac:dyDescent="0.3">
      <c r="A1812" t="str">
        <f t="shared" si="28"/>
        <v>CN|AccumulatedNewCapacity|RE1|PWRSTD|2023</v>
      </c>
      <c r="B1812" t="s">
        <v>39</v>
      </c>
      <c r="C1812" t="s">
        <v>40</v>
      </c>
      <c r="D1812" t="s">
        <v>18</v>
      </c>
      <c r="E1812" t="s">
        <v>19</v>
      </c>
      <c r="F1812" t="s">
        <v>35</v>
      </c>
      <c r="O1812">
        <v>2023</v>
      </c>
    </row>
    <row r="1813" spans="1:15" x14ac:dyDescent="0.3">
      <c r="A1813" t="str">
        <f t="shared" si="28"/>
        <v>CN|AccumulatedNewCapacity|RE1|PWRWNDOFS_FIX|2023</v>
      </c>
      <c r="B1813" t="s">
        <v>39</v>
      </c>
      <c r="C1813" t="s">
        <v>40</v>
      </c>
      <c r="D1813" t="s">
        <v>18</v>
      </c>
      <c r="E1813" t="s">
        <v>19</v>
      </c>
      <c r="F1813" t="s">
        <v>42</v>
      </c>
      <c r="O1813">
        <v>2023</v>
      </c>
    </row>
    <row r="1814" spans="1:15" x14ac:dyDescent="0.3">
      <c r="A1814" t="str">
        <f t="shared" si="28"/>
        <v>CN|AccumulatedNewCapacity|RE1|PWRWNDOFS_FLO|2023</v>
      </c>
      <c r="B1814" t="s">
        <v>39</v>
      </c>
      <c r="C1814" t="s">
        <v>40</v>
      </c>
      <c r="D1814" t="s">
        <v>18</v>
      </c>
      <c r="E1814" t="s">
        <v>19</v>
      </c>
      <c r="F1814" t="s">
        <v>43</v>
      </c>
      <c r="O1814">
        <v>2023</v>
      </c>
    </row>
    <row r="1815" spans="1:15" x14ac:dyDescent="0.3">
      <c r="A1815" t="str">
        <f t="shared" si="28"/>
        <v>CN|AccumulatedNewCapacity|RE1|PWRWNDONS|2023</v>
      </c>
      <c r="B1815" t="s">
        <v>39</v>
      </c>
      <c r="C1815" t="s">
        <v>40</v>
      </c>
      <c r="D1815" t="s">
        <v>18</v>
      </c>
      <c r="E1815" t="s">
        <v>19</v>
      </c>
      <c r="F1815" t="s">
        <v>36</v>
      </c>
      <c r="O1815">
        <v>2023</v>
      </c>
    </row>
    <row r="1816" spans="1:15" x14ac:dyDescent="0.3">
      <c r="A1816" t="str">
        <f t="shared" si="28"/>
        <v>CN|NewCapacity|RE1|PWRBGS|2023</v>
      </c>
      <c r="B1816" t="s">
        <v>39</v>
      </c>
      <c r="C1816" t="s">
        <v>40</v>
      </c>
      <c r="D1816" t="s">
        <v>37</v>
      </c>
      <c r="E1816" t="s">
        <v>19</v>
      </c>
      <c r="F1816" t="s">
        <v>20</v>
      </c>
      <c r="O1816">
        <v>2023</v>
      </c>
    </row>
    <row r="1817" spans="1:15" x14ac:dyDescent="0.3">
      <c r="A1817" t="str">
        <f t="shared" si="28"/>
        <v>CN|NewCapacity|RE1|PWRCOA|2023</v>
      </c>
      <c r="B1817" t="s">
        <v>39</v>
      </c>
      <c r="C1817" t="s">
        <v>40</v>
      </c>
      <c r="D1817" t="s">
        <v>37</v>
      </c>
      <c r="E1817" t="s">
        <v>19</v>
      </c>
      <c r="F1817" t="s">
        <v>21</v>
      </c>
      <c r="O1817">
        <v>2023</v>
      </c>
    </row>
    <row r="1818" spans="1:15" x14ac:dyDescent="0.3">
      <c r="A1818" t="str">
        <f t="shared" si="28"/>
        <v>CN|NewCapacity|RE1|PWRDSL|2023</v>
      </c>
      <c r="B1818" t="s">
        <v>39</v>
      </c>
      <c r="C1818" t="s">
        <v>40</v>
      </c>
      <c r="D1818" t="s">
        <v>37</v>
      </c>
      <c r="E1818" t="s">
        <v>19</v>
      </c>
      <c r="F1818" t="s">
        <v>22</v>
      </c>
      <c r="O1818">
        <v>2023</v>
      </c>
    </row>
    <row r="1819" spans="1:15" x14ac:dyDescent="0.3">
      <c r="A1819" t="str">
        <f t="shared" si="28"/>
        <v>CN|NewCapacity|RE1|PWRFOL|2023</v>
      </c>
      <c r="B1819" t="s">
        <v>39</v>
      </c>
      <c r="C1819" t="s">
        <v>40</v>
      </c>
      <c r="D1819" t="s">
        <v>37</v>
      </c>
      <c r="E1819" t="s">
        <v>19</v>
      </c>
      <c r="F1819" t="s">
        <v>23</v>
      </c>
      <c r="O1819">
        <v>2023</v>
      </c>
    </row>
    <row r="1820" spans="1:15" x14ac:dyDescent="0.3">
      <c r="A1820" t="str">
        <f t="shared" si="28"/>
        <v>CN|NewCapacity|RE1|PWRHYDDAM|2023</v>
      </c>
      <c r="B1820" t="s">
        <v>39</v>
      </c>
      <c r="C1820" t="s">
        <v>40</v>
      </c>
      <c r="D1820" t="s">
        <v>37</v>
      </c>
      <c r="E1820" t="s">
        <v>19</v>
      </c>
      <c r="F1820" t="s">
        <v>24</v>
      </c>
      <c r="O1820">
        <v>2023</v>
      </c>
    </row>
    <row r="1821" spans="1:15" x14ac:dyDescent="0.3">
      <c r="A1821" t="str">
        <f t="shared" si="28"/>
        <v>CN|NewCapacity|RE1|PWRHYDROR|2023</v>
      </c>
      <c r="B1821" t="s">
        <v>39</v>
      </c>
      <c r="C1821" t="s">
        <v>40</v>
      </c>
      <c r="D1821" t="s">
        <v>37</v>
      </c>
      <c r="E1821" t="s">
        <v>19</v>
      </c>
      <c r="F1821" t="s">
        <v>25</v>
      </c>
      <c r="O1821">
        <v>2023</v>
      </c>
    </row>
    <row r="1822" spans="1:15" x14ac:dyDescent="0.3">
      <c r="A1822" t="str">
        <f t="shared" si="28"/>
        <v>CN|NewCapacity|RE1|PWRHYDROR_NDC|2023</v>
      </c>
      <c r="B1822" t="s">
        <v>39</v>
      </c>
      <c r="C1822" t="s">
        <v>40</v>
      </c>
      <c r="D1822" t="s">
        <v>37</v>
      </c>
      <c r="E1822" t="s">
        <v>19</v>
      </c>
      <c r="F1822" t="s">
        <v>26</v>
      </c>
      <c r="O1822">
        <v>2023</v>
      </c>
    </row>
    <row r="1823" spans="1:15" x14ac:dyDescent="0.3">
      <c r="A1823" t="str">
        <f t="shared" si="28"/>
        <v>CN|NewCapacity|RE1|PWRJET|2023</v>
      </c>
      <c r="B1823" t="s">
        <v>39</v>
      </c>
      <c r="C1823" t="s">
        <v>40</v>
      </c>
      <c r="D1823" t="s">
        <v>37</v>
      </c>
      <c r="E1823" t="s">
        <v>19</v>
      </c>
      <c r="F1823" t="s">
        <v>27</v>
      </c>
      <c r="O1823">
        <v>2023</v>
      </c>
    </row>
    <row r="1824" spans="1:15" x14ac:dyDescent="0.3">
      <c r="A1824" t="str">
        <f t="shared" si="28"/>
        <v>CN|NewCapacity|RE1|PWRLPG|2023</v>
      </c>
      <c r="B1824" t="s">
        <v>39</v>
      </c>
      <c r="C1824" t="s">
        <v>40</v>
      </c>
      <c r="D1824" t="s">
        <v>37</v>
      </c>
      <c r="E1824" t="s">
        <v>19</v>
      </c>
      <c r="F1824" t="s">
        <v>28</v>
      </c>
      <c r="O1824">
        <v>2023</v>
      </c>
    </row>
    <row r="1825" spans="1:16" x14ac:dyDescent="0.3">
      <c r="A1825" t="str">
        <f t="shared" si="28"/>
        <v>CN|NewCapacity|RE1|PWRNGS_CC|2023</v>
      </c>
      <c r="B1825" t="s">
        <v>39</v>
      </c>
      <c r="C1825" t="s">
        <v>40</v>
      </c>
      <c r="D1825" t="s">
        <v>37</v>
      </c>
      <c r="E1825" t="s">
        <v>19</v>
      </c>
      <c r="F1825" t="s">
        <v>29</v>
      </c>
      <c r="O1825">
        <v>2023</v>
      </c>
    </row>
    <row r="1826" spans="1:16" x14ac:dyDescent="0.3">
      <c r="A1826" t="str">
        <f t="shared" si="28"/>
        <v>CN|NewCapacity|RE1|PWRNGS_CS|2023</v>
      </c>
      <c r="B1826" t="s">
        <v>39</v>
      </c>
      <c r="C1826" t="s">
        <v>40</v>
      </c>
      <c r="D1826" t="s">
        <v>37</v>
      </c>
      <c r="E1826" t="s">
        <v>19</v>
      </c>
      <c r="F1826" t="s">
        <v>30</v>
      </c>
      <c r="O1826">
        <v>2023</v>
      </c>
    </row>
    <row r="1827" spans="1:16" x14ac:dyDescent="0.3">
      <c r="A1827" t="str">
        <f t="shared" si="28"/>
        <v>CN|NewCapacity|RE1|PWRSOLRTP|2023</v>
      </c>
      <c r="B1827" t="s">
        <v>39</v>
      </c>
      <c r="C1827" t="s">
        <v>40</v>
      </c>
      <c r="D1827" t="s">
        <v>37</v>
      </c>
      <c r="E1827" t="s">
        <v>19</v>
      </c>
      <c r="F1827" t="s">
        <v>31</v>
      </c>
      <c r="O1827">
        <v>2023</v>
      </c>
    </row>
    <row r="1828" spans="1:16" x14ac:dyDescent="0.3">
      <c r="A1828" t="str">
        <f t="shared" si="28"/>
        <v>CN|NewCapacity|RE1|PWRSOLRTP_ZNI|2023</v>
      </c>
      <c r="B1828" t="s">
        <v>39</v>
      </c>
      <c r="C1828" t="s">
        <v>40</v>
      </c>
      <c r="D1828" t="s">
        <v>37</v>
      </c>
      <c r="E1828" t="s">
        <v>19</v>
      </c>
      <c r="F1828" t="s">
        <v>32</v>
      </c>
      <c r="O1828">
        <v>2023</v>
      </c>
    </row>
    <row r="1829" spans="1:16" x14ac:dyDescent="0.3">
      <c r="A1829" t="str">
        <f t="shared" si="28"/>
        <v>CN|NewCapacity|RE1|PWRSOLUGE|2023</v>
      </c>
      <c r="B1829" t="s">
        <v>39</v>
      </c>
      <c r="C1829" t="s">
        <v>40</v>
      </c>
      <c r="D1829" t="s">
        <v>37</v>
      </c>
      <c r="E1829" t="s">
        <v>19</v>
      </c>
      <c r="F1829" t="s">
        <v>33</v>
      </c>
      <c r="O1829">
        <v>2023</v>
      </c>
    </row>
    <row r="1830" spans="1:16" x14ac:dyDescent="0.3">
      <c r="A1830" t="str">
        <f t="shared" si="28"/>
        <v>CN|NewCapacity|RE1|PWRSOLUGE_BAT|2023</v>
      </c>
      <c r="B1830" t="s">
        <v>39</v>
      </c>
      <c r="C1830" t="s">
        <v>40</v>
      </c>
      <c r="D1830" t="s">
        <v>37</v>
      </c>
      <c r="E1830" t="s">
        <v>19</v>
      </c>
      <c r="F1830" t="s">
        <v>41</v>
      </c>
      <c r="O1830">
        <v>2023</v>
      </c>
    </row>
    <row r="1831" spans="1:16" x14ac:dyDescent="0.3">
      <c r="A1831" t="str">
        <f t="shared" si="28"/>
        <v>CN|NewCapacity|RE1|PWRSOLUPE|2023</v>
      </c>
      <c r="B1831" t="s">
        <v>39</v>
      </c>
      <c r="C1831" t="s">
        <v>40</v>
      </c>
      <c r="D1831" t="s">
        <v>37</v>
      </c>
      <c r="E1831" t="s">
        <v>19</v>
      </c>
      <c r="F1831" t="s">
        <v>34</v>
      </c>
      <c r="O1831">
        <v>2023</v>
      </c>
    </row>
    <row r="1832" spans="1:16" x14ac:dyDescent="0.3">
      <c r="A1832" t="str">
        <f t="shared" si="28"/>
        <v>CN|NewCapacity|RE1|PWRSTD|2023</v>
      </c>
      <c r="B1832" t="s">
        <v>39</v>
      </c>
      <c r="C1832" t="s">
        <v>40</v>
      </c>
      <c r="D1832" t="s">
        <v>37</v>
      </c>
      <c r="E1832" t="s">
        <v>19</v>
      </c>
      <c r="F1832" t="s">
        <v>35</v>
      </c>
      <c r="O1832">
        <v>2023</v>
      </c>
    </row>
    <row r="1833" spans="1:16" x14ac:dyDescent="0.3">
      <c r="A1833" t="str">
        <f t="shared" si="28"/>
        <v>CN|NewCapacity|RE1|PWRWNDOFS_FIX|2023</v>
      </c>
      <c r="B1833" t="s">
        <v>39</v>
      </c>
      <c r="C1833" t="s">
        <v>40</v>
      </c>
      <c r="D1833" t="s">
        <v>37</v>
      </c>
      <c r="E1833" t="s">
        <v>19</v>
      </c>
      <c r="F1833" t="s">
        <v>42</v>
      </c>
      <c r="O1833">
        <v>2023</v>
      </c>
    </row>
    <row r="1834" spans="1:16" x14ac:dyDescent="0.3">
      <c r="A1834" t="str">
        <f t="shared" si="28"/>
        <v>CN|NewCapacity|RE1|PWRWNDOFS_FLO|2023</v>
      </c>
      <c r="B1834" t="s">
        <v>39</v>
      </c>
      <c r="C1834" t="s">
        <v>40</v>
      </c>
      <c r="D1834" t="s">
        <v>37</v>
      </c>
      <c r="E1834" t="s">
        <v>19</v>
      </c>
      <c r="F1834" t="s">
        <v>43</v>
      </c>
      <c r="O1834">
        <v>2023</v>
      </c>
    </row>
    <row r="1835" spans="1:16" x14ac:dyDescent="0.3">
      <c r="A1835" t="str">
        <f t="shared" si="28"/>
        <v>CN|NewCapacity|RE1|PWRWNDONS|2023</v>
      </c>
      <c r="B1835" t="s">
        <v>39</v>
      </c>
      <c r="C1835" t="s">
        <v>40</v>
      </c>
      <c r="D1835" t="s">
        <v>37</v>
      </c>
      <c r="E1835" t="s">
        <v>19</v>
      </c>
      <c r="F1835" t="s">
        <v>36</v>
      </c>
      <c r="O1835">
        <v>2023</v>
      </c>
    </row>
    <row r="1836" spans="1:16" x14ac:dyDescent="0.3">
      <c r="A1836" t="str">
        <f t="shared" si="28"/>
        <v>CN|TotalCapacityAnnual|RE1|PWRBGS|2023</v>
      </c>
      <c r="B1836" t="s">
        <v>39</v>
      </c>
      <c r="C1836" t="s">
        <v>40</v>
      </c>
      <c r="D1836" t="s">
        <v>38</v>
      </c>
      <c r="E1836" t="s">
        <v>19</v>
      </c>
      <c r="F1836" t="s">
        <v>20</v>
      </c>
      <c r="O1836">
        <v>2023</v>
      </c>
      <c r="P1836">
        <v>2.5488587520000001E-2</v>
      </c>
    </row>
    <row r="1837" spans="1:16" x14ac:dyDescent="0.3">
      <c r="A1837" t="str">
        <f t="shared" si="28"/>
        <v>CN|TotalCapacityAnnual|RE1|PWRCOA|2023</v>
      </c>
      <c r="B1837" t="s">
        <v>39</v>
      </c>
      <c r="C1837" t="s">
        <v>40</v>
      </c>
      <c r="D1837" t="s">
        <v>38</v>
      </c>
      <c r="E1837" t="s">
        <v>19</v>
      </c>
      <c r="F1837" t="s">
        <v>21</v>
      </c>
      <c r="O1837">
        <v>2023</v>
      </c>
      <c r="P1837">
        <v>51.529823999999991</v>
      </c>
    </row>
    <row r="1838" spans="1:16" x14ac:dyDescent="0.3">
      <c r="A1838" t="str">
        <f t="shared" si="28"/>
        <v>CN|TotalCapacityAnnual|RE1|PWRDSL|2023</v>
      </c>
      <c r="B1838" t="s">
        <v>39</v>
      </c>
      <c r="C1838" t="s">
        <v>40</v>
      </c>
      <c r="D1838" t="s">
        <v>38</v>
      </c>
      <c r="E1838" t="s">
        <v>19</v>
      </c>
      <c r="F1838" t="s">
        <v>22</v>
      </c>
      <c r="O1838">
        <v>2023</v>
      </c>
      <c r="P1838">
        <v>28.477008000000001</v>
      </c>
    </row>
    <row r="1839" spans="1:16" x14ac:dyDescent="0.3">
      <c r="A1839" t="str">
        <f t="shared" si="28"/>
        <v>CN|TotalCapacityAnnual|RE1|PWRFOL|2023</v>
      </c>
      <c r="B1839" t="s">
        <v>39</v>
      </c>
      <c r="C1839" t="s">
        <v>40</v>
      </c>
      <c r="D1839" t="s">
        <v>38</v>
      </c>
      <c r="E1839" t="s">
        <v>19</v>
      </c>
      <c r="F1839" t="s">
        <v>23</v>
      </c>
      <c r="O1839">
        <v>2023</v>
      </c>
      <c r="P1839">
        <v>8.3885759999999987</v>
      </c>
    </row>
    <row r="1840" spans="1:16" x14ac:dyDescent="0.3">
      <c r="A1840" t="str">
        <f t="shared" si="28"/>
        <v>CN|TotalCapacityAnnual|RE1|PWRHYDDAM|2023</v>
      </c>
      <c r="B1840" t="s">
        <v>39</v>
      </c>
      <c r="C1840" t="s">
        <v>40</v>
      </c>
      <c r="D1840" t="s">
        <v>38</v>
      </c>
      <c r="E1840" t="s">
        <v>19</v>
      </c>
      <c r="F1840" t="s">
        <v>24</v>
      </c>
      <c r="O1840">
        <v>2023</v>
      </c>
      <c r="P1840">
        <v>364.808448</v>
      </c>
    </row>
    <row r="1841" spans="1:16" x14ac:dyDescent="0.3">
      <c r="A1841" t="str">
        <f t="shared" si="28"/>
        <v>CN|TotalCapacityAnnual|RE1|PWRHYDROR|2023</v>
      </c>
      <c r="B1841" t="s">
        <v>39</v>
      </c>
      <c r="C1841" t="s">
        <v>40</v>
      </c>
      <c r="D1841" t="s">
        <v>38</v>
      </c>
      <c r="E1841" t="s">
        <v>19</v>
      </c>
      <c r="F1841" t="s">
        <v>25</v>
      </c>
      <c r="O1841">
        <v>2023</v>
      </c>
      <c r="P1841">
        <v>21.097584000000001</v>
      </c>
    </row>
    <row r="1842" spans="1:16" x14ac:dyDescent="0.3">
      <c r="A1842" t="str">
        <f t="shared" si="28"/>
        <v>CN|TotalCapacityAnnual|RE1|PWRHYDROR_NDC|2023</v>
      </c>
      <c r="B1842" t="s">
        <v>39</v>
      </c>
      <c r="C1842" t="s">
        <v>40</v>
      </c>
      <c r="D1842" t="s">
        <v>38</v>
      </c>
      <c r="E1842" t="s">
        <v>19</v>
      </c>
      <c r="F1842" t="s">
        <v>26</v>
      </c>
      <c r="O1842">
        <v>2023</v>
      </c>
      <c r="P1842">
        <v>29.33311579199999</v>
      </c>
    </row>
    <row r="1843" spans="1:16" x14ac:dyDescent="0.3">
      <c r="A1843" t="str">
        <f t="shared" si="28"/>
        <v>CN|TotalCapacityAnnual|RE1|PWRJET|2023</v>
      </c>
      <c r="B1843" t="s">
        <v>39</v>
      </c>
      <c r="C1843" t="s">
        <v>40</v>
      </c>
      <c r="D1843" t="s">
        <v>38</v>
      </c>
      <c r="E1843" t="s">
        <v>19</v>
      </c>
      <c r="F1843" t="s">
        <v>27</v>
      </c>
      <c r="O1843">
        <v>2023</v>
      </c>
      <c r="P1843">
        <v>1.5768</v>
      </c>
    </row>
    <row r="1844" spans="1:16" x14ac:dyDescent="0.3">
      <c r="A1844" t="str">
        <f t="shared" si="28"/>
        <v>CN|TotalCapacityAnnual|RE1|PWRLPG|2023</v>
      </c>
      <c r="B1844" t="s">
        <v>39</v>
      </c>
      <c r="C1844" t="s">
        <v>40</v>
      </c>
      <c r="D1844" t="s">
        <v>38</v>
      </c>
      <c r="E1844" t="s">
        <v>19</v>
      </c>
      <c r="F1844" t="s">
        <v>28</v>
      </c>
      <c r="O1844">
        <v>2023</v>
      </c>
    </row>
    <row r="1845" spans="1:16" x14ac:dyDescent="0.3">
      <c r="A1845" t="str">
        <f t="shared" si="28"/>
        <v>CN|TotalCapacityAnnual|RE1|PWRNGS_CC|2023</v>
      </c>
      <c r="B1845" t="s">
        <v>39</v>
      </c>
      <c r="C1845" t="s">
        <v>40</v>
      </c>
      <c r="D1845" t="s">
        <v>38</v>
      </c>
      <c r="E1845" t="s">
        <v>19</v>
      </c>
      <c r="F1845" t="s">
        <v>29</v>
      </c>
      <c r="O1845">
        <v>2023</v>
      </c>
      <c r="P1845">
        <v>70.104500000000002</v>
      </c>
    </row>
    <row r="1846" spans="1:16" x14ac:dyDescent="0.3">
      <c r="A1846" t="str">
        <f t="shared" si="28"/>
        <v>CN|TotalCapacityAnnual|RE1|PWRNGS_CS|2023</v>
      </c>
      <c r="B1846" t="s">
        <v>39</v>
      </c>
      <c r="C1846" t="s">
        <v>40</v>
      </c>
      <c r="D1846" t="s">
        <v>38</v>
      </c>
      <c r="E1846" t="s">
        <v>19</v>
      </c>
      <c r="F1846" t="s">
        <v>30</v>
      </c>
      <c r="O1846">
        <v>2023</v>
      </c>
      <c r="P1846">
        <v>23.967359999999999</v>
      </c>
    </row>
    <row r="1847" spans="1:16" x14ac:dyDescent="0.3">
      <c r="A1847" t="str">
        <f t="shared" si="28"/>
        <v>CN|TotalCapacityAnnual|RE1|PWRSOLRTP|2023</v>
      </c>
      <c r="B1847" t="s">
        <v>39</v>
      </c>
      <c r="C1847" t="s">
        <v>40</v>
      </c>
      <c r="D1847" t="s">
        <v>38</v>
      </c>
      <c r="E1847" t="s">
        <v>19</v>
      </c>
      <c r="F1847" t="s">
        <v>31</v>
      </c>
      <c r="O1847">
        <v>2023</v>
      </c>
      <c r="P1847">
        <v>6.8997654720000003</v>
      </c>
    </row>
    <row r="1848" spans="1:16" x14ac:dyDescent="0.3">
      <c r="A1848" t="str">
        <f t="shared" si="28"/>
        <v>CN|TotalCapacityAnnual|RE1|PWRSOLRTP_ZNI|2023</v>
      </c>
      <c r="B1848" t="s">
        <v>39</v>
      </c>
      <c r="C1848" t="s">
        <v>40</v>
      </c>
      <c r="D1848" t="s">
        <v>38</v>
      </c>
      <c r="E1848" t="s">
        <v>19</v>
      </c>
      <c r="F1848" t="s">
        <v>32</v>
      </c>
      <c r="O1848">
        <v>2023</v>
      </c>
      <c r="P1848">
        <v>0.46074095999999998</v>
      </c>
    </row>
    <row r="1849" spans="1:16" x14ac:dyDescent="0.3">
      <c r="A1849" t="str">
        <f t="shared" si="28"/>
        <v>CN|TotalCapacityAnnual|RE1|PWRSOLUGE|2023</v>
      </c>
      <c r="B1849" t="s">
        <v>39</v>
      </c>
      <c r="C1849" t="s">
        <v>40</v>
      </c>
      <c r="D1849" t="s">
        <v>38</v>
      </c>
      <c r="E1849" t="s">
        <v>19</v>
      </c>
      <c r="F1849" t="s">
        <v>33</v>
      </c>
      <c r="O1849">
        <v>2023</v>
      </c>
      <c r="P1849">
        <v>33.270480000000013</v>
      </c>
    </row>
    <row r="1850" spans="1:16" x14ac:dyDescent="0.3">
      <c r="A1850" t="str">
        <f t="shared" si="28"/>
        <v>CN|TotalCapacityAnnual|RE1|PWRSOLUGE_BAT|2023</v>
      </c>
      <c r="B1850" t="s">
        <v>39</v>
      </c>
      <c r="C1850" t="s">
        <v>40</v>
      </c>
      <c r="D1850" t="s">
        <v>38</v>
      </c>
      <c r="E1850" t="s">
        <v>19</v>
      </c>
      <c r="F1850" t="s">
        <v>41</v>
      </c>
      <c r="O1850">
        <v>2023</v>
      </c>
    </row>
    <row r="1851" spans="1:16" x14ac:dyDescent="0.3">
      <c r="A1851" t="str">
        <f t="shared" si="28"/>
        <v>CN|TotalCapacityAnnual|RE1|PWRSOLUPE|2023</v>
      </c>
      <c r="B1851" t="s">
        <v>39</v>
      </c>
      <c r="C1851" t="s">
        <v>40</v>
      </c>
      <c r="D1851" t="s">
        <v>38</v>
      </c>
      <c r="E1851" t="s">
        <v>19</v>
      </c>
      <c r="F1851" t="s">
        <v>34</v>
      </c>
      <c r="O1851">
        <v>2023</v>
      </c>
      <c r="P1851">
        <v>13.851115776</v>
      </c>
    </row>
    <row r="1852" spans="1:16" x14ac:dyDescent="0.3">
      <c r="A1852" t="str">
        <f t="shared" si="28"/>
        <v>CN|TotalCapacityAnnual|RE1|PWRSTD|2023</v>
      </c>
      <c r="B1852" t="s">
        <v>39</v>
      </c>
      <c r="C1852" t="s">
        <v>40</v>
      </c>
      <c r="D1852" t="s">
        <v>38</v>
      </c>
      <c r="E1852" t="s">
        <v>19</v>
      </c>
      <c r="F1852" t="s">
        <v>35</v>
      </c>
      <c r="O1852">
        <v>2023</v>
      </c>
      <c r="P1852">
        <v>8.163062064</v>
      </c>
    </row>
    <row r="1853" spans="1:16" x14ac:dyDescent="0.3">
      <c r="A1853" t="str">
        <f t="shared" si="28"/>
        <v>CN|TotalCapacityAnnual|RE1|PWRWNDOFS_FIX|2023</v>
      </c>
      <c r="B1853" t="s">
        <v>39</v>
      </c>
      <c r="C1853" t="s">
        <v>40</v>
      </c>
      <c r="D1853" t="s">
        <v>38</v>
      </c>
      <c r="E1853" t="s">
        <v>19</v>
      </c>
      <c r="F1853" t="s">
        <v>42</v>
      </c>
      <c r="O1853">
        <v>2023</v>
      </c>
    </row>
    <row r="1854" spans="1:16" x14ac:dyDescent="0.3">
      <c r="A1854" t="str">
        <f t="shared" si="28"/>
        <v>CN|TotalCapacityAnnual|RE1|PWRWNDOFS_FLO|2023</v>
      </c>
      <c r="B1854" t="s">
        <v>39</v>
      </c>
      <c r="C1854" t="s">
        <v>40</v>
      </c>
      <c r="D1854" t="s">
        <v>38</v>
      </c>
      <c r="E1854" t="s">
        <v>19</v>
      </c>
      <c r="F1854" t="s">
        <v>43</v>
      </c>
      <c r="O1854">
        <v>2023</v>
      </c>
    </row>
    <row r="1855" spans="1:16" x14ac:dyDescent="0.3">
      <c r="A1855" t="str">
        <f t="shared" si="28"/>
        <v>CN|TotalCapacityAnnual|RE1|PWRWNDONS|2023</v>
      </c>
      <c r="B1855" t="s">
        <v>39</v>
      </c>
      <c r="C1855" t="s">
        <v>40</v>
      </c>
      <c r="D1855" t="s">
        <v>38</v>
      </c>
      <c r="E1855" t="s">
        <v>19</v>
      </c>
      <c r="F1855" t="s">
        <v>36</v>
      </c>
      <c r="O1855">
        <v>2023</v>
      </c>
      <c r="P1855">
        <v>1.6468099199999999</v>
      </c>
    </row>
    <row r="1856" spans="1:16" x14ac:dyDescent="0.3">
      <c r="A1856" t="str">
        <f t="shared" si="28"/>
        <v>CN|AccumulatedNewCapacity|RE1|PWRBGS|2024</v>
      </c>
      <c r="B1856" t="s">
        <v>39</v>
      </c>
      <c r="C1856" t="s">
        <v>40</v>
      </c>
      <c r="D1856" t="s">
        <v>18</v>
      </c>
      <c r="E1856" t="s">
        <v>19</v>
      </c>
      <c r="F1856" t="s">
        <v>20</v>
      </c>
      <c r="O1856">
        <v>2024</v>
      </c>
    </row>
    <row r="1857" spans="1:15" x14ac:dyDescent="0.3">
      <c r="A1857" t="str">
        <f t="shared" si="28"/>
        <v>CN|AccumulatedNewCapacity|RE1|PWRCOA|2024</v>
      </c>
      <c r="B1857" t="s">
        <v>39</v>
      </c>
      <c r="C1857" t="s">
        <v>40</v>
      </c>
      <c r="D1857" t="s">
        <v>18</v>
      </c>
      <c r="E1857" t="s">
        <v>19</v>
      </c>
      <c r="F1857" t="s">
        <v>21</v>
      </c>
      <c r="O1857">
        <v>2024</v>
      </c>
    </row>
    <row r="1858" spans="1:15" x14ac:dyDescent="0.3">
      <c r="A1858" t="str">
        <f t="shared" ref="A1858:A1921" si="29">B1858&amp;"|"&amp;D1858&amp;"|"&amp;E1858&amp;"|"&amp;F1858&amp;"|"&amp;O1858</f>
        <v>CN|AccumulatedNewCapacity|RE1|PWRDSL|2024</v>
      </c>
      <c r="B1858" t="s">
        <v>39</v>
      </c>
      <c r="C1858" t="s">
        <v>40</v>
      </c>
      <c r="D1858" t="s">
        <v>18</v>
      </c>
      <c r="E1858" t="s">
        <v>19</v>
      </c>
      <c r="F1858" t="s">
        <v>22</v>
      </c>
      <c r="O1858">
        <v>2024</v>
      </c>
    </row>
    <row r="1859" spans="1:15" x14ac:dyDescent="0.3">
      <c r="A1859" t="str">
        <f t="shared" si="29"/>
        <v>CN|AccumulatedNewCapacity|RE1|PWRFOL|2024</v>
      </c>
      <c r="B1859" t="s">
        <v>39</v>
      </c>
      <c r="C1859" t="s">
        <v>40</v>
      </c>
      <c r="D1859" t="s">
        <v>18</v>
      </c>
      <c r="E1859" t="s">
        <v>19</v>
      </c>
      <c r="F1859" t="s">
        <v>23</v>
      </c>
      <c r="O1859">
        <v>2024</v>
      </c>
    </row>
    <row r="1860" spans="1:15" x14ac:dyDescent="0.3">
      <c r="A1860" t="str">
        <f t="shared" si="29"/>
        <v>CN|AccumulatedNewCapacity|RE1|PWRHYDDAM|2024</v>
      </c>
      <c r="B1860" t="s">
        <v>39</v>
      </c>
      <c r="C1860" t="s">
        <v>40</v>
      </c>
      <c r="D1860" t="s">
        <v>18</v>
      </c>
      <c r="E1860" t="s">
        <v>19</v>
      </c>
      <c r="F1860" t="s">
        <v>24</v>
      </c>
      <c r="O1860">
        <v>2024</v>
      </c>
    </row>
    <row r="1861" spans="1:15" x14ac:dyDescent="0.3">
      <c r="A1861" t="str">
        <f t="shared" si="29"/>
        <v>CN|AccumulatedNewCapacity|RE1|PWRHYDROR|2024</v>
      </c>
      <c r="B1861" t="s">
        <v>39</v>
      </c>
      <c r="C1861" t="s">
        <v>40</v>
      </c>
      <c r="D1861" t="s">
        <v>18</v>
      </c>
      <c r="E1861" t="s">
        <v>19</v>
      </c>
      <c r="F1861" t="s">
        <v>25</v>
      </c>
      <c r="O1861">
        <v>2024</v>
      </c>
    </row>
    <row r="1862" spans="1:15" x14ac:dyDescent="0.3">
      <c r="A1862" t="str">
        <f t="shared" si="29"/>
        <v>CN|AccumulatedNewCapacity|RE1|PWRHYDROR_NDC|2024</v>
      </c>
      <c r="B1862" t="s">
        <v>39</v>
      </c>
      <c r="C1862" t="s">
        <v>40</v>
      </c>
      <c r="D1862" t="s">
        <v>18</v>
      </c>
      <c r="E1862" t="s">
        <v>19</v>
      </c>
      <c r="F1862" t="s">
        <v>26</v>
      </c>
      <c r="O1862">
        <v>2024</v>
      </c>
    </row>
    <row r="1863" spans="1:15" x14ac:dyDescent="0.3">
      <c r="A1863" t="str">
        <f t="shared" si="29"/>
        <v>CN|AccumulatedNewCapacity|RE1|PWRJET|2024</v>
      </c>
      <c r="B1863" t="s">
        <v>39</v>
      </c>
      <c r="C1863" t="s">
        <v>40</v>
      </c>
      <c r="D1863" t="s">
        <v>18</v>
      </c>
      <c r="E1863" t="s">
        <v>19</v>
      </c>
      <c r="F1863" t="s">
        <v>27</v>
      </c>
      <c r="O1863">
        <v>2024</v>
      </c>
    </row>
    <row r="1864" spans="1:15" x14ac:dyDescent="0.3">
      <c r="A1864" t="str">
        <f t="shared" si="29"/>
        <v>CN|AccumulatedNewCapacity|RE1|PWRLPG|2024</v>
      </c>
      <c r="B1864" t="s">
        <v>39</v>
      </c>
      <c r="C1864" t="s">
        <v>40</v>
      </c>
      <c r="D1864" t="s">
        <v>18</v>
      </c>
      <c r="E1864" t="s">
        <v>19</v>
      </c>
      <c r="F1864" t="s">
        <v>28</v>
      </c>
      <c r="O1864">
        <v>2024</v>
      </c>
    </row>
    <row r="1865" spans="1:15" x14ac:dyDescent="0.3">
      <c r="A1865" t="str">
        <f t="shared" si="29"/>
        <v>CN|AccumulatedNewCapacity|RE1|PWRNGS_CC|2024</v>
      </c>
      <c r="B1865" t="s">
        <v>39</v>
      </c>
      <c r="C1865" t="s">
        <v>40</v>
      </c>
      <c r="D1865" t="s">
        <v>18</v>
      </c>
      <c r="E1865" t="s">
        <v>19</v>
      </c>
      <c r="F1865" t="s">
        <v>29</v>
      </c>
      <c r="O1865">
        <v>2024</v>
      </c>
    </row>
    <row r="1866" spans="1:15" x14ac:dyDescent="0.3">
      <c r="A1866" t="str">
        <f t="shared" si="29"/>
        <v>CN|AccumulatedNewCapacity|RE1|PWRNGS_CS|2024</v>
      </c>
      <c r="B1866" t="s">
        <v>39</v>
      </c>
      <c r="C1866" t="s">
        <v>40</v>
      </c>
      <c r="D1866" t="s">
        <v>18</v>
      </c>
      <c r="E1866" t="s">
        <v>19</v>
      </c>
      <c r="F1866" t="s">
        <v>30</v>
      </c>
      <c r="O1866">
        <v>2024</v>
      </c>
    </row>
    <row r="1867" spans="1:15" x14ac:dyDescent="0.3">
      <c r="A1867" t="str">
        <f t="shared" si="29"/>
        <v>CN|AccumulatedNewCapacity|RE1|PWRSOLRTP|2024</v>
      </c>
      <c r="B1867" t="s">
        <v>39</v>
      </c>
      <c r="C1867" t="s">
        <v>40</v>
      </c>
      <c r="D1867" t="s">
        <v>18</v>
      </c>
      <c r="E1867" t="s">
        <v>19</v>
      </c>
      <c r="F1867" t="s">
        <v>31</v>
      </c>
      <c r="O1867">
        <v>2024</v>
      </c>
    </row>
    <row r="1868" spans="1:15" x14ac:dyDescent="0.3">
      <c r="A1868" t="str">
        <f t="shared" si="29"/>
        <v>CN|AccumulatedNewCapacity|RE1|PWRSOLRTP_ZNI|2024</v>
      </c>
      <c r="B1868" t="s">
        <v>39</v>
      </c>
      <c r="C1868" t="s">
        <v>40</v>
      </c>
      <c r="D1868" t="s">
        <v>18</v>
      </c>
      <c r="E1868" t="s">
        <v>19</v>
      </c>
      <c r="F1868" t="s">
        <v>32</v>
      </c>
      <c r="O1868">
        <v>2024</v>
      </c>
    </row>
    <row r="1869" spans="1:15" x14ac:dyDescent="0.3">
      <c r="A1869" t="str">
        <f t="shared" si="29"/>
        <v>CN|AccumulatedNewCapacity|RE1|PWRSOLUGE|2024</v>
      </c>
      <c r="B1869" t="s">
        <v>39</v>
      </c>
      <c r="C1869" t="s">
        <v>40</v>
      </c>
      <c r="D1869" t="s">
        <v>18</v>
      </c>
      <c r="E1869" t="s">
        <v>19</v>
      </c>
      <c r="F1869" t="s">
        <v>33</v>
      </c>
      <c r="O1869">
        <v>2024</v>
      </c>
    </row>
    <row r="1870" spans="1:15" x14ac:dyDescent="0.3">
      <c r="A1870" t="str">
        <f t="shared" si="29"/>
        <v>CN|AccumulatedNewCapacity|RE1|PWRSOLUGE_BAT|2024</v>
      </c>
      <c r="B1870" t="s">
        <v>39</v>
      </c>
      <c r="C1870" t="s">
        <v>40</v>
      </c>
      <c r="D1870" t="s">
        <v>18</v>
      </c>
      <c r="E1870" t="s">
        <v>19</v>
      </c>
      <c r="F1870" t="s">
        <v>41</v>
      </c>
      <c r="O1870">
        <v>2024</v>
      </c>
    </row>
    <row r="1871" spans="1:15" x14ac:dyDescent="0.3">
      <c r="A1871" t="str">
        <f t="shared" si="29"/>
        <v>CN|AccumulatedNewCapacity|RE1|PWRSOLUPE|2024</v>
      </c>
      <c r="B1871" t="s">
        <v>39</v>
      </c>
      <c r="C1871" t="s">
        <v>40</v>
      </c>
      <c r="D1871" t="s">
        <v>18</v>
      </c>
      <c r="E1871" t="s">
        <v>19</v>
      </c>
      <c r="F1871" t="s">
        <v>34</v>
      </c>
      <c r="O1871">
        <v>2024</v>
      </c>
    </row>
    <row r="1872" spans="1:15" x14ac:dyDescent="0.3">
      <c r="A1872" t="str">
        <f t="shared" si="29"/>
        <v>CN|AccumulatedNewCapacity|RE1|PWRSTD|2024</v>
      </c>
      <c r="B1872" t="s">
        <v>39</v>
      </c>
      <c r="C1872" t="s">
        <v>40</v>
      </c>
      <c r="D1872" t="s">
        <v>18</v>
      </c>
      <c r="E1872" t="s">
        <v>19</v>
      </c>
      <c r="F1872" t="s">
        <v>35</v>
      </c>
      <c r="O1872">
        <v>2024</v>
      </c>
    </row>
    <row r="1873" spans="1:15" x14ac:dyDescent="0.3">
      <c r="A1873" t="str">
        <f t="shared" si="29"/>
        <v>CN|AccumulatedNewCapacity|RE1|PWRWNDOFS_FIX|2024</v>
      </c>
      <c r="B1873" t="s">
        <v>39</v>
      </c>
      <c r="C1873" t="s">
        <v>40</v>
      </c>
      <c r="D1873" t="s">
        <v>18</v>
      </c>
      <c r="E1873" t="s">
        <v>19</v>
      </c>
      <c r="F1873" t="s">
        <v>42</v>
      </c>
      <c r="O1873">
        <v>2024</v>
      </c>
    </row>
    <row r="1874" spans="1:15" x14ac:dyDescent="0.3">
      <c r="A1874" t="str">
        <f t="shared" si="29"/>
        <v>CN|AccumulatedNewCapacity|RE1|PWRWNDOFS_FLO|2024</v>
      </c>
      <c r="B1874" t="s">
        <v>39</v>
      </c>
      <c r="C1874" t="s">
        <v>40</v>
      </c>
      <c r="D1874" t="s">
        <v>18</v>
      </c>
      <c r="E1874" t="s">
        <v>19</v>
      </c>
      <c r="F1874" t="s">
        <v>43</v>
      </c>
      <c r="O1874">
        <v>2024</v>
      </c>
    </row>
    <row r="1875" spans="1:15" x14ac:dyDescent="0.3">
      <c r="A1875" t="str">
        <f t="shared" si="29"/>
        <v>CN|AccumulatedNewCapacity|RE1|PWRWNDONS|2024</v>
      </c>
      <c r="B1875" t="s">
        <v>39</v>
      </c>
      <c r="C1875" t="s">
        <v>40</v>
      </c>
      <c r="D1875" t="s">
        <v>18</v>
      </c>
      <c r="E1875" t="s">
        <v>19</v>
      </c>
      <c r="F1875" t="s">
        <v>36</v>
      </c>
      <c r="O1875">
        <v>2024</v>
      </c>
    </row>
    <row r="1876" spans="1:15" x14ac:dyDescent="0.3">
      <c r="A1876" t="str">
        <f t="shared" si="29"/>
        <v>CN|NewCapacity|RE1|PWRBGS|2024</v>
      </c>
      <c r="B1876" t="s">
        <v>39</v>
      </c>
      <c r="C1876" t="s">
        <v>40</v>
      </c>
      <c r="D1876" t="s">
        <v>37</v>
      </c>
      <c r="E1876" t="s">
        <v>19</v>
      </c>
      <c r="F1876" t="s">
        <v>20</v>
      </c>
      <c r="O1876">
        <v>2024</v>
      </c>
    </row>
    <row r="1877" spans="1:15" x14ac:dyDescent="0.3">
      <c r="A1877" t="str">
        <f t="shared" si="29"/>
        <v>CN|NewCapacity|RE1|PWRCOA|2024</v>
      </c>
      <c r="B1877" t="s">
        <v>39</v>
      </c>
      <c r="C1877" t="s">
        <v>40</v>
      </c>
      <c r="D1877" t="s">
        <v>37</v>
      </c>
      <c r="E1877" t="s">
        <v>19</v>
      </c>
      <c r="F1877" t="s">
        <v>21</v>
      </c>
      <c r="O1877">
        <v>2024</v>
      </c>
    </row>
    <row r="1878" spans="1:15" x14ac:dyDescent="0.3">
      <c r="A1878" t="str">
        <f t="shared" si="29"/>
        <v>CN|NewCapacity|RE1|PWRDSL|2024</v>
      </c>
      <c r="B1878" t="s">
        <v>39</v>
      </c>
      <c r="C1878" t="s">
        <v>40</v>
      </c>
      <c r="D1878" t="s">
        <v>37</v>
      </c>
      <c r="E1878" t="s">
        <v>19</v>
      </c>
      <c r="F1878" t="s">
        <v>22</v>
      </c>
      <c r="O1878">
        <v>2024</v>
      </c>
    </row>
    <row r="1879" spans="1:15" x14ac:dyDescent="0.3">
      <c r="A1879" t="str">
        <f t="shared" si="29"/>
        <v>CN|NewCapacity|RE1|PWRFOL|2024</v>
      </c>
      <c r="B1879" t="s">
        <v>39</v>
      </c>
      <c r="C1879" t="s">
        <v>40</v>
      </c>
      <c r="D1879" t="s">
        <v>37</v>
      </c>
      <c r="E1879" t="s">
        <v>19</v>
      </c>
      <c r="F1879" t="s">
        <v>23</v>
      </c>
      <c r="O1879">
        <v>2024</v>
      </c>
    </row>
    <row r="1880" spans="1:15" x14ac:dyDescent="0.3">
      <c r="A1880" t="str">
        <f t="shared" si="29"/>
        <v>CN|NewCapacity|RE1|PWRHYDDAM|2024</v>
      </c>
      <c r="B1880" t="s">
        <v>39</v>
      </c>
      <c r="C1880" t="s">
        <v>40</v>
      </c>
      <c r="D1880" t="s">
        <v>37</v>
      </c>
      <c r="E1880" t="s">
        <v>19</v>
      </c>
      <c r="F1880" t="s">
        <v>24</v>
      </c>
      <c r="O1880">
        <v>2024</v>
      </c>
    </row>
    <row r="1881" spans="1:15" x14ac:dyDescent="0.3">
      <c r="A1881" t="str">
        <f t="shared" si="29"/>
        <v>CN|NewCapacity|RE1|PWRHYDROR|2024</v>
      </c>
      <c r="B1881" t="s">
        <v>39</v>
      </c>
      <c r="C1881" t="s">
        <v>40</v>
      </c>
      <c r="D1881" t="s">
        <v>37</v>
      </c>
      <c r="E1881" t="s">
        <v>19</v>
      </c>
      <c r="F1881" t="s">
        <v>25</v>
      </c>
      <c r="O1881">
        <v>2024</v>
      </c>
    </row>
    <row r="1882" spans="1:15" x14ac:dyDescent="0.3">
      <c r="A1882" t="str">
        <f t="shared" si="29"/>
        <v>CN|NewCapacity|RE1|PWRHYDROR_NDC|2024</v>
      </c>
      <c r="B1882" t="s">
        <v>39</v>
      </c>
      <c r="C1882" t="s">
        <v>40</v>
      </c>
      <c r="D1882" t="s">
        <v>37</v>
      </c>
      <c r="E1882" t="s">
        <v>19</v>
      </c>
      <c r="F1882" t="s">
        <v>26</v>
      </c>
      <c r="O1882">
        <v>2024</v>
      </c>
    </row>
    <row r="1883" spans="1:15" x14ac:dyDescent="0.3">
      <c r="A1883" t="str">
        <f t="shared" si="29"/>
        <v>CN|NewCapacity|RE1|PWRJET|2024</v>
      </c>
      <c r="B1883" t="s">
        <v>39</v>
      </c>
      <c r="C1883" t="s">
        <v>40</v>
      </c>
      <c r="D1883" t="s">
        <v>37</v>
      </c>
      <c r="E1883" t="s">
        <v>19</v>
      </c>
      <c r="F1883" t="s">
        <v>27</v>
      </c>
      <c r="O1883">
        <v>2024</v>
      </c>
    </row>
    <row r="1884" spans="1:15" x14ac:dyDescent="0.3">
      <c r="A1884" t="str">
        <f t="shared" si="29"/>
        <v>CN|NewCapacity|RE1|PWRLPG|2024</v>
      </c>
      <c r="B1884" t="s">
        <v>39</v>
      </c>
      <c r="C1884" t="s">
        <v>40</v>
      </c>
      <c r="D1884" t="s">
        <v>37</v>
      </c>
      <c r="E1884" t="s">
        <v>19</v>
      </c>
      <c r="F1884" t="s">
        <v>28</v>
      </c>
      <c r="O1884">
        <v>2024</v>
      </c>
    </row>
    <row r="1885" spans="1:15" x14ac:dyDescent="0.3">
      <c r="A1885" t="str">
        <f t="shared" si="29"/>
        <v>CN|NewCapacity|RE1|PWRNGS_CC|2024</v>
      </c>
      <c r="B1885" t="s">
        <v>39</v>
      </c>
      <c r="C1885" t="s">
        <v>40</v>
      </c>
      <c r="D1885" t="s">
        <v>37</v>
      </c>
      <c r="E1885" t="s">
        <v>19</v>
      </c>
      <c r="F1885" t="s">
        <v>29</v>
      </c>
      <c r="O1885">
        <v>2024</v>
      </c>
    </row>
    <row r="1886" spans="1:15" x14ac:dyDescent="0.3">
      <c r="A1886" t="str">
        <f t="shared" si="29"/>
        <v>CN|NewCapacity|RE1|PWRNGS_CS|2024</v>
      </c>
      <c r="B1886" t="s">
        <v>39</v>
      </c>
      <c r="C1886" t="s">
        <v>40</v>
      </c>
      <c r="D1886" t="s">
        <v>37</v>
      </c>
      <c r="E1886" t="s">
        <v>19</v>
      </c>
      <c r="F1886" t="s">
        <v>30</v>
      </c>
      <c r="O1886">
        <v>2024</v>
      </c>
    </row>
    <row r="1887" spans="1:15" x14ac:dyDescent="0.3">
      <c r="A1887" t="str">
        <f t="shared" si="29"/>
        <v>CN|NewCapacity|RE1|PWRSOLRTP|2024</v>
      </c>
      <c r="B1887" t="s">
        <v>39</v>
      </c>
      <c r="C1887" t="s">
        <v>40</v>
      </c>
      <c r="D1887" t="s">
        <v>37</v>
      </c>
      <c r="E1887" t="s">
        <v>19</v>
      </c>
      <c r="F1887" t="s">
        <v>31</v>
      </c>
      <c r="O1887">
        <v>2024</v>
      </c>
    </row>
    <row r="1888" spans="1:15" x14ac:dyDescent="0.3">
      <c r="A1888" t="str">
        <f t="shared" si="29"/>
        <v>CN|NewCapacity|RE1|PWRSOLRTP_ZNI|2024</v>
      </c>
      <c r="B1888" t="s">
        <v>39</v>
      </c>
      <c r="C1888" t="s">
        <v>40</v>
      </c>
      <c r="D1888" t="s">
        <v>37</v>
      </c>
      <c r="E1888" t="s">
        <v>19</v>
      </c>
      <c r="F1888" t="s">
        <v>32</v>
      </c>
      <c r="O1888">
        <v>2024</v>
      </c>
    </row>
    <row r="1889" spans="1:16" x14ac:dyDescent="0.3">
      <c r="A1889" t="str">
        <f t="shared" si="29"/>
        <v>CN|NewCapacity|RE1|PWRSOLUGE|2024</v>
      </c>
      <c r="B1889" t="s">
        <v>39</v>
      </c>
      <c r="C1889" t="s">
        <v>40</v>
      </c>
      <c r="D1889" t="s">
        <v>37</v>
      </c>
      <c r="E1889" t="s">
        <v>19</v>
      </c>
      <c r="F1889" t="s">
        <v>33</v>
      </c>
      <c r="O1889">
        <v>2024</v>
      </c>
    </row>
    <row r="1890" spans="1:16" x14ac:dyDescent="0.3">
      <c r="A1890" t="str">
        <f t="shared" si="29"/>
        <v>CN|NewCapacity|RE1|PWRSOLUGE_BAT|2024</v>
      </c>
      <c r="B1890" t="s">
        <v>39</v>
      </c>
      <c r="C1890" t="s">
        <v>40</v>
      </c>
      <c r="D1890" t="s">
        <v>37</v>
      </c>
      <c r="E1890" t="s">
        <v>19</v>
      </c>
      <c r="F1890" t="s">
        <v>41</v>
      </c>
      <c r="O1890">
        <v>2024</v>
      </c>
    </row>
    <row r="1891" spans="1:16" x14ac:dyDescent="0.3">
      <c r="A1891" t="str">
        <f t="shared" si="29"/>
        <v>CN|NewCapacity|RE1|PWRSOLUPE|2024</v>
      </c>
      <c r="B1891" t="s">
        <v>39</v>
      </c>
      <c r="C1891" t="s">
        <v>40</v>
      </c>
      <c r="D1891" t="s">
        <v>37</v>
      </c>
      <c r="E1891" t="s">
        <v>19</v>
      </c>
      <c r="F1891" t="s">
        <v>34</v>
      </c>
      <c r="O1891">
        <v>2024</v>
      </c>
    </row>
    <row r="1892" spans="1:16" x14ac:dyDescent="0.3">
      <c r="A1892" t="str">
        <f t="shared" si="29"/>
        <v>CN|NewCapacity|RE1|PWRSTD|2024</v>
      </c>
      <c r="B1892" t="s">
        <v>39</v>
      </c>
      <c r="C1892" t="s">
        <v>40</v>
      </c>
      <c r="D1892" t="s">
        <v>37</v>
      </c>
      <c r="E1892" t="s">
        <v>19</v>
      </c>
      <c r="F1892" t="s">
        <v>35</v>
      </c>
      <c r="O1892">
        <v>2024</v>
      </c>
    </row>
    <row r="1893" spans="1:16" x14ac:dyDescent="0.3">
      <c r="A1893" t="str">
        <f t="shared" si="29"/>
        <v>CN|NewCapacity|RE1|PWRWNDOFS_FIX|2024</v>
      </c>
      <c r="B1893" t="s">
        <v>39</v>
      </c>
      <c r="C1893" t="s">
        <v>40</v>
      </c>
      <c r="D1893" t="s">
        <v>37</v>
      </c>
      <c r="E1893" t="s">
        <v>19</v>
      </c>
      <c r="F1893" t="s">
        <v>42</v>
      </c>
      <c r="O1893">
        <v>2024</v>
      </c>
    </row>
    <row r="1894" spans="1:16" x14ac:dyDescent="0.3">
      <c r="A1894" t="str">
        <f t="shared" si="29"/>
        <v>CN|NewCapacity|RE1|PWRWNDOFS_FLO|2024</v>
      </c>
      <c r="B1894" t="s">
        <v>39</v>
      </c>
      <c r="C1894" t="s">
        <v>40</v>
      </c>
      <c r="D1894" t="s">
        <v>37</v>
      </c>
      <c r="E1894" t="s">
        <v>19</v>
      </c>
      <c r="F1894" t="s">
        <v>43</v>
      </c>
      <c r="O1894">
        <v>2024</v>
      </c>
    </row>
    <row r="1895" spans="1:16" x14ac:dyDescent="0.3">
      <c r="A1895" t="str">
        <f t="shared" si="29"/>
        <v>CN|NewCapacity|RE1|PWRWNDONS|2024</v>
      </c>
      <c r="B1895" t="s">
        <v>39</v>
      </c>
      <c r="C1895" t="s">
        <v>40</v>
      </c>
      <c r="D1895" t="s">
        <v>37</v>
      </c>
      <c r="E1895" t="s">
        <v>19</v>
      </c>
      <c r="F1895" t="s">
        <v>36</v>
      </c>
      <c r="O1895">
        <v>2024</v>
      </c>
    </row>
    <row r="1896" spans="1:16" x14ac:dyDescent="0.3">
      <c r="A1896" t="str">
        <f t="shared" si="29"/>
        <v>CN|TotalCapacityAnnual|RE1|PWRBGS|2024</v>
      </c>
      <c r="B1896" t="s">
        <v>39</v>
      </c>
      <c r="C1896" t="s">
        <v>40</v>
      </c>
      <c r="D1896" t="s">
        <v>38</v>
      </c>
      <c r="E1896" t="s">
        <v>19</v>
      </c>
      <c r="F1896" t="s">
        <v>20</v>
      </c>
      <c r="O1896">
        <v>2024</v>
      </c>
      <c r="P1896">
        <v>2.5488587520000001E-2</v>
      </c>
    </row>
    <row r="1897" spans="1:16" x14ac:dyDescent="0.3">
      <c r="A1897" t="str">
        <f t="shared" si="29"/>
        <v>CN|TotalCapacityAnnual|RE1|PWRCOA|2024</v>
      </c>
      <c r="B1897" t="s">
        <v>39</v>
      </c>
      <c r="C1897" t="s">
        <v>40</v>
      </c>
      <c r="D1897" t="s">
        <v>38</v>
      </c>
      <c r="E1897" t="s">
        <v>19</v>
      </c>
      <c r="F1897" t="s">
        <v>21</v>
      </c>
      <c r="O1897">
        <v>2024</v>
      </c>
      <c r="P1897">
        <v>50.867567999999991</v>
      </c>
    </row>
    <row r="1898" spans="1:16" x14ac:dyDescent="0.3">
      <c r="A1898" t="str">
        <f t="shared" si="29"/>
        <v>CN|TotalCapacityAnnual|RE1|PWRDSL|2024</v>
      </c>
      <c r="B1898" t="s">
        <v>39</v>
      </c>
      <c r="C1898" t="s">
        <v>40</v>
      </c>
      <c r="D1898" t="s">
        <v>38</v>
      </c>
      <c r="E1898" t="s">
        <v>19</v>
      </c>
      <c r="F1898" t="s">
        <v>22</v>
      </c>
      <c r="O1898">
        <v>2024</v>
      </c>
      <c r="P1898">
        <v>28.477008000000001</v>
      </c>
    </row>
    <row r="1899" spans="1:16" x14ac:dyDescent="0.3">
      <c r="A1899" t="str">
        <f t="shared" si="29"/>
        <v>CN|TotalCapacityAnnual|RE1|PWRFOL|2024</v>
      </c>
      <c r="B1899" t="s">
        <v>39</v>
      </c>
      <c r="C1899" t="s">
        <v>40</v>
      </c>
      <c r="D1899" t="s">
        <v>38</v>
      </c>
      <c r="E1899" t="s">
        <v>19</v>
      </c>
      <c r="F1899" t="s">
        <v>23</v>
      </c>
      <c r="O1899">
        <v>2024</v>
      </c>
      <c r="P1899">
        <v>8.3885759999999987</v>
      </c>
    </row>
    <row r="1900" spans="1:16" x14ac:dyDescent="0.3">
      <c r="A1900" t="str">
        <f t="shared" si="29"/>
        <v>CN|TotalCapacityAnnual|RE1|PWRHYDDAM|2024</v>
      </c>
      <c r="B1900" t="s">
        <v>39</v>
      </c>
      <c r="C1900" t="s">
        <v>40</v>
      </c>
      <c r="D1900" t="s">
        <v>38</v>
      </c>
      <c r="E1900" t="s">
        <v>19</v>
      </c>
      <c r="F1900" t="s">
        <v>24</v>
      </c>
      <c r="O1900">
        <v>2024</v>
      </c>
      <c r="P1900">
        <v>364.808448</v>
      </c>
    </row>
    <row r="1901" spans="1:16" x14ac:dyDescent="0.3">
      <c r="A1901" t="str">
        <f t="shared" si="29"/>
        <v>CN|TotalCapacityAnnual|RE1|PWRHYDROR|2024</v>
      </c>
      <c r="B1901" t="s">
        <v>39</v>
      </c>
      <c r="C1901" t="s">
        <v>40</v>
      </c>
      <c r="D1901" t="s">
        <v>38</v>
      </c>
      <c r="E1901" t="s">
        <v>19</v>
      </c>
      <c r="F1901" t="s">
        <v>25</v>
      </c>
      <c r="O1901">
        <v>2024</v>
      </c>
      <c r="P1901">
        <v>21.097584000000001</v>
      </c>
    </row>
    <row r="1902" spans="1:16" x14ac:dyDescent="0.3">
      <c r="A1902" t="str">
        <f t="shared" si="29"/>
        <v>CN|TotalCapacityAnnual|RE1|PWRHYDROR_NDC|2024</v>
      </c>
      <c r="B1902" t="s">
        <v>39</v>
      </c>
      <c r="C1902" t="s">
        <v>40</v>
      </c>
      <c r="D1902" t="s">
        <v>38</v>
      </c>
      <c r="E1902" t="s">
        <v>19</v>
      </c>
      <c r="F1902" t="s">
        <v>26</v>
      </c>
      <c r="O1902">
        <v>2024</v>
      </c>
      <c r="P1902">
        <v>29.725108271999989</v>
      </c>
    </row>
    <row r="1903" spans="1:16" x14ac:dyDescent="0.3">
      <c r="A1903" t="str">
        <f t="shared" si="29"/>
        <v>CN|TotalCapacityAnnual|RE1|PWRJET|2024</v>
      </c>
      <c r="B1903" t="s">
        <v>39</v>
      </c>
      <c r="C1903" t="s">
        <v>40</v>
      </c>
      <c r="D1903" t="s">
        <v>38</v>
      </c>
      <c r="E1903" t="s">
        <v>19</v>
      </c>
      <c r="F1903" t="s">
        <v>27</v>
      </c>
      <c r="O1903">
        <v>2024</v>
      </c>
      <c r="P1903">
        <v>1.5768</v>
      </c>
    </row>
    <row r="1904" spans="1:16" x14ac:dyDescent="0.3">
      <c r="A1904" t="str">
        <f t="shared" si="29"/>
        <v>CN|TotalCapacityAnnual|RE1|PWRLPG|2024</v>
      </c>
      <c r="B1904" t="s">
        <v>39</v>
      </c>
      <c r="C1904" t="s">
        <v>40</v>
      </c>
      <c r="D1904" t="s">
        <v>38</v>
      </c>
      <c r="E1904" t="s">
        <v>19</v>
      </c>
      <c r="F1904" t="s">
        <v>28</v>
      </c>
      <c r="O1904">
        <v>2024</v>
      </c>
      <c r="P1904">
        <v>1.639872</v>
      </c>
    </row>
    <row r="1905" spans="1:16" x14ac:dyDescent="0.3">
      <c r="A1905" t="str">
        <f t="shared" si="29"/>
        <v>CN|TotalCapacityAnnual|RE1|PWRNGS_CC|2024</v>
      </c>
      <c r="B1905" t="s">
        <v>39</v>
      </c>
      <c r="C1905" t="s">
        <v>40</v>
      </c>
      <c r="D1905" t="s">
        <v>38</v>
      </c>
      <c r="E1905" t="s">
        <v>19</v>
      </c>
      <c r="F1905" t="s">
        <v>29</v>
      </c>
      <c r="O1905">
        <v>2024</v>
      </c>
      <c r="P1905">
        <v>70.104500000000002</v>
      </c>
    </row>
    <row r="1906" spans="1:16" x14ac:dyDescent="0.3">
      <c r="A1906" t="str">
        <f t="shared" si="29"/>
        <v>CN|TotalCapacityAnnual|RE1|PWRNGS_CS|2024</v>
      </c>
      <c r="B1906" t="s">
        <v>39</v>
      </c>
      <c r="C1906" t="s">
        <v>40</v>
      </c>
      <c r="D1906" t="s">
        <v>38</v>
      </c>
      <c r="E1906" t="s">
        <v>19</v>
      </c>
      <c r="F1906" t="s">
        <v>30</v>
      </c>
      <c r="O1906">
        <v>2024</v>
      </c>
      <c r="P1906">
        <v>23.967359999999999</v>
      </c>
    </row>
    <row r="1907" spans="1:16" x14ac:dyDescent="0.3">
      <c r="A1907" t="str">
        <f t="shared" si="29"/>
        <v>CN|TotalCapacityAnnual|RE1|PWRSOLRTP|2024</v>
      </c>
      <c r="B1907" t="s">
        <v>39</v>
      </c>
      <c r="C1907" t="s">
        <v>40</v>
      </c>
      <c r="D1907" t="s">
        <v>38</v>
      </c>
      <c r="E1907" t="s">
        <v>19</v>
      </c>
      <c r="F1907" t="s">
        <v>31</v>
      </c>
      <c r="O1907">
        <v>2024</v>
      </c>
      <c r="P1907">
        <v>12.221806689999999</v>
      </c>
    </row>
    <row r="1908" spans="1:16" x14ac:dyDescent="0.3">
      <c r="A1908" t="str">
        <f t="shared" si="29"/>
        <v>CN|TotalCapacityAnnual|RE1|PWRSOLRTP_ZNI|2024</v>
      </c>
      <c r="B1908" t="s">
        <v>39</v>
      </c>
      <c r="C1908" t="s">
        <v>40</v>
      </c>
      <c r="D1908" t="s">
        <v>38</v>
      </c>
      <c r="E1908" t="s">
        <v>19</v>
      </c>
      <c r="F1908" t="s">
        <v>32</v>
      </c>
      <c r="O1908">
        <v>2024</v>
      </c>
      <c r="P1908">
        <v>0.46074095999999998</v>
      </c>
    </row>
    <row r="1909" spans="1:16" x14ac:dyDescent="0.3">
      <c r="A1909" t="str">
        <f t="shared" si="29"/>
        <v>CN|TotalCapacityAnnual|RE1|PWRSOLUGE|2024</v>
      </c>
      <c r="B1909" t="s">
        <v>39</v>
      </c>
      <c r="C1909" t="s">
        <v>40</v>
      </c>
      <c r="D1909" t="s">
        <v>38</v>
      </c>
      <c r="E1909" t="s">
        <v>19</v>
      </c>
      <c r="F1909" t="s">
        <v>33</v>
      </c>
      <c r="O1909">
        <v>2024</v>
      </c>
      <c r="P1909">
        <v>43.351908480000013</v>
      </c>
    </row>
    <row r="1910" spans="1:16" x14ac:dyDescent="0.3">
      <c r="A1910" t="str">
        <f t="shared" si="29"/>
        <v>CN|TotalCapacityAnnual|RE1|PWRSOLUGE_BAT|2024</v>
      </c>
      <c r="B1910" t="s">
        <v>39</v>
      </c>
      <c r="C1910" t="s">
        <v>40</v>
      </c>
      <c r="D1910" t="s">
        <v>38</v>
      </c>
      <c r="E1910" t="s">
        <v>19</v>
      </c>
      <c r="F1910" t="s">
        <v>41</v>
      </c>
      <c r="O1910">
        <v>2024</v>
      </c>
    </row>
    <row r="1911" spans="1:16" x14ac:dyDescent="0.3">
      <c r="A1911" t="str">
        <f t="shared" si="29"/>
        <v>CN|TotalCapacityAnnual|RE1|PWRSOLUPE|2024</v>
      </c>
      <c r="B1911" t="s">
        <v>39</v>
      </c>
      <c r="C1911" t="s">
        <v>40</v>
      </c>
      <c r="D1911" t="s">
        <v>38</v>
      </c>
      <c r="E1911" t="s">
        <v>19</v>
      </c>
      <c r="F1911" t="s">
        <v>34</v>
      </c>
      <c r="O1911">
        <v>2024</v>
      </c>
      <c r="P1911">
        <v>25.36330104</v>
      </c>
    </row>
    <row r="1912" spans="1:16" x14ac:dyDescent="0.3">
      <c r="A1912" t="str">
        <f t="shared" si="29"/>
        <v>CN|TotalCapacityAnnual|RE1|PWRSTD|2024</v>
      </c>
      <c r="B1912" t="s">
        <v>39</v>
      </c>
      <c r="C1912" t="s">
        <v>40</v>
      </c>
      <c r="D1912" t="s">
        <v>38</v>
      </c>
      <c r="E1912" t="s">
        <v>19</v>
      </c>
      <c r="F1912" t="s">
        <v>35</v>
      </c>
      <c r="O1912">
        <v>2024</v>
      </c>
      <c r="P1912">
        <v>8.163062064</v>
      </c>
    </row>
    <row r="1913" spans="1:16" x14ac:dyDescent="0.3">
      <c r="A1913" t="str">
        <f t="shared" si="29"/>
        <v>CN|TotalCapacityAnnual|RE1|PWRWNDOFS_FIX|2024</v>
      </c>
      <c r="B1913" t="s">
        <v>39</v>
      </c>
      <c r="C1913" t="s">
        <v>40</v>
      </c>
      <c r="D1913" t="s">
        <v>38</v>
      </c>
      <c r="E1913" t="s">
        <v>19</v>
      </c>
      <c r="F1913" t="s">
        <v>42</v>
      </c>
      <c r="O1913">
        <v>2024</v>
      </c>
    </row>
    <row r="1914" spans="1:16" x14ac:dyDescent="0.3">
      <c r="A1914" t="str">
        <f t="shared" si="29"/>
        <v>CN|TotalCapacityAnnual|RE1|PWRWNDOFS_FLO|2024</v>
      </c>
      <c r="B1914" t="s">
        <v>39</v>
      </c>
      <c r="C1914" t="s">
        <v>40</v>
      </c>
      <c r="D1914" t="s">
        <v>38</v>
      </c>
      <c r="E1914" t="s">
        <v>19</v>
      </c>
      <c r="F1914" t="s">
        <v>43</v>
      </c>
      <c r="O1914">
        <v>2024</v>
      </c>
    </row>
    <row r="1915" spans="1:16" x14ac:dyDescent="0.3">
      <c r="A1915" t="str">
        <f t="shared" si="29"/>
        <v>CN|TotalCapacityAnnual|RE1|PWRWNDONS|2024</v>
      </c>
      <c r="B1915" t="s">
        <v>39</v>
      </c>
      <c r="C1915" t="s">
        <v>40</v>
      </c>
      <c r="D1915" t="s">
        <v>38</v>
      </c>
      <c r="E1915" t="s">
        <v>19</v>
      </c>
      <c r="F1915" t="s">
        <v>36</v>
      </c>
      <c r="O1915">
        <v>2024</v>
      </c>
      <c r="P1915">
        <v>1.0659168000000001</v>
      </c>
    </row>
    <row r="1916" spans="1:16" x14ac:dyDescent="0.3">
      <c r="A1916" t="str">
        <f t="shared" si="29"/>
        <v>CN|AccumulatedNewCapacity|RE1|PWRBGS|2025</v>
      </c>
      <c r="B1916" t="s">
        <v>39</v>
      </c>
      <c r="C1916" t="s">
        <v>40</v>
      </c>
      <c r="D1916" t="s">
        <v>18</v>
      </c>
      <c r="E1916" t="s">
        <v>19</v>
      </c>
      <c r="F1916" t="s">
        <v>20</v>
      </c>
      <c r="O1916">
        <v>2025</v>
      </c>
    </row>
    <row r="1917" spans="1:16" x14ac:dyDescent="0.3">
      <c r="A1917" t="str">
        <f t="shared" si="29"/>
        <v>CN|AccumulatedNewCapacity|RE1|PWRCOA|2025</v>
      </c>
      <c r="B1917" t="s">
        <v>39</v>
      </c>
      <c r="C1917" t="s">
        <v>40</v>
      </c>
      <c r="D1917" t="s">
        <v>18</v>
      </c>
      <c r="E1917" t="s">
        <v>19</v>
      </c>
      <c r="F1917" t="s">
        <v>21</v>
      </c>
      <c r="O1917">
        <v>2025</v>
      </c>
    </row>
    <row r="1918" spans="1:16" x14ac:dyDescent="0.3">
      <c r="A1918" t="str">
        <f t="shared" si="29"/>
        <v>CN|AccumulatedNewCapacity|RE1|PWRDSL|2025</v>
      </c>
      <c r="B1918" t="s">
        <v>39</v>
      </c>
      <c r="C1918" t="s">
        <v>40</v>
      </c>
      <c r="D1918" t="s">
        <v>18</v>
      </c>
      <c r="E1918" t="s">
        <v>19</v>
      </c>
      <c r="F1918" t="s">
        <v>22</v>
      </c>
      <c r="O1918">
        <v>2025</v>
      </c>
    </row>
    <row r="1919" spans="1:16" x14ac:dyDescent="0.3">
      <c r="A1919" t="str">
        <f t="shared" si="29"/>
        <v>CN|AccumulatedNewCapacity|RE1|PWRFOL|2025</v>
      </c>
      <c r="B1919" t="s">
        <v>39</v>
      </c>
      <c r="C1919" t="s">
        <v>40</v>
      </c>
      <c r="D1919" t="s">
        <v>18</v>
      </c>
      <c r="E1919" t="s">
        <v>19</v>
      </c>
      <c r="F1919" t="s">
        <v>23</v>
      </c>
      <c r="O1919">
        <v>2025</v>
      </c>
    </row>
    <row r="1920" spans="1:16" x14ac:dyDescent="0.3">
      <c r="A1920" t="str">
        <f t="shared" si="29"/>
        <v>CN|AccumulatedNewCapacity|RE1|PWRHYDDAM|2025</v>
      </c>
      <c r="B1920" t="s">
        <v>39</v>
      </c>
      <c r="C1920" t="s">
        <v>40</v>
      </c>
      <c r="D1920" t="s">
        <v>18</v>
      </c>
      <c r="E1920" t="s">
        <v>19</v>
      </c>
      <c r="F1920" t="s">
        <v>24</v>
      </c>
      <c r="O1920">
        <v>2025</v>
      </c>
    </row>
    <row r="1921" spans="1:16" x14ac:dyDescent="0.3">
      <c r="A1921" t="str">
        <f t="shared" si="29"/>
        <v>CN|AccumulatedNewCapacity|RE1|PWRHYDROR|2025</v>
      </c>
      <c r="B1921" t="s">
        <v>39</v>
      </c>
      <c r="C1921" t="s">
        <v>40</v>
      </c>
      <c r="D1921" t="s">
        <v>18</v>
      </c>
      <c r="E1921" t="s">
        <v>19</v>
      </c>
      <c r="F1921" t="s">
        <v>25</v>
      </c>
      <c r="O1921">
        <v>2025</v>
      </c>
    </row>
    <row r="1922" spans="1:16" x14ac:dyDescent="0.3">
      <c r="A1922" t="str">
        <f t="shared" ref="A1922:A1985" si="30">B1922&amp;"|"&amp;D1922&amp;"|"&amp;E1922&amp;"|"&amp;F1922&amp;"|"&amp;O1922</f>
        <v>CN|AccumulatedNewCapacity|RE1|PWRHYDROR_NDC|2025</v>
      </c>
      <c r="B1922" t="s">
        <v>39</v>
      </c>
      <c r="C1922" t="s">
        <v>40</v>
      </c>
      <c r="D1922" t="s">
        <v>18</v>
      </c>
      <c r="E1922" t="s">
        <v>19</v>
      </c>
      <c r="F1922" t="s">
        <v>26</v>
      </c>
      <c r="O1922">
        <v>2025</v>
      </c>
    </row>
    <row r="1923" spans="1:16" x14ac:dyDescent="0.3">
      <c r="A1923" t="str">
        <f t="shared" si="30"/>
        <v>CN|AccumulatedNewCapacity|RE1|PWRJET|2025</v>
      </c>
      <c r="B1923" t="s">
        <v>39</v>
      </c>
      <c r="C1923" t="s">
        <v>40</v>
      </c>
      <c r="D1923" t="s">
        <v>18</v>
      </c>
      <c r="E1923" t="s">
        <v>19</v>
      </c>
      <c r="F1923" t="s">
        <v>27</v>
      </c>
      <c r="O1923">
        <v>2025</v>
      </c>
    </row>
    <row r="1924" spans="1:16" x14ac:dyDescent="0.3">
      <c r="A1924" t="str">
        <f t="shared" si="30"/>
        <v>CN|AccumulatedNewCapacity|RE1|PWRLPG|2025</v>
      </c>
      <c r="B1924" t="s">
        <v>39</v>
      </c>
      <c r="C1924" t="s">
        <v>40</v>
      </c>
      <c r="D1924" t="s">
        <v>18</v>
      </c>
      <c r="E1924" t="s">
        <v>19</v>
      </c>
      <c r="F1924" t="s">
        <v>28</v>
      </c>
      <c r="O1924">
        <v>2025</v>
      </c>
    </row>
    <row r="1925" spans="1:16" x14ac:dyDescent="0.3">
      <c r="A1925" t="str">
        <f t="shared" si="30"/>
        <v>CN|AccumulatedNewCapacity|RE1|PWRNGS_CC|2025</v>
      </c>
      <c r="B1925" t="s">
        <v>39</v>
      </c>
      <c r="C1925" t="s">
        <v>40</v>
      </c>
      <c r="D1925" t="s">
        <v>18</v>
      </c>
      <c r="E1925" t="s">
        <v>19</v>
      </c>
      <c r="F1925" t="s">
        <v>29</v>
      </c>
      <c r="O1925">
        <v>2025</v>
      </c>
    </row>
    <row r="1926" spans="1:16" x14ac:dyDescent="0.3">
      <c r="A1926" t="str">
        <f t="shared" si="30"/>
        <v>CN|AccumulatedNewCapacity|RE1|PWRNGS_CS|2025</v>
      </c>
      <c r="B1926" t="s">
        <v>39</v>
      </c>
      <c r="C1926" t="s">
        <v>40</v>
      </c>
      <c r="D1926" t="s">
        <v>18</v>
      </c>
      <c r="E1926" t="s">
        <v>19</v>
      </c>
      <c r="F1926" t="s">
        <v>30</v>
      </c>
      <c r="O1926">
        <v>2025</v>
      </c>
    </row>
    <row r="1927" spans="1:16" x14ac:dyDescent="0.3">
      <c r="A1927" t="str">
        <f t="shared" si="30"/>
        <v>CN|AccumulatedNewCapacity|RE1|PWRSOLRTP|2025</v>
      </c>
      <c r="B1927" t="s">
        <v>39</v>
      </c>
      <c r="C1927" t="s">
        <v>40</v>
      </c>
      <c r="D1927" t="s">
        <v>18</v>
      </c>
      <c r="E1927" t="s">
        <v>19</v>
      </c>
      <c r="F1927" t="s">
        <v>31</v>
      </c>
      <c r="O1927">
        <v>2025</v>
      </c>
    </row>
    <row r="1928" spans="1:16" x14ac:dyDescent="0.3">
      <c r="A1928" t="str">
        <f t="shared" si="30"/>
        <v>CN|AccumulatedNewCapacity|RE1|PWRSOLRTP_ZNI|2025</v>
      </c>
      <c r="B1928" t="s">
        <v>39</v>
      </c>
      <c r="C1928" t="s">
        <v>40</v>
      </c>
      <c r="D1928" t="s">
        <v>18</v>
      </c>
      <c r="E1928" t="s">
        <v>19</v>
      </c>
      <c r="F1928" t="s">
        <v>32</v>
      </c>
      <c r="O1928">
        <v>2025</v>
      </c>
    </row>
    <row r="1929" spans="1:16" x14ac:dyDescent="0.3">
      <c r="A1929" t="str">
        <f t="shared" si="30"/>
        <v>CN|AccumulatedNewCapacity|RE1|PWRSOLUGE|2025</v>
      </c>
      <c r="B1929" t="s">
        <v>39</v>
      </c>
      <c r="C1929" t="s">
        <v>40</v>
      </c>
      <c r="D1929" t="s">
        <v>18</v>
      </c>
      <c r="E1929" t="s">
        <v>19</v>
      </c>
      <c r="F1929" t="s">
        <v>33</v>
      </c>
      <c r="O1929">
        <v>2025</v>
      </c>
      <c r="P1929">
        <v>6.717168</v>
      </c>
    </row>
    <row r="1930" spans="1:16" x14ac:dyDescent="0.3">
      <c r="A1930" t="str">
        <f t="shared" si="30"/>
        <v>CN|AccumulatedNewCapacity|RE1|PWRSOLUGE_BAT|2025</v>
      </c>
      <c r="B1930" t="s">
        <v>39</v>
      </c>
      <c r="C1930" t="s">
        <v>40</v>
      </c>
      <c r="D1930" t="s">
        <v>18</v>
      </c>
      <c r="E1930" t="s">
        <v>19</v>
      </c>
      <c r="F1930" t="s">
        <v>41</v>
      </c>
      <c r="O1930">
        <v>2025</v>
      </c>
    </row>
    <row r="1931" spans="1:16" x14ac:dyDescent="0.3">
      <c r="A1931" t="str">
        <f t="shared" si="30"/>
        <v>CN|AccumulatedNewCapacity|RE1|PWRSOLUPE|2025</v>
      </c>
      <c r="B1931" t="s">
        <v>39</v>
      </c>
      <c r="C1931" t="s">
        <v>40</v>
      </c>
      <c r="D1931" t="s">
        <v>18</v>
      </c>
      <c r="E1931" t="s">
        <v>19</v>
      </c>
      <c r="F1931" t="s">
        <v>34</v>
      </c>
      <c r="O1931">
        <v>2025</v>
      </c>
      <c r="P1931">
        <v>5.3106623999999574</v>
      </c>
    </row>
    <row r="1932" spans="1:16" x14ac:dyDescent="0.3">
      <c r="A1932" t="str">
        <f t="shared" si="30"/>
        <v>CN|AccumulatedNewCapacity|RE1|PWRSTD|2025</v>
      </c>
      <c r="B1932" t="s">
        <v>39</v>
      </c>
      <c r="C1932" t="s">
        <v>40</v>
      </c>
      <c r="D1932" t="s">
        <v>18</v>
      </c>
      <c r="E1932" t="s">
        <v>19</v>
      </c>
      <c r="F1932" t="s">
        <v>35</v>
      </c>
      <c r="O1932">
        <v>2025</v>
      </c>
    </row>
    <row r="1933" spans="1:16" x14ac:dyDescent="0.3">
      <c r="A1933" t="str">
        <f t="shared" si="30"/>
        <v>CN|AccumulatedNewCapacity|RE1|PWRWNDOFS_FIX|2025</v>
      </c>
      <c r="B1933" t="s">
        <v>39</v>
      </c>
      <c r="C1933" t="s">
        <v>40</v>
      </c>
      <c r="D1933" t="s">
        <v>18</v>
      </c>
      <c r="E1933" t="s">
        <v>19</v>
      </c>
      <c r="F1933" t="s">
        <v>42</v>
      </c>
      <c r="O1933">
        <v>2025</v>
      </c>
    </row>
    <row r="1934" spans="1:16" x14ac:dyDescent="0.3">
      <c r="A1934" t="str">
        <f t="shared" si="30"/>
        <v>CN|AccumulatedNewCapacity|RE1|PWRWNDOFS_FLO|2025</v>
      </c>
      <c r="B1934" t="s">
        <v>39</v>
      </c>
      <c r="C1934" t="s">
        <v>40</v>
      </c>
      <c r="D1934" t="s">
        <v>18</v>
      </c>
      <c r="E1934" t="s">
        <v>19</v>
      </c>
      <c r="F1934" t="s">
        <v>43</v>
      </c>
      <c r="O1934">
        <v>2025</v>
      </c>
    </row>
    <row r="1935" spans="1:16" x14ac:dyDescent="0.3">
      <c r="A1935" t="str">
        <f t="shared" si="30"/>
        <v>CN|AccumulatedNewCapacity|RE1|PWRWNDONS|2025</v>
      </c>
      <c r="B1935" t="s">
        <v>39</v>
      </c>
      <c r="C1935" t="s">
        <v>40</v>
      </c>
      <c r="D1935" t="s">
        <v>18</v>
      </c>
      <c r="E1935" t="s">
        <v>19</v>
      </c>
      <c r="F1935" t="s">
        <v>36</v>
      </c>
      <c r="O1935">
        <v>2025</v>
      </c>
      <c r="P1935">
        <v>0.15362331428571441</v>
      </c>
    </row>
    <row r="1936" spans="1:16" x14ac:dyDescent="0.3">
      <c r="A1936" t="str">
        <f t="shared" si="30"/>
        <v>CN|NewCapacity|RE1|PWRBGS|2025</v>
      </c>
      <c r="B1936" t="s">
        <v>39</v>
      </c>
      <c r="C1936" t="s">
        <v>40</v>
      </c>
      <c r="D1936" t="s">
        <v>37</v>
      </c>
      <c r="E1936" t="s">
        <v>19</v>
      </c>
      <c r="F1936" t="s">
        <v>20</v>
      </c>
      <c r="O1936">
        <v>2025</v>
      </c>
    </row>
    <row r="1937" spans="1:16" x14ac:dyDescent="0.3">
      <c r="A1937" t="str">
        <f t="shared" si="30"/>
        <v>CN|NewCapacity|RE1|PWRCOA|2025</v>
      </c>
      <c r="B1937" t="s">
        <v>39</v>
      </c>
      <c r="C1937" t="s">
        <v>40</v>
      </c>
      <c r="D1937" t="s">
        <v>37</v>
      </c>
      <c r="E1937" t="s">
        <v>19</v>
      </c>
      <c r="F1937" t="s">
        <v>21</v>
      </c>
      <c r="O1937">
        <v>2025</v>
      </c>
    </row>
    <row r="1938" spans="1:16" x14ac:dyDescent="0.3">
      <c r="A1938" t="str">
        <f t="shared" si="30"/>
        <v>CN|NewCapacity|RE1|PWRDSL|2025</v>
      </c>
      <c r="B1938" t="s">
        <v>39</v>
      </c>
      <c r="C1938" t="s">
        <v>40</v>
      </c>
      <c r="D1938" t="s">
        <v>37</v>
      </c>
      <c r="E1938" t="s">
        <v>19</v>
      </c>
      <c r="F1938" t="s">
        <v>22</v>
      </c>
      <c r="O1938">
        <v>2025</v>
      </c>
    </row>
    <row r="1939" spans="1:16" x14ac:dyDescent="0.3">
      <c r="A1939" t="str">
        <f t="shared" si="30"/>
        <v>CN|NewCapacity|RE1|PWRFOL|2025</v>
      </c>
      <c r="B1939" t="s">
        <v>39</v>
      </c>
      <c r="C1939" t="s">
        <v>40</v>
      </c>
      <c r="D1939" t="s">
        <v>37</v>
      </c>
      <c r="E1939" t="s">
        <v>19</v>
      </c>
      <c r="F1939" t="s">
        <v>23</v>
      </c>
      <c r="O1939">
        <v>2025</v>
      </c>
    </row>
    <row r="1940" spans="1:16" x14ac:dyDescent="0.3">
      <c r="A1940" t="str">
        <f t="shared" si="30"/>
        <v>CN|NewCapacity|RE1|PWRHYDDAM|2025</v>
      </c>
      <c r="B1940" t="s">
        <v>39</v>
      </c>
      <c r="C1940" t="s">
        <v>40</v>
      </c>
      <c r="D1940" t="s">
        <v>37</v>
      </c>
      <c r="E1940" t="s">
        <v>19</v>
      </c>
      <c r="F1940" t="s">
        <v>24</v>
      </c>
      <c r="O1940">
        <v>2025</v>
      </c>
    </row>
    <row r="1941" spans="1:16" x14ac:dyDescent="0.3">
      <c r="A1941" t="str">
        <f t="shared" si="30"/>
        <v>CN|NewCapacity|RE1|PWRHYDROR|2025</v>
      </c>
      <c r="B1941" t="s">
        <v>39</v>
      </c>
      <c r="C1941" t="s">
        <v>40</v>
      </c>
      <c r="D1941" t="s">
        <v>37</v>
      </c>
      <c r="E1941" t="s">
        <v>19</v>
      </c>
      <c r="F1941" t="s">
        <v>25</v>
      </c>
      <c r="O1941">
        <v>2025</v>
      </c>
    </row>
    <row r="1942" spans="1:16" x14ac:dyDescent="0.3">
      <c r="A1942" t="str">
        <f t="shared" si="30"/>
        <v>CN|NewCapacity|RE1|PWRHYDROR_NDC|2025</v>
      </c>
      <c r="B1942" t="s">
        <v>39</v>
      </c>
      <c r="C1942" t="s">
        <v>40</v>
      </c>
      <c r="D1942" t="s">
        <v>37</v>
      </c>
      <c r="E1942" t="s">
        <v>19</v>
      </c>
      <c r="F1942" t="s">
        <v>26</v>
      </c>
      <c r="O1942">
        <v>2025</v>
      </c>
    </row>
    <row r="1943" spans="1:16" x14ac:dyDescent="0.3">
      <c r="A1943" t="str">
        <f t="shared" si="30"/>
        <v>CN|NewCapacity|RE1|PWRJET|2025</v>
      </c>
      <c r="B1943" t="s">
        <v>39</v>
      </c>
      <c r="C1943" t="s">
        <v>40</v>
      </c>
      <c r="D1943" t="s">
        <v>37</v>
      </c>
      <c r="E1943" t="s">
        <v>19</v>
      </c>
      <c r="F1943" t="s">
        <v>27</v>
      </c>
      <c r="O1943">
        <v>2025</v>
      </c>
    </row>
    <row r="1944" spans="1:16" x14ac:dyDescent="0.3">
      <c r="A1944" t="str">
        <f t="shared" si="30"/>
        <v>CN|NewCapacity|RE1|PWRLPG|2025</v>
      </c>
      <c r="B1944" t="s">
        <v>39</v>
      </c>
      <c r="C1944" t="s">
        <v>40</v>
      </c>
      <c r="D1944" t="s">
        <v>37</v>
      </c>
      <c r="E1944" t="s">
        <v>19</v>
      </c>
      <c r="F1944" t="s">
        <v>28</v>
      </c>
      <c r="O1944">
        <v>2025</v>
      </c>
    </row>
    <row r="1945" spans="1:16" x14ac:dyDescent="0.3">
      <c r="A1945" t="str">
        <f t="shared" si="30"/>
        <v>CN|NewCapacity|RE1|PWRNGS_CC|2025</v>
      </c>
      <c r="B1945" t="s">
        <v>39</v>
      </c>
      <c r="C1945" t="s">
        <v>40</v>
      </c>
      <c r="D1945" t="s">
        <v>37</v>
      </c>
      <c r="E1945" t="s">
        <v>19</v>
      </c>
      <c r="F1945" t="s">
        <v>29</v>
      </c>
      <c r="O1945">
        <v>2025</v>
      </c>
    </row>
    <row r="1946" spans="1:16" x14ac:dyDescent="0.3">
      <c r="A1946" t="str">
        <f t="shared" si="30"/>
        <v>CN|NewCapacity|RE1|PWRNGS_CS|2025</v>
      </c>
      <c r="B1946" t="s">
        <v>39</v>
      </c>
      <c r="C1946" t="s">
        <v>40</v>
      </c>
      <c r="D1946" t="s">
        <v>37</v>
      </c>
      <c r="E1946" t="s">
        <v>19</v>
      </c>
      <c r="F1946" t="s">
        <v>30</v>
      </c>
      <c r="O1946">
        <v>2025</v>
      </c>
    </row>
    <row r="1947" spans="1:16" x14ac:dyDescent="0.3">
      <c r="A1947" t="str">
        <f t="shared" si="30"/>
        <v>CN|NewCapacity|RE1|PWRSOLRTP|2025</v>
      </c>
      <c r="B1947" t="s">
        <v>39</v>
      </c>
      <c r="C1947" t="s">
        <v>40</v>
      </c>
      <c r="D1947" t="s">
        <v>37</v>
      </c>
      <c r="E1947" t="s">
        <v>19</v>
      </c>
      <c r="F1947" t="s">
        <v>31</v>
      </c>
      <c r="O1947">
        <v>2025</v>
      </c>
    </row>
    <row r="1948" spans="1:16" x14ac:dyDescent="0.3">
      <c r="A1948" t="str">
        <f t="shared" si="30"/>
        <v>CN|NewCapacity|RE1|PWRSOLRTP_ZNI|2025</v>
      </c>
      <c r="B1948" t="s">
        <v>39</v>
      </c>
      <c r="C1948" t="s">
        <v>40</v>
      </c>
      <c r="D1948" t="s">
        <v>37</v>
      </c>
      <c r="E1948" t="s">
        <v>19</v>
      </c>
      <c r="F1948" t="s">
        <v>32</v>
      </c>
      <c r="O1948">
        <v>2025</v>
      </c>
    </row>
    <row r="1949" spans="1:16" x14ac:dyDescent="0.3">
      <c r="A1949" t="str">
        <f t="shared" si="30"/>
        <v>CN|NewCapacity|RE1|PWRSOLUGE|2025</v>
      </c>
      <c r="B1949" t="s">
        <v>39</v>
      </c>
      <c r="C1949" t="s">
        <v>40</v>
      </c>
      <c r="D1949" t="s">
        <v>37</v>
      </c>
      <c r="E1949" t="s">
        <v>19</v>
      </c>
      <c r="F1949" t="s">
        <v>33</v>
      </c>
      <c r="O1949">
        <v>2025</v>
      </c>
      <c r="P1949">
        <v>6.717168</v>
      </c>
    </row>
    <row r="1950" spans="1:16" x14ac:dyDescent="0.3">
      <c r="A1950" t="str">
        <f t="shared" si="30"/>
        <v>CN|NewCapacity|RE1|PWRSOLUGE_BAT|2025</v>
      </c>
      <c r="B1950" t="s">
        <v>39</v>
      </c>
      <c r="C1950" t="s">
        <v>40</v>
      </c>
      <c r="D1950" t="s">
        <v>37</v>
      </c>
      <c r="E1950" t="s">
        <v>19</v>
      </c>
      <c r="F1950" t="s">
        <v>41</v>
      </c>
      <c r="O1950">
        <v>2025</v>
      </c>
    </row>
    <row r="1951" spans="1:16" x14ac:dyDescent="0.3">
      <c r="A1951" t="str">
        <f t="shared" si="30"/>
        <v>CN|NewCapacity|RE1|PWRSOLUPE|2025</v>
      </c>
      <c r="B1951" t="s">
        <v>39</v>
      </c>
      <c r="C1951" t="s">
        <v>40</v>
      </c>
      <c r="D1951" t="s">
        <v>37</v>
      </c>
      <c r="E1951" t="s">
        <v>19</v>
      </c>
      <c r="F1951" t="s">
        <v>34</v>
      </c>
      <c r="O1951">
        <v>2025</v>
      </c>
      <c r="P1951">
        <v>5.3106623999999574</v>
      </c>
    </row>
    <row r="1952" spans="1:16" x14ac:dyDescent="0.3">
      <c r="A1952" t="str">
        <f t="shared" si="30"/>
        <v>CN|NewCapacity|RE1|PWRSTD|2025</v>
      </c>
      <c r="B1952" t="s">
        <v>39</v>
      </c>
      <c r="C1952" t="s">
        <v>40</v>
      </c>
      <c r="D1952" t="s">
        <v>37</v>
      </c>
      <c r="E1952" t="s">
        <v>19</v>
      </c>
      <c r="F1952" t="s">
        <v>35</v>
      </c>
      <c r="O1952">
        <v>2025</v>
      </c>
    </row>
    <row r="1953" spans="1:16" x14ac:dyDescent="0.3">
      <c r="A1953" t="str">
        <f t="shared" si="30"/>
        <v>CN|NewCapacity|RE1|PWRWNDOFS_FIX|2025</v>
      </c>
      <c r="B1953" t="s">
        <v>39</v>
      </c>
      <c r="C1953" t="s">
        <v>40</v>
      </c>
      <c r="D1953" t="s">
        <v>37</v>
      </c>
      <c r="E1953" t="s">
        <v>19</v>
      </c>
      <c r="F1953" t="s">
        <v>42</v>
      </c>
      <c r="O1953">
        <v>2025</v>
      </c>
    </row>
    <row r="1954" spans="1:16" x14ac:dyDescent="0.3">
      <c r="A1954" t="str">
        <f t="shared" si="30"/>
        <v>CN|NewCapacity|RE1|PWRWNDOFS_FLO|2025</v>
      </c>
      <c r="B1954" t="s">
        <v>39</v>
      </c>
      <c r="C1954" t="s">
        <v>40</v>
      </c>
      <c r="D1954" t="s">
        <v>37</v>
      </c>
      <c r="E1954" t="s">
        <v>19</v>
      </c>
      <c r="F1954" t="s">
        <v>43</v>
      </c>
      <c r="O1954">
        <v>2025</v>
      </c>
    </row>
    <row r="1955" spans="1:16" x14ac:dyDescent="0.3">
      <c r="A1955" t="str">
        <f t="shared" si="30"/>
        <v>CN|NewCapacity|RE1|PWRWNDONS|2025</v>
      </c>
      <c r="B1955" t="s">
        <v>39</v>
      </c>
      <c r="C1955" t="s">
        <v>40</v>
      </c>
      <c r="D1955" t="s">
        <v>37</v>
      </c>
      <c r="E1955" t="s">
        <v>19</v>
      </c>
      <c r="F1955" t="s">
        <v>36</v>
      </c>
      <c r="O1955">
        <v>2025</v>
      </c>
      <c r="P1955">
        <v>0.15362331428571441</v>
      </c>
    </row>
    <row r="1956" spans="1:16" x14ac:dyDescent="0.3">
      <c r="A1956" t="str">
        <f t="shared" si="30"/>
        <v>CN|TotalCapacityAnnual|RE1|PWRBGS|2025</v>
      </c>
      <c r="B1956" t="s">
        <v>39</v>
      </c>
      <c r="C1956" t="s">
        <v>40</v>
      </c>
      <c r="D1956" t="s">
        <v>38</v>
      </c>
      <c r="E1956" t="s">
        <v>19</v>
      </c>
      <c r="F1956" t="s">
        <v>20</v>
      </c>
      <c r="O1956">
        <v>2025</v>
      </c>
      <c r="P1956">
        <v>2.5488587520000001E-2</v>
      </c>
    </row>
    <row r="1957" spans="1:16" x14ac:dyDescent="0.3">
      <c r="A1957" t="str">
        <f t="shared" si="30"/>
        <v>CN|TotalCapacityAnnual|RE1|PWRCOA|2025</v>
      </c>
      <c r="B1957" t="s">
        <v>39</v>
      </c>
      <c r="C1957" t="s">
        <v>40</v>
      </c>
      <c r="D1957" t="s">
        <v>38</v>
      </c>
      <c r="E1957" t="s">
        <v>19</v>
      </c>
      <c r="F1957" t="s">
        <v>21</v>
      </c>
      <c r="O1957">
        <v>2025</v>
      </c>
      <c r="P1957">
        <v>50.867567999999991</v>
      </c>
    </row>
    <row r="1958" spans="1:16" x14ac:dyDescent="0.3">
      <c r="A1958" t="str">
        <f t="shared" si="30"/>
        <v>CN|TotalCapacityAnnual|RE1|PWRDSL|2025</v>
      </c>
      <c r="B1958" t="s">
        <v>39</v>
      </c>
      <c r="C1958" t="s">
        <v>40</v>
      </c>
      <c r="D1958" t="s">
        <v>38</v>
      </c>
      <c r="E1958" t="s">
        <v>19</v>
      </c>
      <c r="F1958" t="s">
        <v>22</v>
      </c>
      <c r="O1958">
        <v>2025</v>
      </c>
      <c r="P1958">
        <v>28.477008000000001</v>
      </c>
    </row>
    <row r="1959" spans="1:16" x14ac:dyDescent="0.3">
      <c r="A1959" t="str">
        <f t="shared" si="30"/>
        <v>CN|TotalCapacityAnnual|RE1|PWRFOL|2025</v>
      </c>
      <c r="B1959" t="s">
        <v>39</v>
      </c>
      <c r="C1959" t="s">
        <v>40</v>
      </c>
      <c r="D1959" t="s">
        <v>38</v>
      </c>
      <c r="E1959" t="s">
        <v>19</v>
      </c>
      <c r="F1959" t="s">
        <v>23</v>
      </c>
      <c r="O1959">
        <v>2025</v>
      </c>
      <c r="P1959">
        <v>8.3885759999999987</v>
      </c>
    </row>
    <row r="1960" spans="1:16" x14ac:dyDescent="0.3">
      <c r="A1960" t="str">
        <f t="shared" si="30"/>
        <v>CN|TotalCapacityAnnual|RE1|PWRHYDDAM|2025</v>
      </c>
      <c r="B1960" t="s">
        <v>39</v>
      </c>
      <c r="C1960" t="s">
        <v>40</v>
      </c>
      <c r="D1960" t="s">
        <v>38</v>
      </c>
      <c r="E1960" t="s">
        <v>19</v>
      </c>
      <c r="F1960" t="s">
        <v>24</v>
      </c>
      <c r="O1960">
        <v>2025</v>
      </c>
      <c r="P1960">
        <v>364.808448</v>
      </c>
    </row>
    <row r="1961" spans="1:16" x14ac:dyDescent="0.3">
      <c r="A1961" t="str">
        <f t="shared" si="30"/>
        <v>CN|TotalCapacityAnnual|RE1|PWRHYDROR|2025</v>
      </c>
      <c r="B1961" t="s">
        <v>39</v>
      </c>
      <c r="C1961" t="s">
        <v>40</v>
      </c>
      <c r="D1961" t="s">
        <v>38</v>
      </c>
      <c r="E1961" t="s">
        <v>19</v>
      </c>
      <c r="F1961" t="s">
        <v>25</v>
      </c>
      <c r="O1961">
        <v>2025</v>
      </c>
      <c r="P1961">
        <v>21.097584000000001</v>
      </c>
    </row>
    <row r="1962" spans="1:16" x14ac:dyDescent="0.3">
      <c r="A1962" t="str">
        <f t="shared" si="30"/>
        <v>CN|TotalCapacityAnnual|RE1|PWRHYDROR_NDC|2025</v>
      </c>
      <c r="B1962" t="s">
        <v>39</v>
      </c>
      <c r="C1962" t="s">
        <v>40</v>
      </c>
      <c r="D1962" t="s">
        <v>38</v>
      </c>
      <c r="E1962" t="s">
        <v>19</v>
      </c>
      <c r="F1962" t="s">
        <v>26</v>
      </c>
      <c r="O1962">
        <v>2025</v>
      </c>
      <c r="P1962">
        <v>29.725108271999989</v>
      </c>
    </row>
    <row r="1963" spans="1:16" x14ac:dyDescent="0.3">
      <c r="A1963" t="str">
        <f t="shared" si="30"/>
        <v>CN|TotalCapacityAnnual|RE1|PWRJET|2025</v>
      </c>
      <c r="B1963" t="s">
        <v>39</v>
      </c>
      <c r="C1963" t="s">
        <v>40</v>
      </c>
      <c r="D1963" t="s">
        <v>38</v>
      </c>
      <c r="E1963" t="s">
        <v>19</v>
      </c>
      <c r="F1963" t="s">
        <v>27</v>
      </c>
      <c r="O1963">
        <v>2025</v>
      </c>
      <c r="P1963">
        <v>1.5768</v>
      </c>
    </row>
    <row r="1964" spans="1:16" x14ac:dyDescent="0.3">
      <c r="A1964" t="str">
        <f t="shared" si="30"/>
        <v>CN|TotalCapacityAnnual|RE1|PWRLPG|2025</v>
      </c>
      <c r="B1964" t="s">
        <v>39</v>
      </c>
      <c r="C1964" t="s">
        <v>40</v>
      </c>
      <c r="D1964" t="s">
        <v>38</v>
      </c>
      <c r="E1964" t="s">
        <v>19</v>
      </c>
      <c r="F1964" t="s">
        <v>28</v>
      </c>
      <c r="O1964">
        <v>2025</v>
      </c>
      <c r="P1964">
        <v>1.639872</v>
      </c>
    </row>
    <row r="1965" spans="1:16" x14ac:dyDescent="0.3">
      <c r="A1965" t="str">
        <f t="shared" si="30"/>
        <v>CN|TotalCapacityAnnual|RE1|PWRNGS_CC|2025</v>
      </c>
      <c r="B1965" t="s">
        <v>39</v>
      </c>
      <c r="C1965" t="s">
        <v>40</v>
      </c>
      <c r="D1965" t="s">
        <v>38</v>
      </c>
      <c r="E1965" t="s">
        <v>19</v>
      </c>
      <c r="F1965" t="s">
        <v>29</v>
      </c>
      <c r="O1965">
        <v>2025</v>
      </c>
      <c r="P1965">
        <v>70.104500000000002</v>
      </c>
    </row>
    <row r="1966" spans="1:16" x14ac:dyDescent="0.3">
      <c r="A1966" t="str">
        <f t="shared" si="30"/>
        <v>CN|TotalCapacityAnnual|RE1|PWRNGS_CS|2025</v>
      </c>
      <c r="B1966" t="s">
        <v>39</v>
      </c>
      <c r="C1966" t="s">
        <v>40</v>
      </c>
      <c r="D1966" t="s">
        <v>38</v>
      </c>
      <c r="E1966" t="s">
        <v>19</v>
      </c>
      <c r="F1966" t="s">
        <v>30</v>
      </c>
      <c r="O1966">
        <v>2025</v>
      </c>
      <c r="P1966">
        <v>23.967359999999999</v>
      </c>
    </row>
    <row r="1967" spans="1:16" x14ac:dyDescent="0.3">
      <c r="A1967" t="str">
        <f t="shared" si="30"/>
        <v>CN|TotalCapacityAnnual|RE1|PWRSOLRTP|2025</v>
      </c>
      <c r="B1967" t="s">
        <v>39</v>
      </c>
      <c r="C1967" t="s">
        <v>40</v>
      </c>
      <c r="D1967" t="s">
        <v>38</v>
      </c>
      <c r="E1967" t="s">
        <v>19</v>
      </c>
      <c r="F1967" t="s">
        <v>31</v>
      </c>
      <c r="O1967">
        <v>2025</v>
      </c>
      <c r="P1967">
        <v>21.407262979999999</v>
      </c>
    </row>
    <row r="1968" spans="1:16" x14ac:dyDescent="0.3">
      <c r="A1968" t="str">
        <f t="shared" si="30"/>
        <v>CN|TotalCapacityAnnual|RE1|PWRSOLRTP_ZNI|2025</v>
      </c>
      <c r="B1968" t="s">
        <v>39</v>
      </c>
      <c r="C1968" t="s">
        <v>40</v>
      </c>
      <c r="D1968" t="s">
        <v>38</v>
      </c>
      <c r="E1968" t="s">
        <v>19</v>
      </c>
      <c r="F1968" t="s">
        <v>32</v>
      </c>
      <c r="O1968">
        <v>2025</v>
      </c>
      <c r="P1968">
        <v>0.46074095999999998</v>
      </c>
    </row>
    <row r="1969" spans="1:16" x14ac:dyDescent="0.3">
      <c r="A1969" t="str">
        <f t="shared" si="30"/>
        <v>CN|TotalCapacityAnnual|RE1|PWRSOLUGE|2025</v>
      </c>
      <c r="B1969" t="s">
        <v>39</v>
      </c>
      <c r="C1969" t="s">
        <v>40</v>
      </c>
      <c r="D1969" t="s">
        <v>38</v>
      </c>
      <c r="E1969" t="s">
        <v>19</v>
      </c>
      <c r="F1969" t="s">
        <v>33</v>
      </c>
      <c r="O1969">
        <v>2025</v>
      </c>
      <c r="P1969">
        <v>55.114836480000008</v>
      </c>
    </row>
    <row r="1970" spans="1:16" x14ac:dyDescent="0.3">
      <c r="A1970" t="str">
        <f t="shared" si="30"/>
        <v>CN|TotalCapacityAnnual|RE1|PWRSOLUGE_BAT|2025</v>
      </c>
      <c r="B1970" t="s">
        <v>39</v>
      </c>
      <c r="C1970" t="s">
        <v>40</v>
      </c>
      <c r="D1970" t="s">
        <v>38</v>
      </c>
      <c r="E1970" t="s">
        <v>19</v>
      </c>
      <c r="F1970" t="s">
        <v>41</v>
      </c>
      <c r="O1970">
        <v>2025</v>
      </c>
    </row>
    <row r="1971" spans="1:16" x14ac:dyDescent="0.3">
      <c r="A1971" t="str">
        <f t="shared" si="30"/>
        <v>CN|TotalCapacityAnnual|RE1|PWRSOLUPE|2025</v>
      </c>
      <c r="B1971" t="s">
        <v>39</v>
      </c>
      <c r="C1971" t="s">
        <v>40</v>
      </c>
      <c r="D1971" t="s">
        <v>38</v>
      </c>
      <c r="E1971" t="s">
        <v>19</v>
      </c>
      <c r="F1971" t="s">
        <v>34</v>
      </c>
      <c r="O1971">
        <v>2025</v>
      </c>
      <c r="P1971">
        <v>32.339064239999963</v>
      </c>
    </row>
    <row r="1972" spans="1:16" x14ac:dyDescent="0.3">
      <c r="A1972" t="str">
        <f t="shared" si="30"/>
        <v>CN|TotalCapacityAnnual|RE1|PWRSTD|2025</v>
      </c>
      <c r="B1972" t="s">
        <v>39</v>
      </c>
      <c r="C1972" t="s">
        <v>40</v>
      </c>
      <c r="D1972" t="s">
        <v>38</v>
      </c>
      <c r="E1972" t="s">
        <v>19</v>
      </c>
      <c r="F1972" t="s">
        <v>35</v>
      </c>
      <c r="O1972">
        <v>2025</v>
      </c>
      <c r="P1972">
        <v>8.163062064</v>
      </c>
    </row>
    <row r="1973" spans="1:16" x14ac:dyDescent="0.3">
      <c r="A1973" t="str">
        <f t="shared" si="30"/>
        <v>CN|TotalCapacityAnnual|RE1|PWRWNDOFS_FIX|2025</v>
      </c>
      <c r="B1973" t="s">
        <v>39</v>
      </c>
      <c r="C1973" t="s">
        <v>40</v>
      </c>
      <c r="D1973" t="s">
        <v>38</v>
      </c>
      <c r="E1973" t="s">
        <v>19</v>
      </c>
      <c r="F1973" t="s">
        <v>42</v>
      </c>
      <c r="O1973">
        <v>2025</v>
      </c>
    </row>
    <row r="1974" spans="1:16" x14ac:dyDescent="0.3">
      <c r="A1974" t="str">
        <f t="shared" si="30"/>
        <v>CN|TotalCapacityAnnual|RE1|PWRWNDOFS_FLO|2025</v>
      </c>
      <c r="B1974" t="s">
        <v>39</v>
      </c>
      <c r="C1974" t="s">
        <v>40</v>
      </c>
      <c r="D1974" t="s">
        <v>38</v>
      </c>
      <c r="E1974" t="s">
        <v>19</v>
      </c>
      <c r="F1974" t="s">
        <v>43</v>
      </c>
      <c r="O1974">
        <v>2025</v>
      </c>
    </row>
    <row r="1975" spans="1:16" x14ac:dyDescent="0.3">
      <c r="A1975" t="str">
        <f t="shared" si="30"/>
        <v>CN|TotalCapacityAnnual|RE1|PWRWNDONS|2025</v>
      </c>
      <c r="B1975" t="s">
        <v>39</v>
      </c>
      <c r="C1975" t="s">
        <v>40</v>
      </c>
      <c r="D1975" t="s">
        <v>38</v>
      </c>
      <c r="E1975" t="s">
        <v>19</v>
      </c>
      <c r="F1975" t="s">
        <v>36</v>
      </c>
      <c r="O1975">
        <v>2025</v>
      </c>
      <c r="P1975">
        <v>1.522285714285714</v>
      </c>
    </row>
    <row r="1976" spans="1:16" x14ac:dyDescent="0.3">
      <c r="A1976" t="str">
        <f t="shared" si="30"/>
        <v>CN|AccumulatedNewCapacity|RE1|PWRBGS|2026</v>
      </c>
      <c r="B1976" t="s">
        <v>39</v>
      </c>
      <c r="C1976" t="s">
        <v>40</v>
      </c>
      <c r="D1976" t="s">
        <v>18</v>
      </c>
      <c r="E1976" t="s">
        <v>19</v>
      </c>
      <c r="F1976" t="s">
        <v>20</v>
      </c>
      <c r="O1976">
        <v>2026</v>
      </c>
    </row>
    <row r="1977" spans="1:16" x14ac:dyDescent="0.3">
      <c r="A1977" t="str">
        <f t="shared" si="30"/>
        <v>CN|AccumulatedNewCapacity|RE1|PWRCOA|2026</v>
      </c>
      <c r="B1977" t="s">
        <v>39</v>
      </c>
      <c r="C1977" t="s">
        <v>40</v>
      </c>
      <c r="D1977" t="s">
        <v>18</v>
      </c>
      <c r="E1977" t="s">
        <v>19</v>
      </c>
      <c r="F1977" t="s">
        <v>21</v>
      </c>
      <c r="O1977">
        <v>2026</v>
      </c>
    </row>
    <row r="1978" spans="1:16" x14ac:dyDescent="0.3">
      <c r="A1978" t="str">
        <f t="shared" si="30"/>
        <v>CN|AccumulatedNewCapacity|RE1|PWRDSL|2026</v>
      </c>
      <c r="B1978" t="s">
        <v>39</v>
      </c>
      <c r="C1978" t="s">
        <v>40</v>
      </c>
      <c r="D1978" t="s">
        <v>18</v>
      </c>
      <c r="E1978" t="s">
        <v>19</v>
      </c>
      <c r="F1978" t="s">
        <v>22</v>
      </c>
      <c r="O1978">
        <v>2026</v>
      </c>
    </row>
    <row r="1979" spans="1:16" x14ac:dyDescent="0.3">
      <c r="A1979" t="str">
        <f t="shared" si="30"/>
        <v>CN|AccumulatedNewCapacity|RE1|PWRFOL|2026</v>
      </c>
      <c r="B1979" t="s">
        <v>39</v>
      </c>
      <c r="C1979" t="s">
        <v>40</v>
      </c>
      <c r="D1979" t="s">
        <v>18</v>
      </c>
      <c r="E1979" t="s">
        <v>19</v>
      </c>
      <c r="F1979" t="s">
        <v>23</v>
      </c>
      <c r="O1979">
        <v>2026</v>
      </c>
    </row>
    <row r="1980" spans="1:16" x14ac:dyDescent="0.3">
      <c r="A1980" t="str">
        <f t="shared" si="30"/>
        <v>CN|AccumulatedNewCapacity|RE1|PWRHYDDAM|2026</v>
      </c>
      <c r="B1980" t="s">
        <v>39</v>
      </c>
      <c r="C1980" t="s">
        <v>40</v>
      </c>
      <c r="D1980" t="s">
        <v>18</v>
      </c>
      <c r="E1980" t="s">
        <v>19</v>
      </c>
      <c r="F1980" t="s">
        <v>24</v>
      </c>
      <c r="O1980">
        <v>2026</v>
      </c>
    </row>
    <row r="1981" spans="1:16" x14ac:dyDescent="0.3">
      <c r="A1981" t="str">
        <f t="shared" si="30"/>
        <v>CN|AccumulatedNewCapacity|RE1|PWRHYDROR|2026</v>
      </c>
      <c r="B1981" t="s">
        <v>39</v>
      </c>
      <c r="C1981" t="s">
        <v>40</v>
      </c>
      <c r="D1981" t="s">
        <v>18</v>
      </c>
      <c r="E1981" t="s">
        <v>19</v>
      </c>
      <c r="F1981" t="s">
        <v>25</v>
      </c>
      <c r="O1981">
        <v>2026</v>
      </c>
    </row>
    <row r="1982" spans="1:16" x14ac:dyDescent="0.3">
      <c r="A1982" t="str">
        <f t="shared" si="30"/>
        <v>CN|AccumulatedNewCapacity|RE1|PWRHYDROR_NDC|2026</v>
      </c>
      <c r="B1982" t="s">
        <v>39</v>
      </c>
      <c r="C1982" t="s">
        <v>40</v>
      </c>
      <c r="D1982" t="s">
        <v>18</v>
      </c>
      <c r="E1982" t="s">
        <v>19</v>
      </c>
      <c r="F1982" t="s">
        <v>26</v>
      </c>
      <c r="O1982">
        <v>2026</v>
      </c>
    </row>
    <row r="1983" spans="1:16" x14ac:dyDescent="0.3">
      <c r="A1983" t="str">
        <f t="shared" si="30"/>
        <v>CN|AccumulatedNewCapacity|RE1|PWRJET|2026</v>
      </c>
      <c r="B1983" t="s">
        <v>39</v>
      </c>
      <c r="C1983" t="s">
        <v>40</v>
      </c>
      <c r="D1983" t="s">
        <v>18</v>
      </c>
      <c r="E1983" t="s">
        <v>19</v>
      </c>
      <c r="F1983" t="s">
        <v>27</v>
      </c>
      <c r="O1983">
        <v>2026</v>
      </c>
    </row>
    <row r="1984" spans="1:16" x14ac:dyDescent="0.3">
      <c r="A1984" t="str">
        <f t="shared" si="30"/>
        <v>CN|AccumulatedNewCapacity|RE1|PWRLPG|2026</v>
      </c>
      <c r="B1984" t="s">
        <v>39</v>
      </c>
      <c r="C1984" t="s">
        <v>40</v>
      </c>
      <c r="D1984" t="s">
        <v>18</v>
      </c>
      <c r="E1984" t="s">
        <v>19</v>
      </c>
      <c r="F1984" t="s">
        <v>28</v>
      </c>
      <c r="O1984">
        <v>2026</v>
      </c>
    </row>
    <row r="1985" spans="1:16" x14ac:dyDescent="0.3">
      <c r="A1985" t="str">
        <f t="shared" si="30"/>
        <v>CN|AccumulatedNewCapacity|RE1|PWRNGS_CC|2026</v>
      </c>
      <c r="B1985" t="s">
        <v>39</v>
      </c>
      <c r="C1985" t="s">
        <v>40</v>
      </c>
      <c r="D1985" t="s">
        <v>18</v>
      </c>
      <c r="E1985" t="s">
        <v>19</v>
      </c>
      <c r="F1985" t="s">
        <v>29</v>
      </c>
      <c r="O1985">
        <v>2026</v>
      </c>
    </row>
    <row r="1986" spans="1:16" x14ac:dyDescent="0.3">
      <c r="A1986" t="str">
        <f t="shared" ref="A1986:A2049" si="31">B1986&amp;"|"&amp;D1986&amp;"|"&amp;E1986&amp;"|"&amp;F1986&amp;"|"&amp;O1986</f>
        <v>CN|AccumulatedNewCapacity|RE1|PWRNGS_CS|2026</v>
      </c>
      <c r="B1986" t="s">
        <v>39</v>
      </c>
      <c r="C1986" t="s">
        <v>40</v>
      </c>
      <c r="D1986" t="s">
        <v>18</v>
      </c>
      <c r="E1986" t="s">
        <v>19</v>
      </c>
      <c r="F1986" t="s">
        <v>30</v>
      </c>
      <c r="O1986">
        <v>2026</v>
      </c>
    </row>
    <row r="1987" spans="1:16" x14ac:dyDescent="0.3">
      <c r="A1987" t="str">
        <f t="shared" si="31"/>
        <v>CN|AccumulatedNewCapacity|RE1|PWRSOLRTP|2026</v>
      </c>
      <c r="B1987" t="s">
        <v>39</v>
      </c>
      <c r="C1987" t="s">
        <v>40</v>
      </c>
      <c r="D1987" t="s">
        <v>18</v>
      </c>
      <c r="E1987" t="s">
        <v>19</v>
      </c>
      <c r="F1987" t="s">
        <v>31</v>
      </c>
      <c r="O1987">
        <v>2026</v>
      </c>
      <c r="P1987">
        <v>10.37</v>
      </c>
    </row>
    <row r="1988" spans="1:16" x14ac:dyDescent="0.3">
      <c r="A1988" t="str">
        <f t="shared" si="31"/>
        <v>CN|AccumulatedNewCapacity|RE1|PWRSOLRTP_ZNI|2026</v>
      </c>
      <c r="B1988" t="s">
        <v>39</v>
      </c>
      <c r="C1988" t="s">
        <v>40</v>
      </c>
      <c r="D1988" t="s">
        <v>18</v>
      </c>
      <c r="E1988" t="s">
        <v>19</v>
      </c>
      <c r="F1988" t="s">
        <v>32</v>
      </c>
      <c r="O1988">
        <v>2026</v>
      </c>
    </row>
    <row r="1989" spans="1:16" x14ac:dyDescent="0.3">
      <c r="A1989" t="str">
        <f t="shared" si="31"/>
        <v>CN|AccumulatedNewCapacity|RE1|PWRSOLUGE|2026</v>
      </c>
      <c r="B1989" t="s">
        <v>39</v>
      </c>
      <c r="C1989" t="s">
        <v>40</v>
      </c>
      <c r="D1989" t="s">
        <v>18</v>
      </c>
      <c r="E1989" t="s">
        <v>19</v>
      </c>
      <c r="F1989" t="s">
        <v>33</v>
      </c>
      <c r="O1989">
        <v>2026</v>
      </c>
      <c r="P1989">
        <v>62.504351999999997</v>
      </c>
    </row>
    <row r="1990" spans="1:16" x14ac:dyDescent="0.3">
      <c r="A1990" t="str">
        <f t="shared" si="31"/>
        <v>CN|AccumulatedNewCapacity|RE1|PWRSOLUGE_BAT|2026</v>
      </c>
      <c r="B1990" t="s">
        <v>39</v>
      </c>
      <c r="C1990" t="s">
        <v>40</v>
      </c>
      <c r="D1990" t="s">
        <v>18</v>
      </c>
      <c r="E1990" t="s">
        <v>19</v>
      </c>
      <c r="F1990" t="s">
        <v>41</v>
      </c>
      <c r="O1990">
        <v>2026</v>
      </c>
    </row>
    <row r="1991" spans="1:16" x14ac:dyDescent="0.3">
      <c r="A1991" t="str">
        <f t="shared" si="31"/>
        <v>CN|AccumulatedNewCapacity|RE1|PWRSOLUPE|2026</v>
      </c>
      <c r="B1991" t="s">
        <v>39</v>
      </c>
      <c r="C1991" t="s">
        <v>40</v>
      </c>
      <c r="D1991" t="s">
        <v>18</v>
      </c>
      <c r="E1991" t="s">
        <v>19</v>
      </c>
      <c r="F1991" t="s">
        <v>34</v>
      </c>
      <c r="O1991">
        <v>2026</v>
      </c>
      <c r="P1991">
        <v>8.6752382399999313</v>
      </c>
    </row>
    <row r="1992" spans="1:16" x14ac:dyDescent="0.3">
      <c r="A1992" t="str">
        <f t="shared" si="31"/>
        <v>CN|AccumulatedNewCapacity|RE1|PWRSTD|2026</v>
      </c>
      <c r="B1992" t="s">
        <v>39</v>
      </c>
      <c r="C1992" t="s">
        <v>40</v>
      </c>
      <c r="D1992" t="s">
        <v>18</v>
      </c>
      <c r="E1992" t="s">
        <v>19</v>
      </c>
      <c r="F1992" t="s">
        <v>35</v>
      </c>
      <c r="O1992">
        <v>2026</v>
      </c>
    </row>
    <row r="1993" spans="1:16" x14ac:dyDescent="0.3">
      <c r="A1993" t="str">
        <f t="shared" si="31"/>
        <v>CN|AccumulatedNewCapacity|RE1|PWRWNDOFS_FIX|2026</v>
      </c>
      <c r="B1993" t="s">
        <v>39</v>
      </c>
      <c r="C1993" t="s">
        <v>40</v>
      </c>
      <c r="D1993" t="s">
        <v>18</v>
      </c>
      <c r="E1993" t="s">
        <v>19</v>
      </c>
      <c r="F1993" t="s">
        <v>42</v>
      </c>
      <c r="O1993">
        <v>2026</v>
      </c>
    </row>
    <row r="1994" spans="1:16" x14ac:dyDescent="0.3">
      <c r="A1994" t="str">
        <f t="shared" si="31"/>
        <v>CN|AccumulatedNewCapacity|RE1|PWRWNDOFS_FLO|2026</v>
      </c>
      <c r="B1994" t="s">
        <v>39</v>
      </c>
      <c r="C1994" t="s">
        <v>40</v>
      </c>
      <c r="D1994" t="s">
        <v>18</v>
      </c>
      <c r="E1994" t="s">
        <v>19</v>
      </c>
      <c r="F1994" t="s">
        <v>43</v>
      </c>
      <c r="O1994">
        <v>2026</v>
      </c>
    </row>
    <row r="1995" spans="1:16" x14ac:dyDescent="0.3">
      <c r="A1995" t="str">
        <f t="shared" si="31"/>
        <v>CN|AccumulatedNewCapacity|RE1|PWRWNDONS|2026</v>
      </c>
      <c r="B1995" t="s">
        <v>39</v>
      </c>
      <c r="C1995" t="s">
        <v>40</v>
      </c>
      <c r="D1995" t="s">
        <v>18</v>
      </c>
      <c r="E1995" t="s">
        <v>19</v>
      </c>
      <c r="F1995" t="s">
        <v>36</v>
      </c>
      <c r="O1995">
        <v>2026</v>
      </c>
      <c r="P1995">
        <v>14.28944648443558</v>
      </c>
    </row>
    <row r="1996" spans="1:16" x14ac:dyDescent="0.3">
      <c r="A1996" t="str">
        <f t="shared" si="31"/>
        <v>CN|NewCapacity|RE1|PWRBGS|2026</v>
      </c>
      <c r="B1996" t="s">
        <v>39</v>
      </c>
      <c r="C1996" t="s">
        <v>40</v>
      </c>
      <c r="D1996" t="s">
        <v>37</v>
      </c>
      <c r="E1996" t="s">
        <v>19</v>
      </c>
      <c r="F1996" t="s">
        <v>20</v>
      </c>
      <c r="O1996">
        <v>2026</v>
      </c>
    </row>
    <row r="1997" spans="1:16" x14ac:dyDescent="0.3">
      <c r="A1997" t="str">
        <f t="shared" si="31"/>
        <v>CN|NewCapacity|RE1|PWRCOA|2026</v>
      </c>
      <c r="B1997" t="s">
        <v>39</v>
      </c>
      <c r="C1997" t="s">
        <v>40</v>
      </c>
      <c r="D1997" t="s">
        <v>37</v>
      </c>
      <c r="E1997" t="s">
        <v>19</v>
      </c>
      <c r="F1997" t="s">
        <v>21</v>
      </c>
      <c r="O1997">
        <v>2026</v>
      </c>
    </row>
    <row r="1998" spans="1:16" x14ac:dyDescent="0.3">
      <c r="A1998" t="str">
        <f t="shared" si="31"/>
        <v>CN|NewCapacity|RE1|PWRDSL|2026</v>
      </c>
      <c r="B1998" t="s">
        <v>39</v>
      </c>
      <c r="C1998" t="s">
        <v>40</v>
      </c>
      <c r="D1998" t="s">
        <v>37</v>
      </c>
      <c r="E1998" t="s">
        <v>19</v>
      </c>
      <c r="F1998" t="s">
        <v>22</v>
      </c>
      <c r="O1998">
        <v>2026</v>
      </c>
    </row>
    <row r="1999" spans="1:16" x14ac:dyDescent="0.3">
      <c r="A1999" t="str">
        <f t="shared" si="31"/>
        <v>CN|NewCapacity|RE1|PWRFOL|2026</v>
      </c>
      <c r="B1999" t="s">
        <v>39</v>
      </c>
      <c r="C1999" t="s">
        <v>40</v>
      </c>
      <c r="D1999" t="s">
        <v>37</v>
      </c>
      <c r="E1999" t="s">
        <v>19</v>
      </c>
      <c r="F1999" t="s">
        <v>23</v>
      </c>
      <c r="O1999">
        <v>2026</v>
      </c>
    </row>
    <row r="2000" spans="1:16" x14ac:dyDescent="0.3">
      <c r="A2000" t="str">
        <f t="shared" si="31"/>
        <v>CN|NewCapacity|RE1|PWRHYDDAM|2026</v>
      </c>
      <c r="B2000" t="s">
        <v>39</v>
      </c>
      <c r="C2000" t="s">
        <v>40</v>
      </c>
      <c r="D2000" t="s">
        <v>37</v>
      </c>
      <c r="E2000" t="s">
        <v>19</v>
      </c>
      <c r="F2000" t="s">
        <v>24</v>
      </c>
      <c r="O2000">
        <v>2026</v>
      </c>
    </row>
    <row r="2001" spans="1:16" x14ac:dyDescent="0.3">
      <c r="A2001" t="str">
        <f t="shared" si="31"/>
        <v>CN|NewCapacity|RE1|PWRHYDROR|2026</v>
      </c>
      <c r="B2001" t="s">
        <v>39</v>
      </c>
      <c r="C2001" t="s">
        <v>40</v>
      </c>
      <c r="D2001" t="s">
        <v>37</v>
      </c>
      <c r="E2001" t="s">
        <v>19</v>
      </c>
      <c r="F2001" t="s">
        <v>25</v>
      </c>
      <c r="O2001">
        <v>2026</v>
      </c>
    </row>
    <row r="2002" spans="1:16" x14ac:dyDescent="0.3">
      <c r="A2002" t="str">
        <f t="shared" si="31"/>
        <v>CN|NewCapacity|RE1|PWRHYDROR_NDC|2026</v>
      </c>
      <c r="B2002" t="s">
        <v>39</v>
      </c>
      <c r="C2002" t="s">
        <v>40</v>
      </c>
      <c r="D2002" t="s">
        <v>37</v>
      </c>
      <c r="E2002" t="s">
        <v>19</v>
      </c>
      <c r="F2002" t="s">
        <v>26</v>
      </c>
      <c r="O2002">
        <v>2026</v>
      </c>
    </row>
    <row r="2003" spans="1:16" x14ac:dyDescent="0.3">
      <c r="A2003" t="str">
        <f t="shared" si="31"/>
        <v>CN|NewCapacity|RE1|PWRJET|2026</v>
      </c>
      <c r="B2003" t="s">
        <v>39</v>
      </c>
      <c r="C2003" t="s">
        <v>40</v>
      </c>
      <c r="D2003" t="s">
        <v>37</v>
      </c>
      <c r="E2003" t="s">
        <v>19</v>
      </c>
      <c r="F2003" t="s">
        <v>27</v>
      </c>
      <c r="O2003">
        <v>2026</v>
      </c>
    </row>
    <row r="2004" spans="1:16" x14ac:dyDescent="0.3">
      <c r="A2004" t="str">
        <f t="shared" si="31"/>
        <v>CN|NewCapacity|RE1|PWRLPG|2026</v>
      </c>
      <c r="B2004" t="s">
        <v>39</v>
      </c>
      <c r="C2004" t="s">
        <v>40</v>
      </c>
      <c r="D2004" t="s">
        <v>37</v>
      </c>
      <c r="E2004" t="s">
        <v>19</v>
      </c>
      <c r="F2004" t="s">
        <v>28</v>
      </c>
      <c r="O2004">
        <v>2026</v>
      </c>
    </row>
    <row r="2005" spans="1:16" x14ac:dyDescent="0.3">
      <c r="A2005" t="str">
        <f t="shared" si="31"/>
        <v>CN|NewCapacity|RE1|PWRNGS_CC|2026</v>
      </c>
      <c r="B2005" t="s">
        <v>39</v>
      </c>
      <c r="C2005" t="s">
        <v>40</v>
      </c>
      <c r="D2005" t="s">
        <v>37</v>
      </c>
      <c r="E2005" t="s">
        <v>19</v>
      </c>
      <c r="F2005" t="s">
        <v>29</v>
      </c>
      <c r="O2005">
        <v>2026</v>
      </c>
    </row>
    <row r="2006" spans="1:16" x14ac:dyDescent="0.3">
      <c r="A2006" t="str">
        <f t="shared" si="31"/>
        <v>CN|NewCapacity|RE1|PWRNGS_CS|2026</v>
      </c>
      <c r="B2006" t="s">
        <v>39</v>
      </c>
      <c r="C2006" t="s">
        <v>40</v>
      </c>
      <c r="D2006" t="s">
        <v>37</v>
      </c>
      <c r="E2006" t="s">
        <v>19</v>
      </c>
      <c r="F2006" t="s">
        <v>30</v>
      </c>
      <c r="O2006">
        <v>2026</v>
      </c>
    </row>
    <row r="2007" spans="1:16" x14ac:dyDescent="0.3">
      <c r="A2007" t="str">
        <f t="shared" si="31"/>
        <v>CN|NewCapacity|RE1|PWRSOLRTP|2026</v>
      </c>
      <c r="B2007" t="s">
        <v>39</v>
      </c>
      <c r="C2007" t="s">
        <v>40</v>
      </c>
      <c r="D2007" t="s">
        <v>37</v>
      </c>
      <c r="E2007" t="s">
        <v>19</v>
      </c>
      <c r="F2007" t="s">
        <v>31</v>
      </c>
      <c r="O2007">
        <v>2026</v>
      </c>
      <c r="P2007">
        <v>10.37</v>
      </c>
    </row>
    <row r="2008" spans="1:16" x14ac:dyDescent="0.3">
      <c r="A2008" t="str">
        <f t="shared" si="31"/>
        <v>CN|NewCapacity|RE1|PWRSOLRTP_ZNI|2026</v>
      </c>
      <c r="B2008" t="s">
        <v>39</v>
      </c>
      <c r="C2008" t="s">
        <v>40</v>
      </c>
      <c r="D2008" t="s">
        <v>37</v>
      </c>
      <c r="E2008" t="s">
        <v>19</v>
      </c>
      <c r="F2008" t="s">
        <v>32</v>
      </c>
      <c r="O2008">
        <v>2026</v>
      </c>
    </row>
    <row r="2009" spans="1:16" x14ac:dyDescent="0.3">
      <c r="A2009" t="str">
        <f t="shared" si="31"/>
        <v>CN|NewCapacity|RE1|PWRSOLUGE|2026</v>
      </c>
      <c r="B2009" t="s">
        <v>39</v>
      </c>
      <c r="C2009" t="s">
        <v>40</v>
      </c>
      <c r="D2009" t="s">
        <v>37</v>
      </c>
      <c r="E2009" t="s">
        <v>19</v>
      </c>
      <c r="F2009" t="s">
        <v>33</v>
      </c>
      <c r="O2009">
        <v>2026</v>
      </c>
      <c r="P2009">
        <v>55.787184000000003</v>
      </c>
    </row>
    <row r="2010" spans="1:16" x14ac:dyDescent="0.3">
      <c r="A2010" t="str">
        <f t="shared" si="31"/>
        <v>CN|NewCapacity|RE1|PWRSOLUGE_BAT|2026</v>
      </c>
      <c r="B2010" t="s">
        <v>39</v>
      </c>
      <c r="C2010" t="s">
        <v>40</v>
      </c>
      <c r="D2010" t="s">
        <v>37</v>
      </c>
      <c r="E2010" t="s">
        <v>19</v>
      </c>
      <c r="F2010" t="s">
        <v>41</v>
      </c>
      <c r="O2010">
        <v>2026</v>
      </c>
    </row>
    <row r="2011" spans="1:16" x14ac:dyDescent="0.3">
      <c r="A2011" t="str">
        <f t="shared" si="31"/>
        <v>CN|NewCapacity|RE1|PWRSOLUPE|2026</v>
      </c>
      <c r="B2011" t="s">
        <v>39</v>
      </c>
      <c r="C2011" t="s">
        <v>40</v>
      </c>
      <c r="D2011" t="s">
        <v>37</v>
      </c>
      <c r="E2011" t="s">
        <v>19</v>
      </c>
      <c r="F2011" t="s">
        <v>34</v>
      </c>
      <c r="O2011">
        <v>2026</v>
      </c>
      <c r="P2011">
        <v>3.364575839999973</v>
      </c>
    </row>
    <row r="2012" spans="1:16" x14ac:dyDescent="0.3">
      <c r="A2012" t="str">
        <f t="shared" si="31"/>
        <v>CN|NewCapacity|RE1|PWRSTD|2026</v>
      </c>
      <c r="B2012" t="s">
        <v>39</v>
      </c>
      <c r="C2012" t="s">
        <v>40</v>
      </c>
      <c r="D2012" t="s">
        <v>37</v>
      </c>
      <c r="E2012" t="s">
        <v>19</v>
      </c>
      <c r="F2012" t="s">
        <v>35</v>
      </c>
      <c r="O2012">
        <v>2026</v>
      </c>
    </row>
    <row r="2013" spans="1:16" x14ac:dyDescent="0.3">
      <c r="A2013" t="str">
        <f t="shared" si="31"/>
        <v>CN|NewCapacity|RE1|PWRWNDOFS_FIX|2026</v>
      </c>
      <c r="B2013" t="s">
        <v>39</v>
      </c>
      <c r="C2013" t="s">
        <v>40</v>
      </c>
      <c r="D2013" t="s">
        <v>37</v>
      </c>
      <c r="E2013" t="s">
        <v>19</v>
      </c>
      <c r="F2013" t="s">
        <v>42</v>
      </c>
      <c r="O2013">
        <v>2026</v>
      </c>
    </row>
    <row r="2014" spans="1:16" x14ac:dyDescent="0.3">
      <c r="A2014" t="str">
        <f t="shared" si="31"/>
        <v>CN|NewCapacity|RE1|PWRWNDOFS_FLO|2026</v>
      </c>
      <c r="B2014" t="s">
        <v>39</v>
      </c>
      <c r="C2014" t="s">
        <v>40</v>
      </c>
      <c r="D2014" t="s">
        <v>37</v>
      </c>
      <c r="E2014" t="s">
        <v>19</v>
      </c>
      <c r="F2014" t="s">
        <v>43</v>
      </c>
      <c r="O2014">
        <v>2026</v>
      </c>
    </row>
    <row r="2015" spans="1:16" x14ac:dyDescent="0.3">
      <c r="A2015" t="str">
        <f t="shared" si="31"/>
        <v>CN|NewCapacity|RE1|PWRWNDONS|2026</v>
      </c>
      <c r="B2015" t="s">
        <v>39</v>
      </c>
      <c r="C2015" t="s">
        <v>40</v>
      </c>
      <c r="D2015" t="s">
        <v>37</v>
      </c>
      <c r="E2015" t="s">
        <v>19</v>
      </c>
      <c r="F2015" t="s">
        <v>36</v>
      </c>
      <c r="O2015">
        <v>2026</v>
      </c>
      <c r="P2015">
        <v>14.13582317014987</v>
      </c>
    </row>
    <row r="2016" spans="1:16" x14ac:dyDescent="0.3">
      <c r="A2016" t="str">
        <f t="shared" si="31"/>
        <v>CN|TotalCapacityAnnual|RE1|PWRBGS|2026</v>
      </c>
      <c r="B2016" t="s">
        <v>39</v>
      </c>
      <c r="C2016" t="s">
        <v>40</v>
      </c>
      <c r="D2016" t="s">
        <v>38</v>
      </c>
      <c r="E2016" t="s">
        <v>19</v>
      </c>
      <c r="F2016" t="s">
        <v>20</v>
      </c>
      <c r="O2016">
        <v>2026</v>
      </c>
      <c r="P2016">
        <v>2.5488587520000001E-2</v>
      </c>
    </row>
    <row r="2017" spans="1:16" x14ac:dyDescent="0.3">
      <c r="A2017" t="str">
        <f t="shared" si="31"/>
        <v>CN|TotalCapacityAnnual|RE1|PWRCOA|2026</v>
      </c>
      <c r="B2017" t="s">
        <v>39</v>
      </c>
      <c r="C2017" t="s">
        <v>40</v>
      </c>
      <c r="D2017" t="s">
        <v>38</v>
      </c>
      <c r="E2017" t="s">
        <v>19</v>
      </c>
      <c r="F2017" t="s">
        <v>21</v>
      </c>
      <c r="O2017">
        <v>2026</v>
      </c>
      <c r="P2017">
        <v>50.867567999999991</v>
      </c>
    </row>
    <row r="2018" spans="1:16" x14ac:dyDescent="0.3">
      <c r="A2018" t="str">
        <f t="shared" si="31"/>
        <v>CN|TotalCapacityAnnual|RE1|PWRDSL|2026</v>
      </c>
      <c r="B2018" t="s">
        <v>39</v>
      </c>
      <c r="C2018" t="s">
        <v>40</v>
      </c>
      <c r="D2018" t="s">
        <v>38</v>
      </c>
      <c r="E2018" t="s">
        <v>19</v>
      </c>
      <c r="F2018" t="s">
        <v>22</v>
      </c>
      <c r="O2018">
        <v>2026</v>
      </c>
      <c r="P2018">
        <v>28.477008000000001</v>
      </c>
    </row>
    <row r="2019" spans="1:16" x14ac:dyDescent="0.3">
      <c r="A2019" t="str">
        <f t="shared" si="31"/>
        <v>CN|TotalCapacityAnnual|RE1|PWRFOL|2026</v>
      </c>
      <c r="B2019" t="s">
        <v>39</v>
      </c>
      <c r="C2019" t="s">
        <v>40</v>
      </c>
      <c r="D2019" t="s">
        <v>38</v>
      </c>
      <c r="E2019" t="s">
        <v>19</v>
      </c>
      <c r="F2019" t="s">
        <v>23</v>
      </c>
      <c r="O2019">
        <v>2026</v>
      </c>
      <c r="P2019">
        <v>8.3885759999999987</v>
      </c>
    </row>
    <row r="2020" spans="1:16" x14ac:dyDescent="0.3">
      <c r="A2020" t="str">
        <f t="shared" si="31"/>
        <v>CN|TotalCapacityAnnual|RE1|PWRHYDDAM|2026</v>
      </c>
      <c r="B2020" t="s">
        <v>39</v>
      </c>
      <c r="C2020" t="s">
        <v>40</v>
      </c>
      <c r="D2020" t="s">
        <v>38</v>
      </c>
      <c r="E2020" t="s">
        <v>19</v>
      </c>
      <c r="F2020" t="s">
        <v>24</v>
      </c>
      <c r="O2020">
        <v>2026</v>
      </c>
      <c r="P2020">
        <v>364.808448</v>
      </c>
    </row>
    <row r="2021" spans="1:16" x14ac:dyDescent="0.3">
      <c r="A2021" t="str">
        <f t="shared" si="31"/>
        <v>CN|TotalCapacityAnnual|RE1|PWRHYDROR|2026</v>
      </c>
      <c r="B2021" t="s">
        <v>39</v>
      </c>
      <c r="C2021" t="s">
        <v>40</v>
      </c>
      <c r="D2021" t="s">
        <v>38</v>
      </c>
      <c r="E2021" t="s">
        <v>19</v>
      </c>
      <c r="F2021" t="s">
        <v>25</v>
      </c>
      <c r="O2021">
        <v>2026</v>
      </c>
      <c r="P2021">
        <v>21.097584000000001</v>
      </c>
    </row>
    <row r="2022" spans="1:16" x14ac:dyDescent="0.3">
      <c r="A2022" t="str">
        <f t="shared" si="31"/>
        <v>CN|TotalCapacityAnnual|RE1|PWRHYDROR_NDC|2026</v>
      </c>
      <c r="B2022" t="s">
        <v>39</v>
      </c>
      <c r="C2022" t="s">
        <v>40</v>
      </c>
      <c r="D2022" t="s">
        <v>38</v>
      </c>
      <c r="E2022" t="s">
        <v>19</v>
      </c>
      <c r="F2022" t="s">
        <v>26</v>
      </c>
      <c r="O2022">
        <v>2026</v>
      </c>
      <c r="P2022">
        <v>29.725108271999989</v>
      </c>
    </row>
    <row r="2023" spans="1:16" x14ac:dyDescent="0.3">
      <c r="A2023" t="str">
        <f t="shared" si="31"/>
        <v>CN|TotalCapacityAnnual|RE1|PWRJET|2026</v>
      </c>
      <c r="B2023" t="s">
        <v>39</v>
      </c>
      <c r="C2023" t="s">
        <v>40</v>
      </c>
      <c r="D2023" t="s">
        <v>38</v>
      </c>
      <c r="E2023" t="s">
        <v>19</v>
      </c>
      <c r="F2023" t="s">
        <v>27</v>
      </c>
      <c r="O2023">
        <v>2026</v>
      </c>
      <c r="P2023">
        <v>1.5768</v>
      </c>
    </row>
    <row r="2024" spans="1:16" x14ac:dyDescent="0.3">
      <c r="A2024" t="str">
        <f t="shared" si="31"/>
        <v>CN|TotalCapacityAnnual|RE1|PWRLPG|2026</v>
      </c>
      <c r="B2024" t="s">
        <v>39</v>
      </c>
      <c r="C2024" t="s">
        <v>40</v>
      </c>
      <c r="D2024" t="s">
        <v>38</v>
      </c>
      <c r="E2024" t="s">
        <v>19</v>
      </c>
      <c r="F2024" t="s">
        <v>28</v>
      </c>
      <c r="O2024">
        <v>2026</v>
      </c>
      <c r="P2024">
        <v>1.639872</v>
      </c>
    </row>
    <row r="2025" spans="1:16" x14ac:dyDescent="0.3">
      <c r="A2025" t="str">
        <f t="shared" si="31"/>
        <v>CN|TotalCapacityAnnual|RE1|PWRNGS_CC|2026</v>
      </c>
      <c r="B2025" t="s">
        <v>39</v>
      </c>
      <c r="C2025" t="s">
        <v>40</v>
      </c>
      <c r="D2025" t="s">
        <v>38</v>
      </c>
      <c r="E2025" t="s">
        <v>19</v>
      </c>
      <c r="F2025" t="s">
        <v>29</v>
      </c>
      <c r="O2025">
        <v>2026</v>
      </c>
      <c r="P2025">
        <v>70.104500000000002</v>
      </c>
    </row>
    <row r="2026" spans="1:16" x14ac:dyDescent="0.3">
      <c r="A2026" t="str">
        <f t="shared" si="31"/>
        <v>CN|TotalCapacityAnnual|RE1|PWRNGS_CS|2026</v>
      </c>
      <c r="B2026" t="s">
        <v>39</v>
      </c>
      <c r="C2026" t="s">
        <v>40</v>
      </c>
      <c r="D2026" t="s">
        <v>38</v>
      </c>
      <c r="E2026" t="s">
        <v>19</v>
      </c>
      <c r="F2026" t="s">
        <v>30</v>
      </c>
      <c r="O2026">
        <v>2026</v>
      </c>
      <c r="P2026">
        <v>23.967359999999999</v>
      </c>
    </row>
    <row r="2027" spans="1:16" x14ac:dyDescent="0.3">
      <c r="A2027" t="str">
        <f t="shared" si="31"/>
        <v>CN|TotalCapacityAnnual|RE1|PWRSOLRTP|2026</v>
      </c>
      <c r="B2027" t="s">
        <v>39</v>
      </c>
      <c r="C2027" t="s">
        <v>40</v>
      </c>
      <c r="D2027" t="s">
        <v>38</v>
      </c>
      <c r="E2027" t="s">
        <v>19</v>
      </c>
      <c r="F2027" t="s">
        <v>31</v>
      </c>
      <c r="O2027">
        <v>2026</v>
      </c>
      <c r="P2027">
        <v>33.6541</v>
      </c>
    </row>
    <row r="2028" spans="1:16" x14ac:dyDescent="0.3">
      <c r="A2028" t="str">
        <f t="shared" si="31"/>
        <v>CN|TotalCapacityAnnual|RE1|PWRSOLRTP_ZNI|2026</v>
      </c>
      <c r="B2028" t="s">
        <v>39</v>
      </c>
      <c r="C2028" t="s">
        <v>40</v>
      </c>
      <c r="D2028" t="s">
        <v>38</v>
      </c>
      <c r="E2028" t="s">
        <v>19</v>
      </c>
      <c r="F2028" t="s">
        <v>32</v>
      </c>
      <c r="O2028">
        <v>2026</v>
      </c>
      <c r="P2028">
        <v>0.46074095999999998</v>
      </c>
    </row>
    <row r="2029" spans="1:16" x14ac:dyDescent="0.3">
      <c r="A2029" t="str">
        <f t="shared" si="31"/>
        <v>CN|TotalCapacityAnnual|RE1|PWRSOLUGE|2026</v>
      </c>
      <c r="B2029" t="s">
        <v>39</v>
      </c>
      <c r="C2029" t="s">
        <v>40</v>
      </c>
      <c r="D2029" t="s">
        <v>38</v>
      </c>
      <c r="E2029" t="s">
        <v>19</v>
      </c>
      <c r="F2029" t="s">
        <v>33</v>
      </c>
      <c r="O2029">
        <v>2026</v>
      </c>
      <c r="P2029">
        <v>110.90202048</v>
      </c>
    </row>
    <row r="2030" spans="1:16" x14ac:dyDescent="0.3">
      <c r="A2030" t="str">
        <f t="shared" si="31"/>
        <v>CN|TotalCapacityAnnual|RE1|PWRSOLUGE_BAT|2026</v>
      </c>
      <c r="B2030" t="s">
        <v>39</v>
      </c>
      <c r="C2030" t="s">
        <v>40</v>
      </c>
      <c r="D2030" t="s">
        <v>38</v>
      </c>
      <c r="E2030" t="s">
        <v>19</v>
      </c>
      <c r="F2030" t="s">
        <v>41</v>
      </c>
      <c r="O2030">
        <v>2026</v>
      </c>
    </row>
    <row r="2031" spans="1:16" x14ac:dyDescent="0.3">
      <c r="A2031" t="str">
        <f t="shared" si="31"/>
        <v>CN|TotalCapacityAnnual|RE1|PWRSOLUPE|2026</v>
      </c>
      <c r="B2031" t="s">
        <v>39</v>
      </c>
      <c r="C2031" t="s">
        <v>40</v>
      </c>
      <c r="D2031" t="s">
        <v>38</v>
      </c>
      <c r="E2031" t="s">
        <v>19</v>
      </c>
      <c r="F2031" t="s">
        <v>34</v>
      </c>
      <c r="O2031">
        <v>2026</v>
      </c>
      <c r="P2031">
        <v>35.703640079999929</v>
      </c>
    </row>
    <row r="2032" spans="1:16" x14ac:dyDescent="0.3">
      <c r="A2032" t="str">
        <f t="shared" si="31"/>
        <v>CN|TotalCapacityAnnual|RE1|PWRSTD|2026</v>
      </c>
      <c r="B2032" t="s">
        <v>39</v>
      </c>
      <c r="C2032" t="s">
        <v>40</v>
      </c>
      <c r="D2032" t="s">
        <v>38</v>
      </c>
      <c r="E2032" t="s">
        <v>19</v>
      </c>
      <c r="F2032" t="s">
        <v>35</v>
      </c>
      <c r="O2032">
        <v>2026</v>
      </c>
      <c r="P2032">
        <v>8.163062064</v>
      </c>
    </row>
    <row r="2033" spans="1:16" x14ac:dyDescent="0.3">
      <c r="A2033" t="str">
        <f t="shared" si="31"/>
        <v>CN|TotalCapacityAnnual|RE1|PWRWNDOFS_FIX|2026</v>
      </c>
      <c r="B2033" t="s">
        <v>39</v>
      </c>
      <c r="C2033" t="s">
        <v>40</v>
      </c>
      <c r="D2033" t="s">
        <v>38</v>
      </c>
      <c r="E2033" t="s">
        <v>19</v>
      </c>
      <c r="F2033" t="s">
        <v>42</v>
      </c>
      <c r="O2033">
        <v>2026</v>
      </c>
    </row>
    <row r="2034" spans="1:16" x14ac:dyDescent="0.3">
      <c r="A2034" t="str">
        <f t="shared" si="31"/>
        <v>CN|TotalCapacityAnnual|RE1|PWRWNDOFS_FLO|2026</v>
      </c>
      <c r="B2034" t="s">
        <v>39</v>
      </c>
      <c r="C2034" t="s">
        <v>40</v>
      </c>
      <c r="D2034" t="s">
        <v>38</v>
      </c>
      <c r="E2034" t="s">
        <v>19</v>
      </c>
      <c r="F2034" t="s">
        <v>43</v>
      </c>
      <c r="O2034">
        <v>2026</v>
      </c>
    </row>
    <row r="2035" spans="1:16" x14ac:dyDescent="0.3">
      <c r="A2035" t="str">
        <f t="shared" si="31"/>
        <v>CN|TotalCapacityAnnual|RE1|PWRWNDONS|2026</v>
      </c>
      <c r="B2035" t="s">
        <v>39</v>
      </c>
      <c r="C2035" t="s">
        <v>40</v>
      </c>
      <c r="D2035" t="s">
        <v>38</v>
      </c>
      <c r="E2035" t="s">
        <v>19</v>
      </c>
      <c r="F2035" t="s">
        <v>36</v>
      </c>
      <c r="O2035">
        <v>2026</v>
      </c>
      <c r="P2035">
        <v>15.658108884435579</v>
      </c>
    </row>
    <row r="2036" spans="1:16" x14ac:dyDescent="0.3">
      <c r="A2036" t="str">
        <f t="shared" si="31"/>
        <v>CN|AccumulatedNewCapacity|RE1|PWRBGS|2027</v>
      </c>
      <c r="B2036" t="s">
        <v>39</v>
      </c>
      <c r="C2036" t="s">
        <v>40</v>
      </c>
      <c r="D2036" t="s">
        <v>18</v>
      </c>
      <c r="E2036" t="s">
        <v>19</v>
      </c>
      <c r="F2036" t="s">
        <v>20</v>
      </c>
      <c r="O2036">
        <v>2027</v>
      </c>
    </row>
    <row r="2037" spans="1:16" x14ac:dyDescent="0.3">
      <c r="A2037" t="str">
        <f t="shared" si="31"/>
        <v>CN|AccumulatedNewCapacity|RE1|PWRCOA|2027</v>
      </c>
      <c r="B2037" t="s">
        <v>39</v>
      </c>
      <c r="C2037" t="s">
        <v>40</v>
      </c>
      <c r="D2037" t="s">
        <v>18</v>
      </c>
      <c r="E2037" t="s">
        <v>19</v>
      </c>
      <c r="F2037" t="s">
        <v>21</v>
      </c>
      <c r="O2037">
        <v>2027</v>
      </c>
    </row>
    <row r="2038" spans="1:16" x14ac:dyDescent="0.3">
      <c r="A2038" t="str">
        <f t="shared" si="31"/>
        <v>CN|AccumulatedNewCapacity|RE1|PWRDSL|2027</v>
      </c>
      <c r="B2038" t="s">
        <v>39</v>
      </c>
      <c r="C2038" t="s">
        <v>40</v>
      </c>
      <c r="D2038" t="s">
        <v>18</v>
      </c>
      <c r="E2038" t="s">
        <v>19</v>
      </c>
      <c r="F2038" t="s">
        <v>22</v>
      </c>
      <c r="O2038">
        <v>2027</v>
      </c>
    </row>
    <row r="2039" spans="1:16" x14ac:dyDescent="0.3">
      <c r="A2039" t="str">
        <f t="shared" si="31"/>
        <v>CN|AccumulatedNewCapacity|RE1|PWRFOL|2027</v>
      </c>
      <c r="B2039" t="s">
        <v>39</v>
      </c>
      <c r="C2039" t="s">
        <v>40</v>
      </c>
      <c r="D2039" t="s">
        <v>18</v>
      </c>
      <c r="E2039" t="s">
        <v>19</v>
      </c>
      <c r="F2039" t="s">
        <v>23</v>
      </c>
      <c r="O2039">
        <v>2027</v>
      </c>
    </row>
    <row r="2040" spans="1:16" x14ac:dyDescent="0.3">
      <c r="A2040" t="str">
        <f t="shared" si="31"/>
        <v>CN|AccumulatedNewCapacity|RE1|PWRHYDDAM|2027</v>
      </c>
      <c r="B2040" t="s">
        <v>39</v>
      </c>
      <c r="C2040" t="s">
        <v>40</v>
      </c>
      <c r="D2040" t="s">
        <v>18</v>
      </c>
      <c r="E2040" t="s">
        <v>19</v>
      </c>
      <c r="F2040" t="s">
        <v>24</v>
      </c>
      <c r="O2040">
        <v>2027</v>
      </c>
    </row>
    <row r="2041" spans="1:16" x14ac:dyDescent="0.3">
      <c r="A2041" t="str">
        <f t="shared" si="31"/>
        <v>CN|AccumulatedNewCapacity|RE1|PWRHYDROR|2027</v>
      </c>
      <c r="B2041" t="s">
        <v>39</v>
      </c>
      <c r="C2041" t="s">
        <v>40</v>
      </c>
      <c r="D2041" t="s">
        <v>18</v>
      </c>
      <c r="E2041" t="s">
        <v>19</v>
      </c>
      <c r="F2041" t="s">
        <v>25</v>
      </c>
      <c r="O2041">
        <v>2027</v>
      </c>
    </row>
    <row r="2042" spans="1:16" x14ac:dyDescent="0.3">
      <c r="A2042" t="str">
        <f t="shared" si="31"/>
        <v>CN|AccumulatedNewCapacity|RE1|PWRHYDROR_NDC|2027</v>
      </c>
      <c r="B2042" t="s">
        <v>39</v>
      </c>
      <c r="C2042" t="s">
        <v>40</v>
      </c>
      <c r="D2042" t="s">
        <v>18</v>
      </c>
      <c r="E2042" t="s">
        <v>19</v>
      </c>
      <c r="F2042" t="s">
        <v>26</v>
      </c>
      <c r="O2042">
        <v>2027</v>
      </c>
    </row>
    <row r="2043" spans="1:16" x14ac:dyDescent="0.3">
      <c r="A2043" t="str">
        <f t="shared" si="31"/>
        <v>CN|AccumulatedNewCapacity|RE1|PWRJET|2027</v>
      </c>
      <c r="B2043" t="s">
        <v>39</v>
      </c>
      <c r="C2043" t="s">
        <v>40</v>
      </c>
      <c r="D2043" t="s">
        <v>18</v>
      </c>
      <c r="E2043" t="s">
        <v>19</v>
      </c>
      <c r="F2043" t="s">
        <v>27</v>
      </c>
      <c r="O2043">
        <v>2027</v>
      </c>
    </row>
    <row r="2044" spans="1:16" x14ac:dyDescent="0.3">
      <c r="A2044" t="str">
        <f t="shared" si="31"/>
        <v>CN|AccumulatedNewCapacity|RE1|PWRLPG|2027</v>
      </c>
      <c r="B2044" t="s">
        <v>39</v>
      </c>
      <c r="C2044" t="s">
        <v>40</v>
      </c>
      <c r="D2044" t="s">
        <v>18</v>
      </c>
      <c r="E2044" t="s">
        <v>19</v>
      </c>
      <c r="F2044" t="s">
        <v>28</v>
      </c>
      <c r="O2044">
        <v>2027</v>
      </c>
    </row>
    <row r="2045" spans="1:16" x14ac:dyDescent="0.3">
      <c r="A2045" t="str">
        <f t="shared" si="31"/>
        <v>CN|AccumulatedNewCapacity|RE1|PWRNGS_CC|2027</v>
      </c>
      <c r="B2045" t="s">
        <v>39</v>
      </c>
      <c r="C2045" t="s">
        <v>40</v>
      </c>
      <c r="D2045" t="s">
        <v>18</v>
      </c>
      <c r="E2045" t="s">
        <v>19</v>
      </c>
      <c r="F2045" t="s">
        <v>29</v>
      </c>
      <c r="O2045">
        <v>2027</v>
      </c>
    </row>
    <row r="2046" spans="1:16" x14ac:dyDescent="0.3">
      <c r="A2046" t="str">
        <f t="shared" si="31"/>
        <v>CN|AccumulatedNewCapacity|RE1|PWRNGS_CS|2027</v>
      </c>
      <c r="B2046" t="s">
        <v>39</v>
      </c>
      <c r="C2046" t="s">
        <v>40</v>
      </c>
      <c r="D2046" t="s">
        <v>18</v>
      </c>
      <c r="E2046" t="s">
        <v>19</v>
      </c>
      <c r="F2046" t="s">
        <v>30</v>
      </c>
      <c r="O2046">
        <v>2027</v>
      </c>
    </row>
    <row r="2047" spans="1:16" x14ac:dyDescent="0.3">
      <c r="A2047" t="str">
        <f t="shared" si="31"/>
        <v>CN|AccumulatedNewCapacity|RE1|PWRSOLRTP|2027</v>
      </c>
      <c r="B2047" t="s">
        <v>39</v>
      </c>
      <c r="C2047" t="s">
        <v>40</v>
      </c>
      <c r="D2047" t="s">
        <v>18</v>
      </c>
      <c r="E2047" t="s">
        <v>19</v>
      </c>
      <c r="F2047" t="s">
        <v>31</v>
      </c>
      <c r="O2047">
        <v>2027</v>
      </c>
      <c r="P2047">
        <v>25.21</v>
      </c>
    </row>
    <row r="2048" spans="1:16" x14ac:dyDescent="0.3">
      <c r="A2048" t="str">
        <f t="shared" si="31"/>
        <v>CN|AccumulatedNewCapacity|RE1|PWRSOLRTP_ZNI|2027</v>
      </c>
      <c r="B2048" t="s">
        <v>39</v>
      </c>
      <c r="C2048" t="s">
        <v>40</v>
      </c>
      <c r="D2048" t="s">
        <v>18</v>
      </c>
      <c r="E2048" t="s">
        <v>19</v>
      </c>
      <c r="F2048" t="s">
        <v>32</v>
      </c>
      <c r="O2048">
        <v>2027</v>
      </c>
    </row>
    <row r="2049" spans="1:16" x14ac:dyDescent="0.3">
      <c r="A2049" t="str">
        <f t="shared" si="31"/>
        <v>CN|AccumulatedNewCapacity|RE1|PWRSOLUGE|2027</v>
      </c>
      <c r="B2049" t="s">
        <v>39</v>
      </c>
      <c r="C2049" t="s">
        <v>40</v>
      </c>
      <c r="D2049" t="s">
        <v>18</v>
      </c>
      <c r="E2049" t="s">
        <v>19</v>
      </c>
      <c r="F2049" t="s">
        <v>33</v>
      </c>
      <c r="O2049">
        <v>2027</v>
      </c>
      <c r="P2049">
        <v>135.51019199999999</v>
      </c>
    </row>
    <row r="2050" spans="1:16" x14ac:dyDescent="0.3">
      <c r="A2050" t="str">
        <f t="shared" ref="A2050:A2113" si="32">B2050&amp;"|"&amp;D2050&amp;"|"&amp;E2050&amp;"|"&amp;F2050&amp;"|"&amp;O2050</f>
        <v>CN|AccumulatedNewCapacity|RE1|PWRSOLUGE_BAT|2027</v>
      </c>
      <c r="B2050" t="s">
        <v>39</v>
      </c>
      <c r="C2050" t="s">
        <v>40</v>
      </c>
      <c r="D2050" t="s">
        <v>18</v>
      </c>
      <c r="E2050" t="s">
        <v>19</v>
      </c>
      <c r="F2050" t="s">
        <v>41</v>
      </c>
      <c r="O2050">
        <v>2027</v>
      </c>
    </row>
    <row r="2051" spans="1:16" x14ac:dyDescent="0.3">
      <c r="A2051" t="str">
        <f t="shared" si="32"/>
        <v>CN|AccumulatedNewCapacity|RE1|PWRSOLUPE|2027</v>
      </c>
      <c r="B2051" t="s">
        <v>39</v>
      </c>
      <c r="C2051" t="s">
        <v>40</v>
      </c>
      <c r="D2051" t="s">
        <v>18</v>
      </c>
      <c r="E2051" t="s">
        <v>19</v>
      </c>
      <c r="F2051" t="s">
        <v>34</v>
      </c>
      <c r="O2051">
        <v>2027</v>
      </c>
      <c r="P2051">
        <v>12.14419823999993</v>
      </c>
    </row>
    <row r="2052" spans="1:16" x14ac:dyDescent="0.3">
      <c r="A2052" t="str">
        <f t="shared" si="32"/>
        <v>CN|AccumulatedNewCapacity|RE1|PWRSTD|2027</v>
      </c>
      <c r="B2052" t="s">
        <v>39</v>
      </c>
      <c r="C2052" t="s">
        <v>40</v>
      </c>
      <c r="D2052" t="s">
        <v>18</v>
      </c>
      <c r="E2052" t="s">
        <v>19</v>
      </c>
      <c r="F2052" t="s">
        <v>35</v>
      </c>
      <c r="O2052">
        <v>2027</v>
      </c>
    </row>
    <row r="2053" spans="1:16" x14ac:dyDescent="0.3">
      <c r="A2053" t="str">
        <f t="shared" si="32"/>
        <v>CN|AccumulatedNewCapacity|RE1|PWRWNDOFS_FIX|2027</v>
      </c>
      <c r="B2053" t="s">
        <v>39</v>
      </c>
      <c r="C2053" t="s">
        <v>40</v>
      </c>
      <c r="D2053" t="s">
        <v>18</v>
      </c>
      <c r="E2053" t="s">
        <v>19</v>
      </c>
      <c r="F2053" t="s">
        <v>42</v>
      </c>
      <c r="O2053">
        <v>2027</v>
      </c>
    </row>
    <row r="2054" spans="1:16" x14ac:dyDescent="0.3">
      <c r="A2054" t="str">
        <f t="shared" si="32"/>
        <v>CN|AccumulatedNewCapacity|RE1|PWRWNDOFS_FLO|2027</v>
      </c>
      <c r="B2054" t="s">
        <v>39</v>
      </c>
      <c r="C2054" t="s">
        <v>40</v>
      </c>
      <c r="D2054" t="s">
        <v>18</v>
      </c>
      <c r="E2054" t="s">
        <v>19</v>
      </c>
      <c r="F2054" t="s">
        <v>43</v>
      </c>
      <c r="O2054">
        <v>2027</v>
      </c>
    </row>
    <row r="2055" spans="1:16" x14ac:dyDescent="0.3">
      <c r="A2055" t="str">
        <f t="shared" si="32"/>
        <v>CN|AccumulatedNewCapacity|RE1|PWRWNDONS|2027</v>
      </c>
      <c r="B2055" t="s">
        <v>39</v>
      </c>
      <c r="C2055" t="s">
        <v>40</v>
      </c>
      <c r="D2055" t="s">
        <v>18</v>
      </c>
      <c r="E2055" t="s">
        <v>19</v>
      </c>
      <c r="F2055" t="s">
        <v>36</v>
      </c>
      <c r="O2055">
        <v>2027</v>
      </c>
      <c r="P2055">
        <v>31.689446484435582</v>
      </c>
    </row>
    <row r="2056" spans="1:16" x14ac:dyDescent="0.3">
      <c r="A2056" t="str">
        <f t="shared" si="32"/>
        <v>CN|NewCapacity|RE1|PWRBGS|2027</v>
      </c>
      <c r="B2056" t="s">
        <v>39</v>
      </c>
      <c r="C2056" t="s">
        <v>40</v>
      </c>
      <c r="D2056" t="s">
        <v>37</v>
      </c>
      <c r="E2056" t="s">
        <v>19</v>
      </c>
      <c r="F2056" t="s">
        <v>20</v>
      </c>
      <c r="O2056">
        <v>2027</v>
      </c>
    </row>
    <row r="2057" spans="1:16" x14ac:dyDescent="0.3">
      <c r="A2057" t="str">
        <f t="shared" si="32"/>
        <v>CN|NewCapacity|RE1|PWRCOA|2027</v>
      </c>
      <c r="B2057" t="s">
        <v>39</v>
      </c>
      <c r="C2057" t="s">
        <v>40</v>
      </c>
      <c r="D2057" t="s">
        <v>37</v>
      </c>
      <c r="E2057" t="s">
        <v>19</v>
      </c>
      <c r="F2057" t="s">
        <v>21</v>
      </c>
      <c r="O2057">
        <v>2027</v>
      </c>
    </row>
    <row r="2058" spans="1:16" x14ac:dyDescent="0.3">
      <c r="A2058" t="str">
        <f t="shared" si="32"/>
        <v>CN|NewCapacity|RE1|PWRDSL|2027</v>
      </c>
      <c r="B2058" t="s">
        <v>39</v>
      </c>
      <c r="C2058" t="s">
        <v>40</v>
      </c>
      <c r="D2058" t="s">
        <v>37</v>
      </c>
      <c r="E2058" t="s">
        <v>19</v>
      </c>
      <c r="F2058" t="s">
        <v>22</v>
      </c>
      <c r="O2058">
        <v>2027</v>
      </c>
    </row>
    <row r="2059" spans="1:16" x14ac:dyDescent="0.3">
      <c r="A2059" t="str">
        <f t="shared" si="32"/>
        <v>CN|NewCapacity|RE1|PWRFOL|2027</v>
      </c>
      <c r="B2059" t="s">
        <v>39</v>
      </c>
      <c r="C2059" t="s">
        <v>40</v>
      </c>
      <c r="D2059" t="s">
        <v>37</v>
      </c>
      <c r="E2059" t="s">
        <v>19</v>
      </c>
      <c r="F2059" t="s">
        <v>23</v>
      </c>
      <c r="O2059">
        <v>2027</v>
      </c>
    </row>
    <row r="2060" spans="1:16" x14ac:dyDescent="0.3">
      <c r="A2060" t="str">
        <f t="shared" si="32"/>
        <v>CN|NewCapacity|RE1|PWRHYDDAM|2027</v>
      </c>
      <c r="B2060" t="s">
        <v>39</v>
      </c>
      <c r="C2060" t="s">
        <v>40</v>
      </c>
      <c r="D2060" t="s">
        <v>37</v>
      </c>
      <c r="E2060" t="s">
        <v>19</v>
      </c>
      <c r="F2060" t="s">
        <v>24</v>
      </c>
      <c r="O2060">
        <v>2027</v>
      </c>
    </row>
    <row r="2061" spans="1:16" x14ac:dyDescent="0.3">
      <c r="A2061" t="str">
        <f t="shared" si="32"/>
        <v>CN|NewCapacity|RE1|PWRHYDROR|2027</v>
      </c>
      <c r="B2061" t="s">
        <v>39</v>
      </c>
      <c r="C2061" t="s">
        <v>40</v>
      </c>
      <c r="D2061" t="s">
        <v>37</v>
      </c>
      <c r="E2061" t="s">
        <v>19</v>
      </c>
      <c r="F2061" t="s">
        <v>25</v>
      </c>
      <c r="O2061">
        <v>2027</v>
      </c>
    </row>
    <row r="2062" spans="1:16" x14ac:dyDescent="0.3">
      <c r="A2062" t="str">
        <f t="shared" si="32"/>
        <v>CN|NewCapacity|RE1|PWRHYDROR_NDC|2027</v>
      </c>
      <c r="B2062" t="s">
        <v>39</v>
      </c>
      <c r="C2062" t="s">
        <v>40</v>
      </c>
      <c r="D2062" t="s">
        <v>37</v>
      </c>
      <c r="E2062" t="s">
        <v>19</v>
      </c>
      <c r="F2062" t="s">
        <v>26</v>
      </c>
      <c r="O2062">
        <v>2027</v>
      </c>
    </row>
    <row r="2063" spans="1:16" x14ac:dyDescent="0.3">
      <c r="A2063" t="str">
        <f t="shared" si="32"/>
        <v>CN|NewCapacity|RE1|PWRJET|2027</v>
      </c>
      <c r="B2063" t="s">
        <v>39</v>
      </c>
      <c r="C2063" t="s">
        <v>40</v>
      </c>
      <c r="D2063" t="s">
        <v>37</v>
      </c>
      <c r="E2063" t="s">
        <v>19</v>
      </c>
      <c r="F2063" t="s">
        <v>27</v>
      </c>
      <c r="O2063">
        <v>2027</v>
      </c>
    </row>
    <row r="2064" spans="1:16" x14ac:dyDescent="0.3">
      <c r="A2064" t="str">
        <f t="shared" si="32"/>
        <v>CN|NewCapacity|RE1|PWRLPG|2027</v>
      </c>
      <c r="B2064" t="s">
        <v>39</v>
      </c>
      <c r="C2064" t="s">
        <v>40</v>
      </c>
      <c r="D2064" t="s">
        <v>37</v>
      </c>
      <c r="E2064" t="s">
        <v>19</v>
      </c>
      <c r="F2064" t="s">
        <v>28</v>
      </c>
      <c r="O2064">
        <v>2027</v>
      </c>
    </row>
    <row r="2065" spans="1:16" x14ac:dyDescent="0.3">
      <c r="A2065" t="str">
        <f t="shared" si="32"/>
        <v>CN|NewCapacity|RE1|PWRNGS_CC|2027</v>
      </c>
      <c r="B2065" t="s">
        <v>39</v>
      </c>
      <c r="C2065" t="s">
        <v>40</v>
      </c>
      <c r="D2065" t="s">
        <v>37</v>
      </c>
      <c r="E2065" t="s">
        <v>19</v>
      </c>
      <c r="F2065" t="s">
        <v>29</v>
      </c>
      <c r="O2065">
        <v>2027</v>
      </c>
    </row>
    <row r="2066" spans="1:16" x14ac:dyDescent="0.3">
      <c r="A2066" t="str">
        <f t="shared" si="32"/>
        <v>CN|NewCapacity|RE1|PWRNGS_CS|2027</v>
      </c>
      <c r="B2066" t="s">
        <v>39</v>
      </c>
      <c r="C2066" t="s">
        <v>40</v>
      </c>
      <c r="D2066" t="s">
        <v>37</v>
      </c>
      <c r="E2066" t="s">
        <v>19</v>
      </c>
      <c r="F2066" t="s">
        <v>30</v>
      </c>
      <c r="O2066">
        <v>2027</v>
      </c>
    </row>
    <row r="2067" spans="1:16" x14ac:dyDescent="0.3">
      <c r="A2067" t="str">
        <f t="shared" si="32"/>
        <v>CN|NewCapacity|RE1|PWRSOLRTP|2027</v>
      </c>
      <c r="B2067" t="s">
        <v>39</v>
      </c>
      <c r="C2067" t="s">
        <v>40</v>
      </c>
      <c r="D2067" t="s">
        <v>37</v>
      </c>
      <c r="E2067" t="s">
        <v>19</v>
      </c>
      <c r="F2067" t="s">
        <v>31</v>
      </c>
      <c r="O2067">
        <v>2027</v>
      </c>
      <c r="P2067">
        <v>14.84</v>
      </c>
    </row>
    <row r="2068" spans="1:16" x14ac:dyDescent="0.3">
      <c r="A2068" t="str">
        <f t="shared" si="32"/>
        <v>CN|NewCapacity|RE1|PWRSOLRTP_ZNI|2027</v>
      </c>
      <c r="B2068" t="s">
        <v>39</v>
      </c>
      <c r="C2068" t="s">
        <v>40</v>
      </c>
      <c r="D2068" t="s">
        <v>37</v>
      </c>
      <c r="E2068" t="s">
        <v>19</v>
      </c>
      <c r="F2068" t="s">
        <v>32</v>
      </c>
      <c r="O2068">
        <v>2027</v>
      </c>
    </row>
    <row r="2069" spans="1:16" x14ac:dyDescent="0.3">
      <c r="A2069" t="str">
        <f t="shared" si="32"/>
        <v>CN|NewCapacity|RE1|PWRSOLUGE|2027</v>
      </c>
      <c r="B2069" t="s">
        <v>39</v>
      </c>
      <c r="C2069" t="s">
        <v>40</v>
      </c>
      <c r="D2069" t="s">
        <v>37</v>
      </c>
      <c r="E2069" t="s">
        <v>19</v>
      </c>
      <c r="F2069" t="s">
        <v>33</v>
      </c>
      <c r="O2069">
        <v>2027</v>
      </c>
      <c r="P2069">
        <v>73.005840000000006</v>
      </c>
    </row>
    <row r="2070" spans="1:16" x14ac:dyDescent="0.3">
      <c r="A2070" t="str">
        <f t="shared" si="32"/>
        <v>CN|NewCapacity|RE1|PWRSOLUGE_BAT|2027</v>
      </c>
      <c r="B2070" t="s">
        <v>39</v>
      </c>
      <c r="C2070" t="s">
        <v>40</v>
      </c>
      <c r="D2070" t="s">
        <v>37</v>
      </c>
      <c r="E2070" t="s">
        <v>19</v>
      </c>
      <c r="F2070" t="s">
        <v>41</v>
      </c>
      <c r="O2070">
        <v>2027</v>
      </c>
    </row>
    <row r="2071" spans="1:16" x14ac:dyDescent="0.3">
      <c r="A2071" t="str">
        <f t="shared" si="32"/>
        <v>CN|NewCapacity|RE1|PWRSOLUPE|2027</v>
      </c>
      <c r="B2071" t="s">
        <v>39</v>
      </c>
      <c r="C2071" t="s">
        <v>40</v>
      </c>
      <c r="D2071" t="s">
        <v>37</v>
      </c>
      <c r="E2071" t="s">
        <v>19</v>
      </c>
      <c r="F2071" t="s">
        <v>34</v>
      </c>
      <c r="O2071">
        <v>2027</v>
      </c>
      <c r="P2071">
        <v>3.46896</v>
      </c>
    </row>
    <row r="2072" spans="1:16" x14ac:dyDescent="0.3">
      <c r="A2072" t="str">
        <f t="shared" si="32"/>
        <v>CN|NewCapacity|RE1|PWRSTD|2027</v>
      </c>
      <c r="B2072" t="s">
        <v>39</v>
      </c>
      <c r="C2072" t="s">
        <v>40</v>
      </c>
      <c r="D2072" t="s">
        <v>37</v>
      </c>
      <c r="E2072" t="s">
        <v>19</v>
      </c>
      <c r="F2072" t="s">
        <v>35</v>
      </c>
      <c r="O2072">
        <v>2027</v>
      </c>
    </row>
    <row r="2073" spans="1:16" x14ac:dyDescent="0.3">
      <c r="A2073" t="str">
        <f t="shared" si="32"/>
        <v>CN|NewCapacity|RE1|PWRWNDOFS_FIX|2027</v>
      </c>
      <c r="B2073" t="s">
        <v>39</v>
      </c>
      <c r="C2073" t="s">
        <v>40</v>
      </c>
      <c r="D2073" t="s">
        <v>37</v>
      </c>
      <c r="E2073" t="s">
        <v>19</v>
      </c>
      <c r="F2073" t="s">
        <v>42</v>
      </c>
      <c r="O2073">
        <v>2027</v>
      </c>
    </row>
    <row r="2074" spans="1:16" x14ac:dyDescent="0.3">
      <c r="A2074" t="str">
        <f t="shared" si="32"/>
        <v>CN|NewCapacity|RE1|PWRWNDOFS_FLO|2027</v>
      </c>
      <c r="B2074" t="s">
        <v>39</v>
      </c>
      <c r="C2074" t="s">
        <v>40</v>
      </c>
      <c r="D2074" t="s">
        <v>37</v>
      </c>
      <c r="E2074" t="s">
        <v>19</v>
      </c>
      <c r="F2074" t="s">
        <v>43</v>
      </c>
      <c r="O2074">
        <v>2027</v>
      </c>
    </row>
    <row r="2075" spans="1:16" x14ac:dyDescent="0.3">
      <c r="A2075" t="str">
        <f t="shared" si="32"/>
        <v>CN|NewCapacity|RE1|PWRWNDONS|2027</v>
      </c>
      <c r="B2075" t="s">
        <v>39</v>
      </c>
      <c r="C2075" t="s">
        <v>40</v>
      </c>
      <c r="D2075" t="s">
        <v>37</v>
      </c>
      <c r="E2075" t="s">
        <v>19</v>
      </c>
      <c r="F2075" t="s">
        <v>36</v>
      </c>
      <c r="O2075">
        <v>2027</v>
      </c>
      <c r="P2075">
        <v>17.399999999999999</v>
      </c>
    </row>
    <row r="2076" spans="1:16" x14ac:dyDescent="0.3">
      <c r="A2076" t="str">
        <f t="shared" si="32"/>
        <v>CN|TotalCapacityAnnual|RE1|PWRBGS|2027</v>
      </c>
      <c r="B2076" t="s">
        <v>39</v>
      </c>
      <c r="C2076" t="s">
        <v>40</v>
      </c>
      <c r="D2076" t="s">
        <v>38</v>
      </c>
      <c r="E2076" t="s">
        <v>19</v>
      </c>
      <c r="F2076" t="s">
        <v>20</v>
      </c>
      <c r="O2076">
        <v>2027</v>
      </c>
      <c r="P2076">
        <v>2.5488587520000001E-2</v>
      </c>
    </row>
    <row r="2077" spans="1:16" x14ac:dyDescent="0.3">
      <c r="A2077" t="str">
        <f t="shared" si="32"/>
        <v>CN|TotalCapacityAnnual|RE1|PWRCOA|2027</v>
      </c>
      <c r="B2077" t="s">
        <v>39</v>
      </c>
      <c r="C2077" t="s">
        <v>40</v>
      </c>
      <c r="D2077" t="s">
        <v>38</v>
      </c>
      <c r="E2077" t="s">
        <v>19</v>
      </c>
      <c r="F2077" t="s">
        <v>21</v>
      </c>
      <c r="O2077">
        <v>2027</v>
      </c>
      <c r="P2077">
        <v>50.867567999999991</v>
      </c>
    </row>
    <row r="2078" spans="1:16" x14ac:dyDescent="0.3">
      <c r="A2078" t="str">
        <f t="shared" si="32"/>
        <v>CN|TotalCapacityAnnual|RE1|PWRDSL|2027</v>
      </c>
      <c r="B2078" t="s">
        <v>39</v>
      </c>
      <c r="C2078" t="s">
        <v>40</v>
      </c>
      <c r="D2078" t="s">
        <v>38</v>
      </c>
      <c r="E2078" t="s">
        <v>19</v>
      </c>
      <c r="F2078" t="s">
        <v>22</v>
      </c>
      <c r="O2078">
        <v>2027</v>
      </c>
      <c r="P2078">
        <v>24.944976</v>
      </c>
    </row>
    <row r="2079" spans="1:16" x14ac:dyDescent="0.3">
      <c r="A2079" t="str">
        <f t="shared" si="32"/>
        <v>CN|TotalCapacityAnnual|RE1|PWRFOL|2027</v>
      </c>
      <c r="B2079" t="s">
        <v>39</v>
      </c>
      <c r="C2079" t="s">
        <v>40</v>
      </c>
      <c r="D2079" t="s">
        <v>38</v>
      </c>
      <c r="E2079" t="s">
        <v>19</v>
      </c>
      <c r="F2079" t="s">
        <v>23</v>
      </c>
      <c r="O2079">
        <v>2027</v>
      </c>
      <c r="P2079">
        <v>8.3885759999999987</v>
      </c>
    </row>
    <row r="2080" spans="1:16" x14ac:dyDescent="0.3">
      <c r="A2080" t="str">
        <f t="shared" si="32"/>
        <v>CN|TotalCapacityAnnual|RE1|PWRHYDDAM|2027</v>
      </c>
      <c r="B2080" t="s">
        <v>39</v>
      </c>
      <c r="C2080" t="s">
        <v>40</v>
      </c>
      <c r="D2080" t="s">
        <v>38</v>
      </c>
      <c r="E2080" t="s">
        <v>19</v>
      </c>
      <c r="F2080" t="s">
        <v>24</v>
      </c>
      <c r="O2080">
        <v>2027</v>
      </c>
      <c r="P2080">
        <v>402.65164800000002</v>
      </c>
    </row>
    <row r="2081" spans="1:16" x14ac:dyDescent="0.3">
      <c r="A2081" t="str">
        <f t="shared" si="32"/>
        <v>CN|TotalCapacityAnnual|RE1|PWRHYDROR|2027</v>
      </c>
      <c r="B2081" t="s">
        <v>39</v>
      </c>
      <c r="C2081" t="s">
        <v>40</v>
      </c>
      <c r="D2081" t="s">
        <v>38</v>
      </c>
      <c r="E2081" t="s">
        <v>19</v>
      </c>
      <c r="F2081" t="s">
        <v>25</v>
      </c>
      <c r="O2081">
        <v>2027</v>
      </c>
      <c r="P2081">
        <v>21.097584000000001</v>
      </c>
    </row>
    <row r="2082" spans="1:16" x14ac:dyDescent="0.3">
      <c r="A2082" t="str">
        <f t="shared" si="32"/>
        <v>CN|TotalCapacityAnnual|RE1|PWRHYDROR_NDC|2027</v>
      </c>
      <c r="B2082" t="s">
        <v>39</v>
      </c>
      <c r="C2082" t="s">
        <v>40</v>
      </c>
      <c r="D2082" t="s">
        <v>38</v>
      </c>
      <c r="E2082" t="s">
        <v>19</v>
      </c>
      <c r="F2082" t="s">
        <v>26</v>
      </c>
      <c r="O2082">
        <v>2027</v>
      </c>
      <c r="P2082">
        <v>29.725108271999989</v>
      </c>
    </row>
    <row r="2083" spans="1:16" x14ac:dyDescent="0.3">
      <c r="A2083" t="str">
        <f t="shared" si="32"/>
        <v>CN|TotalCapacityAnnual|RE1|PWRJET|2027</v>
      </c>
      <c r="B2083" t="s">
        <v>39</v>
      </c>
      <c r="C2083" t="s">
        <v>40</v>
      </c>
      <c r="D2083" t="s">
        <v>38</v>
      </c>
      <c r="E2083" t="s">
        <v>19</v>
      </c>
      <c r="F2083" t="s">
        <v>27</v>
      </c>
      <c r="O2083">
        <v>2027</v>
      </c>
      <c r="P2083">
        <v>1.5768</v>
      </c>
    </row>
    <row r="2084" spans="1:16" x14ac:dyDescent="0.3">
      <c r="A2084" t="str">
        <f t="shared" si="32"/>
        <v>CN|TotalCapacityAnnual|RE1|PWRLPG|2027</v>
      </c>
      <c r="B2084" t="s">
        <v>39</v>
      </c>
      <c r="C2084" t="s">
        <v>40</v>
      </c>
      <c r="D2084" t="s">
        <v>38</v>
      </c>
      <c r="E2084" t="s">
        <v>19</v>
      </c>
      <c r="F2084" t="s">
        <v>28</v>
      </c>
      <c r="O2084">
        <v>2027</v>
      </c>
      <c r="P2084">
        <v>1.639872</v>
      </c>
    </row>
    <row r="2085" spans="1:16" x14ac:dyDescent="0.3">
      <c r="A2085" t="str">
        <f t="shared" si="32"/>
        <v>CN|TotalCapacityAnnual|RE1|PWRNGS_CC|2027</v>
      </c>
      <c r="B2085" t="s">
        <v>39</v>
      </c>
      <c r="C2085" t="s">
        <v>40</v>
      </c>
      <c r="D2085" t="s">
        <v>38</v>
      </c>
      <c r="E2085" t="s">
        <v>19</v>
      </c>
      <c r="F2085" t="s">
        <v>29</v>
      </c>
      <c r="O2085">
        <v>2027</v>
      </c>
      <c r="P2085">
        <v>70.104500000000002</v>
      </c>
    </row>
    <row r="2086" spans="1:16" x14ac:dyDescent="0.3">
      <c r="A2086" t="str">
        <f t="shared" si="32"/>
        <v>CN|TotalCapacityAnnual|RE1|PWRNGS_CS|2027</v>
      </c>
      <c r="B2086" t="s">
        <v>39</v>
      </c>
      <c r="C2086" t="s">
        <v>40</v>
      </c>
      <c r="D2086" t="s">
        <v>38</v>
      </c>
      <c r="E2086" t="s">
        <v>19</v>
      </c>
      <c r="F2086" t="s">
        <v>30</v>
      </c>
      <c r="O2086">
        <v>2027</v>
      </c>
      <c r="P2086">
        <v>23.084351999999999</v>
      </c>
    </row>
    <row r="2087" spans="1:16" x14ac:dyDescent="0.3">
      <c r="A2087" t="str">
        <f t="shared" si="32"/>
        <v>CN|TotalCapacityAnnual|RE1|PWRSOLRTP|2027</v>
      </c>
      <c r="B2087" t="s">
        <v>39</v>
      </c>
      <c r="C2087" t="s">
        <v>40</v>
      </c>
      <c r="D2087" t="s">
        <v>38</v>
      </c>
      <c r="E2087" t="s">
        <v>19</v>
      </c>
      <c r="F2087" t="s">
        <v>31</v>
      </c>
      <c r="O2087">
        <v>2027</v>
      </c>
      <c r="P2087">
        <v>48.494100000000003</v>
      </c>
    </row>
    <row r="2088" spans="1:16" x14ac:dyDescent="0.3">
      <c r="A2088" t="str">
        <f t="shared" si="32"/>
        <v>CN|TotalCapacityAnnual|RE1|PWRSOLRTP_ZNI|2027</v>
      </c>
      <c r="B2088" t="s">
        <v>39</v>
      </c>
      <c r="C2088" t="s">
        <v>40</v>
      </c>
      <c r="D2088" t="s">
        <v>38</v>
      </c>
      <c r="E2088" t="s">
        <v>19</v>
      </c>
      <c r="F2088" t="s">
        <v>32</v>
      </c>
      <c r="O2088">
        <v>2027</v>
      </c>
      <c r="P2088">
        <v>0.46074095999999998</v>
      </c>
    </row>
    <row r="2089" spans="1:16" x14ac:dyDescent="0.3">
      <c r="A2089" t="str">
        <f t="shared" si="32"/>
        <v>CN|TotalCapacityAnnual|RE1|PWRSOLUGE|2027</v>
      </c>
      <c r="B2089" t="s">
        <v>39</v>
      </c>
      <c r="C2089" t="s">
        <v>40</v>
      </c>
      <c r="D2089" t="s">
        <v>38</v>
      </c>
      <c r="E2089" t="s">
        <v>19</v>
      </c>
      <c r="F2089" t="s">
        <v>33</v>
      </c>
      <c r="O2089">
        <v>2027</v>
      </c>
      <c r="P2089">
        <v>183.90786048000001</v>
      </c>
    </row>
    <row r="2090" spans="1:16" x14ac:dyDescent="0.3">
      <c r="A2090" t="str">
        <f t="shared" si="32"/>
        <v>CN|TotalCapacityAnnual|RE1|PWRSOLUGE_BAT|2027</v>
      </c>
      <c r="B2090" t="s">
        <v>39</v>
      </c>
      <c r="C2090" t="s">
        <v>40</v>
      </c>
      <c r="D2090" t="s">
        <v>38</v>
      </c>
      <c r="E2090" t="s">
        <v>19</v>
      </c>
      <c r="F2090" t="s">
        <v>41</v>
      </c>
      <c r="O2090">
        <v>2027</v>
      </c>
    </row>
    <row r="2091" spans="1:16" x14ac:dyDescent="0.3">
      <c r="A2091" t="str">
        <f t="shared" si="32"/>
        <v>CN|TotalCapacityAnnual|RE1|PWRSOLUPE|2027</v>
      </c>
      <c r="B2091" t="s">
        <v>39</v>
      </c>
      <c r="C2091" t="s">
        <v>40</v>
      </c>
      <c r="D2091" t="s">
        <v>38</v>
      </c>
      <c r="E2091" t="s">
        <v>19</v>
      </c>
      <c r="F2091" t="s">
        <v>34</v>
      </c>
      <c r="O2091">
        <v>2027</v>
      </c>
      <c r="P2091">
        <v>39.172600079999931</v>
      </c>
    </row>
    <row r="2092" spans="1:16" x14ac:dyDescent="0.3">
      <c r="A2092" t="str">
        <f t="shared" si="32"/>
        <v>CN|TotalCapacityAnnual|RE1|PWRSTD|2027</v>
      </c>
      <c r="B2092" t="s">
        <v>39</v>
      </c>
      <c r="C2092" t="s">
        <v>40</v>
      </c>
      <c r="D2092" t="s">
        <v>38</v>
      </c>
      <c r="E2092" t="s">
        <v>19</v>
      </c>
      <c r="F2092" t="s">
        <v>35</v>
      </c>
      <c r="O2092">
        <v>2027</v>
      </c>
      <c r="P2092">
        <v>8.163062064</v>
      </c>
    </row>
    <row r="2093" spans="1:16" x14ac:dyDescent="0.3">
      <c r="A2093" t="str">
        <f t="shared" si="32"/>
        <v>CN|TotalCapacityAnnual|RE1|PWRWNDOFS_FIX|2027</v>
      </c>
      <c r="B2093" t="s">
        <v>39</v>
      </c>
      <c r="C2093" t="s">
        <v>40</v>
      </c>
      <c r="D2093" t="s">
        <v>38</v>
      </c>
      <c r="E2093" t="s">
        <v>19</v>
      </c>
      <c r="F2093" t="s">
        <v>42</v>
      </c>
      <c r="O2093">
        <v>2027</v>
      </c>
    </row>
    <row r="2094" spans="1:16" x14ac:dyDescent="0.3">
      <c r="A2094" t="str">
        <f t="shared" si="32"/>
        <v>CN|TotalCapacityAnnual|RE1|PWRWNDOFS_FLO|2027</v>
      </c>
      <c r="B2094" t="s">
        <v>39</v>
      </c>
      <c r="C2094" t="s">
        <v>40</v>
      </c>
      <c r="D2094" t="s">
        <v>38</v>
      </c>
      <c r="E2094" t="s">
        <v>19</v>
      </c>
      <c r="F2094" t="s">
        <v>43</v>
      </c>
      <c r="O2094">
        <v>2027</v>
      </c>
    </row>
    <row r="2095" spans="1:16" x14ac:dyDescent="0.3">
      <c r="A2095" t="str">
        <f t="shared" si="32"/>
        <v>CN|TotalCapacityAnnual|RE1|PWRWNDONS|2027</v>
      </c>
      <c r="B2095" t="s">
        <v>39</v>
      </c>
      <c r="C2095" t="s">
        <v>40</v>
      </c>
      <c r="D2095" t="s">
        <v>38</v>
      </c>
      <c r="E2095" t="s">
        <v>19</v>
      </c>
      <c r="F2095" t="s">
        <v>36</v>
      </c>
      <c r="O2095">
        <v>2027</v>
      </c>
      <c r="P2095">
        <v>33.058108884435583</v>
      </c>
    </row>
    <row r="2096" spans="1:16" x14ac:dyDescent="0.3">
      <c r="A2096" t="str">
        <f t="shared" si="32"/>
        <v>CN|AccumulatedNewCapacity|RE1|PWRBGS|2028</v>
      </c>
      <c r="B2096" t="s">
        <v>39</v>
      </c>
      <c r="C2096" t="s">
        <v>40</v>
      </c>
      <c r="D2096" t="s">
        <v>18</v>
      </c>
      <c r="E2096" t="s">
        <v>19</v>
      </c>
      <c r="F2096" t="s">
        <v>20</v>
      </c>
      <c r="O2096">
        <v>2028</v>
      </c>
    </row>
    <row r="2097" spans="1:16" x14ac:dyDescent="0.3">
      <c r="A2097" t="str">
        <f t="shared" si="32"/>
        <v>CN|AccumulatedNewCapacity|RE1|PWRCOA|2028</v>
      </c>
      <c r="B2097" t="s">
        <v>39</v>
      </c>
      <c r="C2097" t="s">
        <v>40</v>
      </c>
      <c r="D2097" t="s">
        <v>18</v>
      </c>
      <c r="E2097" t="s">
        <v>19</v>
      </c>
      <c r="F2097" t="s">
        <v>21</v>
      </c>
      <c r="O2097">
        <v>2028</v>
      </c>
    </row>
    <row r="2098" spans="1:16" x14ac:dyDescent="0.3">
      <c r="A2098" t="str">
        <f t="shared" si="32"/>
        <v>CN|AccumulatedNewCapacity|RE1|PWRDSL|2028</v>
      </c>
      <c r="B2098" t="s">
        <v>39</v>
      </c>
      <c r="C2098" t="s">
        <v>40</v>
      </c>
      <c r="D2098" t="s">
        <v>18</v>
      </c>
      <c r="E2098" t="s">
        <v>19</v>
      </c>
      <c r="F2098" t="s">
        <v>22</v>
      </c>
      <c r="O2098">
        <v>2028</v>
      </c>
    </row>
    <row r="2099" spans="1:16" x14ac:dyDescent="0.3">
      <c r="A2099" t="str">
        <f t="shared" si="32"/>
        <v>CN|AccumulatedNewCapacity|RE1|PWRFOL|2028</v>
      </c>
      <c r="B2099" t="s">
        <v>39</v>
      </c>
      <c r="C2099" t="s">
        <v>40</v>
      </c>
      <c r="D2099" t="s">
        <v>18</v>
      </c>
      <c r="E2099" t="s">
        <v>19</v>
      </c>
      <c r="F2099" t="s">
        <v>23</v>
      </c>
      <c r="O2099">
        <v>2028</v>
      </c>
    </row>
    <row r="2100" spans="1:16" x14ac:dyDescent="0.3">
      <c r="A2100" t="str">
        <f t="shared" si="32"/>
        <v>CN|AccumulatedNewCapacity|RE1|PWRHYDDAM|2028</v>
      </c>
      <c r="B2100" t="s">
        <v>39</v>
      </c>
      <c r="C2100" t="s">
        <v>40</v>
      </c>
      <c r="D2100" t="s">
        <v>18</v>
      </c>
      <c r="E2100" t="s">
        <v>19</v>
      </c>
      <c r="F2100" t="s">
        <v>24</v>
      </c>
      <c r="O2100">
        <v>2028</v>
      </c>
      <c r="P2100">
        <v>37.840000000000003</v>
      </c>
    </row>
    <row r="2101" spans="1:16" x14ac:dyDescent="0.3">
      <c r="A2101" t="str">
        <f t="shared" si="32"/>
        <v>CN|AccumulatedNewCapacity|RE1|PWRHYDROR|2028</v>
      </c>
      <c r="B2101" t="s">
        <v>39</v>
      </c>
      <c r="C2101" t="s">
        <v>40</v>
      </c>
      <c r="D2101" t="s">
        <v>18</v>
      </c>
      <c r="E2101" t="s">
        <v>19</v>
      </c>
      <c r="F2101" t="s">
        <v>25</v>
      </c>
      <c r="O2101">
        <v>2028</v>
      </c>
    </row>
    <row r="2102" spans="1:16" x14ac:dyDescent="0.3">
      <c r="A2102" t="str">
        <f t="shared" si="32"/>
        <v>CN|AccumulatedNewCapacity|RE1|PWRHYDROR_NDC|2028</v>
      </c>
      <c r="B2102" t="s">
        <v>39</v>
      </c>
      <c r="C2102" t="s">
        <v>40</v>
      </c>
      <c r="D2102" t="s">
        <v>18</v>
      </c>
      <c r="E2102" t="s">
        <v>19</v>
      </c>
      <c r="F2102" t="s">
        <v>26</v>
      </c>
      <c r="O2102">
        <v>2028</v>
      </c>
    </row>
    <row r="2103" spans="1:16" x14ac:dyDescent="0.3">
      <c r="A2103" t="str">
        <f t="shared" si="32"/>
        <v>CN|AccumulatedNewCapacity|RE1|PWRJET|2028</v>
      </c>
      <c r="B2103" t="s">
        <v>39</v>
      </c>
      <c r="C2103" t="s">
        <v>40</v>
      </c>
      <c r="D2103" t="s">
        <v>18</v>
      </c>
      <c r="E2103" t="s">
        <v>19</v>
      </c>
      <c r="F2103" t="s">
        <v>27</v>
      </c>
      <c r="O2103">
        <v>2028</v>
      </c>
    </row>
    <row r="2104" spans="1:16" x14ac:dyDescent="0.3">
      <c r="A2104" t="str">
        <f t="shared" si="32"/>
        <v>CN|AccumulatedNewCapacity|RE1|PWRLPG|2028</v>
      </c>
      <c r="B2104" t="s">
        <v>39</v>
      </c>
      <c r="C2104" t="s">
        <v>40</v>
      </c>
      <c r="D2104" t="s">
        <v>18</v>
      </c>
      <c r="E2104" t="s">
        <v>19</v>
      </c>
      <c r="F2104" t="s">
        <v>28</v>
      </c>
      <c r="O2104">
        <v>2028</v>
      </c>
    </row>
    <row r="2105" spans="1:16" x14ac:dyDescent="0.3">
      <c r="A2105" t="str">
        <f t="shared" si="32"/>
        <v>CN|AccumulatedNewCapacity|RE1|PWRNGS_CC|2028</v>
      </c>
      <c r="B2105" t="s">
        <v>39</v>
      </c>
      <c r="C2105" t="s">
        <v>40</v>
      </c>
      <c r="D2105" t="s">
        <v>18</v>
      </c>
      <c r="E2105" t="s">
        <v>19</v>
      </c>
      <c r="F2105" t="s">
        <v>29</v>
      </c>
      <c r="O2105">
        <v>2028</v>
      </c>
    </row>
    <row r="2106" spans="1:16" x14ac:dyDescent="0.3">
      <c r="A2106" t="str">
        <f t="shared" si="32"/>
        <v>CN|AccumulatedNewCapacity|RE1|PWRNGS_CS|2028</v>
      </c>
      <c r="B2106" t="s">
        <v>39</v>
      </c>
      <c r="C2106" t="s">
        <v>40</v>
      </c>
      <c r="D2106" t="s">
        <v>18</v>
      </c>
      <c r="E2106" t="s">
        <v>19</v>
      </c>
      <c r="F2106" t="s">
        <v>30</v>
      </c>
      <c r="O2106">
        <v>2028</v>
      </c>
    </row>
    <row r="2107" spans="1:16" x14ac:dyDescent="0.3">
      <c r="A2107" t="str">
        <f t="shared" si="32"/>
        <v>CN|AccumulatedNewCapacity|RE1|PWRSOLRTP|2028</v>
      </c>
      <c r="B2107" t="s">
        <v>39</v>
      </c>
      <c r="C2107" t="s">
        <v>40</v>
      </c>
      <c r="D2107" t="s">
        <v>18</v>
      </c>
      <c r="E2107" t="s">
        <v>19</v>
      </c>
      <c r="F2107" t="s">
        <v>31</v>
      </c>
      <c r="O2107">
        <v>2028</v>
      </c>
      <c r="P2107">
        <v>41.54</v>
      </c>
    </row>
    <row r="2108" spans="1:16" x14ac:dyDescent="0.3">
      <c r="A2108" t="str">
        <f t="shared" si="32"/>
        <v>CN|AccumulatedNewCapacity|RE1|PWRSOLRTP_ZNI|2028</v>
      </c>
      <c r="B2108" t="s">
        <v>39</v>
      </c>
      <c r="C2108" t="s">
        <v>40</v>
      </c>
      <c r="D2108" t="s">
        <v>18</v>
      </c>
      <c r="E2108" t="s">
        <v>19</v>
      </c>
      <c r="F2108" t="s">
        <v>32</v>
      </c>
      <c r="O2108">
        <v>2028</v>
      </c>
    </row>
    <row r="2109" spans="1:16" x14ac:dyDescent="0.3">
      <c r="A2109" t="str">
        <f t="shared" si="32"/>
        <v>CN|AccumulatedNewCapacity|RE1|PWRSOLUGE|2028</v>
      </c>
      <c r="B2109" t="s">
        <v>39</v>
      </c>
      <c r="C2109" t="s">
        <v>40</v>
      </c>
      <c r="D2109" t="s">
        <v>18</v>
      </c>
      <c r="E2109" t="s">
        <v>19</v>
      </c>
      <c r="F2109" t="s">
        <v>33</v>
      </c>
      <c r="O2109">
        <v>2028</v>
      </c>
      <c r="P2109">
        <v>135.51019199999999</v>
      </c>
    </row>
    <row r="2110" spans="1:16" x14ac:dyDescent="0.3">
      <c r="A2110" t="str">
        <f t="shared" si="32"/>
        <v>CN|AccumulatedNewCapacity|RE1|PWRSOLUGE_BAT|2028</v>
      </c>
      <c r="B2110" t="s">
        <v>39</v>
      </c>
      <c r="C2110" t="s">
        <v>40</v>
      </c>
      <c r="D2110" t="s">
        <v>18</v>
      </c>
      <c r="E2110" t="s">
        <v>19</v>
      </c>
      <c r="F2110" t="s">
        <v>41</v>
      </c>
      <c r="O2110">
        <v>2028</v>
      </c>
    </row>
    <row r="2111" spans="1:16" x14ac:dyDescent="0.3">
      <c r="A2111" t="str">
        <f t="shared" si="32"/>
        <v>CN|AccumulatedNewCapacity|RE1|PWRSOLUPE|2028</v>
      </c>
      <c r="B2111" t="s">
        <v>39</v>
      </c>
      <c r="C2111" t="s">
        <v>40</v>
      </c>
      <c r="D2111" t="s">
        <v>18</v>
      </c>
      <c r="E2111" t="s">
        <v>19</v>
      </c>
      <c r="F2111" t="s">
        <v>34</v>
      </c>
      <c r="O2111">
        <v>2028</v>
      </c>
      <c r="P2111">
        <v>12.14419823999993</v>
      </c>
    </row>
    <row r="2112" spans="1:16" x14ac:dyDescent="0.3">
      <c r="A2112" t="str">
        <f t="shared" si="32"/>
        <v>CN|AccumulatedNewCapacity|RE1|PWRSTD|2028</v>
      </c>
      <c r="B2112" t="s">
        <v>39</v>
      </c>
      <c r="C2112" t="s">
        <v>40</v>
      </c>
      <c r="D2112" t="s">
        <v>18</v>
      </c>
      <c r="E2112" t="s">
        <v>19</v>
      </c>
      <c r="F2112" t="s">
        <v>35</v>
      </c>
      <c r="O2112">
        <v>2028</v>
      </c>
    </row>
    <row r="2113" spans="1:16" x14ac:dyDescent="0.3">
      <c r="A2113" t="str">
        <f t="shared" si="32"/>
        <v>CN|AccumulatedNewCapacity|RE1|PWRWNDOFS_FIX|2028</v>
      </c>
      <c r="B2113" t="s">
        <v>39</v>
      </c>
      <c r="C2113" t="s">
        <v>40</v>
      </c>
      <c r="D2113" t="s">
        <v>18</v>
      </c>
      <c r="E2113" t="s">
        <v>19</v>
      </c>
      <c r="F2113" t="s">
        <v>42</v>
      </c>
      <c r="O2113">
        <v>2028</v>
      </c>
    </row>
    <row r="2114" spans="1:16" x14ac:dyDescent="0.3">
      <c r="A2114" t="str">
        <f t="shared" ref="A2114:A2177" si="33">B2114&amp;"|"&amp;D2114&amp;"|"&amp;E2114&amp;"|"&amp;F2114&amp;"|"&amp;O2114</f>
        <v>CN|AccumulatedNewCapacity|RE1|PWRWNDOFS_FLO|2028</v>
      </c>
      <c r="B2114" t="s">
        <v>39</v>
      </c>
      <c r="C2114" t="s">
        <v>40</v>
      </c>
      <c r="D2114" t="s">
        <v>18</v>
      </c>
      <c r="E2114" t="s">
        <v>19</v>
      </c>
      <c r="F2114" t="s">
        <v>43</v>
      </c>
      <c r="O2114">
        <v>2028</v>
      </c>
    </row>
    <row r="2115" spans="1:16" x14ac:dyDescent="0.3">
      <c r="A2115" t="str">
        <f t="shared" si="33"/>
        <v>CN|AccumulatedNewCapacity|RE1|PWRWNDONS|2028</v>
      </c>
      <c r="B2115" t="s">
        <v>39</v>
      </c>
      <c r="C2115" t="s">
        <v>40</v>
      </c>
      <c r="D2115" t="s">
        <v>18</v>
      </c>
      <c r="E2115" t="s">
        <v>19</v>
      </c>
      <c r="F2115" t="s">
        <v>36</v>
      </c>
      <c r="O2115">
        <v>2028</v>
      </c>
      <c r="P2115">
        <v>38.089446484435577</v>
      </c>
    </row>
    <row r="2116" spans="1:16" x14ac:dyDescent="0.3">
      <c r="A2116" t="str">
        <f t="shared" si="33"/>
        <v>CN|NewCapacity|RE1|PWRBGS|2028</v>
      </c>
      <c r="B2116" t="s">
        <v>39</v>
      </c>
      <c r="C2116" t="s">
        <v>40</v>
      </c>
      <c r="D2116" t="s">
        <v>37</v>
      </c>
      <c r="E2116" t="s">
        <v>19</v>
      </c>
      <c r="F2116" t="s">
        <v>20</v>
      </c>
      <c r="O2116">
        <v>2028</v>
      </c>
    </row>
    <row r="2117" spans="1:16" x14ac:dyDescent="0.3">
      <c r="A2117" t="str">
        <f t="shared" si="33"/>
        <v>CN|NewCapacity|RE1|PWRCOA|2028</v>
      </c>
      <c r="B2117" t="s">
        <v>39</v>
      </c>
      <c r="C2117" t="s">
        <v>40</v>
      </c>
      <c r="D2117" t="s">
        <v>37</v>
      </c>
      <c r="E2117" t="s">
        <v>19</v>
      </c>
      <c r="F2117" t="s">
        <v>21</v>
      </c>
      <c r="O2117">
        <v>2028</v>
      </c>
    </row>
    <row r="2118" spans="1:16" x14ac:dyDescent="0.3">
      <c r="A2118" t="str">
        <f t="shared" si="33"/>
        <v>CN|NewCapacity|RE1|PWRDSL|2028</v>
      </c>
      <c r="B2118" t="s">
        <v>39</v>
      </c>
      <c r="C2118" t="s">
        <v>40</v>
      </c>
      <c r="D2118" t="s">
        <v>37</v>
      </c>
      <c r="E2118" t="s">
        <v>19</v>
      </c>
      <c r="F2118" t="s">
        <v>22</v>
      </c>
      <c r="O2118">
        <v>2028</v>
      </c>
    </row>
    <row r="2119" spans="1:16" x14ac:dyDescent="0.3">
      <c r="A2119" t="str">
        <f t="shared" si="33"/>
        <v>CN|NewCapacity|RE1|PWRFOL|2028</v>
      </c>
      <c r="B2119" t="s">
        <v>39</v>
      </c>
      <c r="C2119" t="s">
        <v>40</v>
      </c>
      <c r="D2119" t="s">
        <v>37</v>
      </c>
      <c r="E2119" t="s">
        <v>19</v>
      </c>
      <c r="F2119" t="s">
        <v>23</v>
      </c>
      <c r="O2119">
        <v>2028</v>
      </c>
    </row>
    <row r="2120" spans="1:16" x14ac:dyDescent="0.3">
      <c r="A2120" t="str">
        <f t="shared" si="33"/>
        <v>CN|NewCapacity|RE1|PWRHYDDAM|2028</v>
      </c>
      <c r="B2120" t="s">
        <v>39</v>
      </c>
      <c r="C2120" t="s">
        <v>40</v>
      </c>
      <c r="D2120" t="s">
        <v>37</v>
      </c>
      <c r="E2120" t="s">
        <v>19</v>
      </c>
      <c r="F2120" t="s">
        <v>24</v>
      </c>
      <c r="O2120">
        <v>2028</v>
      </c>
      <c r="P2120">
        <v>37.840000000000003</v>
      </c>
    </row>
    <row r="2121" spans="1:16" x14ac:dyDescent="0.3">
      <c r="A2121" t="str">
        <f t="shared" si="33"/>
        <v>CN|NewCapacity|RE1|PWRHYDROR|2028</v>
      </c>
      <c r="B2121" t="s">
        <v>39</v>
      </c>
      <c r="C2121" t="s">
        <v>40</v>
      </c>
      <c r="D2121" t="s">
        <v>37</v>
      </c>
      <c r="E2121" t="s">
        <v>19</v>
      </c>
      <c r="F2121" t="s">
        <v>25</v>
      </c>
      <c r="O2121">
        <v>2028</v>
      </c>
    </row>
    <row r="2122" spans="1:16" x14ac:dyDescent="0.3">
      <c r="A2122" t="str">
        <f t="shared" si="33"/>
        <v>CN|NewCapacity|RE1|PWRHYDROR_NDC|2028</v>
      </c>
      <c r="B2122" t="s">
        <v>39</v>
      </c>
      <c r="C2122" t="s">
        <v>40</v>
      </c>
      <c r="D2122" t="s">
        <v>37</v>
      </c>
      <c r="E2122" t="s">
        <v>19</v>
      </c>
      <c r="F2122" t="s">
        <v>26</v>
      </c>
      <c r="O2122">
        <v>2028</v>
      </c>
    </row>
    <row r="2123" spans="1:16" x14ac:dyDescent="0.3">
      <c r="A2123" t="str">
        <f t="shared" si="33"/>
        <v>CN|NewCapacity|RE1|PWRJET|2028</v>
      </c>
      <c r="B2123" t="s">
        <v>39</v>
      </c>
      <c r="C2123" t="s">
        <v>40</v>
      </c>
      <c r="D2123" t="s">
        <v>37</v>
      </c>
      <c r="E2123" t="s">
        <v>19</v>
      </c>
      <c r="F2123" t="s">
        <v>27</v>
      </c>
      <c r="O2123">
        <v>2028</v>
      </c>
    </row>
    <row r="2124" spans="1:16" x14ac:dyDescent="0.3">
      <c r="A2124" t="str">
        <f t="shared" si="33"/>
        <v>CN|NewCapacity|RE1|PWRLPG|2028</v>
      </c>
      <c r="B2124" t="s">
        <v>39</v>
      </c>
      <c r="C2124" t="s">
        <v>40</v>
      </c>
      <c r="D2124" t="s">
        <v>37</v>
      </c>
      <c r="E2124" t="s">
        <v>19</v>
      </c>
      <c r="F2124" t="s">
        <v>28</v>
      </c>
      <c r="O2124">
        <v>2028</v>
      </c>
    </row>
    <row r="2125" spans="1:16" x14ac:dyDescent="0.3">
      <c r="A2125" t="str">
        <f t="shared" si="33"/>
        <v>CN|NewCapacity|RE1|PWRNGS_CC|2028</v>
      </c>
      <c r="B2125" t="s">
        <v>39</v>
      </c>
      <c r="C2125" t="s">
        <v>40</v>
      </c>
      <c r="D2125" t="s">
        <v>37</v>
      </c>
      <c r="E2125" t="s">
        <v>19</v>
      </c>
      <c r="F2125" t="s">
        <v>29</v>
      </c>
      <c r="O2125">
        <v>2028</v>
      </c>
    </row>
    <row r="2126" spans="1:16" x14ac:dyDescent="0.3">
      <c r="A2126" t="str">
        <f t="shared" si="33"/>
        <v>CN|NewCapacity|RE1|PWRNGS_CS|2028</v>
      </c>
      <c r="B2126" t="s">
        <v>39</v>
      </c>
      <c r="C2126" t="s">
        <v>40</v>
      </c>
      <c r="D2126" t="s">
        <v>37</v>
      </c>
      <c r="E2126" t="s">
        <v>19</v>
      </c>
      <c r="F2126" t="s">
        <v>30</v>
      </c>
      <c r="O2126">
        <v>2028</v>
      </c>
    </row>
    <row r="2127" spans="1:16" x14ac:dyDescent="0.3">
      <c r="A2127" t="str">
        <f t="shared" si="33"/>
        <v>CN|NewCapacity|RE1|PWRSOLRTP|2028</v>
      </c>
      <c r="B2127" t="s">
        <v>39</v>
      </c>
      <c r="C2127" t="s">
        <v>40</v>
      </c>
      <c r="D2127" t="s">
        <v>37</v>
      </c>
      <c r="E2127" t="s">
        <v>19</v>
      </c>
      <c r="F2127" t="s">
        <v>31</v>
      </c>
      <c r="O2127">
        <v>2028</v>
      </c>
      <c r="P2127">
        <v>16.329999999999998</v>
      </c>
    </row>
    <row r="2128" spans="1:16" x14ac:dyDescent="0.3">
      <c r="A2128" t="str">
        <f t="shared" si="33"/>
        <v>CN|NewCapacity|RE1|PWRSOLRTP_ZNI|2028</v>
      </c>
      <c r="B2128" t="s">
        <v>39</v>
      </c>
      <c r="C2128" t="s">
        <v>40</v>
      </c>
      <c r="D2128" t="s">
        <v>37</v>
      </c>
      <c r="E2128" t="s">
        <v>19</v>
      </c>
      <c r="F2128" t="s">
        <v>32</v>
      </c>
      <c r="O2128">
        <v>2028</v>
      </c>
    </row>
    <row r="2129" spans="1:16" x14ac:dyDescent="0.3">
      <c r="A2129" t="str">
        <f t="shared" si="33"/>
        <v>CN|NewCapacity|RE1|PWRSOLUGE|2028</v>
      </c>
      <c r="B2129" t="s">
        <v>39</v>
      </c>
      <c r="C2129" t="s">
        <v>40</v>
      </c>
      <c r="D2129" t="s">
        <v>37</v>
      </c>
      <c r="E2129" t="s">
        <v>19</v>
      </c>
      <c r="F2129" t="s">
        <v>33</v>
      </c>
      <c r="O2129">
        <v>2028</v>
      </c>
    </row>
    <row r="2130" spans="1:16" x14ac:dyDescent="0.3">
      <c r="A2130" t="str">
        <f t="shared" si="33"/>
        <v>CN|NewCapacity|RE1|PWRSOLUGE_BAT|2028</v>
      </c>
      <c r="B2130" t="s">
        <v>39</v>
      </c>
      <c r="C2130" t="s">
        <v>40</v>
      </c>
      <c r="D2130" t="s">
        <v>37</v>
      </c>
      <c r="E2130" t="s">
        <v>19</v>
      </c>
      <c r="F2130" t="s">
        <v>41</v>
      </c>
      <c r="O2130">
        <v>2028</v>
      </c>
    </row>
    <row r="2131" spans="1:16" x14ac:dyDescent="0.3">
      <c r="A2131" t="str">
        <f t="shared" si="33"/>
        <v>CN|NewCapacity|RE1|PWRSOLUPE|2028</v>
      </c>
      <c r="B2131" t="s">
        <v>39</v>
      </c>
      <c r="C2131" t="s">
        <v>40</v>
      </c>
      <c r="D2131" t="s">
        <v>37</v>
      </c>
      <c r="E2131" t="s">
        <v>19</v>
      </c>
      <c r="F2131" t="s">
        <v>34</v>
      </c>
      <c r="O2131">
        <v>2028</v>
      </c>
    </row>
    <row r="2132" spans="1:16" x14ac:dyDescent="0.3">
      <c r="A2132" t="str">
        <f t="shared" si="33"/>
        <v>CN|NewCapacity|RE1|PWRSTD|2028</v>
      </c>
      <c r="B2132" t="s">
        <v>39</v>
      </c>
      <c r="C2132" t="s">
        <v>40</v>
      </c>
      <c r="D2132" t="s">
        <v>37</v>
      </c>
      <c r="E2132" t="s">
        <v>19</v>
      </c>
      <c r="F2132" t="s">
        <v>35</v>
      </c>
      <c r="O2132">
        <v>2028</v>
      </c>
    </row>
    <row r="2133" spans="1:16" x14ac:dyDescent="0.3">
      <c r="A2133" t="str">
        <f t="shared" si="33"/>
        <v>CN|NewCapacity|RE1|PWRWNDOFS_FIX|2028</v>
      </c>
      <c r="B2133" t="s">
        <v>39</v>
      </c>
      <c r="C2133" t="s">
        <v>40</v>
      </c>
      <c r="D2133" t="s">
        <v>37</v>
      </c>
      <c r="E2133" t="s">
        <v>19</v>
      </c>
      <c r="F2133" t="s">
        <v>42</v>
      </c>
      <c r="O2133">
        <v>2028</v>
      </c>
    </row>
    <row r="2134" spans="1:16" x14ac:dyDescent="0.3">
      <c r="A2134" t="str">
        <f t="shared" si="33"/>
        <v>CN|NewCapacity|RE1|PWRWNDOFS_FLO|2028</v>
      </c>
      <c r="B2134" t="s">
        <v>39</v>
      </c>
      <c r="C2134" t="s">
        <v>40</v>
      </c>
      <c r="D2134" t="s">
        <v>37</v>
      </c>
      <c r="E2134" t="s">
        <v>19</v>
      </c>
      <c r="F2134" t="s">
        <v>43</v>
      </c>
      <c r="O2134">
        <v>2028</v>
      </c>
    </row>
    <row r="2135" spans="1:16" x14ac:dyDescent="0.3">
      <c r="A2135" t="str">
        <f t="shared" si="33"/>
        <v>CN|NewCapacity|RE1|PWRWNDONS|2028</v>
      </c>
      <c r="B2135" t="s">
        <v>39</v>
      </c>
      <c r="C2135" t="s">
        <v>40</v>
      </c>
      <c r="D2135" t="s">
        <v>37</v>
      </c>
      <c r="E2135" t="s">
        <v>19</v>
      </c>
      <c r="F2135" t="s">
        <v>36</v>
      </c>
      <c r="O2135">
        <v>2028</v>
      </c>
      <c r="P2135">
        <v>6.4</v>
      </c>
    </row>
    <row r="2136" spans="1:16" x14ac:dyDescent="0.3">
      <c r="A2136" t="str">
        <f t="shared" si="33"/>
        <v>CN|TotalCapacityAnnual|RE1|PWRBGS|2028</v>
      </c>
      <c r="B2136" t="s">
        <v>39</v>
      </c>
      <c r="C2136" t="s">
        <v>40</v>
      </c>
      <c r="D2136" t="s">
        <v>38</v>
      </c>
      <c r="E2136" t="s">
        <v>19</v>
      </c>
      <c r="F2136" t="s">
        <v>20</v>
      </c>
      <c r="O2136">
        <v>2028</v>
      </c>
      <c r="P2136">
        <v>2.5488587520000001E-2</v>
      </c>
    </row>
    <row r="2137" spans="1:16" x14ac:dyDescent="0.3">
      <c r="A2137" t="str">
        <f t="shared" si="33"/>
        <v>CN|TotalCapacityAnnual|RE1|PWRCOA|2028</v>
      </c>
      <c r="B2137" t="s">
        <v>39</v>
      </c>
      <c r="C2137" t="s">
        <v>40</v>
      </c>
      <c r="D2137" t="s">
        <v>38</v>
      </c>
      <c r="E2137" t="s">
        <v>19</v>
      </c>
      <c r="F2137" t="s">
        <v>21</v>
      </c>
      <c r="O2137">
        <v>2028</v>
      </c>
      <c r="P2137">
        <v>19.047744000000002</v>
      </c>
    </row>
    <row r="2138" spans="1:16" x14ac:dyDescent="0.3">
      <c r="A2138" t="str">
        <f t="shared" si="33"/>
        <v>CN|TotalCapacityAnnual|RE1|PWRDSL|2028</v>
      </c>
      <c r="B2138" t="s">
        <v>39</v>
      </c>
      <c r="C2138" t="s">
        <v>40</v>
      </c>
      <c r="D2138" t="s">
        <v>38</v>
      </c>
      <c r="E2138" t="s">
        <v>19</v>
      </c>
      <c r="F2138" t="s">
        <v>22</v>
      </c>
      <c r="O2138">
        <v>2028</v>
      </c>
      <c r="P2138">
        <v>24.944976</v>
      </c>
    </row>
    <row r="2139" spans="1:16" x14ac:dyDescent="0.3">
      <c r="A2139" t="str">
        <f t="shared" si="33"/>
        <v>CN|TotalCapacityAnnual|RE1|PWRFOL|2028</v>
      </c>
      <c r="B2139" t="s">
        <v>39</v>
      </c>
      <c r="C2139" t="s">
        <v>40</v>
      </c>
      <c r="D2139" t="s">
        <v>38</v>
      </c>
      <c r="E2139" t="s">
        <v>19</v>
      </c>
      <c r="F2139" t="s">
        <v>23</v>
      </c>
      <c r="O2139">
        <v>2028</v>
      </c>
      <c r="P2139">
        <v>8.3885759999999987</v>
      </c>
    </row>
    <row r="2140" spans="1:16" x14ac:dyDescent="0.3">
      <c r="A2140" t="str">
        <f t="shared" si="33"/>
        <v>CN|TotalCapacityAnnual|RE1|PWRHYDDAM|2028</v>
      </c>
      <c r="B2140" t="s">
        <v>39</v>
      </c>
      <c r="C2140" t="s">
        <v>40</v>
      </c>
      <c r="D2140" t="s">
        <v>38</v>
      </c>
      <c r="E2140" t="s">
        <v>19</v>
      </c>
      <c r="F2140" t="s">
        <v>24</v>
      </c>
      <c r="O2140">
        <v>2028</v>
      </c>
      <c r="P2140">
        <v>440.49164800000011</v>
      </c>
    </row>
    <row r="2141" spans="1:16" x14ac:dyDescent="0.3">
      <c r="A2141" t="str">
        <f t="shared" si="33"/>
        <v>CN|TotalCapacityAnnual|RE1|PWRHYDROR|2028</v>
      </c>
      <c r="B2141" t="s">
        <v>39</v>
      </c>
      <c r="C2141" t="s">
        <v>40</v>
      </c>
      <c r="D2141" t="s">
        <v>38</v>
      </c>
      <c r="E2141" t="s">
        <v>19</v>
      </c>
      <c r="F2141" t="s">
        <v>25</v>
      </c>
      <c r="O2141">
        <v>2028</v>
      </c>
      <c r="P2141">
        <v>21.097584000000001</v>
      </c>
    </row>
    <row r="2142" spans="1:16" x14ac:dyDescent="0.3">
      <c r="A2142" t="str">
        <f t="shared" si="33"/>
        <v>CN|TotalCapacityAnnual|RE1|PWRHYDROR_NDC|2028</v>
      </c>
      <c r="B2142" t="s">
        <v>39</v>
      </c>
      <c r="C2142" t="s">
        <v>40</v>
      </c>
      <c r="D2142" t="s">
        <v>38</v>
      </c>
      <c r="E2142" t="s">
        <v>19</v>
      </c>
      <c r="F2142" t="s">
        <v>26</v>
      </c>
      <c r="O2142">
        <v>2028</v>
      </c>
      <c r="P2142">
        <v>29.725108271999989</v>
      </c>
    </row>
    <row r="2143" spans="1:16" x14ac:dyDescent="0.3">
      <c r="A2143" t="str">
        <f t="shared" si="33"/>
        <v>CN|TotalCapacityAnnual|RE1|PWRJET|2028</v>
      </c>
      <c r="B2143" t="s">
        <v>39</v>
      </c>
      <c r="C2143" t="s">
        <v>40</v>
      </c>
      <c r="D2143" t="s">
        <v>38</v>
      </c>
      <c r="E2143" t="s">
        <v>19</v>
      </c>
      <c r="F2143" t="s">
        <v>27</v>
      </c>
      <c r="O2143">
        <v>2028</v>
      </c>
      <c r="P2143">
        <v>1.5768</v>
      </c>
    </row>
    <row r="2144" spans="1:16" x14ac:dyDescent="0.3">
      <c r="A2144" t="str">
        <f t="shared" si="33"/>
        <v>CN|TotalCapacityAnnual|RE1|PWRLPG|2028</v>
      </c>
      <c r="B2144" t="s">
        <v>39</v>
      </c>
      <c r="C2144" t="s">
        <v>40</v>
      </c>
      <c r="D2144" t="s">
        <v>38</v>
      </c>
      <c r="E2144" t="s">
        <v>19</v>
      </c>
      <c r="F2144" t="s">
        <v>28</v>
      </c>
      <c r="O2144">
        <v>2028</v>
      </c>
      <c r="P2144">
        <v>1.639872</v>
      </c>
    </row>
    <row r="2145" spans="1:16" x14ac:dyDescent="0.3">
      <c r="A2145" t="str">
        <f t="shared" si="33"/>
        <v>CN|TotalCapacityAnnual|RE1|PWRNGS_CC|2028</v>
      </c>
      <c r="B2145" t="s">
        <v>39</v>
      </c>
      <c r="C2145" t="s">
        <v>40</v>
      </c>
      <c r="D2145" t="s">
        <v>38</v>
      </c>
      <c r="E2145" t="s">
        <v>19</v>
      </c>
      <c r="F2145" t="s">
        <v>29</v>
      </c>
      <c r="O2145">
        <v>2028</v>
      </c>
      <c r="P2145">
        <v>70.104500000000002</v>
      </c>
    </row>
    <row r="2146" spans="1:16" x14ac:dyDescent="0.3">
      <c r="A2146" t="str">
        <f t="shared" si="33"/>
        <v>CN|TotalCapacityAnnual|RE1|PWRNGS_CS|2028</v>
      </c>
      <c r="B2146" t="s">
        <v>39</v>
      </c>
      <c r="C2146" t="s">
        <v>40</v>
      </c>
      <c r="D2146" t="s">
        <v>38</v>
      </c>
      <c r="E2146" t="s">
        <v>19</v>
      </c>
      <c r="F2146" t="s">
        <v>30</v>
      </c>
      <c r="O2146">
        <v>2028</v>
      </c>
      <c r="P2146">
        <v>23.084351999999999</v>
      </c>
    </row>
    <row r="2147" spans="1:16" x14ac:dyDescent="0.3">
      <c r="A2147" t="str">
        <f t="shared" si="33"/>
        <v>CN|TotalCapacityAnnual|RE1|PWRSOLRTP|2028</v>
      </c>
      <c r="B2147" t="s">
        <v>39</v>
      </c>
      <c r="C2147" t="s">
        <v>40</v>
      </c>
      <c r="D2147" t="s">
        <v>38</v>
      </c>
      <c r="E2147" t="s">
        <v>19</v>
      </c>
      <c r="F2147" t="s">
        <v>31</v>
      </c>
      <c r="O2147">
        <v>2028</v>
      </c>
      <c r="P2147">
        <v>64.824100000000001</v>
      </c>
    </row>
    <row r="2148" spans="1:16" x14ac:dyDescent="0.3">
      <c r="A2148" t="str">
        <f t="shared" si="33"/>
        <v>CN|TotalCapacityAnnual|RE1|PWRSOLRTP_ZNI|2028</v>
      </c>
      <c r="B2148" t="s">
        <v>39</v>
      </c>
      <c r="C2148" t="s">
        <v>40</v>
      </c>
      <c r="D2148" t="s">
        <v>38</v>
      </c>
      <c r="E2148" t="s">
        <v>19</v>
      </c>
      <c r="F2148" t="s">
        <v>32</v>
      </c>
      <c r="O2148">
        <v>2028</v>
      </c>
      <c r="P2148">
        <v>0.46074095999999998</v>
      </c>
    </row>
    <row r="2149" spans="1:16" x14ac:dyDescent="0.3">
      <c r="A2149" t="str">
        <f t="shared" si="33"/>
        <v>CN|TotalCapacityAnnual|RE1|PWRSOLUGE|2028</v>
      </c>
      <c r="B2149" t="s">
        <v>39</v>
      </c>
      <c r="C2149" t="s">
        <v>40</v>
      </c>
      <c r="D2149" t="s">
        <v>38</v>
      </c>
      <c r="E2149" t="s">
        <v>19</v>
      </c>
      <c r="F2149" t="s">
        <v>33</v>
      </c>
      <c r="O2149">
        <v>2028</v>
      </c>
      <c r="P2149">
        <v>183.90786048000001</v>
      </c>
    </row>
    <row r="2150" spans="1:16" x14ac:dyDescent="0.3">
      <c r="A2150" t="str">
        <f t="shared" si="33"/>
        <v>CN|TotalCapacityAnnual|RE1|PWRSOLUGE_BAT|2028</v>
      </c>
      <c r="B2150" t="s">
        <v>39</v>
      </c>
      <c r="C2150" t="s">
        <v>40</v>
      </c>
      <c r="D2150" t="s">
        <v>38</v>
      </c>
      <c r="E2150" t="s">
        <v>19</v>
      </c>
      <c r="F2150" t="s">
        <v>41</v>
      </c>
      <c r="O2150">
        <v>2028</v>
      </c>
    </row>
    <row r="2151" spans="1:16" x14ac:dyDescent="0.3">
      <c r="A2151" t="str">
        <f t="shared" si="33"/>
        <v>CN|TotalCapacityAnnual|RE1|PWRSOLUPE|2028</v>
      </c>
      <c r="B2151" t="s">
        <v>39</v>
      </c>
      <c r="C2151" t="s">
        <v>40</v>
      </c>
      <c r="D2151" t="s">
        <v>38</v>
      </c>
      <c r="E2151" t="s">
        <v>19</v>
      </c>
      <c r="F2151" t="s">
        <v>34</v>
      </c>
      <c r="O2151">
        <v>2028</v>
      </c>
      <c r="P2151">
        <v>39.172600079999931</v>
      </c>
    </row>
    <row r="2152" spans="1:16" x14ac:dyDescent="0.3">
      <c r="A2152" t="str">
        <f t="shared" si="33"/>
        <v>CN|TotalCapacityAnnual|RE1|PWRSTD|2028</v>
      </c>
      <c r="B2152" t="s">
        <v>39</v>
      </c>
      <c r="C2152" t="s">
        <v>40</v>
      </c>
      <c r="D2152" t="s">
        <v>38</v>
      </c>
      <c r="E2152" t="s">
        <v>19</v>
      </c>
      <c r="F2152" t="s">
        <v>35</v>
      </c>
      <c r="O2152">
        <v>2028</v>
      </c>
      <c r="P2152">
        <v>8.163062064</v>
      </c>
    </row>
    <row r="2153" spans="1:16" x14ac:dyDescent="0.3">
      <c r="A2153" t="str">
        <f t="shared" si="33"/>
        <v>CN|TotalCapacityAnnual|RE1|PWRWNDOFS_FIX|2028</v>
      </c>
      <c r="B2153" t="s">
        <v>39</v>
      </c>
      <c r="C2153" t="s">
        <v>40</v>
      </c>
      <c r="D2153" t="s">
        <v>38</v>
      </c>
      <c r="E2153" t="s">
        <v>19</v>
      </c>
      <c r="F2153" t="s">
        <v>42</v>
      </c>
      <c r="O2153">
        <v>2028</v>
      </c>
    </row>
    <row r="2154" spans="1:16" x14ac:dyDescent="0.3">
      <c r="A2154" t="str">
        <f t="shared" si="33"/>
        <v>CN|TotalCapacityAnnual|RE1|PWRWNDOFS_FLO|2028</v>
      </c>
      <c r="B2154" t="s">
        <v>39</v>
      </c>
      <c r="C2154" t="s">
        <v>40</v>
      </c>
      <c r="D2154" t="s">
        <v>38</v>
      </c>
      <c r="E2154" t="s">
        <v>19</v>
      </c>
      <c r="F2154" t="s">
        <v>43</v>
      </c>
      <c r="O2154">
        <v>2028</v>
      </c>
    </row>
    <row r="2155" spans="1:16" x14ac:dyDescent="0.3">
      <c r="A2155" t="str">
        <f t="shared" si="33"/>
        <v>CN|TotalCapacityAnnual|RE1|PWRWNDONS|2028</v>
      </c>
      <c r="B2155" t="s">
        <v>39</v>
      </c>
      <c r="C2155" t="s">
        <v>40</v>
      </c>
      <c r="D2155" t="s">
        <v>38</v>
      </c>
      <c r="E2155" t="s">
        <v>19</v>
      </c>
      <c r="F2155" t="s">
        <v>36</v>
      </c>
      <c r="O2155">
        <v>2028</v>
      </c>
      <c r="P2155">
        <v>39.458108884435568</v>
      </c>
    </row>
    <row r="2156" spans="1:16" x14ac:dyDescent="0.3">
      <c r="A2156" t="str">
        <f t="shared" si="33"/>
        <v>CN|AccumulatedNewCapacity|RE1|PWRBGS|2029</v>
      </c>
      <c r="B2156" t="s">
        <v>39</v>
      </c>
      <c r="C2156" t="s">
        <v>40</v>
      </c>
      <c r="D2156" t="s">
        <v>18</v>
      </c>
      <c r="E2156" t="s">
        <v>19</v>
      </c>
      <c r="F2156" t="s">
        <v>20</v>
      </c>
      <c r="O2156">
        <v>2029</v>
      </c>
    </row>
    <row r="2157" spans="1:16" x14ac:dyDescent="0.3">
      <c r="A2157" t="str">
        <f t="shared" si="33"/>
        <v>CN|AccumulatedNewCapacity|RE1|PWRCOA|2029</v>
      </c>
      <c r="B2157" t="s">
        <v>39</v>
      </c>
      <c r="C2157" t="s">
        <v>40</v>
      </c>
      <c r="D2157" t="s">
        <v>18</v>
      </c>
      <c r="E2157" t="s">
        <v>19</v>
      </c>
      <c r="F2157" t="s">
        <v>21</v>
      </c>
      <c r="O2157">
        <v>2029</v>
      </c>
    </row>
    <row r="2158" spans="1:16" x14ac:dyDescent="0.3">
      <c r="A2158" t="str">
        <f t="shared" si="33"/>
        <v>CN|AccumulatedNewCapacity|RE1|PWRDSL|2029</v>
      </c>
      <c r="B2158" t="s">
        <v>39</v>
      </c>
      <c r="C2158" t="s">
        <v>40</v>
      </c>
      <c r="D2158" t="s">
        <v>18</v>
      </c>
      <c r="E2158" t="s">
        <v>19</v>
      </c>
      <c r="F2158" t="s">
        <v>22</v>
      </c>
      <c r="O2158">
        <v>2029</v>
      </c>
    </row>
    <row r="2159" spans="1:16" x14ac:dyDescent="0.3">
      <c r="A2159" t="str">
        <f t="shared" si="33"/>
        <v>CN|AccumulatedNewCapacity|RE1|PWRFOL|2029</v>
      </c>
      <c r="B2159" t="s">
        <v>39</v>
      </c>
      <c r="C2159" t="s">
        <v>40</v>
      </c>
      <c r="D2159" t="s">
        <v>18</v>
      </c>
      <c r="E2159" t="s">
        <v>19</v>
      </c>
      <c r="F2159" t="s">
        <v>23</v>
      </c>
      <c r="O2159">
        <v>2029</v>
      </c>
    </row>
    <row r="2160" spans="1:16" x14ac:dyDescent="0.3">
      <c r="A2160" t="str">
        <f t="shared" si="33"/>
        <v>CN|AccumulatedNewCapacity|RE1|PWRHYDDAM|2029</v>
      </c>
      <c r="B2160" t="s">
        <v>39</v>
      </c>
      <c r="C2160" t="s">
        <v>40</v>
      </c>
      <c r="D2160" t="s">
        <v>18</v>
      </c>
      <c r="E2160" t="s">
        <v>19</v>
      </c>
      <c r="F2160" t="s">
        <v>24</v>
      </c>
      <c r="O2160">
        <v>2029</v>
      </c>
      <c r="P2160">
        <v>37.840000000000003</v>
      </c>
    </row>
    <row r="2161" spans="1:16" x14ac:dyDescent="0.3">
      <c r="A2161" t="str">
        <f t="shared" si="33"/>
        <v>CN|AccumulatedNewCapacity|RE1|PWRHYDROR|2029</v>
      </c>
      <c r="B2161" t="s">
        <v>39</v>
      </c>
      <c r="C2161" t="s">
        <v>40</v>
      </c>
      <c r="D2161" t="s">
        <v>18</v>
      </c>
      <c r="E2161" t="s">
        <v>19</v>
      </c>
      <c r="F2161" t="s">
        <v>25</v>
      </c>
      <c r="O2161">
        <v>2029</v>
      </c>
    </row>
    <row r="2162" spans="1:16" x14ac:dyDescent="0.3">
      <c r="A2162" t="str">
        <f t="shared" si="33"/>
        <v>CN|AccumulatedNewCapacity|RE1|PWRHYDROR_NDC|2029</v>
      </c>
      <c r="B2162" t="s">
        <v>39</v>
      </c>
      <c r="C2162" t="s">
        <v>40</v>
      </c>
      <c r="D2162" t="s">
        <v>18</v>
      </c>
      <c r="E2162" t="s">
        <v>19</v>
      </c>
      <c r="F2162" t="s">
        <v>26</v>
      </c>
      <c r="O2162">
        <v>2029</v>
      </c>
    </row>
    <row r="2163" spans="1:16" x14ac:dyDescent="0.3">
      <c r="A2163" t="str">
        <f t="shared" si="33"/>
        <v>CN|AccumulatedNewCapacity|RE1|PWRJET|2029</v>
      </c>
      <c r="B2163" t="s">
        <v>39</v>
      </c>
      <c r="C2163" t="s">
        <v>40</v>
      </c>
      <c r="D2163" t="s">
        <v>18</v>
      </c>
      <c r="E2163" t="s">
        <v>19</v>
      </c>
      <c r="F2163" t="s">
        <v>27</v>
      </c>
      <c r="O2163">
        <v>2029</v>
      </c>
    </row>
    <row r="2164" spans="1:16" x14ac:dyDescent="0.3">
      <c r="A2164" t="str">
        <f t="shared" si="33"/>
        <v>CN|AccumulatedNewCapacity|RE1|PWRLPG|2029</v>
      </c>
      <c r="B2164" t="s">
        <v>39</v>
      </c>
      <c r="C2164" t="s">
        <v>40</v>
      </c>
      <c r="D2164" t="s">
        <v>18</v>
      </c>
      <c r="E2164" t="s">
        <v>19</v>
      </c>
      <c r="F2164" t="s">
        <v>28</v>
      </c>
      <c r="O2164">
        <v>2029</v>
      </c>
    </row>
    <row r="2165" spans="1:16" x14ac:dyDescent="0.3">
      <c r="A2165" t="str">
        <f t="shared" si="33"/>
        <v>CN|AccumulatedNewCapacity|RE1|PWRNGS_CC|2029</v>
      </c>
      <c r="B2165" t="s">
        <v>39</v>
      </c>
      <c r="C2165" t="s">
        <v>40</v>
      </c>
      <c r="D2165" t="s">
        <v>18</v>
      </c>
      <c r="E2165" t="s">
        <v>19</v>
      </c>
      <c r="F2165" t="s">
        <v>29</v>
      </c>
      <c r="O2165">
        <v>2029</v>
      </c>
    </row>
    <row r="2166" spans="1:16" x14ac:dyDescent="0.3">
      <c r="A2166" t="str">
        <f t="shared" si="33"/>
        <v>CN|AccumulatedNewCapacity|RE1|PWRNGS_CS|2029</v>
      </c>
      <c r="B2166" t="s">
        <v>39</v>
      </c>
      <c r="C2166" t="s">
        <v>40</v>
      </c>
      <c r="D2166" t="s">
        <v>18</v>
      </c>
      <c r="E2166" t="s">
        <v>19</v>
      </c>
      <c r="F2166" t="s">
        <v>30</v>
      </c>
      <c r="O2166">
        <v>2029</v>
      </c>
    </row>
    <row r="2167" spans="1:16" x14ac:dyDescent="0.3">
      <c r="A2167" t="str">
        <f t="shared" si="33"/>
        <v>CN|AccumulatedNewCapacity|RE1|PWRSOLRTP|2029</v>
      </c>
      <c r="B2167" t="s">
        <v>39</v>
      </c>
      <c r="C2167" t="s">
        <v>40</v>
      </c>
      <c r="D2167" t="s">
        <v>18</v>
      </c>
      <c r="E2167" t="s">
        <v>19</v>
      </c>
      <c r="F2167" t="s">
        <v>31</v>
      </c>
      <c r="O2167">
        <v>2029</v>
      </c>
      <c r="P2167">
        <v>59.36</v>
      </c>
    </row>
    <row r="2168" spans="1:16" x14ac:dyDescent="0.3">
      <c r="A2168" t="str">
        <f t="shared" si="33"/>
        <v>CN|AccumulatedNewCapacity|RE1|PWRSOLRTP_ZNI|2029</v>
      </c>
      <c r="B2168" t="s">
        <v>39</v>
      </c>
      <c r="C2168" t="s">
        <v>40</v>
      </c>
      <c r="D2168" t="s">
        <v>18</v>
      </c>
      <c r="E2168" t="s">
        <v>19</v>
      </c>
      <c r="F2168" t="s">
        <v>32</v>
      </c>
      <c r="O2168">
        <v>2029</v>
      </c>
    </row>
    <row r="2169" spans="1:16" x14ac:dyDescent="0.3">
      <c r="A2169" t="str">
        <f t="shared" si="33"/>
        <v>CN|AccumulatedNewCapacity|RE1|PWRSOLUGE|2029</v>
      </c>
      <c r="B2169" t="s">
        <v>39</v>
      </c>
      <c r="C2169" t="s">
        <v>40</v>
      </c>
      <c r="D2169" t="s">
        <v>18</v>
      </c>
      <c r="E2169" t="s">
        <v>19</v>
      </c>
      <c r="F2169" t="s">
        <v>33</v>
      </c>
      <c r="O2169">
        <v>2029</v>
      </c>
      <c r="P2169">
        <v>135.51019199999999</v>
      </c>
    </row>
    <row r="2170" spans="1:16" x14ac:dyDescent="0.3">
      <c r="A2170" t="str">
        <f t="shared" si="33"/>
        <v>CN|AccumulatedNewCapacity|RE1|PWRSOLUGE_BAT|2029</v>
      </c>
      <c r="B2170" t="s">
        <v>39</v>
      </c>
      <c r="C2170" t="s">
        <v>40</v>
      </c>
      <c r="D2170" t="s">
        <v>18</v>
      </c>
      <c r="E2170" t="s">
        <v>19</v>
      </c>
      <c r="F2170" t="s">
        <v>41</v>
      </c>
      <c r="O2170">
        <v>2029</v>
      </c>
    </row>
    <row r="2171" spans="1:16" x14ac:dyDescent="0.3">
      <c r="A2171" t="str">
        <f t="shared" si="33"/>
        <v>CN|AccumulatedNewCapacity|RE1|PWRSOLUPE|2029</v>
      </c>
      <c r="B2171" t="s">
        <v>39</v>
      </c>
      <c r="C2171" t="s">
        <v>40</v>
      </c>
      <c r="D2171" t="s">
        <v>18</v>
      </c>
      <c r="E2171" t="s">
        <v>19</v>
      </c>
      <c r="F2171" t="s">
        <v>34</v>
      </c>
      <c r="O2171">
        <v>2029</v>
      </c>
      <c r="P2171">
        <v>12.14419823999993</v>
      </c>
    </row>
    <row r="2172" spans="1:16" x14ac:dyDescent="0.3">
      <c r="A2172" t="str">
        <f t="shared" si="33"/>
        <v>CN|AccumulatedNewCapacity|RE1|PWRSTD|2029</v>
      </c>
      <c r="B2172" t="s">
        <v>39</v>
      </c>
      <c r="C2172" t="s">
        <v>40</v>
      </c>
      <c r="D2172" t="s">
        <v>18</v>
      </c>
      <c r="E2172" t="s">
        <v>19</v>
      </c>
      <c r="F2172" t="s">
        <v>35</v>
      </c>
      <c r="O2172">
        <v>2029</v>
      </c>
    </row>
    <row r="2173" spans="1:16" x14ac:dyDescent="0.3">
      <c r="A2173" t="str">
        <f t="shared" si="33"/>
        <v>CN|AccumulatedNewCapacity|RE1|PWRWNDOFS_FIX|2029</v>
      </c>
      <c r="B2173" t="s">
        <v>39</v>
      </c>
      <c r="C2173" t="s">
        <v>40</v>
      </c>
      <c r="D2173" t="s">
        <v>18</v>
      </c>
      <c r="E2173" t="s">
        <v>19</v>
      </c>
      <c r="F2173" t="s">
        <v>42</v>
      </c>
      <c r="O2173">
        <v>2029</v>
      </c>
    </row>
    <row r="2174" spans="1:16" x14ac:dyDescent="0.3">
      <c r="A2174" t="str">
        <f t="shared" si="33"/>
        <v>CN|AccumulatedNewCapacity|RE1|PWRWNDOFS_FLO|2029</v>
      </c>
      <c r="B2174" t="s">
        <v>39</v>
      </c>
      <c r="C2174" t="s">
        <v>40</v>
      </c>
      <c r="D2174" t="s">
        <v>18</v>
      </c>
      <c r="E2174" t="s">
        <v>19</v>
      </c>
      <c r="F2174" t="s">
        <v>43</v>
      </c>
      <c r="O2174">
        <v>2029</v>
      </c>
    </row>
    <row r="2175" spans="1:16" x14ac:dyDescent="0.3">
      <c r="A2175" t="str">
        <f t="shared" si="33"/>
        <v>CN|AccumulatedNewCapacity|RE1|PWRWNDONS|2029</v>
      </c>
      <c r="B2175" t="s">
        <v>39</v>
      </c>
      <c r="C2175" t="s">
        <v>40</v>
      </c>
      <c r="D2175" t="s">
        <v>18</v>
      </c>
      <c r="E2175" t="s">
        <v>19</v>
      </c>
      <c r="F2175" t="s">
        <v>36</v>
      </c>
      <c r="O2175">
        <v>2029</v>
      </c>
      <c r="P2175">
        <v>47.589446484435577</v>
      </c>
    </row>
    <row r="2176" spans="1:16" x14ac:dyDescent="0.3">
      <c r="A2176" t="str">
        <f t="shared" si="33"/>
        <v>CN|NewCapacity|RE1|PWRBGS|2029</v>
      </c>
      <c r="B2176" t="s">
        <v>39</v>
      </c>
      <c r="C2176" t="s">
        <v>40</v>
      </c>
      <c r="D2176" t="s">
        <v>37</v>
      </c>
      <c r="E2176" t="s">
        <v>19</v>
      </c>
      <c r="F2176" t="s">
        <v>20</v>
      </c>
      <c r="O2176">
        <v>2029</v>
      </c>
    </row>
    <row r="2177" spans="1:16" x14ac:dyDescent="0.3">
      <c r="A2177" t="str">
        <f t="shared" si="33"/>
        <v>CN|NewCapacity|RE1|PWRCOA|2029</v>
      </c>
      <c r="B2177" t="s">
        <v>39</v>
      </c>
      <c r="C2177" t="s">
        <v>40</v>
      </c>
      <c r="D2177" t="s">
        <v>37</v>
      </c>
      <c r="E2177" t="s">
        <v>19</v>
      </c>
      <c r="F2177" t="s">
        <v>21</v>
      </c>
      <c r="O2177">
        <v>2029</v>
      </c>
    </row>
    <row r="2178" spans="1:16" x14ac:dyDescent="0.3">
      <c r="A2178" t="str">
        <f t="shared" ref="A2178:A2241" si="34">B2178&amp;"|"&amp;D2178&amp;"|"&amp;E2178&amp;"|"&amp;F2178&amp;"|"&amp;O2178</f>
        <v>CN|NewCapacity|RE1|PWRDSL|2029</v>
      </c>
      <c r="B2178" t="s">
        <v>39</v>
      </c>
      <c r="C2178" t="s">
        <v>40</v>
      </c>
      <c r="D2178" t="s">
        <v>37</v>
      </c>
      <c r="E2178" t="s">
        <v>19</v>
      </c>
      <c r="F2178" t="s">
        <v>22</v>
      </c>
      <c r="O2178">
        <v>2029</v>
      </c>
    </row>
    <row r="2179" spans="1:16" x14ac:dyDescent="0.3">
      <c r="A2179" t="str">
        <f t="shared" si="34"/>
        <v>CN|NewCapacity|RE1|PWRFOL|2029</v>
      </c>
      <c r="B2179" t="s">
        <v>39</v>
      </c>
      <c r="C2179" t="s">
        <v>40</v>
      </c>
      <c r="D2179" t="s">
        <v>37</v>
      </c>
      <c r="E2179" t="s">
        <v>19</v>
      </c>
      <c r="F2179" t="s">
        <v>23</v>
      </c>
      <c r="O2179">
        <v>2029</v>
      </c>
    </row>
    <row r="2180" spans="1:16" x14ac:dyDescent="0.3">
      <c r="A2180" t="str">
        <f t="shared" si="34"/>
        <v>CN|NewCapacity|RE1|PWRHYDDAM|2029</v>
      </c>
      <c r="B2180" t="s">
        <v>39</v>
      </c>
      <c r="C2180" t="s">
        <v>40</v>
      </c>
      <c r="D2180" t="s">
        <v>37</v>
      </c>
      <c r="E2180" t="s">
        <v>19</v>
      </c>
      <c r="F2180" t="s">
        <v>24</v>
      </c>
      <c r="O2180">
        <v>2029</v>
      </c>
    </row>
    <row r="2181" spans="1:16" x14ac:dyDescent="0.3">
      <c r="A2181" t="str">
        <f t="shared" si="34"/>
        <v>CN|NewCapacity|RE1|PWRHYDROR|2029</v>
      </c>
      <c r="B2181" t="s">
        <v>39</v>
      </c>
      <c r="C2181" t="s">
        <v>40</v>
      </c>
      <c r="D2181" t="s">
        <v>37</v>
      </c>
      <c r="E2181" t="s">
        <v>19</v>
      </c>
      <c r="F2181" t="s">
        <v>25</v>
      </c>
      <c r="O2181">
        <v>2029</v>
      </c>
    </row>
    <row r="2182" spans="1:16" x14ac:dyDescent="0.3">
      <c r="A2182" t="str">
        <f t="shared" si="34"/>
        <v>CN|NewCapacity|RE1|PWRHYDROR_NDC|2029</v>
      </c>
      <c r="B2182" t="s">
        <v>39</v>
      </c>
      <c r="C2182" t="s">
        <v>40</v>
      </c>
      <c r="D2182" t="s">
        <v>37</v>
      </c>
      <c r="E2182" t="s">
        <v>19</v>
      </c>
      <c r="F2182" t="s">
        <v>26</v>
      </c>
      <c r="O2182">
        <v>2029</v>
      </c>
    </row>
    <row r="2183" spans="1:16" x14ac:dyDescent="0.3">
      <c r="A2183" t="str">
        <f t="shared" si="34"/>
        <v>CN|NewCapacity|RE1|PWRJET|2029</v>
      </c>
      <c r="B2183" t="s">
        <v>39</v>
      </c>
      <c r="C2183" t="s">
        <v>40</v>
      </c>
      <c r="D2183" t="s">
        <v>37</v>
      </c>
      <c r="E2183" t="s">
        <v>19</v>
      </c>
      <c r="F2183" t="s">
        <v>27</v>
      </c>
      <c r="O2183">
        <v>2029</v>
      </c>
    </row>
    <row r="2184" spans="1:16" x14ac:dyDescent="0.3">
      <c r="A2184" t="str">
        <f t="shared" si="34"/>
        <v>CN|NewCapacity|RE1|PWRLPG|2029</v>
      </c>
      <c r="B2184" t="s">
        <v>39</v>
      </c>
      <c r="C2184" t="s">
        <v>40</v>
      </c>
      <c r="D2184" t="s">
        <v>37</v>
      </c>
      <c r="E2184" t="s">
        <v>19</v>
      </c>
      <c r="F2184" t="s">
        <v>28</v>
      </c>
      <c r="O2184">
        <v>2029</v>
      </c>
    </row>
    <row r="2185" spans="1:16" x14ac:dyDescent="0.3">
      <c r="A2185" t="str">
        <f t="shared" si="34"/>
        <v>CN|NewCapacity|RE1|PWRNGS_CC|2029</v>
      </c>
      <c r="B2185" t="s">
        <v>39</v>
      </c>
      <c r="C2185" t="s">
        <v>40</v>
      </c>
      <c r="D2185" t="s">
        <v>37</v>
      </c>
      <c r="E2185" t="s">
        <v>19</v>
      </c>
      <c r="F2185" t="s">
        <v>29</v>
      </c>
      <c r="O2185">
        <v>2029</v>
      </c>
    </row>
    <row r="2186" spans="1:16" x14ac:dyDescent="0.3">
      <c r="A2186" t="str">
        <f t="shared" si="34"/>
        <v>CN|NewCapacity|RE1|PWRNGS_CS|2029</v>
      </c>
      <c r="B2186" t="s">
        <v>39</v>
      </c>
      <c r="C2186" t="s">
        <v>40</v>
      </c>
      <c r="D2186" t="s">
        <v>37</v>
      </c>
      <c r="E2186" t="s">
        <v>19</v>
      </c>
      <c r="F2186" t="s">
        <v>30</v>
      </c>
      <c r="O2186">
        <v>2029</v>
      </c>
    </row>
    <row r="2187" spans="1:16" x14ac:dyDescent="0.3">
      <c r="A2187" t="str">
        <f t="shared" si="34"/>
        <v>CN|NewCapacity|RE1|PWRSOLRTP|2029</v>
      </c>
      <c r="B2187" t="s">
        <v>39</v>
      </c>
      <c r="C2187" t="s">
        <v>40</v>
      </c>
      <c r="D2187" t="s">
        <v>37</v>
      </c>
      <c r="E2187" t="s">
        <v>19</v>
      </c>
      <c r="F2187" t="s">
        <v>31</v>
      </c>
      <c r="O2187">
        <v>2029</v>
      </c>
      <c r="P2187">
        <v>17.82</v>
      </c>
    </row>
    <row r="2188" spans="1:16" x14ac:dyDescent="0.3">
      <c r="A2188" t="str">
        <f t="shared" si="34"/>
        <v>CN|NewCapacity|RE1|PWRSOLRTP_ZNI|2029</v>
      </c>
      <c r="B2188" t="s">
        <v>39</v>
      </c>
      <c r="C2188" t="s">
        <v>40</v>
      </c>
      <c r="D2188" t="s">
        <v>37</v>
      </c>
      <c r="E2188" t="s">
        <v>19</v>
      </c>
      <c r="F2188" t="s">
        <v>32</v>
      </c>
      <c r="O2188">
        <v>2029</v>
      </c>
    </row>
    <row r="2189" spans="1:16" x14ac:dyDescent="0.3">
      <c r="A2189" t="str">
        <f t="shared" si="34"/>
        <v>CN|NewCapacity|RE1|PWRSOLUGE|2029</v>
      </c>
      <c r="B2189" t="s">
        <v>39</v>
      </c>
      <c r="C2189" t="s">
        <v>40</v>
      </c>
      <c r="D2189" t="s">
        <v>37</v>
      </c>
      <c r="E2189" t="s">
        <v>19</v>
      </c>
      <c r="F2189" t="s">
        <v>33</v>
      </c>
      <c r="O2189">
        <v>2029</v>
      </c>
    </row>
    <row r="2190" spans="1:16" x14ac:dyDescent="0.3">
      <c r="A2190" t="str">
        <f t="shared" si="34"/>
        <v>CN|NewCapacity|RE1|PWRSOLUGE_BAT|2029</v>
      </c>
      <c r="B2190" t="s">
        <v>39</v>
      </c>
      <c r="C2190" t="s">
        <v>40</v>
      </c>
      <c r="D2190" t="s">
        <v>37</v>
      </c>
      <c r="E2190" t="s">
        <v>19</v>
      </c>
      <c r="F2190" t="s">
        <v>41</v>
      </c>
      <c r="O2190">
        <v>2029</v>
      </c>
    </row>
    <row r="2191" spans="1:16" x14ac:dyDescent="0.3">
      <c r="A2191" t="str">
        <f t="shared" si="34"/>
        <v>CN|NewCapacity|RE1|PWRSOLUPE|2029</v>
      </c>
      <c r="B2191" t="s">
        <v>39</v>
      </c>
      <c r="C2191" t="s">
        <v>40</v>
      </c>
      <c r="D2191" t="s">
        <v>37</v>
      </c>
      <c r="E2191" t="s">
        <v>19</v>
      </c>
      <c r="F2191" t="s">
        <v>34</v>
      </c>
      <c r="O2191">
        <v>2029</v>
      </c>
    </row>
    <row r="2192" spans="1:16" x14ac:dyDescent="0.3">
      <c r="A2192" t="str">
        <f t="shared" si="34"/>
        <v>CN|NewCapacity|RE1|PWRSTD|2029</v>
      </c>
      <c r="B2192" t="s">
        <v>39</v>
      </c>
      <c r="C2192" t="s">
        <v>40</v>
      </c>
      <c r="D2192" t="s">
        <v>37</v>
      </c>
      <c r="E2192" t="s">
        <v>19</v>
      </c>
      <c r="F2192" t="s">
        <v>35</v>
      </c>
      <c r="O2192">
        <v>2029</v>
      </c>
    </row>
    <row r="2193" spans="1:16" x14ac:dyDescent="0.3">
      <c r="A2193" t="str">
        <f t="shared" si="34"/>
        <v>CN|NewCapacity|RE1|PWRWNDOFS_FIX|2029</v>
      </c>
      <c r="B2193" t="s">
        <v>39</v>
      </c>
      <c r="C2193" t="s">
        <v>40</v>
      </c>
      <c r="D2193" t="s">
        <v>37</v>
      </c>
      <c r="E2193" t="s">
        <v>19</v>
      </c>
      <c r="F2193" t="s">
        <v>42</v>
      </c>
      <c r="O2193">
        <v>2029</v>
      </c>
    </row>
    <row r="2194" spans="1:16" x14ac:dyDescent="0.3">
      <c r="A2194" t="str">
        <f t="shared" si="34"/>
        <v>CN|NewCapacity|RE1|PWRWNDOFS_FLO|2029</v>
      </c>
      <c r="B2194" t="s">
        <v>39</v>
      </c>
      <c r="C2194" t="s">
        <v>40</v>
      </c>
      <c r="D2194" t="s">
        <v>37</v>
      </c>
      <c r="E2194" t="s">
        <v>19</v>
      </c>
      <c r="F2194" t="s">
        <v>43</v>
      </c>
      <c r="O2194">
        <v>2029</v>
      </c>
    </row>
    <row r="2195" spans="1:16" x14ac:dyDescent="0.3">
      <c r="A2195" t="str">
        <f t="shared" si="34"/>
        <v>CN|NewCapacity|RE1|PWRWNDONS|2029</v>
      </c>
      <c r="B2195" t="s">
        <v>39</v>
      </c>
      <c r="C2195" t="s">
        <v>40</v>
      </c>
      <c r="D2195" t="s">
        <v>37</v>
      </c>
      <c r="E2195" t="s">
        <v>19</v>
      </c>
      <c r="F2195" t="s">
        <v>36</v>
      </c>
      <c r="O2195">
        <v>2029</v>
      </c>
      <c r="P2195">
        <v>9.5</v>
      </c>
    </row>
    <row r="2196" spans="1:16" x14ac:dyDescent="0.3">
      <c r="A2196" t="str">
        <f t="shared" si="34"/>
        <v>CN|TotalCapacityAnnual|RE1|PWRBGS|2029</v>
      </c>
      <c r="B2196" t="s">
        <v>39</v>
      </c>
      <c r="C2196" t="s">
        <v>40</v>
      </c>
      <c r="D2196" t="s">
        <v>38</v>
      </c>
      <c r="E2196" t="s">
        <v>19</v>
      </c>
      <c r="F2196" t="s">
        <v>20</v>
      </c>
      <c r="O2196">
        <v>2029</v>
      </c>
      <c r="P2196">
        <v>2.5488587520000001E-2</v>
      </c>
    </row>
    <row r="2197" spans="1:16" x14ac:dyDescent="0.3">
      <c r="A2197" t="str">
        <f t="shared" si="34"/>
        <v>CN|TotalCapacityAnnual|RE1|PWRCOA|2029</v>
      </c>
      <c r="B2197" t="s">
        <v>39</v>
      </c>
      <c r="C2197" t="s">
        <v>40</v>
      </c>
      <c r="D2197" t="s">
        <v>38</v>
      </c>
      <c r="E2197" t="s">
        <v>19</v>
      </c>
      <c r="F2197" t="s">
        <v>21</v>
      </c>
      <c r="O2197">
        <v>2029</v>
      </c>
      <c r="P2197">
        <v>19.047744000000002</v>
      </c>
    </row>
    <row r="2198" spans="1:16" x14ac:dyDescent="0.3">
      <c r="A2198" t="str">
        <f t="shared" si="34"/>
        <v>CN|TotalCapacityAnnual|RE1|PWRDSL|2029</v>
      </c>
      <c r="B2198" t="s">
        <v>39</v>
      </c>
      <c r="C2198" t="s">
        <v>40</v>
      </c>
      <c r="D2198" t="s">
        <v>38</v>
      </c>
      <c r="E2198" t="s">
        <v>19</v>
      </c>
      <c r="F2198" t="s">
        <v>22</v>
      </c>
      <c r="O2198">
        <v>2029</v>
      </c>
      <c r="P2198">
        <v>24.944976</v>
      </c>
    </row>
    <row r="2199" spans="1:16" x14ac:dyDescent="0.3">
      <c r="A2199" t="str">
        <f t="shared" si="34"/>
        <v>CN|TotalCapacityAnnual|RE1|PWRFOL|2029</v>
      </c>
      <c r="B2199" t="s">
        <v>39</v>
      </c>
      <c r="C2199" t="s">
        <v>40</v>
      </c>
      <c r="D2199" t="s">
        <v>38</v>
      </c>
      <c r="E2199" t="s">
        <v>19</v>
      </c>
      <c r="F2199" t="s">
        <v>23</v>
      </c>
      <c r="O2199">
        <v>2029</v>
      </c>
      <c r="P2199">
        <v>8.3885759999999987</v>
      </c>
    </row>
    <row r="2200" spans="1:16" x14ac:dyDescent="0.3">
      <c r="A2200" t="str">
        <f t="shared" si="34"/>
        <v>CN|TotalCapacityAnnual|RE1|PWRHYDDAM|2029</v>
      </c>
      <c r="B2200" t="s">
        <v>39</v>
      </c>
      <c r="C2200" t="s">
        <v>40</v>
      </c>
      <c r="D2200" t="s">
        <v>38</v>
      </c>
      <c r="E2200" t="s">
        <v>19</v>
      </c>
      <c r="F2200" t="s">
        <v>24</v>
      </c>
      <c r="O2200">
        <v>2029</v>
      </c>
      <c r="P2200">
        <v>440.49164800000011</v>
      </c>
    </row>
    <row r="2201" spans="1:16" x14ac:dyDescent="0.3">
      <c r="A2201" t="str">
        <f t="shared" si="34"/>
        <v>CN|TotalCapacityAnnual|RE1|PWRHYDROR|2029</v>
      </c>
      <c r="B2201" t="s">
        <v>39</v>
      </c>
      <c r="C2201" t="s">
        <v>40</v>
      </c>
      <c r="D2201" t="s">
        <v>38</v>
      </c>
      <c r="E2201" t="s">
        <v>19</v>
      </c>
      <c r="F2201" t="s">
        <v>25</v>
      </c>
      <c r="O2201">
        <v>2029</v>
      </c>
      <c r="P2201">
        <v>21.097584000000001</v>
      </c>
    </row>
    <row r="2202" spans="1:16" x14ac:dyDescent="0.3">
      <c r="A2202" t="str">
        <f t="shared" si="34"/>
        <v>CN|TotalCapacityAnnual|RE1|PWRHYDROR_NDC|2029</v>
      </c>
      <c r="B2202" t="s">
        <v>39</v>
      </c>
      <c r="C2202" t="s">
        <v>40</v>
      </c>
      <c r="D2202" t="s">
        <v>38</v>
      </c>
      <c r="E2202" t="s">
        <v>19</v>
      </c>
      <c r="F2202" t="s">
        <v>26</v>
      </c>
      <c r="O2202">
        <v>2029</v>
      </c>
      <c r="P2202">
        <v>29.725108271999989</v>
      </c>
    </row>
    <row r="2203" spans="1:16" x14ac:dyDescent="0.3">
      <c r="A2203" t="str">
        <f t="shared" si="34"/>
        <v>CN|TotalCapacityAnnual|RE1|PWRJET|2029</v>
      </c>
      <c r="B2203" t="s">
        <v>39</v>
      </c>
      <c r="C2203" t="s">
        <v>40</v>
      </c>
      <c r="D2203" t="s">
        <v>38</v>
      </c>
      <c r="E2203" t="s">
        <v>19</v>
      </c>
      <c r="F2203" t="s">
        <v>27</v>
      </c>
      <c r="O2203">
        <v>2029</v>
      </c>
      <c r="P2203">
        <v>1.5768</v>
      </c>
    </row>
    <row r="2204" spans="1:16" x14ac:dyDescent="0.3">
      <c r="A2204" t="str">
        <f t="shared" si="34"/>
        <v>CN|TotalCapacityAnnual|RE1|PWRLPG|2029</v>
      </c>
      <c r="B2204" t="s">
        <v>39</v>
      </c>
      <c r="C2204" t="s">
        <v>40</v>
      </c>
      <c r="D2204" t="s">
        <v>38</v>
      </c>
      <c r="E2204" t="s">
        <v>19</v>
      </c>
      <c r="F2204" t="s">
        <v>28</v>
      </c>
      <c r="O2204">
        <v>2029</v>
      </c>
      <c r="P2204">
        <v>1.639872</v>
      </c>
    </row>
    <row r="2205" spans="1:16" x14ac:dyDescent="0.3">
      <c r="A2205" t="str">
        <f t="shared" si="34"/>
        <v>CN|TotalCapacityAnnual|RE1|PWRNGS_CC|2029</v>
      </c>
      <c r="B2205" t="s">
        <v>39</v>
      </c>
      <c r="C2205" t="s">
        <v>40</v>
      </c>
      <c r="D2205" t="s">
        <v>38</v>
      </c>
      <c r="E2205" t="s">
        <v>19</v>
      </c>
      <c r="F2205" t="s">
        <v>29</v>
      </c>
      <c r="O2205">
        <v>2029</v>
      </c>
      <c r="P2205">
        <v>70.104500000000002</v>
      </c>
    </row>
    <row r="2206" spans="1:16" x14ac:dyDescent="0.3">
      <c r="A2206" t="str">
        <f t="shared" si="34"/>
        <v>CN|TotalCapacityAnnual|RE1|PWRNGS_CS|2029</v>
      </c>
      <c r="B2206" t="s">
        <v>39</v>
      </c>
      <c r="C2206" t="s">
        <v>40</v>
      </c>
      <c r="D2206" t="s">
        <v>38</v>
      </c>
      <c r="E2206" t="s">
        <v>19</v>
      </c>
      <c r="F2206" t="s">
        <v>30</v>
      </c>
      <c r="O2206">
        <v>2029</v>
      </c>
      <c r="P2206">
        <v>23.084351999999999</v>
      </c>
    </row>
    <row r="2207" spans="1:16" x14ac:dyDescent="0.3">
      <c r="A2207" t="str">
        <f t="shared" si="34"/>
        <v>CN|TotalCapacityAnnual|RE1|PWRSOLRTP|2029</v>
      </c>
      <c r="B2207" t="s">
        <v>39</v>
      </c>
      <c r="C2207" t="s">
        <v>40</v>
      </c>
      <c r="D2207" t="s">
        <v>38</v>
      </c>
      <c r="E2207" t="s">
        <v>19</v>
      </c>
      <c r="F2207" t="s">
        <v>31</v>
      </c>
      <c r="O2207">
        <v>2029</v>
      </c>
      <c r="P2207">
        <v>82.644099999999995</v>
      </c>
    </row>
    <row r="2208" spans="1:16" x14ac:dyDescent="0.3">
      <c r="A2208" t="str">
        <f t="shared" si="34"/>
        <v>CN|TotalCapacityAnnual|RE1|PWRSOLRTP_ZNI|2029</v>
      </c>
      <c r="B2208" t="s">
        <v>39</v>
      </c>
      <c r="C2208" t="s">
        <v>40</v>
      </c>
      <c r="D2208" t="s">
        <v>38</v>
      </c>
      <c r="E2208" t="s">
        <v>19</v>
      </c>
      <c r="F2208" t="s">
        <v>32</v>
      </c>
      <c r="O2208">
        <v>2029</v>
      </c>
      <c r="P2208">
        <v>0.46074095999999998</v>
      </c>
    </row>
    <row r="2209" spans="1:16" x14ac:dyDescent="0.3">
      <c r="A2209" t="str">
        <f t="shared" si="34"/>
        <v>CN|TotalCapacityAnnual|RE1|PWRSOLUGE|2029</v>
      </c>
      <c r="B2209" t="s">
        <v>39</v>
      </c>
      <c r="C2209" t="s">
        <v>40</v>
      </c>
      <c r="D2209" t="s">
        <v>38</v>
      </c>
      <c r="E2209" t="s">
        <v>19</v>
      </c>
      <c r="F2209" t="s">
        <v>33</v>
      </c>
      <c r="O2209">
        <v>2029</v>
      </c>
      <c r="P2209">
        <v>183.90786048000001</v>
      </c>
    </row>
    <row r="2210" spans="1:16" x14ac:dyDescent="0.3">
      <c r="A2210" t="str">
        <f t="shared" si="34"/>
        <v>CN|TotalCapacityAnnual|RE1|PWRSOLUGE_BAT|2029</v>
      </c>
      <c r="B2210" t="s">
        <v>39</v>
      </c>
      <c r="C2210" t="s">
        <v>40</v>
      </c>
      <c r="D2210" t="s">
        <v>38</v>
      </c>
      <c r="E2210" t="s">
        <v>19</v>
      </c>
      <c r="F2210" t="s">
        <v>41</v>
      </c>
      <c r="O2210">
        <v>2029</v>
      </c>
    </row>
    <row r="2211" spans="1:16" x14ac:dyDescent="0.3">
      <c r="A2211" t="str">
        <f t="shared" si="34"/>
        <v>CN|TotalCapacityAnnual|RE1|PWRSOLUPE|2029</v>
      </c>
      <c r="B2211" t="s">
        <v>39</v>
      </c>
      <c r="C2211" t="s">
        <v>40</v>
      </c>
      <c r="D2211" t="s">
        <v>38</v>
      </c>
      <c r="E2211" t="s">
        <v>19</v>
      </c>
      <c r="F2211" t="s">
        <v>34</v>
      </c>
      <c r="O2211">
        <v>2029</v>
      </c>
      <c r="P2211">
        <v>39.172600079999931</v>
      </c>
    </row>
    <row r="2212" spans="1:16" x14ac:dyDescent="0.3">
      <c r="A2212" t="str">
        <f t="shared" si="34"/>
        <v>CN|TotalCapacityAnnual|RE1|PWRSTD|2029</v>
      </c>
      <c r="B2212" t="s">
        <v>39</v>
      </c>
      <c r="C2212" t="s">
        <v>40</v>
      </c>
      <c r="D2212" t="s">
        <v>38</v>
      </c>
      <c r="E2212" t="s">
        <v>19</v>
      </c>
      <c r="F2212" t="s">
        <v>35</v>
      </c>
      <c r="O2212">
        <v>2029</v>
      </c>
      <c r="P2212">
        <v>8.163062064</v>
      </c>
    </row>
    <row r="2213" spans="1:16" x14ac:dyDescent="0.3">
      <c r="A2213" t="str">
        <f t="shared" si="34"/>
        <v>CN|TotalCapacityAnnual|RE1|PWRWNDOFS_FIX|2029</v>
      </c>
      <c r="B2213" t="s">
        <v>39</v>
      </c>
      <c r="C2213" t="s">
        <v>40</v>
      </c>
      <c r="D2213" t="s">
        <v>38</v>
      </c>
      <c r="E2213" t="s">
        <v>19</v>
      </c>
      <c r="F2213" t="s">
        <v>42</v>
      </c>
      <c r="O2213">
        <v>2029</v>
      </c>
    </row>
    <row r="2214" spans="1:16" x14ac:dyDescent="0.3">
      <c r="A2214" t="str">
        <f t="shared" si="34"/>
        <v>CN|TotalCapacityAnnual|RE1|PWRWNDOFS_FLO|2029</v>
      </c>
      <c r="B2214" t="s">
        <v>39</v>
      </c>
      <c r="C2214" t="s">
        <v>40</v>
      </c>
      <c r="D2214" t="s">
        <v>38</v>
      </c>
      <c r="E2214" t="s">
        <v>19</v>
      </c>
      <c r="F2214" t="s">
        <v>43</v>
      </c>
      <c r="O2214">
        <v>2029</v>
      </c>
    </row>
    <row r="2215" spans="1:16" x14ac:dyDescent="0.3">
      <c r="A2215" t="str">
        <f t="shared" si="34"/>
        <v>CN|TotalCapacityAnnual|RE1|PWRWNDONS|2029</v>
      </c>
      <c r="B2215" t="s">
        <v>39</v>
      </c>
      <c r="C2215" t="s">
        <v>40</v>
      </c>
      <c r="D2215" t="s">
        <v>38</v>
      </c>
      <c r="E2215" t="s">
        <v>19</v>
      </c>
      <c r="F2215" t="s">
        <v>36</v>
      </c>
      <c r="O2215">
        <v>2029</v>
      </c>
      <c r="P2215">
        <v>48.958108884435568</v>
      </c>
    </row>
    <row r="2216" spans="1:16" x14ac:dyDescent="0.3">
      <c r="A2216" t="str">
        <f t="shared" si="34"/>
        <v>CN|AccumulatedNewCapacity|RE1|PWRBGS|2030</v>
      </c>
      <c r="B2216" t="s">
        <v>39</v>
      </c>
      <c r="C2216" t="s">
        <v>40</v>
      </c>
      <c r="D2216" t="s">
        <v>18</v>
      </c>
      <c r="E2216" t="s">
        <v>19</v>
      </c>
      <c r="F2216" t="s">
        <v>20</v>
      </c>
      <c r="O2216">
        <v>2030</v>
      </c>
    </row>
    <row r="2217" spans="1:16" x14ac:dyDescent="0.3">
      <c r="A2217" t="str">
        <f t="shared" si="34"/>
        <v>CN|AccumulatedNewCapacity|RE1|PWRCOA|2030</v>
      </c>
      <c r="B2217" t="s">
        <v>39</v>
      </c>
      <c r="C2217" t="s">
        <v>40</v>
      </c>
      <c r="D2217" t="s">
        <v>18</v>
      </c>
      <c r="E2217" t="s">
        <v>19</v>
      </c>
      <c r="F2217" t="s">
        <v>21</v>
      </c>
      <c r="O2217">
        <v>2030</v>
      </c>
    </row>
    <row r="2218" spans="1:16" x14ac:dyDescent="0.3">
      <c r="A2218" t="str">
        <f t="shared" si="34"/>
        <v>CN|AccumulatedNewCapacity|RE1|PWRDSL|2030</v>
      </c>
      <c r="B2218" t="s">
        <v>39</v>
      </c>
      <c r="C2218" t="s">
        <v>40</v>
      </c>
      <c r="D2218" t="s">
        <v>18</v>
      </c>
      <c r="E2218" t="s">
        <v>19</v>
      </c>
      <c r="F2218" t="s">
        <v>22</v>
      </c>
      <c r="O2218">
        <v>2030</v>
      </c>
    </row>
    <row r="2219" spans="1:16" x14ac:dyDescent="0.3">
      <c r="A2219" t="str">
        <f t="shared" si="34"/>
        <v>CN|AccumulatedNewCapacity|RE1|PWRFOL|2030</v>
      </c>
      <c r="B2219" t="s">
        <v>39</v>
      </c>
      <c r="C2219" t="s">
        <v>40</v>
      </c>
      <c r="D2219" t="s">
        <v>18</v>
      </c>
      <c r="E2219" t="s">
        <v>19</v>
      </c>
      <c r="F2219" t="s">
        <v>23</v>
      </c>
      <c r="O2219">
        <v>2030</v>
      </c>
    </row>
    <row r="2220" spans="1:16" x14ac:dyDescent="0.3">
      <c r="A2220" t="str">
        <f t="shared" si="34"/>
        <v>CN|AccumulatedNewCapacity|RE1|PWRHYDDAM|2030</v>
      </c>
      <c r="B2220" t="s">
        <v>39</v>
      </c>
      <c r="C2220" t="s">
        <v>40</v>
      </c>
      <c r="D2220" t="s">
        <v>18</v>
      </c>
      <c r="E2220" t="s">
        <v>19</v>
      </c>
      <c r="F2220" t="s">
        <v>24</v>
      </c>
      <c r="O2220">
        <v>2030</v>
      </c>
      <c r="P2220">
        <v>37.840000000000003</v>
      </c>
    </row>
    <row r="2221" spans="1:16" x14ac:dyDescent="0.3">
      <c r="A2221" t="str">
        <f t="shared" si="34"/>
        <v>CN|AccumulatedNewCapacity|RE1|PWRHYDROR|2030</v>
      </c>
      <c r="B2221" t="s">
        <v>39</v>
      </c>
      <c r="C2221" t="s">
        <v>40</v>
      </c>
      <c r="D2221" t="s">
        <v>18</v>
      </c>
      <c r="E2221" t="s">
        <v>19</v>
      </c>
      <c r="F2221" t="s">
        <v>25</v>
      </c>
      <c r="O2221">
        <v>2030</v>
      </c>
    </row>
    <row r="2222" spans="1:16" x14ac:dyDescent="0.3">
      <c r="A2222" t="str">
        <f t="shared" si="34"/>
        <v>CN|AccumulatedNewCapacity|RE1|PWRHYDROR_NDC|2030</v>
      </c>
      <c r="B2222" t="s">
        <v>39</v>
      </c>
      <c r="C2222" t="s">
        <v>40</v>
      </c>
      <c r="D2222" t="s">
        <v>18</v>
      </c>
      <c r="E2222" t="s">
        <v>19</v>
      </c>
      <c r="F2222" t="s">
        <v>26</v>
      </c>
      <c r="O2222">
        <v>2030</v>
      </c>
    </row>
    <row r="2223" spans="1:16" x14ac:dyDescent="0.3">
      <c r="A2223" t="str">
        <f t="shared" si="34"/>
        <v>CN|AccumulatedNewCapacity|RE1|PWRJET|2030</v>
      </c>
      <c r="B2223" t="s">
        <v>39</v>
      </c>
      <c r="C2223" t="s">
        <v>40</v>
      </c>
      <c r="D2223" t="s">
        <v>18</v>
      </c>
      <c r="E2223" t="s">
        <v>19</v>
      </c>
      <c r="F2223" t="s">
        <v>27</v>
      </c>
      <c r="O2223">
        <v>2030</v>
      </c>
    </row>
    <row r="2224" spans="1:16" x14ac:dyDescent="0.3">
      <c r="A2224" t="str">
        <f t="shared" si="34"/>
        <v>CN|AccumulatedNewCapacity|RE1|PWRLPG|2030</v>
      </c>
      <c r="B2224" t="s">
        <v>39</v>
      </c>
      <c r="C2224" t="s">
        <v>40</v>
      </c>
      <c r="D2224" t="s">
        <v>18</v>
      </c>
      <c r="E2224" t="s">
        <v>19</v>
      </c>
      <c r="F2224" t="s">
        <v>28</v>
      </c>
      <c r="O2224">
        <v>2030</v>
      </c>
    </row>
    <row r="2225" spans="1:16" x14ac:dyDescent="0.3">
      <c r="A2225" t="str">
        <f t="shared" si="34"/>
        <v>CN|AccumulatedNewCapacity|RE1|PWRNGS_CC|2030</v>
      </c>
      <c r="B2225" t="s">
        <v>39</v>
      </c>
      <c r="C2225" t="s">
        <v>40</v>
      </c>
      <c r="D2225" t="s">
        <v>18</v>
      </c>
      <c r="E2225" t="s">
        <v>19</v>
      </c>
      <c r="F2225" t="s">
        <v>29</v>
      </c>
      <c r="O2225">
        <v>2030</v>
      </c>
    </row>
    <row r="2226" spans="1:16" x14ac:dyDescent="0.3">
      <c r="A2226" t="str">
        <f t="shared" si="34"/>
        <v>CN|AccumulatedNewCapacity|RE1|PWRNGS_CS|2030</v>
      </c>
      <c r="B2226" t="s">
        <v>39</v>
      </c>
      <c r="C2226" t="s">
        <v>40</v>
      </c>
      <c r="D2226" t="s">
        <v>18</v>
      </c>
      <c r="E2226" t="s">
        <v>19</v>
      </c>
      <c r="F2226" t="s">
        <v>30</v>
      </c>
      <c r="O2226">
        <v>2030</v>
      </c>
    </row>
    <row r="2227" spans="1:16" x14ac:dyDescent="0.3">
      <c r="A2227" t="str">
        <f t="shared" si="34"/>
        <v>CN|AccumulatedNewCapacity|RE1|PWRSOLRTP|2030</v>
      </c>
      <c r="B2227" t="s">
        <v>39</v>
      </c>
      <c r="C2227" t="s">
        <v>40</v>
      </c>
      <c r="D2227" t="s">
        <v>18</v>
      </c>
      <c r="E2227" t="s">
        <v>19</v>
      </c>
      <c r="F2227" t="s">
        <v>31</v>
      </c>
      <c r="O2227">
        <v>2030</v>
      </c>
      <c r="P2227">
        <v>77.460000000000008</v>
      </c>
    </row>
    <row r="2228" spans="1:16" x14ac:dyDescent="0.3">
      <c r="A2228" t="str">
        <f t="shared" si="34"/>
        <v>CN|AccumulatedNewCapacity|RE1|PWRSOLRTP_ZNI|2030</v>
      </c>
      <c r="B2228" t="s">
        <v>39</v>
      </c>
      <c r="C2228" t="s">
        <v>40</v>
      </c>
      <c r="D2228" t="s">
        <v>18</v>
      </c>
      <c r="E2228" t="s">
        <v>19</v>
      </c>
      <c r="F2228" t="s">
        <v>32</v>
      </c>
      <c r="O2228">
        <v>2030</v>
      </c>
    </row>
    <row r="2229" spans="1:16" x14ac:dyDescent="0.3">
      <c r="A2229" t="str">
        <f t="shared" si="34"/>
        <v>CN|AccumulatedNewCapacity|RE1|PWRSOLUGE|2030</v>
      </c>
      <c r="B2229" t="s">
        <v>39</v>
      </c>
      <c r="C2229" t="s">
        <v>40</v>
      </c>
      <c r="D2229" t="s">
        <v>18</v>
      </c>
      <c r="E2229" t="s">
        <v>19</v>
      </c>
      <c r="F2229" t="s">
        <v>33</v>
      </c>
      <c r="O2229">
        <v>2030</v>
      </c>
      <c r="P2229">
        <v>143.394192</v>
      </c>
    </row>
    <row r="2230" spans="1:16" x14ac:dyDescent="0.3">
      <c r="A2230" t="str">
        <f t="shared" si="34"/>
        <v>CN|AccumulatedNewCapacity|RE1|PWRSOLUGE_BAT|2030</v>
      </c>
      <c r="B2230" t="s">
        <v>39</v>
      </c>
      <c r="C2230" t="s">
        <v>40</v>
      </c>
      <c r="D2230" t="s">
        <v>18</v>
      </c>
      <c r="E2230" t="s">
        <v>19</v>
      </c>
      <c r="F2230" t="s">
        <v>41</v>
      </c>
      <c r="O2230">
        <v>2030</v>
      </c>
    </row>
    <row r="2231" spans="1:16" x14ac:dyDescent="0.3">
      <c r="A2231" t="str">
        <f t="shared" si="34"/>
        <v>CN|AccumulatedNewCapacity|RE1|PWRSOLUPE|2030</v>
      </c>
      <c r="B2231" t="s">
        <v>39</v>
      </c>
      <c r="C2231" t="s">
        <v>40</v>
      </c>
      <c r="D2231" t="s">
        <v>18</v>
      </c>
      <c r="E2231" t="s">
        <v>19</v>
      </c>
      <c r="F2231" t="s">
        <v>34</v>
      </c>
      <c r="O2231">
        <v>2030</v>
      </c>
      <c r="P2231">
        <v>12.14419823999993</v>
      </c>
    </row>
    <row r="2232" spans="1:16" x14ac:dyDescent="0.3">
      <c r="A2232" t="str">
        <f t="shared" si="34"/>
        <v>CN|AccumulatedNewCapacity|RE1|PWRSTD|2030</v>
      </c>
      <c r="B2232" t="s">
        <v>39</v>
      </c>
      <c r="C2232" t="s">
        <v>40</v>
      </c>
      <c r="D2232" t="s">
        <v>18</v>
      </c>
      <c r="E2232" t="s">
        <v>19</v>
      </c>
      <c r="F2232" t="s">
        <v>35</v>
      </c>
      <c r="O2232">
        <v>2030</v>
      </c>
    </row>
    <row r="2233" spans="1:16" x14ac:dyDescent="0.3">
      <c r="A2233" t="str">
        <f t="shared" si="34"/>
        <v>CN|AccumulatedNewCapacity|RE1|PWRWNDOFS_FIX|2030</v>
      </c>
      <c r="B2233" t="s">
        <v>39</v>
      </c>
      <c r="C2233" t="s">
        <v>40</v>
      </c>
      <c r="D2233" t="s">
        <v>18</v>
      </c>
      <c r="E2233" t="s">
        <v>19</v>
      </c>
      <c r="F2233" t="s">
        <v>42</v>
      </c>
      <c r="O2233">
        <v>2030</v>
      </c>
    </row>
    <row r="2234" spans="1:16" x14ac:dyDescent="0.3">
      <c r="A2234" t="str">
        <f t="shared" si="34"/>
        <v>CN|AccumulatedNewCapacity|RE1|PWRWNDOFS_FLO|2030</v>
      </c>
      <c r="B2234" t="s">
        <v>39</v>
      </c>
      <c r="C2234" t="s">
        <v>40</v>
      </c>
      <c r="D2234" t="s">
        <v>18</v>
      </c>
      <c r="E2234" t="s">
        <v>19</v>
      </c>
      <c r="F2234" t="s">
        <v>43</v>
      </c>
      <c r="O2234">
        <v>2030</v>
      </c>
    </row>
    <row r="2235" spans="1:16" x14ac:dyDescent="0.3">
      <c r="A2235" t="str">
        <f t="shared" si="34"/>
        <v>CN|AccumulatedNewCapacity|RE1|PWRWNDONS|2030</v>
      </c>
      <c r="B2235" t="s">
        <v>39</v>
      </c>
      <c r="C2235" t="s">
        <v>40</v>
      </c>
      <c r="D2235" t="s">
        <v>18</v>
      </c>
      <c r="E2235" t="s">
        <v>19</v>
      </c>
      <c r="F2235" t="s">
        <v>36</v>
      </c>
      <c r="O2235">
        <v>2030</v>
      </c>
      <c r="P2235">
        <v>56.989446484435582</v>
      </c>
    </row>
    <row r="2236" spans="1:16" x14ac:dyDescent="0.3">
      <c r="A2236" t="str">
        <f t="shared" si="34"/>
        <v>CN|NewCapacity|RE1|PWRBGS|2030</v>
      </c>
      <c r="B2236" t="s">
        <v>39</v>
      </c>
      <c r="C2236" t="s">
        <v>40</v>
      </c>
      <c r="D2236" t="s">
        <v>37</v>
      </c>
      <c r="E2236" t="s">
        <v>19</v>
      </c>
      <c r="F2236" t="s">
        <v>20</v>
      </c>
      <c r="O2236">
        <v>2030</v>
      </c>
    </row>
    <row r="2237" spans="1:16" x14ac:dyDescent="0.3">
      <c r="A2237" t="str">
        <f t="shared" si="34"/>
        <v>CN|NewCapacity|RE1|PWRCOA|2030</v>
      </c>
      <c r="B2237" t="s">
        <v>39</v>
      </c>
      <c r="C2237" t="s">
        <v>40</v>
      </c>
      <c r="D2237" t="s">
        <v>37</v>
      </c>
      <c r="E2237" t="s">
        <v>19</v>
      </c>
      <c r="F2237" t="s">
        <v>21</v>
      </c>
      <c r="O2237">
        <v>2030</v>
      </c>
    </row>
    <row r="2238" spans="1:16" x14ac:dyDescent="0.3">
      <c r="A2238" t="str">
        <f t="shared" si="34"/>
        <v>CN|NewCapacity|RE1|PWRDSL|2030</v>
      </c>
      <c r="B2238" t="s">
        <v>39</v>
      </c>
      <c r="C2238" t="s">
        <v>40</v>
      </c>
      <c r="D2238" t="s">
        <v>37</v>
      </c>
      <c r="E2238" t="s">
        <v>19</v>
      </c>
      <c r="F2238" t="s">
        <v>22</v>
      </c>
      <c r="O2238">
        <v>2030</v>
      </c>
    </row>
    <row r="2239" spans="1:16" x14ac:dyDescent="0.3">
      <c r="A2239" t="str">
        <f t="shared" si="34"/>
        <v>CN|NewCapacity|RE1|PWRFOL|2030</v>
      </c>
      <c r="B2239" t="s">
        <v>39</v>
      </c>
      <c r="C2239" t="s">
        <v>40</v>
      </c>
      <c r="D2239" t="s">
        <v>37</v>
      </c>
      <c r="E2239" t="s">
        <v>19</v>
      </c>
      <c r="F2239" t="s">
        <v>23</v>
      </c>
      <c r="O2239">
        <v>2030</v>
      </c>
    </row>
    <row r="2240" spans="1:16" x14ac:dyDescent="0.3">
      <c r="A2240" t="str">
        <f t="shared" si="34"/>
        <v>CN|NewCapacity|RE1|PWRHYDDAM|2030</v>
      </c>
      <c r="B2240" t="s">
        <v>39</v>
      </c>
      <c r="C2240" t="s">
        <v>40</v>
      </c>
      <c r="D2240" t="s">
        <v>37</v>
      </c>
      <c r="E2240" t="s">
        <v>19</v>
      </c>
      <c r="F2240" t="s">
        <v>24</v>
      </c>
      <c r="O2240">
        <v>2030</v>
      </c>
    </row>
    <row r="2241" spans="1:16" x14ac:dyDescent="0.3">
      <c r="A2241" t="str">
        <f t="shared" si="34"/>
        <v>CN|NewCapacity|RE1|PWRHYDROR|2030</v>
      </c>
      <c r="B2241" t="s">
        <v>39</v>
      </c>
      <c r="C2241" t="s">
        <v>40</v>
      </c>
      <c r="D2241" t="s">
        <v>37</v>
      </c>
      <c r="E2241" t="s">
        <v>19</v>
      </c>
      <c r="F2241" t="s">
        <v>25</v>
      </c>
      <c r="O2241">
        <v>2030</v>
      </c>
    </row>
    <row r="2242" spans="1:16" x14ac:dyDescent="0.3">
      <c r="A2242" t="str">
        <f t="shared" ref="A2242:A2305" si="35">B2242&amp;"|"&amp;D2242&amp;"|"&amp;E2242&amp;"|"&amp;F2242&amp;"|"&amp;O2242</f>
        <v>CN|NewCapacity|RE1|PWRHYDROR_NDC|2030</v>
      </c>
      <c r="B2242" t="s">
        <v>39</v>
      </c>
      <c r="C2242" t="s">
        <v>40</v>
      </c>
      <c r="D2242" t="s">
        <v>37</v>
      </c>
      <c r="E2242" t="s">
        <v>19</v>
      </c>
      <c r="F2242" t="s">
        <v>26</v>
      </c>
      <c r="O2242">
        <v>2030</v>
      </c>
    </row>
    <row r="2243" spans="1:16" x14ac:dyDescent="0.3">
      <c r="A2243" t="str">
        <f t="shared" si="35"/>
        <v>CN|NewCapacity|RE1|PWRJET|2030</v>
      </c>
      <c r="B2243" t="s">
        <v>39</v>
      </c>
      <c r="C2243" t="s">
        <v>40</v>
      </c>
      <c r="D2243" t="s">
        <v>37</v>
      </c>
      <c r="E2243" t="s">
        <v>19</v>
      </c>
      <c r="F2243" t="s">
        <v>27</v>
      </c>
      <c r="O2243">
        <v>2030</v>
      </c>
    </row>
    <row r="2244" spans="1:16" x14ac:dyDescent="0.3">
      <c r="A2244" t="str">
        <f t="shared" si="35"/>
        <v>CN|NewCapacity|RE1|PWRLPG|2030</v>
      </c>
      <c r="B2244" t="s">
        <v>39</v>
      </c>
      <c r="C2244" t="s">
        <v>40</v>
      </c>
      <c r="D2244" t="s">
        <v>37</v>
      </c>
      <c r="E2244" t="s">
        <v>19</v>
      </c>
      <c r="F2244" t="s">
        <v>28</v>
      </c>
      <c r="O2244">
        <v>2030</v>
      </c>
    </row>
    <row r="2245" spans="1:16" x14ac:dyDescent="0.3">
      <c r="A2245" t="str">
        <f t="shared" si="35"/>
        <v>CN|NewCapacity|RE1|PWRNGS_CC|2030</v>
      </c>
      <c r="B2245" t="s">
        <v>39</v>
      </c>
      <c r="C2245" t="s">
        <v>40</v>
      </c>
      <c r="D2245" t="s">
        <v>37</v>
      </c>
      <c r="E2245" t="s">
        <v>19</v>
      </c>
      <c r="F2245" t="s">
        <v>29</v>
      </c>
      <c r="O2245">
        <v>2030</v>
      </c>
    </row>
    <row r="2246" spans="1:16" x14ac:dyDescent="0.3">
      <c r="A2246" t="str">
        <f t="shared" si="35"/>
        <v>CN|NewCapacity|RE1|PWRNGS_CS|2030</v>
      </c>
      <c r="B2246" t="s">
        <v>39</v>
      </c>
      <c r="C2246" t="s">
        <v>40</v>
      </c>
      <c r="D2246" t="s">
        <v>37</v>
      </c>
      <c r="E2246" t="s">
        <v>19</v>
      </c>
      <c r="F2246" t="s">
        <v>30</v>
      </c>
      <c r="O2246">
        <v>2030</v>
      </c>
    </row>
    <row r="2247" spans="1:16" x14ac:dyDescent="0.3">
      <c r="A2247" t="str">
        <f t="shared" si="35"/>
        <v>CN|NewCapacity|RE1|PWRSOLRTP|2030</v>
      </c>
      <c r="B2247" t="s">
        <v>39</v>
      </c>
      <c r="C2247" t="s">
        <v>40</v>
      </c>
      <c r="D2247" t="s">
        <v>37</v>
      </c>
      <c r="E2247" t="s">
        <v>19</v>
      </c>
      <c r="F2247" t="s">
        <v>31</v>
      </c>
      <c r="O2247">
        <v>2030</v>
      </c>
      <c r="P2247">
        <v>18.100000000000001</v>
      </c>
    </row>
    <row r="2248" spans="1:16" x14ac:dyDescent="0.3">
      <c r="A2248" t="str">
        <f t="shared" si="35"/>
        <v>CN|NewCapacity|RE1|PWRSOLRTP_ZNI|2030</v>
      </c>
      <c r="B2248" t="s">
        <v>39</v>
      </c>
      <c r="C2248" t="s">
        <v>40</v>
      </c>
      <c r="D2248" t="s">
        <v>37</v>
      </c>
      <c r="E2248" t="s">
        <v>19</v>
      </c>
      <c r="F2248" t="s">
        <v>32</v>
      </c>
      <c r="O2248">
        <v>2030</v>
      </c>
    </row>
    <row r="2249" spans="1:16" x14ac:dyDescent="0.3">
      <c r="A2249" t="str">
        <f t="shared" si="35"/>
        <v>CN|NewCapacity|RE1|PWRSOLUGE|2030</v>
      </c>
      <c r="B2249" t="s">
        <v>39</v>
      </c>
      <c r="C2249" t="s">
        <v>40</v>
      </c>
      <c r="D2249" t="s">
        <v>37</v>
      </c>
      <c r="E2249" t="s">
        <v>19</v>
      </c>
      <c r="F2249" t="s">
        <v>33</v>
      </c>
      <c r="O2249">
        <v>2030</v>
      </c>
      <c r="P2249">
        <v>7.8840000000000003</v>
      </c>
    </row>
    <row r="2250" spans="1:16" x14ac:dyDescent="0.3">
      <c r="A2250" t="str">
        <f t="shared" si="35"/>
        <v>CN|NewCapacity|RE1|PWRSOLUGE_BAT|2030</v>
      </c>
      <c r="B2250" t="s">
        <v>39</v>
      </c>
      <c r="C2250" t="s">
        <v>40</v>
      </c>
      <c r="D2250" t="s">
        <v>37</v>
      </c>
      <c r="E2250" t="s">
        <v>19</v>
      </c>
      <c r="F2250" t="s">
        <v>41</v>
      </c>
      <c r="O2250">
        <v>2030</v>
      </c>
    </row>
    <row r="2251" spans="1:16" x14ac:dyDescent="0.3">
      <c r="A2251" t="str">
        <f t="shared" si="35"/>
        <v>CN|NewCapacity|RE1|PWRSOLUPE|2030</v>
      </c>
      <c r="B2251" t="s">
        <v>39</v>
      </c>
      <c r="C2251" t="s">
        <v>40</v>
      </c>
      <c r="D2251" t="s">
        <v>37</v>
      </c>
      <c r="E2251" t="s">
        <v>19</v>
      </c>
      <c r="F2251" t="s">
        <v>34</v>
      </c>
      <c r="O2251">
        <v>2030</v>
      </c>
    </row>
    <row r="2252" spans="1:16" x14ac:dyDescent="0.3">
      <c r="A2252" t="str">
        <f t="shared" si="35"/>
        <v>CN|NewCapacity|RE1|PWRSTD|2030</v>
      </c>
      <c r="B2252" t="s">
        <v>39</v>
      </c>
      <c r="C2252" t="s">
        <v>40</v>
      </c>
      <c r="D2252" t="s">
        <v>37</v>
      </c>
      <c r="E2252" t="s">
        <v>19</v>
      </c>
      <c r="F2252" t="s">
        <v>35</v>
      </c>
      <c r="O2252">
        <v>2030</v>
      </c>
    </row>
    <row r="2253" spans="1:16" x14ac:dyDescent="0.3">
      <c r="A2253" t="str">
        <f t="shared" si="35"/>
        <v>CN|NewCapacity|RE1|PWRWNDOFS_FIX|2030</v>
      </c>
      <c r="B2253" t="s">
        <v>39</v>
      </c>
      <c r="C2253" t="s">
        <v>40</v>
      </c>
      <c r="D2253" t="s">
        <v>37</v>
      </c>
      <c r="E2253" t="s">
        <v>19</v>
      </c>
      <c r="F2253" t="s">
        <v>42</v>
      </c>
      <c r="O2253">
        <v>2030</v>
      </c>
    </row>
    <row r="2254" spans="1:16" x14ac:dyDescent="0.3">
      <c r="A2254" t="str">
        <f t="shared" si="35"/>
        <v>CN|NewCapacity|RE1|PWRWNDOFS_FLO|2030</v>
      </c>
      <c r="B2254" t="s">
        <v>39</v>
      </c>
      <c r="C2254" t="s">
        <v>40</v>
      </c>
      <c r="D2254" t="s">
        <v>37</v>
      </c>
      <c r="E2254" t="s">
        <v>19</v>
      </c>
      <c r="F2254" t="s">
        <v>43</v>
      </c>
      <c r="O2254">
        <v>2030</v>
      </c>
    </row>
    <row r="2255" spans="1:16" x14ac:dyDescent="0.3">
      <c r="A2255" t="str">
        <f t="shared" si="35"/>
        <v>CN|NewCapacity|RE1|PWRWNDONS|2030</v>
      </c>
      <c r="B2255" t="s">
        <v>39</v>
      </c>
      <c r="C2255" t="s">
        <v>40</v>
      </c>
      <c r="D2255" t="s">
        <v>37</v>
      </c>
      <c r="E2255" t="s">
        <v>19</v>
      </c>
      <c r="F2255" t="s">
        <v>36</v>
      </c>
      <c r="O2255">
        <v>2030</v>
      </c>
      <c r="P2255">
        <v>9.4</v>
      </c>
    </row>
    <row r="2256" spans="1:16" x14ac:dyDescent="0.3">
      <c r="A2256" t="str">
        <f t="shared" si="35"/>
        <v>CN|TotalCapacityAnnual|RE1|PWRBGS|2030</v>
      </c>
      <c r="B2256" t="s">
        <v>39</v>
      </c>
      <c r="C2256" t="s">
        <v>40</v>
      </c>
      <c r="D2256" t="s">
        <v>38</v>
      </c>
      <c r="E2256" t="s">
        <v>19</v>
      </c>
      <c r="F2256" t="s">
        <v>20</v>
      </c>
      <c r="O2256">
        <v>2030</v>
      </c>
      <c r="P2256">
        <v>2.5488587520000001E-2</v>
      </c>
    </row>
    <row r="2257" spans="1:16" x14ac:dyDescent="0.3">
      <c r="A2257" t="str">
        <f t="shared" si="35"/>
        <v>CN|TotalCapacityAnnual|RE1|PWRCOA|2030</v>
      </c>
      <c r="B2257" t="s">
        <v>39</v>
      </c>
      <c r="C2257" t="s">
        <v>40</v>
      </c>
      <c r="D2257" t="s">
        <v>38</v>
      </c>
      <c r="E2257" t="s">
        <v>19</v>
      </c>
      <c r="F2257" t="s">
        <v>21</v>
      </c>
      <c r="O2257">
        <v>2030</v>
      </c>
      <c r="P2257">
        <v>19.047744000000002</v>
      </c>
    </row>
    <row r="2258" spans="1:16" x14ac:dyDescent="0.3">
      <c r="A2258" t="str">
        <f t="shared" si="35"/>
        <v>CN|TotalCapacityAnnual|RE1|PWRDSL|2030</v>
      </c>
      <c r="B2258" t="s">
        <v>39</v>
      </c>
      <c r="C2258" t="s">
        <v>40</v>
      </c>
      <c r="D2258" t="s">
        <v>38</v>
      </c>
      <c r="E2258" t="s">
        <v>19</v>
      </c>
      <c r="F2258" t="s">
        <v>22</v>
      </c>
      <c r="O2258">
        <v>2030</v>
      </c>
      <c r="P2258">
        <v>24.944976</v>
      </c>
    </row>
    <row r="2259" spans="1:16" x14ac:dyDescent="0.3">
      <c r="A2259" t="str">
        <f t="shared" si="35"/>
        <v>CN|TotalCapacityAnnual|RE1|PWRFOL|2030</v>
      </c>
      <c r="B2259" t="s">
        <v>39</v>
      </c>
      <c r="C2259" t="s">
        <v>40</v>
      </c>
      <c r="D2259" t="s">
        <v>38</v>
      </c>
      <c r="E2259" t="s">
        <v>19</v>
      </c>
      <c r="F2259" t="s">
        <v>23</v>
      </c>
      <c r="O2259">
        <v>2030</v>
      </c>
      <c r="P2259">
        <v>8.3885759999999987</v>
      </c>
    </row>
    <row r="2260" spans="1:16" x14ac:dyDescent="0.3">
      <c r="A2260" t="str">
        <f t="shared" si="35"/>
        <v>CN|TotalCapacityAnnual|RE1|PWRHYDDAM|2030</v>
      </c>
      <c r="B2260" t="s">
        <v>39</v>
      </c>
      <c r="C2260" t="s">
        <v>40</v>
      </c>
      <c r="D2260" t="s">
        <v>38</v>
      </c>
      <c r="E2260" t="s">
        <v>19</v>
      </c>
      <c r="F2260" t="s">
        <v>24</v>
      </c>
      <c r="O2260">
        <v>2030</v>
      </c>
      <c r="P2260">
        <v>440.49164800000011</v>
      </c>
    </row>
    <row r="2261" spans="1:16" x14ac:dyDescent="0.3">
      <c r="A2261" t="str">
        <f t="shared" si="35"/>
        <v>CN|TotalCapacityAnnual|RE1|PWRHYDROR|2030</v>
      </c>
      <c r="B2261" t="s">
        <v>39</v>
      </c>
      <c r="C2261" t="s">
        <v>40</v>
      </c>
      <c r="D2261" t="s">
        <v>38</v>
      </c>
      <c r="E2261" t="s">
        <v>19</v>
      </c>
      <c r="F2261" t="s">
        <v>25</v>
      </c>
      <c r="O2261">
        <v>2030</v>
      </c>
      <c r="P2261">
        <v>21.097584000000001</v>
      </c>
    </row>
    <row r="2262" spans="1:16" x14ac:dyDescent="0.3">
      <c r="A2262" t="str">
        <f t="shared" si="35"/>
        <v>CN|TotalCapacityAnnual|RE1|PWRHYDROR_NDC|2030</v>
      </c>
      <c r="B2262" t="s">
        <v>39</v>
      </c>
      <c r="C2262" t="s">
        <v>40</v>
      </c>
      <c r="D2262" t="s">
        <v>38</v>
      </c>
      <c r="E2262" t="s">
        <v>19</v>
      </c>
      <c r="F2262" t="s">
        <v>26</v>
      </c>
      <c r="O2262">
        <v>2030</v>
      </c>
      <c r="P2262">
        <v>29.725108271999989</v>
      </c>
    </row>
    <row r="2263" spans="1:16" x14ac:dyDescent="0.3">
      <c r="A2263" t="str">
        <f t="shared" si="35"/>
        <v>CN|TotalCapacityAnnual|RE1|PWRJET|2030</v>
      </c>
      <c r="B2263" t="s">
        <v>39</v>
      </c>
      <c r="C2263" t="s">
        <v>40</v>
      </c>
      <c r="D2263" t="s">
        <v>38</v>
      </c>
      <c r="E2263" t="s">
        <v>19</v>
      </c>
      <c r="F2263" t="s">
        <v>27</v>
      </c>
      <c r="O2263">
        <v>2030</v>
      </c>
      <c r="P2263">
        <v>1.5768</v>
      </c>
    </row>
    <row r="2264" spans="1:16" x14ac:dyDescent="0.3">
      <c r="A2264" t="str">
        <f t="shared" si="35"/>
        <v>CN|TotalCapacityAnnual|RE1|PWRLPG|2030</v>
      </c>
      <c r="B2264" t="s">
        <v>39</v>
      </c>
      <c r="C2264" t="s">
        <v>40</v>
      </c>
      <c r="D2264" t="s">
        <v>38</v>
      </c>
      <c r="E2264" t="s">
        <v>19</v>
      </c>
      <c r="F2264" t="s">
        <v>28</v>
      </c>
      <c r="O2264">
        <v>2030</v>
      </c>
      <c r="P2264">
        <v>1.639872</v>
      </c>
    </row>
    <row r="2265" spans="1:16" x14ac:dyDescent="0.3">
      <c r="A2265" t="str">
        <f t="shared" si="35"/>
        <v>CN|TotalCapacityAnnual|RE1|PWRNGS_CC|2030</v>
      </c>
      <c r="B2265" t="s">
        <v>39</v>
      </c>
      <c r="C2265" t="s">
        <v>40</v>
      </c>
      <c r="D2265" t="s">
        <v>38</v>
      </c>
      <c r="E2265" t="s">
        <v>19</v>
      </c>
      <c r="F2265" t="s">
        <v>29</v>
      </c>
      <c r="O2265">
        <v>2030</v>
      </c>
      <c r="P2265">
        <v>70.104500000000002</v>
      </c>
    </row>
    <row r="2266" spans="1:16" x14ac:dyDescent="0.3">
      <c r="A2266" t="str">
        <f t="shared" si="35"/>
        <v>CN|TotalCapacityAnnual|RE1|PWRNGS_CS|2030</v>
      </c>
      <c r="B2266" t="s">
        <v>39</v>
      </c>
      <c r="C2266" t="s">
        <v>40</v>
      </c>
      <c r="D2266" t="s">
        <v>38</v>
      </c>
      <c r="E2266" t="s">
        <v>19</v>
      </c>
      <c r="F2266" t="s">
        <v>30</v>
      </c>
      <c r="O2266">
        <v>2030</v>
      </c>
      <c r="P2266">
        <v>23.084351999999999</v>
      </c>
    </row>
    <row r="2267" spans="1:16" x14ac:dyDescent="0.3">
      <c r="A2267" t="str">
        <f t="shared" si="35"/>
        <v>CN|TotalCapacityAnnual|RE1|PWRSOLRTP|2030</v>
      </c>
      <c r="B2267" t="s">
        <v>39</v>
      </c>
      <c r="C2267" t="s">
        <v>40</v>
      </c>
      <c r="D2267" t="s">
        <v>38</v>
      </c>
      <c r="E2267" t="s">
        <v>19</v>
      </c>
      <c r="F2267" t="s">
        <v>31</v>
      </c>
      <c r="O2267">
        <v>2030</v>
      </c>
      <c r="P2267">
        <v>100.7441</v>
      </c>
    </row>
    <row r="2268" spans="1:16" x14ac:dyDescent="0.3">
      <c r="A2268" t="str">
        <f t="shared" si="35"/>
        <v>CN|TotalCapacityAnnual|RE1|PWRSOLRTP_ZNI|2030</v>
      </c>
      <c r="B2268" t="s">
        <v>39</v>
      </c>
      <c r="C2268" t="s">
        <v>40</v>
      </c>
      <c r="D2268" t="s">
        <v>38</v>
      </c>
      <c r="E2268" t="s">
        <v>19</v>
      </c>
      <c r="F2268" t="s">
        <v>32</v>
      </c>
      <c r="O2268">
        <v>2030</v>
      </c>
      <c r="P2268">
        <v>0.46074095999999998</v>
      </c>
    </row>
    <row r="2269" spans="1:16" x14ac:dyDescent="0.3">
      <c r="A2269" t="str">
        <f t="shared" si="35"/>
        <v>CN|TotalCapacityAnnual|RE1|PWRSOLUGE|2030</v>
      </c>
      <c r="B2269" t="s">
        <v>39</v>
      </c>
      <c r="C2269" t="s">
        <v>40</v>
      </c>
      <c r="D2269" t="s">
        <v>38</v>
      </c>
      <c r="E2269" t="s">
        <v>19</v>
      </c>
      <c r="F2269" t="s">
        <v>33</v>
      </c>
      <c r="O2269">
        <v>2030</v>
      </c>
      <c r="P2269">
        <v>191.79186048</v>
      </c>
    </row>
    <row r="2270" spans="1:16" x14ac:dyDescent="0.3">
      <c r="A2270" t="str">
        <f t="shared" si="35"/>
        <v>CN|TotalCapacityAnnual|RE1|PWRSOLUGE_BAT|2030</v>
      </c>
      <c r="B2270" t="s">
        <v>39</v>
      </c>
      <c r="C2270" t="s">
        <v>40</v>
      </c>
      <c r="D2270" t="s">
        <v>38</v>
      </c>
      <c r="E2270" t="s">
        <v>19</v>
      </c>
      <c r="F2270" t="s">
        <v>41</v>
      </c>
      <c r="O2270">
        <v>2030</v>
      </c>
    </row>
    <row r="2271" spans="1:16" x14ac:dyDescent="0.3">
      <c r="A2271" t="str">
        <f t="shared" si="35"/>
        <v>CN|TotalCapacityAnnual|RE1|PWRSOLUPE|2030</v>
      </c>
      <c r="B2271" t="s">
        <v>39</v>
      </c>
      <c r="C2271" t="s">
        <v>40</v>
      </c>
      <c r="D2271" t="s">
        <v>38</v>
      </c>
      <c r="E2271" t="s">
        <v>19</v>
      </c>
      <c r="F2271" t="s">
        <v>34</v>
      </c>
      <c r="O2271">
        <v>2030</v>
      </c>
      <c r="P2271">
        <v>39.172600079999931</v>
      </c>
    </row>
    <row r="2272" spans="1:16" x14ac:dyDescent="0.3">
      <c r="A2272" t="str">
        <f t="shared" si="35"/>
        <v>CN|TotalCapacityAnnual|RE1|PWRSTD|2030</v>
      </c>
      <c r="B2272" t="s">
        <v>39</v>
      </c>
      <c r="C2272" t="s">
        <v>40</v>
      </c>
      <c r="D2272" t="s">
        <v>38</v>
      </c>
      <c r="E2272" t="s">
        <v>19</v>
      </c>
      <c r="F2272" t="s">
        <v>35</v>
      </c>
      <c r="O2272">
        <v>2030</v>
      </c>
      <c r="P2272">
        <v>8.163062064</v>
      </c>
    </row>
    <row r="2273" spans="1:16" x14ac:dyDescent="0.3">
      <c r="A2273" t="str">
        <f t="shared" si="35"/>
        <v>CN|TotalCapacityAnnual|RE1|PWRWNDOFS_FIX|2030</v>
      </c>
      <c r="B2273" t="s">
        <v>39</v>
      </c>
      <c r="C2273" t="s">
        <v>40</v>
      </c>
      <c r="D2273" t="s">
        <v>38</v>
      </c>
      <c r="E2273" t="s">
        <v>19</v>
      </c>
      <c r="F2273" t="s">
        <v>42</v>
      </c>
      <c r="O2273">
        <v>2030</v>
      </c>
    </row>
    <row r="2274" spans="1:16" x14ac:dyDescent="0.3">
      <c r="A2274" t="str">
        <f t="shared" si="35"/>
        <v>CN|TotalCapacityAnnual|RE1|PWRWNDOFS_FLO|2030</v>
      </c>
      <c r="B2274" t="s">
        <v>39</v>
      </c>
      <c r="C2274" t="s">
        <v>40</v>
      </c>
      <c r="D2274" t="s">
        <v>38</v>
      </c>
      <c r="E2274" t="s">
        <v>19</v>
      </c>
      <c r="F2274" t="s">
        <v>43</v>
      </c>
      <c r="O2274">
        <v>2030</v>
      </c>
    </row>
    <row r="2275" spans="1:16" x14ac:dyDescent="0.3">
      <c r="A2275" t="str">
        <f t="shared" si="35"/>
        <v>CN|TotalCapacityAnnual|RE1|PWRWNDONS|2030</v>
      </c>
      <c r="B2275" t="s">
        <v>39</v>
      </c>
      <c r="C2275" t="s">
        <v>40</v>
      </c>
      <c r="D2275" t="s">
        <v>38</v>
      </c>
      <c r="E2275" t="s">
        <v>19</v>
      </c>
      <c r="F2275" t="s">
        <v>36</v>
      </c>
      <c r="O2275">
        <v>2030</v>
      </c>
      <c r="P2275">
        <v>58.358108884435573</v>
      </c>
    </row>
    <row r="2276" spans="1:16" x14ac:dyDescent="0.3">
      <c r="A2276" t="str">
        <f t="shared" si="35"/>
        <v>CN|AccumulatedNewCapacity|RE1|PWRBGS|2031</v>
      </c>
      <c r="B2276" t="s">
        <v>39</v>
      </c>
      <c r="C2276" t="s">
        <v>40</v>
      </c>
      <c r="D2276" t="s">
        <v>18</v>
      </c>
      <c r="E2276" t="s">
        <v>19</v>
      </c>
      <c r="F2276" t="s">
        <v>20</v>
      </c>
      <c r="O2276">
        <v>2031</v>
      </c>
    </row>
    <row r="2277" spans="1:16" x14ac:dyDescent="0.3">
      <c r="A2277" t="str">
        <f t="shared" si="35"/>
        <v>CN|AccumulatedNewCapacity|RE1|PWRCOA|2031</v>
      </c>
      <c r="B2277" t="s">
        <v>39</v>
      </c>
      <c r="C2277" t="s">
        <v>40</v>
      </c>
      <c r="D2277" t="s">
        <v>18</v>
      </c>
      <c r="E2277" t="s">
        <v>19</v>
      </c>
      <c r="F2277" t="s">
        <v>21</v>
      </c>
      <c r="O2277">
        <v>2031</v>
      </c>
    </row>
    <row r="2278" spans="1:16" x14ac:dyDescent="0.3">
      <c r="A2278" t="str">
        <f t="shared" si="35"/>
        <v>CN|AccumulatedNewCapacity|RE1|PWRDSL|2031</v>
      </c>
      <c r="B2278" t="s">
        <v>39</v>
      </c>
      <c r="C2278" t="s">
        <v>40</v>
      </c>
      <c r="D2278" t="s">
        <v>18</v>
      </c>
      <c r="E2278" t="s">
        <v>19</v>
      </c>
      <c r="F2278" t="s">
        <v>22</v>
      </c>
      <c r="O2278">
        <v>2031</v>
      </c>
    </row>
    <row r="2279" spans="1:16" x14ac:dyDescent="0.3">
      <c r="A2279" t="str">
        <f t="shared" si="35"/>
        <v>CN|AccumulatedNewCapacity|RE1|PWRFOL|2031</v>
      </c>
      <c r="B2279" t="s">
        <v>39</v>
      </c>
      <c r="C2279" t="s">
        <v>40</v>
      </c>
      <c r="D2279" t="s">
        <v>18</v>
      </c>
      <c r="E2279" t="s">
        <v>19</v>
      </c>
      <c r="F2279" t="s">
        <v>23</v>
      </c>
      <c r="O2279">
        <v>2031</v>
      </c>
    </row>
    <row r="2280" spans="1:16" x14ac:dyDescent="0.3">
      <c r="A2280" t="str">
        <f t="shared" si="35"/>
        <v>CN|AccumulatedNewCapacity|RE1|PWRHYDDAM|2031</v>
      </c>
      <c r="B2280" t="s">
        <v>39</v>
      </c>
      <c r="C2280" t="s">
        <v>40</v>
      </c>
      <c r="D2280" t="s">
        <v>18</v>
      </c>
      <c r="E2280" t="s">
        <v>19</v>
      </c>
      <c r="F2280" t="s">
        <v>24</v>
      </c>
      <c r="O2280">
        <v>2031</v>
      </c>
      <c r="P2280">
        <v>37.840000000000003</v>
      </c>
    </row>
    <row r="2281" spans="1:16" x14ac:dyDescent="0.3">
      <c r="A2281" t="str">
        <f t="shared" si="35"/>
        <v>CN|AccumulatedNewCapacity|RE1|PWRHYDROR|2031</v>
      </c>
      <c r="B2281" t="s">
        <v>39</v>
      </c>
      <c r="C2281" t="s">
        <v>40</v>
      </c>
      <c r="D2281" t="s">
        <v>18</v>
      </c>
      <c r="E2281" t="s">
        <v>19</v>
      </c>
      <c r="F2281" t="s">
        <v>25</v>
      </c>
      <c r="O2281">
        <v>2031</v>
      </c>
    </row>
    <row r="2282" spans="1:16" x14ac:dyDescent="0.3">
      <c r="A2282" t="str">
        <f t="shared" si="35"/>
        <v>CN|AccumulatedNewCapacity|RE1|PWRHYDROR_NDC|2031</v>
      </c>
      <c r="B2282" t="s">
        <v>39</v>
      </c>
      <c r="C2282" t="s">
        <v>40</v>
      </c>
      <c r="D2282" t="s">
        <v>18</v>
      </c>
      <c r="E2282" t="s">
        <v>19</v>
      </c>
      <c r="F2282" t="s">
        <v>26</v>
      </c>
      <c r="O2282">
        <v>2031</v>
      </c>
    </row>
    <row r="2283" spans="1:16" x14ac:dyDescent="0.3">
      <c r="A2283" t="str">
        <f t="shared" si="35"/>
        <v>CN|AccumulatedNewCapacity|RE1|PWRJET|2031</v>
      </c>
      <c r="B2283" t="s">
        <v>39</v>
      </c>
      <c r="C2283" t="s">
        <v>40</v>
      </c>
      <c r="D2283" t="s">
        <v>18</v>
      </c>
      <c r="E2283" t="s">
        <v>19</v>
      </c>
      <c r="F2283" t="s">
        <v>27</v>
      </c>
      <c r="O2283">
        <v>2031</v>
      </c>
    </row>
    <row r="2284" spans="1:16" x14ac:dyDescent="0.3">
      <c r="A2284" t="str">
        <f t="shared" si="35"/>
        <v>CN|AccumulatedNewCapacity|RE1|PWRLPG|2031</v>
      </c>
      <c r="B2284" t="s">
        <v>39</v>
      </c>
      <c r="C2284" t="s">
        <v>40</v>
      </c>
      <c r="D2284" t="s">
        <v>18</v>
      </c>
      <c r="E2284" t="s">
        <v>19</v>
      </c>
      <c r="F2284" t="s">
        <v>28</v>
      </c>
      <c r="O2284">
        <v>2031</v>
      </c>
    </row>
    <row r="2285" spans="1:16" x14ac:dyDescent="0.3">
      <c r="A2285" t="str">
        <f t="shared" si="35"/>
        <v>CN|AccumulatedNewCapacity|RE1|PWRNGS_CC|2031</v>
      </c>
      <c r="B2285" t="s">
        <v>39</v>
      </c>
      <c r="C2285" t="s">
        <v>40</v>
      </c>
      <c r="D2285" t="s">
        <v>18</v>
      </c>
      <c r="E2285" t="s">
        <v>19</v>
      </c>
      <c r="F2285" t="s">
        <v>29</v>
      </c>
      <c r="O2285">
        <v>2031</v>
      </c>
    </row>
    <row r="2286" spans="1:16" x14ac:dyDescent="0.3">
      <c r="A2286" t="str">
        <f t="shared" si="35"/>
        <v>CN|AccumulatedNewCapacity|RE1|PWRNGS_CS|2031</v>
      </c>
      <c r="B2286" t="s">
        <v>39</v>
      </c>
      <c r="C2286" t="s">
        <v>40</v>
      </c>
      <c r="D2286" t="s">
        <v>18</v>
      </c>
      <c r="E2286" t="s">
        <v>19</v>
      </c>
      <c r="F2286" t="s">
        <v>30</v>
      </c>
      <c r="O2286">
        <v>2031</v>
      </c>
    </row>
    <row r="2287" spans="1:16" x14ac:dyDescent="0.3">
      <c r="A2287" t="str">
        <f t="shared" si="35"/>
        <v>CN|AccumulatedNewCapacity|RE1|PWRSOLRTP|2031</v>
      </c>
      <c r="B2287" t="s">
        <v>39</v>
      </c>
      <c r="C2287" t="s">
        <v>40</v>
      </c>
      <c r="D2287" t="s">
        <v>18</v>
      </c>
      <c r="E2287" t="s">
        <v>19</v>
      </c>
      <c r="F2287" t="s">
        <v>31</v>
      </c>
      <c r="O2287">
        <v>2031</v>
      </c>
      <c r="P2287">
        <v>95.09</v>
      </c>
    </row>
    <row r="2288" spans="1:16" x14ac:dyDescent="0.3">
      <c r="A2288" t="str">
        <f t="shared" si="35"/>
        <v>CN|AccumulatedNewCapacity|RE1|PWRSOLRTP_ZNI|2031</v>
      </c>
      <c r="B2288" t="s">
        <v>39</v>
      </c>
      <c r="C2288" t="s">
        <v>40</v>
      </c>
      <c r="D2288" t="s">
        <v>18</v>
      </c>
      <c r="E2288" t="s">
        <v>19</v>
      </c>
      <c r="F2288" t="s">
        <v>32</v>
      </c>
      <c r="O2288">
        <v>2031</v>
      </c>
      <c r="P2288">
        <v>0.57301432913016792</v>
      </c>
    </row>
    <row r="2289" spans="1:16" x14ac:dyDescent="0.3">
      <c r="A2289" t="str">
        <f t="shared" si="35"/>
        <v>CN|AccumulatedNewCapacity|RE1|PWRSOLUGE|2031</v>
      </c>
      <c r="B2289" t="s">
        <v>39</v>
      </c>
      <c r="C2289" t="s">
        <v>40</v>
      </c>
      <c r="D2289" t="s">
        <v>18</v>
      </c>
      <c r="E2289" t="s">
        <v>19</v>
      </c>
      <c r="F2289" t="s">
        <v>33</v>
      </c>
      <c r="O2289">
        <v>2031</v>
      </c>
      <c r="P2289">
        <v>143.394192</v>
      </c>
    </row>
    <row r="2290" spans="1:16" x14ac:dyDescent="0.3">
      <c r="A2290" t="str">
        <f t="shared" si="35"/>
        <v>CN|AccumulatedNewCapacity|RE1|PWRSOLUGE_BAT|2031</v>
      </c>
      <c r="B2290" t="s">
        <v>39</v>
      </c>
      <c r="C2290" t="s">
        <v>40</v>
      </c>
      <c r="D2290" t="s">
        <v>18</v>
      </c>
      <c r="E2290" t="s">
        <v>19</v>
      </c>
      <c r="F2290" t="s">
        <v>41</v>
      </c>
      <c r="O2290">
        <v>2031</v>
      </c>
    </row>
    <row r="2291" spans="1:16" x14ac:dyDescent="0.3">
      <c r="A2291" t="str">
        <f t="shared" si="35"/>
        <v>CN|AccumulatedNewCapacity|RE1|PWRSOLUPE|2031</v>
      </c>
      <c r="B2291" t="s">
        <v>39</v>
      </c>
      <c r="C2291" t="s">
        <v>40</v>
      </c>
      <c r="D2291" t="s">
        <v>18</v>
      </c>
      <c r="E2291" t="s">
        <v>19</v>
      </c>
      <c r="F2291" t="s">
        <v>34</v>
      </c>
      <c r="O2291">
        <v>2031</v>
      </c>
      <c r="P2291">
        <v>12.14419823999993</v>
      </c>
    </row>
    <row r="2292" spans="1:16" x14ac:dyDescent="0.3">
      <c r="A2292" t="str">
        <f t="shared" si="35"/>
        <v>CN|AccumulatedNewCapacity|RE1|PWRSTD|2031</v>
      </c>
      <c r="B2292" t="s">
        <v>39</v>
      </c>
      <c r="C2292" t="s">
        <v>40</v>
      </c>
      <c r="D2292" t="s">
        <v>18</v>
      </c>
      <c r="E2292" t="s">
        <v>19</v>
      </c>
      <c r="F2292" t="s">
        <v>35</v>
      </c>
      <c r="O2292">
        <v>2031</v>
      </c>
    </row>
    <row r="2293" spans="1:16" x14ac:dyDescent="0.3">
      <c r="A2293" t="str">
        <f t="shared" si="35"/>
        <v>CN|AccumulatedNewCapacity|RE1|PWRWNDOFS_FIX|2031</v>
      </c>
      <c r="B2293" t="s">
        <v>39</v>
      </c>
      <c r="C2293" t="s">
        <v>40</v>
      </c>
      <c r="D2293" t="s">
        <v>18</v>
      </c>
      <c r="E2293" t="s">
        <v>19</v>
      </c>
      <c r="F2293" t="s">
        <v>42</v>
      </c>
      <c r="O2293">
        <v>2031</v>
      </c>
    </row>
    <row r="2294" spans="1:16" x14ac:dyDescent="0.3">
      <c r="A2294" t="str">
        <f t="shared" si="35"/>
        <v>CN|AccumulatedNewCapacity|RE1|PWRWNDOFS_FLO|2031</v>
      </c>
      <c r="B2294" t="s">
        <v>39</v>
      </c>
      <c r="C2294" t="s">
        <v>40</v>
      </c>
      <c r="D2294" t="s">
        <v>18</v>
      </c>
      <c r="E2294" t="s">
        <v>19</v>
      </c>
      <c r="F2294" t="s">
        <v>43</v>
      </c>
      <c r="O2294">
        <v>2031</v>
      </c>
    </row>
    <row r="2295" spans="1:16" x14ac:dyDescent="0.3">
      <c r="A2295" t="str">
        <f t="shared" si="35"/>
        <v>CN|AccumulatedNewCapacity|RE1|PWRWNDONS|2031</v>
      </c>
      <c r="B2295" t="s">
        <v>39</v>
      </c>
      <c r="C2295" t="s">
        <v>40</v>
      </c>
      <c r="D2295" t="s">
        <v>18</v>
      </c>
      <c r="E2295" t="s">
        <v>19</v>
      </c>
      <c r="F2295" t="s">
        <v>36</v>
      </c>
      <c r="O2295">
        <v>2031</v>
      </c>
      <c r="P2295">
        <v>66.389446484435581</v>
      </c>
    </row>
    <row r="2296" spans="1:16" x14ac:dyDescent="0.3">
      <c r="A2296" t="str">
        <f t="shared" si="35"/>
        <v>CN|NewCapacity|RE1|PWRBGS|2031</v>
      </c>
      <c r="B2296" t="s">
        <v>39</v>
      </c>
      <c r="C2296" t="s">
        <v>40</v>
      </c>
      <c r="D2296" t="s">
        <v>37</v>
      </c>
      <c r="E2296" t="s">
        <v>19</v>
      </c>
      <c r="F2296" t="s">
        <v>20</v>
      </c>
      <c r="O2296">
        <v>2031</v>
      </c>
    </row>
    <row r="2297" spans="1:16" x14ac:dyDescent="0.3">
      <c r="A2297" t="str">
        <f t="shared" si="35"/>
        <v>CN|NewCapacity|RE1|PWRCOA|2031</v>
      </c>
      <c r="B2297" t="s">
        <v>39</v>
      </c>
      <c r="C2297" t="s">
        <v>40</v>
      </c>
      <c r="D2297" t="s">
        <v>37</v>
      </c>
      <c r="E2297" t="s">
        <v>19</v>
      </c>
      <c r="F2297" t="s">
        <v>21</v>
      </c>
      <c r="O2297">
        <v>2031</v>
      </c>
    </row>
    <row r="2298" spans="1:16" x14ac:dyDescent="0.3">
      <c r="A2298" t="str">
        <f t="shared" si="35"/>
        <v>CN|NewCapacity|RE1|PWRDSL|2031</v>
      </c>
      <c r="B2298" t="s">
        <v>39</v>
      </c>
      <c r="C2298" t="s">
        <v>40</v>
      </c>
      <c r="D2298" t="s">
        <v>37</v>
      </c>
      <c r="E2298" t="s">
        <v>19</v>
      </c>
      <c r="F2298" t="s">
        <v>22</v>
      </c>
      <c r="O2298">
        <v>2031</v>
      </c>
    </row>
    <row r="2299" spans="1:16" x14ac:dyDescent="0.3">
      <c r="A2299" t="str">
        <f t="shared" si="35"/>
        <v>CN|NewCapacity|RE1|PWRFOL|2031</v>
      </c>
      <c r="B2299" t="s">
        <v>39</v>
      </c>
      <c r="C2299" t="s">
        <v>40</v>
      </c>
      <c r="D2299" t="s">
        <v>37</v>
      </c>
      <c r="E2299" t="s">
        <v>19</v>
      </c>
      <c r="F2299" t="s">
        <v>23</v>
      </c>
      <c r="O2299">
        <v>2031</v>
      </c>
    </row>
    <row r="2300" spans="1:16" x14ac:dyDescent="0.3">
      <c r="A2300" t="str">
        <f t="shared" si="35"/>
        <v>CN|NewCapacity|RE1|PWRHYDDAM|2031</v>
      </c>
      <c r="B2300" t="s">
        <v>39</v>
      </c>
      <c r="C2300" t="s">
        <v>40</v>
      </c>
      <c r="D2300" t="s">
        <v>37</v>
      </c>
      <c r="E2300" t="s">
        <v>19</v>
      </c>
      <c r="F2300" t="s">
        <v>24</v>
      </c>
      <c r="O2300">
        <v>2031</v>
      </c>
    </row>
    <row r="2301" spans="1:16" x14ac:dyDescent="0.3">
      <c r="A2301" t="str">
        <f t="shared" si="35"/>
        <v>CN|NewCapacity|RE1|PWRHYDROR|2031</v>
      </c>
      <c r="B2301" t="s">
        <v>39</v>
      </c>
      <c r="C2301" t="s">
        <v>40</v>
      </c>
      <c r="D2301" t="s">
        <v>37</v>
      </c>
      <c r="E2301" t="s">
        <v>19</v>
      </c>
      <c r="F2301" t="s">
        <v>25</v>
      </c>
      <c r="O2301">
        <v>2031</v>
      </c>
    </row>
    <row r="2302" spans="1:16" x14ac:dyDescent="0.3">
      <c r="A2302" t="str">
        <f t="shared" si="35"/>
        <v>CN|NewCapacity|RE1|PWRHYDROR_NDC|2031</v>
      </c>
      <c r="B2302" t="s">
        <v>39</v>
      </c>
      <c r="C2302" t="s">
        <v>40</v>
      </c>
      <c r="D2302" t="s">
        <v>37</v>
      </c>
      <c r="E2302" t="s">
        <v>19</v>
      </c>
      <c r="F2302" t="s">
        <v>26</v>
      </c>
      <c r="O2302">
        <v>2031</v>
      </c>
    </row>
    <row r="2303" spans="1:16" x14ac:dyDescent="0.3">
      <c r="A2303" t="str">
        <f t="shared" si="35"/>
        <v>CN|NewCapacity|RE1|PWRJET|2031</v>
      </c>
      <c r="B2303" t="s">
        <v>39</v>
      </c>
      <c r="C2303" t="s">
        <v>40</v>
      </c>
      <c r="D2303" t="s">
        <v>37</v>
      </c>
      <c r="E2303" t="s">
        <v>19</v>
      </c>
      <c r="F2303" t="s">
        <v>27</v>
      </c>
      <c r="O2303">
        <v>2031</v>
      </c>
    </row>
    <row r="2304" spans="1:16" x14ac:dyDescent="0.3">
      <c r="A2304" t="str">
        <f t="shared" si="35"/>
        <v>CN|NewCapacity|RE1|PWRLPG|2031</v>
      </c>
      <c r="B2304" t="s">
        <v>39</v>
      </c>
      <c r="C2304" t="s">
        <v>40</v>
      </c>
      <c r="D2304" t="s">
        <v>37</v>
      </c>
      <c r="E2304" t="s">
        <v>19</v>
      </c>
      <c r="F2304" t="s">
        <v>28</v>
      </c>
      <c r="O2304">
        <v>2031</v>
      </c>
    </row>
    <row r="2305" spans="1:16" x14ac:dyDescent="0.3">
      <c r="A2305" t="str">
        <f t="shared" si="35"/>
        <v>CN|NewCapacity|RE1|PWRNGS_CC|2031</v>
      </c>
      <c r="B2305" t="s">
        <v>39</v>
      </c>
      <c r="C2305" t="s">
        <v>40</v>
      </c>
      <c r="D2305" t="s">
        <v>37</v>
      </c>
      <c r="E2305" t="s">
        <v>19</v>
      </c>
      <c r="F2305" t="s">
        <v>29</v>
      </c>
      <c r="O2305">
        <v>2031</v>
      </c>
    </row>
    <row r="2306" spans="1:16" x14ac:dyDescent="0.3">
      <c r="A2306" t="str">
        <f t="shared" ref="A2306:A2369" si="36">B2306&amp;"|"&amp;D2306&amp;"|"&amp;E2306&amp;"|"&amp;F2306&amp;"|"&amp;O2306</f>
        <v>CN|NewCapacity|RE1|PWRNGS_CS|2031</v>
      </c>
      <c r="B2306" t="s">
        <v>39</v>
      </c>
      <c r="C2306" t="s">
        <v>40</v>
      </c>
      <c r="D2306" t="s">
        <v>37</v>
      </c>
      <c r="E2306" t="s">
        <v>19</v>
      </c>
      <c r="F2306" t="s">
        <v>30</v>
      </c>
      <c r="O2306">
        <v>2031</v>
      </c>
    </row>
    <row r="2307" spans="1:16" x14ac:dyDescent="0.3">
      <c r="A2307" t="str">
        <f t="shared" si="36"/>
        <v>CN|NewCapacity|RE1|PWRSOLRTP|2031</v>
      </c>
      <c r="B2307" t="s">
        <v>39</v>
      </c>
      <c r="C2307" t="s">
        <v>40</v>
      </c>
      <c r="D2307" t="s">
        <v>37</v>
      </c>
      <c r="E2307" t="s">
        <v>19</v>
      </c>
      <c r="F2307" t="s">
        <v>31</v>
      </c>
      <c r="O2307">
        <v>2031</v>
      </c>
      <c r="P2307">
        <v>17.63</v>
      </c>
    </row>
    <row r="2308" spans="1:16" x14ac:dyDescent="0.3">
      <c r="A2308" t="str">
        <f t="shared" si="36"/>
        <v>CN|NewCapacity|RE1|PWRSOLRTP_ZNI|2031</v>
      </c>
      <c r="B2308" t="s">
        <v>39</v>
      </c>
      <c r="C2308" t="s">
        <v>40</v>
      </c>
      <c r="D2308" t="s">
        <v>37</v>
      </c>
      <c r="E2308" t="s">
        <v>19</v>
      </c>
      <c r="F2308" t="s">
        <v>32</v>
      </c>
      <c r="O2308">
        <v>2031</v>
      </c>
      <c r="P2308">
        <v>0.57301432913016792</v>
      </c>
    </row>
    <row r="2309" spans="1:16" x14ac:dyDescent="0.3">
      <c r="A2309" t="str">
        <f t="shared" si="36"/>
        <v>CN|NewCapacity|RE1|PWRSOLUGE|2031</v>
      </c>
      <c r="B2309" t="s">
        <v>39</v>
      </c>
      <c r="C2309" t="s">
        <v>40</v>
      </c>
      <c r="D2309" t="s">
        <v>37</v>
      </c>
      <c r="E2309" t="s">
        <v>19</v>
      </c>
      <c r="F2309" t="s">
        <v>33</v>
      </c>
      <c r="O2309">
        <v>2031</v>
      </c>
    </row>
    <row r="2310" spans="1:16" x14ac:dyDescent="0.3">
      <c r="A2310" t="str">
        <f t="shared" si="36"/>
        <v>CN|NewCapacity|RE1|PWRSOLUGE_BAT|2031</v>
      </c>
      <c r="B2310" t="s">
        <v>39</v>
      </c>
      <c r="C2310" t="s">
        <v>40</v>
      </c>
      <c r="D2310" t="s">
        <v>37</v>
      </c>
      <c r="E2310" t="s">
        <v>19</v>
      </c>
      <c r="F2310" t="s">
        <v>41</v>
      </c>
      <c r="O2310">
        <v>2031</v>
      </c>
    </row>
    <row r="2311" spans="1:16" x14ac:dyDescent="0.3">
      <c r="A2311" t="str">
        <f t="shared" si="36"/>
        <v>CN|NewCapacity|RE1|PWRSOLUPE|2031</v>
      </c>
      <c r="B2311" t="s">
        <v>39</v>
      </c>
      <c r="C2311" t="s">
        <v>40</v>
      </c>
      <c r="D2311" t="s">
        <v>37</v>
      </c>
      <c r="E2311" t="s">
        <v>19</v>
      </c>
      <c r="F2311" t="s">
        <v>34</v>
      </c>
      <c r="O2311">
        <v>2031</v>
      </c>
    </row>
    <row r="2312" spans="1:16" x14ac:dyDescent="0.3">
      <c r="A2312" t="str">
        <f t="shared" si="36"/>
        <v>CN|NewCapacity|RE1|PWRSTD|2031</v>
      </c>
      <c r="B2312" t="s">
        <v>39</v>
      </c>
      <c r="C2312" t="s">
        <v>40</v>
      </c>
      <c r="D2312" t="s">
        <v>37</v>
      </c>
      <c r="E2312" t="s">
        <v>19</v>
      </c>
      <c r="F2312" t="s">
        <v>35</v>
      </c>
      <c r="O2312">
        <v>2031</v>
      </c>
    </row>
    <row r="2313" spans="1:16" x14ac:dyDescent="0.3">
      <c r="A2313" t="str">
        <f t="shared" si="36"/>
        <v>CN|NewCapacity|RE1|PWRWNDOFS_FIX|2031</v>
      </c>
      <c r="B2313" t="s">
        <v>39</v>
      </c>
      <c r="C2313" t="s">
        <v>40</v>
      </c>
      <c r="D2313" t="s">
        <v>37</v>
      </c>
      <c r="E2313" t="s">
        <v>19</v>
      </c>
      <c r="F2313" t="s">
        <v>42</v>
      </c>
      <c r="O2313">
        <v>2031</v>
      </c>
    </row>
    <row r="2314" spans="1:16" x14ac:dyDescent="0.3">
      <c r="A2314" t="str">
        <f t="shared" si="36"/>
        <v>CN|NewCapacity|RE1|PWRWNDOFS_FLO|2031</v>
      </c>
      <c r="B2314" t="s">
        <v>39</v>
      </c>
      <c r="C2314" t="s">
        <v>40</v>
      </c>
      <c r="D2314" t="s">
        <v>37</v>
      </c>
      <c r="E2314" t="s">
        <v>19</v>
      </c>
      <c r="F2314" t="s">
        <v>43</v>
      </c>
      <c r="O2314">
        <v>2031</v>
      </c>
    </row>
    <row r="2315" spans="1:16" x14ac:dyDescent="0.3">
      <c r="A2315" t="str">
        <f t="shared" si="36"/>
        <v>CN|NewCapacity|RE1|PWRWNDONS|2031</v>
      </c>
      <c r="B2315" t="s">
        <v>39</v>
      </c>
      <c r="C2315" t="s">
        <v>40</v>
      </c>
      <c r="D2315" t="s">
        <v>37</v>
      </c>
      <c r="E2315" t="s">
        <v>19</v>
      </c>
      <c r="F2315" t="s">
        <v>36</v>
      </c>
      <c r="O2315">
        <v>2031</v>
      </c>
      <c r="P2315">
        <v>9.4</v>
      </c>
    </row>
    <row r="2316" spans="1:16" x14ac:dyDescent="0.3">
      <c r="A2316" t="str">
        <f t="shared" si="36"/>
        <v>CN|TotalCapacityAnnual|RE1|PWRBGS|2031</v>
      </c>
      <c r="B2316" t="s">
        <v>39</v>
      </c>
      <c r="C2316" t="s">
        <v>40</v>
      </c>
      <c r="D2316" t="s">
        <v>38</v>
      </c>
      <c r="E2316" t="s">
        <v>19</v>
      </c>
      <c r="F2316" t="s">
        <v>20</v>
      </c>
      <c r="O2316">
        <v>2031</v>
      </c>
      <c r="P2316">
        <v>2.5488587520000001E-2</v>
      </c>
    </row>
    <row r="2317" spans="1:16" x14ac:dyDescent="0.3">
      <c r="A2317" t="str">
        <f t="shared" si="36"/>
        <v>CN|TotalCapacityAnnual|RE1|PWRCOA|2031</v>
      </c>
      <c r="B2317" t="s">
        <v>39</v>
      </c>
      <c r="C2317" t="s">
        <v>40</v>
      </c>
      <c r="D2317" t="s">
        <v>38</v>
      </c>
      <c r="E2317" t="s">
        <v>19</v>
      </c>
      <c r="F2317" t="s">
        <v>21</v>
      </c>
      <c r="O2317">
        <v>2031</v>
      </c>
      <c r="P2317">
        <v>19.047744000000002</v>
      </c>
    </row>
    <row r="2318" spans="1:16" x14ac:dyDescent="0.3">
      <c r="A2318" t="str">
        <f t="shared" si="36"/>
        <v>CN|TotalCapacityAnnual|RE1|PWRDSL|2031</v>
      </c>
      <c r="B2318" t="s">
        <v>39</v>
      </c>
      <c r="C2318" t="s">
        <v>40</v>
      </c>
      <c r="D2318" t="s">
        <v>38</v>
      </c>
      <c r="E2318" t="s">
        <v>19</v>
      </c>
      <c r="F2318" t="s">
        <v>22</v>
      </c>
      <c r="O2318">
        <v>2031</v>
      </c>
      <c r="P2318">
        <v>24.944976</v>
      </c>
    </row>
    <row r="2319" spans="1:16" x14ac:dyDescent="0.3">
      <c r="A2319" t="str">
        <f t="shared" si="36"/>
        <v>CN|TotalCapacityAnnual|RE1|PWRFOL|2031</v>
      </c>
      <c r="B2319" t="s">
        <v>39</v>
      </c>
      <c r="C2319" t="s">
        <v>40</v>
      </c>
      <c r="D2319" t="s">
        <v>38</v>
      </c>
      <c r="E2319" t="s">
        <v>19</v>
      </c>
      <c r="F2319" t="s">
        <v>23</v>
      </c>
      <c r="O2319">
        <v>2031</v>
      </c>
      <c r="P2319">
        <v>8.3885759999999987</v>
      </c>
    </row>
    <row r="2320" spans="1:16" x14ac:dyDescent="0.3">
      <c r="A2320" t="str">
        <f t="shared" si="36"/>
        <v>CN|TotalCapacityAnnual|RE1|PWRHYDDAM|2031</v>
      </c>
      <c r="B2320" t="s">
        <v>39</v>
      </c>
      <c r="C2320" t="s">
        <v>40</v>
      </c>
      <c r="D2320" t="s">
        <v>38</v>
      </c>
      <c r="E2320" t="s">
        <v>19</v>
      </c>
      <c r="F2320" t="s">
        <v>24</v>
      </c>
      <c r="O2320">
        <v>2031</v>
      </c>
      <c r="P2320">
        <v>440.49164800000011</v>
      </c>
    </row>
    <row r="2321" spans="1:16" x14ac:dyDescent="0.3">
      <c r="A2321" t="str">
        <f t="shared" si="36"/>
        <v>CN|TotalCapacityAnnual|RE1|PWRHYDROR|2031</v>
      </c>
      <c r="B2321" t="s">
        <v>39</v>
      </c>
      <c r="C2321" t="s">
        <v>40</v>
      </c>
      <c r="D2321" t="s">
        <v>38</v>
      </c>
      <c r="E2321" t="s">
        <v>19</v>
      </c>
      <c r="F2321" t="s">
        <v>25</v>
      </c>
      <c r="O2321">
        <v>2031</v>
      </c>
      <c r="P2321">
        <v>21.097584000000001</v>
      </c>
    </row>
    <row r="2322" spans="1:16" x14ac:dyDescent="0.3">
      <c r="A2322" t="str">
        <f t="shared" si="36"/>
        <v>CN|TotalCapacityAnnual|RE1|PWRHYDROR_NDC|2031</v>
      </c>
      <c r="B2322" t="s">
        <v>39</v>
      </c>
      <c r="C2322" t="s">
        <v>40</v>
      </c>
      <c r="D2322" t="s">
        <v>38</v>
      </c>
      <c r="E2322" t="s">
        <v>19</v>
      </c>
      <c r="F2322" t="s">
        <v>26</v>
      </c>
      <c r="O2322">
        <v>2031</v>
      </c>
      <c r="P2322">
        <v>29.725108271999989</v>
      </c>
    </row>
    <row r="2323" spans="1:16" x14ac:dyDescent="0.3">
      <c r="A2323" t="str">
        <f t="shared" si="36"/>
        <v>CN|TotalCapacityAnnual|RE1|PWRJET|2031</v>
      </c>
      <c r="B2323" t="s">
        <v>39</v>
      </c>
      <c r="C2323" t="s">
        <v>40</v>
      </c>
      <c r="D2323" t="s">
        <v>38</v>
      </c>
      <c r="E2323" t="s">
        <v>19</v>
      </c>
      <c r="F2323" t="s">
        <v>27</v>
      </c>
      <c r="O2323">
        <v>2031</v>
      </c>
      <c r="P2323">
        <v>1.5768</v>
      </c>
    </row>
    <row r="2324" spans="1:16" x14ac:dyDescent="0.3">
      <c r="A2324" t="str">
        <f t="shared" si="36"/>
        <v>CN|TotalCapacityAnnual|RE1|PWRLPG|2031</v>
      </c>
      <c r="B2324" t="s">
        <v>39</v>
      </c>
      <c r="C2324" t="s">
        <v>40</v>
      </c>
      <c r="D2324" t="s">
        <v>38</v>
      </c>
      <c r="E2324" t="s">
        <v>19</v>
      </c>
      <c r="F2324" t="s">
        <v>28</v>
      </c>
      <c r="O2324">
        <v>2031</v>
      </c>
      <c r="P2324">
        <v>1.639872</v>
      </c>
    </row>
    <row r="2325" spans="1:16" x14ac:dyDescent="0.3">
      <c r="A2325" t="str">
        <f t="shared" si="36"/>
        <v>CN|TotalCapacityAnnual|RE1|PWRNGS_CC|2031</v>
      </c>
      <c r="B2325" t="s">
        <v>39</v>
      </c>
      <c r="C2325" t="s">
        <v>40</v>
      </c>
      <c r="D2325" t="s">
        <v>38</v>
      </c>
      <c r="E2325" t="s">
        <v>19</v>
      </c>
      <c r="F2325" t="s">
        <v>29</v>
      </c>
      <c r="O2325">
        <v>2031</v>
      </c>
      <c r="P2325">
        <v>70.104500000000002</v>
      </c>
    </row>
    <row r="2326" spans="1:16" x14ac:dyDescent="0.3">
      <c r="A2326" t="str">
        <f t="shared" si="36"/>
        <v>CN|TotalCapacityAnnual|RE1|PWRNGS_CS|2031</v>
      </c>
      <c r="B2326" t="s">
        <v>39</v>
      </c>
      <c r="C2326" t="s">
        <v>40</v>
      </c>
      <c r="D2326" t="s">
        <v>38</v>
      </c>
      <c r="E2326" t="s">
        <v>19</v>
      </c>
      <c r="F2326" t="s">
        <v>30</v>
      </c>
      <c r="O2326">
        <v>2031</v>
      </c>
      <c r="P2326">
        <v>23.084351999999999</v>
      </c>
    </row>
    <row r="2327" spans="1:16" x14ac:dyDescent="0.3">
      <c r="A2327" t="str">
        <f t="shared" si="36"/>
        <v>CN|TotalCapacityAnnual|RE1|PWRSOLRTP|2031</v>
      </c>
      <c r="B2327" t="s">
        <v>39</v>
      </c>
      <c r="C2327" t="s">
        <v>40</v>
      </c>
      <c r="D2327" t="s">
        <v>38</v>
      </c>
      <c r="E2327" t="s">
        <v>19</v>
      </c>
      <c r="F2327" t="s">
        <v>31</v>
      </c>
      <c r="O2327">
        <v>2031</v>
      </c>
      <c r="P2327">
        <v>118.3741</v>
      </c>
    </row>
    <row r="2328" spans="1:16" x14ac:dyDescent="0.3">
      <c r="A2328" t="str">
        <f t="shared" si="36"/>
        <v>CN|TotalCapacityAnnual|RE1|PWRSOLRTP_ZNI|2031</v>
      </c>
      <c r="B2328" t="s">
        <v>39</v>
      </c>
      <c r="C2328" t="s">
        <v>40</v>
      </c>
      <c r="D2328" t="s">
        <v>38</v>
      </c>
      <c r="E2328" t="s">
        <v>19</v>
      </c>
      <c r="F2328" t="s">
        <v>32</v>
      </c>
      <c r="O2328">
        <v>2031</v>
      </c>
      <c r="P2328">
        <v>1.033755289130168</v>
      </c>
    </row>
    <row r="2329" spans="1:16" x14ac:dyDescent="0.3">
      <c r="A2329" t="str">
        <f t="shared" si="36"/>
        <v>CN|TotalCapacityAnnual|RE1|PWRSOLUGE|2031</v>
      </c>
      <c r="B2329" t="s">
        <v>39</v>
      </c>
      <c r="C2329" t="s">
        <v>40</v>
      </c>
      <c r="D2329" t="s">
        <v>38</v>
      </c>
      <c r="E2329" t="s">
        <v>19</v>
      </c>
      <c r="F2329" t="s">
        <v>33</v>
      </c>
      <c r="O2329">
        <v>2031</v>
      </c>
      <c r="P2329">
        <v>191.79186048</v>
      </c>
    </row>
    <row r="2330" spans="1:16" x14ac:dyDescent="0.3">
      <c r="A2330" t="str">
        <f t="shared" si="36"/>
        <v>CN|TotalCapacityAnnual|RE1|PWRSOLUGE_BAT|2031</v>
      </c>
      <c r="B2330" t="s">
        <v>39</v>
      </c>
      <c r="C2330" t="s">
        <v>40</v>
      </c>
      <c r="D2330" t="s">
        <v>38</v>
      </c>
      <c r="E2330" t="s">
        <v>19</v>
      </c>
      <c r="F2330" t="s">
        <v>41</v>
      </c>
      <c r="O2330">
        <v>2031</v>
      </c>
    </row>
    <row r="2331" spans="1:16" x14ac:dyDescent="0.3">
      <c r="A2331" t="str">
        <f t="shared" si="36"/>
        <v>CN|TotalCapacityAnnual|RE1|PWRSOLUPE|2031</v>
      </c>
      <c r="B2331" t="s">
        <v>39</v>
      </c>
      <c r="C2331" t="s">
        <v>40</v>
      </c>
      <c r="D2331" t="s">
        <v>38</v>
      </c>
      <c r="E2331" t="s">
        <v>19</v>
      </c>
      <c r="F2331" t="s">
        <v>34</v>
      </c>
      <c r="O2331">
        <v>2031</v>
      </c>
      <c r="P2331">
        <v>39.172600079999931</v>
      </c>
    </row>
    <row r="2332" spans="1:16" x14ac:dyDescent="0.3">
      <c r="A2332" t="str">
        <f t="shared" si="36"/>
        <v>CN|TotalCapacityAnnual|RE1|PWRSTD|2031</v>
      </c>
      <c r="B2332" t="s">
        <v>39</v>
      </c>
      <c r="C2332" t="s">
        <v>40</v>
      </c>
      <c r="D2332" t="s">
        <v>38</v>
      </c>
      <c r="E2332" t="s">
        <v>19</v>
      </c>
      <c r="F2332" t="s">
        <v>35</v>
      </c>
      <c r="O2332">
        <v>2031</v>
      </c>
      <c r="P2332">
        <v>8.163062064</v>
      </c>
    </row>
    <row r="2333" spans="1:16" x14ac:dyDescent="0.3">
      <c r="A2333" t="str">
        <f t="shared" si="36"/>
        <v>CN|TotalCapacityAnnual|RE1|PWRWNDOFS_FIX|2031</v>
      </c>
      <c r="B2333" t="s">
        <v>39</v>
      </c>
      <c r="C2333" t="s">
        <v>40</v>
      </c>
      <c r="D2333" t="s">
        <v>38</v>
      </c>
      <c r="E2333" t="s">
        <v>19</v>
      </c>
      <c r="F2333" t="s">
        <v>42</v>
      </c>
      <c r="O2333">
        <v>2031</v>
      </c>
    </row>
    <row r="2334" spans="1:16" x14ac:dyDescent="0.3">
      <c r="A2334" t="str">
        <f t="shared" si="36"/>
        <v>CN|TotalCapacityAnnual|RE1|PWRWNDOFS_FLO|2031</v>
      </c>
      <c r="B2334" t="s">
        <v>39</v>
      </c>
      <c r="C2334" t="s">
        <v>40</v>
      </c>
      <c r="D2334" t="s">
        <v>38</v>
      </c>
      <c r="E2334" t="s">
        <v>19</v>
      </c>
      <c r="F2334" t="s">
        <v>43</v>
      </c>
      <c r="O2334">
        <v>2031</v>
      </c>
    </row>
    <row r="2335" spans="1:16" x14ac:dyDescent="0.3">
      <c r="A2335" t="str">
        <f t="shared" si="36"/>
        <v>CN|TotalCapacityAnnual|RE1|PWRWNDONS|2031</v>
      </c>
      <c r="B2335" t="s">
        <v>39</v>
      </c>
      <c r="C2335" t="s">
        <v>40</v>
      </c>
      <c r="D2335" t="s">
        <v>38</v>
      </c>
      <c r="E2335" t="s">
        <v>19</v>
      </c>
      <c r="F2335" t="s">
        <v>36</v>
      </c>
      <c r="O2335">
        <v>2031</v>
      </c>
      <c r="P2335">
        <v>67.758108884435586</v>
      </c>
    </row>
    <row r="2336" spans="1:16" x14ac:dyDescent="0.3">
      <c r="A2336" t="str">
        <f t="shared" si="36"/>
        <v>CN|AccumulatedNewCapacity|RE1|PWRBGS|2032</v>
      </c>
      <c r="B2336" t="s">
        <v>39</v>
      </c>
      <c r="C2336" t="s">
        <v>40</v>
      </c>
      <c r="D2336" t="s">
        <v>18</v>
      </c>
      <c r="E2336" t="s">
        <v>19</v>
      </c>
      <c r="F2336" t="s">
        <v>20</v>
      </c>
      <c r="O2336">
        <v>2032</v>
      </c>
    </row>
    <row r="2337" spans="1:16" x14ac:dyDescent="0.3">
      <c r="A2337" t="str">
        <f t="shared" si="36"/>
        <v>CN|AccumulatedNewCapacity|RE1|PWRCOA|2032</v>
      </c>
      <c r="B2337" t="s">
        <v>39</v>
      </c>
      <c r="C2337" t="s">
        <v>40</v>
      </c>
      <c r="D2337" t="s">
        <v>18</v>
      </c>
      <c r="E2337" t="s">
        <v>19</v>
      </c>
      <c r="F2337" t="s">
        <v>21</v>
      </c>
      <c r="O2337">
        <v>2032</v>
      </c>
    </row>
    <row r="2338" spans="1:16" x14ac:dyDescent="0.3">
      <c r="A2338" t="str">
        <f t="shared" si="36"/>
        <v>CN|AccumulatedNewCapacity|RE1|PWRDSL|2032</v>
      </c>
      <c r="B2338" t="s">
        <v>39</v>
      </c>
      <c r="C2338" t="s">
        <v>40</v>
      </c>
      <c r="D2338" t="s">
        <v>18</v>
      </c>
      <c r="E2338" t="s">
        <v>19</v>
      </c>
      <c r="F2338" t="s">
        <v>22</v>
      </c>
      <c r="O2338">
        <v>2032</v>
      </c>
    </row>
    <row r="2339" spans="1:16" x14ac:dyDescent="0.3">
      <c r="A2339" t="str">
        <f t="shared" si="36"/>
        <v>CN|AccumulatedNewCapacity|RE1|PWRFOL|2032</v>
      </c>
      <c r="B2339" t="s">
        <v>39</v>
      </c>
      <c r="C2339" t="s">
        <v>40</v>
      </c>
      <c r="D2339" t="s">
        <v>18</v>
      </c>
      <c r="E2339" t="s">
        <v>19</v>
      </c>
      <c r="F2339" t="s">
        <v>23</v>
      </c>
      <c r="O2339">
        <v>2032</v>
      </c>
    </row>
    <row r="2340" spans="1:16" x14ac:dyDescent="0.3">
      <c r="A2340" t="str">
        <f t="shared" si="36"/>
        <v>CN|AccumulatedNewCapacity|RE1|PWRHYDDAM|2032</v>
      </c>
      <c r="B2340" t="s">
        <v>39</v>
      </c>
      <c r="C2340" t="s">
        <v>40</v>
      </c>
      <c r="D2340" t="s">
        <v>18</v>
      </c>
      <c r="E2340" t="s">
        <v>19</v>
      </c>
      <c r="F2340" t="s">
        <v>24</v>
      </c>
      <c r="O2340">
        <v>2032</v>
      </c>
      <c r="P2340">
        <v>37.840000000000003</v>
      </c>
    </row>
    <row r="2341" spans="1:16" x14ac:dyDescent="0.3">
      <c r="A2341" t="str">
        <f t="shared" si="36"/>
        <v>CN|AccumulatedNewCapacity|RE1|PWRHYDROR|2032</v>
      </c>
      <c r="B2341" t="s">
        <v>39</v>
      </c>
      <c r="C2341" t="s">
        <v>40</v>
      </c>
      <c r="D2341" t="s">
        <v>18</v>
      </c>
      <c r="E2341" t="s">
        <v>19</v>
      </c>
      <c r="F2341" t="s">
        <v>25</v>
      </c>
      <c r="O2341">
        <v>2032</v>
      </c>
    </row>
    <row r="2342" spans="1:16" x14ac:dyDescent="0.3">
      <c r="A2342" t="str">
        <f t="shared" si="36"/>
        <v>CN|AccumulatedNewCapacity|RE1|PWRHYDROR_NDC|2032</v>
      </c>
      <c r="B2342" t="s">
        <v>39</v>
      </c>
      <c r="C2342" t="s">
        <v>40</v>
      </c>
      <c r="D2342" t="s">
        <v>18</v>
      </c>
      <c r="E2342" t="s">
        <v>19</v>
      </c>
      <c r="F2342" t="s">
        <v>26</v>
      </c>
      <c r="O2342">
        <v>2032</v>
      </c>
    </row>
    <row r="2343" spans="1:16" x14ac:dyDescent="0.3">
      <c r="A2343" t="str">
        <f t="shared" si="36"/>
        <v>CN|AccumulatedNewCapacity|RE1|PWRJET|2032</v>
      </c>
      <c r="B2343" t="s">
        <v>39</v>
      </c>
      <c r="C2343" t="s">
        <v>40</v>
      </c>
      <c r="D2343" t="s">
        <v>18</v>
      </c>
      <c r="E2343" t="s">
        <v>19</v>
      </c>
      <c r="F2343" t="s">
        <v>27</v>
      </c>
      <c r="O2343">
        <v>2032</v>
      </c>
    </row>
    <row r="2344" spans="1:16" x14ac:dyDescent="0.3">
      <c r="A2344" t="str">
        <f t="shared" si="36"/>
        <v>CN|AccumulatedNewCapacity|RE1|PWRLPG|2032</v>
      </c>
      <c r="B2344" t="s">
        <v>39</v>
      </c>
      <c r="C2344" t="s">
        <v>40</v>
      </c>
      <c r="D2344" t="s">
        <v>18</v>
      </c>
      <c r="E2344" t="s">
        <v>19</v>
      </c>
      <c r="F2344" t="s">
        <v>28</v>
      </c>
      <c r="O2344">
        <v>2032</v>
      </c>
    </row>
    <row r="2345" spans="1:16" x14ac:dyDescent="0.3">
      <c r="A2345" t="str">
        <f t="shared" si="36"/>
        <v>CN|AccumulatedNewCapacity|RE1|PWRNGS_CC|2032</v>
      </c>
      <c r="B2345" t="s">
        <v>39</v>
      </c>
      <c r="C2345" t="s">
        <v>40</v>
      </c>
      <c r="D2345" t="s">
        <v>18</v>
      </c>
      <c r="E2345" t="s">
        <v>19</v>
      </c>
      <c r="F2345" t="s">
        <v>29</v>
      </c>
      <c r="O2345">
        <v>2032</v>
      </c>
    </row>
    <row r="2346" spans="1:16" x14ac:dyDescent="0.3">
      <c r="A2346" t="str">
        <f t="shared" si="36"/>
        <v>CN|AccumulatedNewCapacity|RE1|PWRNGS_CS|2032</v>
      </c>
      <c r="B2346" t="s">
        <v>39</v>
      </c>
      <c r="C2346" t="s">
        <v>40</v>
      </c>
      <c r="D2346" t="s">
        <v>18</v>
      </c>
      <c r="E2346" t="s">
        <v>19</v>
      </c>
      <c r="F2346" t="s">
        <v>30</v>
      </c>
      <c r="O2346">
        <v>2032</v>
      </c>
    </row>
    <row r="2347" spans="1:16" x14ac:dyDescent="0.3">
      <c r="A2347" t="str">
        <f t="shared" si="36"/>
        <v>CN|AccumulatedNewCapacity|RE1|PWRSOLRTP|2032</v>
      </c>
      <c r="B2347" t="s">
        <v>39</v>
      </c>
      <c r="C2347" t="s">
        <v>40</v>
      </c>
      <c r="D2347" t="s">
        <v>18</v>
      </c>
      <c r="E2347" t="s">
        <v>19</v>
      </c>
      <c r="F2347" t="s">
        <v>31</v>
      </c>
      <c r="O2347">
        <v>2032</v>
      </c>
      <c r="P2347">
        <v>110.88</v>
      </c>
    </row>
    <row r="2348" spans="1:16" x14ac:dyDescent="0.3">
      <c r="A2348" t="str">
        <f t="shared" si="36"/>
        <v>CN|AccumulatedNewCapacity|RE1|PWRSOLRTP_ZNI|2032</v>
      </c>
      <c r="B2348" t="s">
        <v>39</v>
      </c>
      <c r="C2348" t="s">
        <v>40</v>
      </c>
      <c r="D2348" t="s">
        <v>18</v>
      </c>
      <c r="E2348" t="s">
        <v>19</v>
      </c>
      <c r="F2348" t="s">
        <v>32</v>
      </c>
      <c r="O2348">
        <v>2032</v>
      </c>
      <c r="P2348">
        <v>0.61180159045846327</v>
      </c>
    </row>
    <row r="2349" spans="1:16" x14ac:dyDescent="0.3">
      <c r="A2349" t="str">
        <f t="shared" si="36"/>
        <v>CN|AccumulatedNewCapacity|RE1|PWRSOLUGE|2032</v>
      </c>
      <c r="B2349" t="s">
        <v>39</v>
      </c>
      <c r="C2349" t="s">
        <v>40</v>
      </c>
      <c r="D2349" t="s">
        <v>18</v>
      </c>
      <c r="E2349" t="s">
        <v>19</v>
      </c>
      <c r="F2349" t="s">
        <v>33</v>
      </c>
      <c r="O2349">
        <v>2032</v>
      </c>
      <c r="P2349">
        <v>143.394192</v>
      </c>
    </row>
    <row r="2350" spans="1:16" x14ac:dyDescent="0.3">
      <c r="A2350" t="str">
        <f t="shared" si="36"/>
        <v>CN|AccumulatedNewCapacity|RE1|PWRSOLUGE_BAT|2032</v>
      </c>
      <c r="B2350" t="s">
        <v>39</v>
      </c>
      <c r="C2350" t="s">
        <v>40</v>
      </c>
      <c r="D2350" t="s">
        <v>18</v>
      </c>
      <c r="E2350" t="s">
        <v>19</v>
      </c>
      <c r="F2350" t="s">
        <v>41</v>
      </c>
      <c r="O2350">
        <v>2032</v>
      </c>
    </row>
    <row r="2351" spans="1:16" x14ac:dyDescent="0.3">
      <c r="A2351" t="str">
        <f t="shared" si="36"/>
        <v>CN|AccumulatedNewCapacity|RE1|PWRSOLUPE|2032</v>
      </c>
      <c r="B2351" t="s">
        <v>39</v>
      </c>
      <c r="C2351" t="s">
        <v>40</v>
      </c>
      <c r="D2351" t="s">
        <v>18</v>
      </c>
      <c r="E2351" t="s">
        <v>19</v>
      </c>
      <c r="F2351" t="s">
        <v>34</v>
      </c>
      <c r="O2351">
        <v>2032</v>
      </c>
      <c r="P2351">
        <v>12.14419823999993</v>
      </c>
    </row>
    <row r="2352" spans="1:16" x14ac:dyDescent="0.3">
      <c r="A2352" t="str">
        <f t="shared" si="36"/>
        <v>CN|AccumulatedNewCapacity|RE1|PWRSTD|2032</v>
      </c>
      <c r="B2352" t="s">
        <v>39</v>
      </c>
      <c r="C2352" t="s">
        <v>40</v>
      </c>
      <c r="D2352" t="s">
        <v>18</v>
      </c>
      <c r="E2352" t="s">
        <v>19</v>
      </c>
      <c r="F2352" t="s">
        <v>35</v>
      </c>
      <c r="O2352">
        <v>2032</v>
      </c>
    </row>
    <row r="2353" spans="1:16" x14ac:dyDescent="0.3">
      <c r="A2353" t="str">
        <f t="shared" si="36"/>
        <v>CN|AccumulatedNewCapacity|RE1|PWRWNDOFS_FIX|2032</v>
      </c>
      <c r="B2353" t="s">
        <v>39</v>
      </c>
      <c r="C2353" t="s">
        <v>40</v>
      </c>
      <c r="D2353" t="s">
        <v>18</v>
      </c>
      <c r="E2353" t="s">
        <v>19</v>
      </c>
      <c r="F2353" t="s">
        <v>42</v>
      </c>
      <c r="O2353">
        <v>2032</v>
      </c>
    </row>
    <row r="2354" spans="1:16" x14ac:dyDescent="0.3">
      <c r="A2354" t="str">
        <f t="shared" si="36"/>
        <v>CN|AccumulatedNewCapacity|RE1|PWRWNDOFS_FLO|2032</v>
      </c>
      <c r="B2354" t="s">
        <v>39</v>
      </c>
      <c r="C2354" t="s">
        <v>40</v>
      </c>
      <c r="D2354" t="s">
        <v>18</v>
      </c>
      <c r="E2354" t="s">
        <v>19</v>
      </c>
      <c r="F2354" t="s">
        <v>43</v>
      </c>
      <c r="O2354">
        <v>2032</v>
      </c>
    </row>
    <row r="2355" spans="1:16" x14ac:dyDescent="0.3">
      <c r="A2355" t="str">
        <f t="shared" si="36"/>
        <v>CN|AccumulatedNewCapacity|RE1|PWRWNDONS|2032</v>
      </c>
      <c r="B2355" t="s">
        <v>39</v>
      </c>
      <c r="C2355" t="s">
        <v>40</v>
      </c>
      <c r="D2355" t="s">
        <v>18</v>
      </c>
      <c r="E2355" t="s">
        <v>19</v>
      </c>
      <c r="F2355" t="s">
        <v>36</v>
      </c>
      <c r="O2355">
        <v>2032</v>
      </c>
      <c r="P2355">
        <v>75.789446484435587</v>
      </c>
    </row>
    <row r="2356" spans="1:16" x14ac:dyDescent="0.3">
      <c r="A2356" t="str">
        <f t="shared" si="36"/>
        <v>CN|NewCapacity|RE1|PWRBGS|2032</v>
      </c>
      <c r="B2356" t="s">
        <v>39</v>
      </c>
      <c r="C2356" t="s">
        <v>40</v>
      </c>
      <c r="D2356" t="s">
        <v>37</v>
      </c>
      <c r="E2356" t="s">
        <v>19</v>
      </c>
      <c r="F2356" t="s">
        <v>20</v>
      </c>
      <c r="O2356">
        <v>2032</v>
      </c>
    </row>
    <row r="2357" spans="1:16" x14ac:dyDescent="0.3">
      <c r="A2357" t="str">
        <f t="shared" si="36"/>
        <v>CN|NewCapacity|RE1|PWRCOA|2032</v>
      </c>
      <c r="B2357" t="s">
        <v>39</v>
      </c>
      <c r="C2357" t="s">
        <v>40</v>
      </c>
      <c r="D2357" t="s">
        <v>37</v>
      </c>
      <c r="E2357" t="s">
        <v>19</v>
      </c>
      <c r="F2357" t="s">
        <v>21</v>
      </c>
      <c r="O2357">
        <v>2032</v>
      </c>
    </row>
    <row r="2358" spans="1:16" x14ac:dyDescent="0.3">
      <c r="A2358" t="str">
        <f t="shared" si="36"/>
        <v>CN|NewCapacity|RE1|PWRDSL|2032</v>
      </c>
      <c r="B2358" t="s">
        <v>39</v>
      </c>
      <c r="C2358" t="s">
        <v>40</v>
      </c>
      <c r="D2358" t="s">
        <v>37</v>
      </c>
      <c r="E2358" t="s">
        <v>19</v>
      </c>
      <c r="F2358" t="s">
        <v>22</v>
      </c>
      <c r="O2358">
        <v>2032</v>
      </c>
    </row>
    <row r="2359" spans="1:16" x14ac:dyDescent="0.3">
      <c r="A2359" t="str">
        <f t="shared" si="36"/>
        <v>CN|NewCapacity|RE1|PWRFOL|2032</v>
      </c>
      <c r="B2359" t="s">
        <v>39</v>
      </c>
      <c r="C2359" t="s">
        <v>40</v>
      </c>
      <c r="D2359" t="s">
        <v>37</v>
      </c>
      <c r="E2359" t="s">
        <v>19</v>
      </c>
      <c r="F2359" t="s">
        <v>23</v>
      </c>
      <c r="O2359">
        <v>2032</v>
      </c>
    </row>
    <row r="2360" spans="1:16" x14ac:dyDescent="0.3">
      <c r="A2360" t="str">
        <f t="shared" si="36"/>
        <v>CN|NewCapacity|RE1|PWRHYDDAM|2032</v>
      </c>
      <c r="B2360" t="s">
        <v>39</v>
      </c>
      <c r="C2360" t="s">
        <v>40</v>
      </c>
      <c r="D2360" t="s">
        <v>37</v>
      </c>
      <c r="E2360" t="s">
        <v>19</v>
      </c>
      <c r="F2360" t="s">
        <v>24</v>
      </c>
      <c r="O2360">
        <v>2032</v>
      </c>
    </row>
    <row r="2361" spans="1:16" x14ac:dyDescent="0.3">
      <c r="A2361" t="str">
        <f t="shared" si="36"/>
        <v>CN|NewCapacity|RE1|PWRHYDROR|2032</v>
      </c>
      <c r="B2361" t="s">
        <v>39</v>
      </c>
      <c r="C2361" t="s">
        <v>40</v>
      </c>
      <c r="D2361" t="s">
        <v>37</v>
      </c>
      <c r="E2361" t="s">
        <v>19</v>
      </c>
      <c r="F2361" t="s">
        <v>25</v>
      </c>
      <c r="O2361">
        <v>2032</v>
      </c>
    </row>
    <row r="2362" spans="1:16" x14ac:dyDescent="0.3">
      <c r="A2362" t="str">
        <f t="shared" si="36"/>
        <v>CN|NewCapacity|RE1|PWRHYDROR_NDC|2032</v>
      </c>
      <c r="B2362" t="s">
        <v>39</v>
      </c>
      <c r="C2362" t="s">
        <v>40</v>
      </c>
      <c r="D2362" t="s">
        <v>37</v>
      </c>
      <c r="E2362" t="s">
        <v>19</v>
      </c>
      <c r="F2362" t="s">
        <v>26</v>
      </c>
      <c r="O2362">
        <v>2032</v>
      </c>
    </row>
    <row r="2363" spans="1:16" x14ac:dyDescent="0.3">
      <c r="A2363" t="str">
        <f t="shared" si="36"/>
        <v>CN|NewCapacity|RE1|PWRJET|2032</v>
      </c>
      <c r="B2363" t="s">
        <v>39</v>
      </c>
      <c r="C2363" t="s">
        <v>40</v>
      </c>
      <c r="D2363" t="s">
        <v>37</v>
      </c>
      <c r="E2363" t="s">
        <v>19</v>
      </c>
      <c r="F2363" t="s">
        <v>27</v>
      </c>
      <c r="O2363">
        <v>2032</v>
      </c>
    </row>
    <row r="2364" spans="1:16" x14ac:dyDescent="0.3">
      <c r="A2364" t="str">
        <f t="shared" si="36"/>
        <v>CN|NewCapacity|RE1|PWRLPG|2032</v>
      </c>
      <c r="B2364" t="s">
        <v>39</v>
      </c>
      <c r="C2364" t="s">
        <v>40</v>
      </c>
      <c r="D2364" t="s">
        <v>37</v>
      </c>
      <c r="E2364" t="s">
        <v>19</v>
      </c>
      <c r="F2364" t="s">
        <v>28</v>
      </c>
      <c r="O2364">
        <v>2032</v>
      </c>
    </row>
    <row r="2365" spans="1:16" x14ac:dyDescent="0.3">
      <c r="A2365" t="str">
        <f t="shared" si="36"/>
        <v>CN|NewCapacity|RE1|PWRNGS_CC|2032</v>
      </c>
      <c r="B2365" t="s">
        <v>39</v>
      </c>
      <c r="C2365" t="s">
        <v>40</v>
      </c>
      <c r="D2365" t="s">
        <v>37</v>
      </c>
      <c r="E2365" t="s">
        <v>19</v>
      </c>
      <c r="F2365" t="s">
        <v>29</v>
      </c>
      <c r="O2365">
        <v>2032</v>
      </c>
    </row>
    <row r="2366" spans="1:16" x14ac:dyDescent="0.3">
      <c r="A2366" t="str">
        <f t="shared" si="36"/>
        <v>CN|NewCapacity|RE1|PWRNGS_CS|2032</v>
      </c>
      <c r="B2366" t="s">
        <v>39</v>
      </c>
      <c r="C2366" t="s">
        <v>40</v>
      </c>
      <c r="D2366" t="s">
        <v>37</v>
      </c>
      <c r="E2366" t="s">
        <v>19</v>
      </c>
      <c r="F2366" t="s">
        <v>30</v>
      </c>
      <c r="O2366">
        <v>2032</v>
      </c>
    </row>
    <row r="2367" spans="1:16" x14ac:dyDescent="0.3">
      <c r="A2367" t="str">
        <f t="shared" si="36"/>
        <v>CN|NewCapacity|RE1|PWRSOLRTP|2032</v>
      </c>
      <c r="B2367" t="s">
        <v>39</v>
      </c>
      <c r="C2367" t="s">
        <v>40</v>
      </c>
      <c r="D2367" t="s">
        <v>37</v>
      </c>
      <c r="E2367" t="s">
        <v>19</v>
      </c>
      <c r="F2367" t="s">
        <v>31</v>
      </c>
      <c r="O2367">
        <v>2032</v>
      </c>
      <c r="P2367">
        <v>15.79</v>
      </c>
    </row>
    <row r="2368" spans="1:16" x14ac:dyDescent="0.3">
      <c r="A2368" t="str">
        <f t="shared" si="36"/>
        <v>CN|NewCapacity|RE1|PWRSOLRTP_ZNI|2032</v>
      </c>
      <c r="B2368" t="s">
        <v>39</v>
      </c>
      <c r="C2368" t="s">
        <v>40</v>
      </c>
      <c r="D2368" t="s">
        <v>37</v>
      </c>
      <c r="E2368" t="s">
        <v>19</v>
      </c>
      <c r="F2368" t="s">
        <v>32</v>
      </c>
      <c r="O2368">
        <v>2032</v>
      </c>
      <c r="P2368">
        <v>3.878726132829538E-2</v>
      </c>
    </row>
    <row r="2369" spans="1:16" x14ac:dyDescent="0.3">
      <c r="A2369" t="str">
        <f t="shared" si="36"/>
        <v>CN|NewCapacity|RE1|PWRSOLUGE|2032</v>
      </c>
      <c r="B2369" t="s">
        <v>39</v>
      </c>
      <c r="C2369" t="s">
        <v>40</v>
      </c>
      <c r="D2369" t="s">
        <v>37</v>
      </c>
      <c r="E2369" t="s">
        <v>19</v>
      </c>
      <c r="F2369" t="s">
        <v>33</v>
      </c>
      <c r="O2369">
        <v>2032</v>
      </c>
    </row>
    <row r="2370" spans="1:16" x14ac:dyDescent="0.3">
      <c r="A2370" t="str">
        <f t="shared" ref="A2370:A2433" si="37">B2370&amp;"|"&amp;D2370&amp;"|"&amp;E2370&amp;"|"&amp;F2370&amp;"|"&amp;O2370</f>
        <v>CN|NewCapacity|RE1|PWRSOLUGE_BAT|2032</v>
      </c>
      <c r="B2370" t="s">
        <v>39</v>
      </c>
      <c r="C2370" t="s">
        <v>40</v>
      </c>
      <c r="D2370" t="s">
        <v>37</v>
      </c>
      <c r="E2370" t="s">
        <v>19</v>
      </c>
      <c r="F2370" t="s">
        <v>41</v>
      </c>
      <c r="O2370">
        <v>2032</v>
      </c>
    </row>
    <row r="2371" spans="1:16" x14ac:dyDescent="0.3">
      <c r="A2371" t="str">
        <f t="shared" si="37"/>
        <v>CN|NewCapacity|RE1|PWRSOLUPE|2032</v>
      </c>
      <c r="B2371" t="s">
        <v>39</v>
      </c>
      <c r="C2371" t="s">
        <v>40</v>
      </c>
      <c r="D2371" t="s">
        <v>37</v>
      </c>
      <c r="E2371" t="s">
        <v>19</v>
      </c>
      <c r="F2371" t="s">
        <v>34</v>
      </c>
      <c r="O2371">
        <v>2032</v>
      </c>
    </row>
    <row r="2372" spans="1:16" x14ac:dyDescent="0.3">
      <c r="A2372" t="str">
        <f t="shared" si="37"/>
        <v>CN|NewCapacity|RE1|PWRSTD|2032</v>
      </c>
      <c r="B2372" t="s">
        <v>39</v>
      </c>
      <c r="C2372" t="s">
        <v>40</v>
      </c>
      <c r="D2372" t="s">
        <v>37</v>
      </c>
      <c r="E2372" t="s">
        <v>19</v>
      </c>
      <c r="F2372" t="s">
        <v>35</v>
      </c>
      <c r="O2372">
        <v>2032</v>
      </c>
    </row>
    <row r="2373" spans="1:16" x14ac:dyDescent="0.3">
      <c r="A2373" t="str">
        <f t="shared" si="37"/>
        <v>CN|NewCapacity|RE1|PWRWNDOFS_FIX|2032</v>
      </c>
      <c r="B2373" t="s">
        <v>39</v>
      </c>
      <c r="C2373" t="s">
        <v>40</v>
      </c>
      <c r="D2373" t="s">
        <v>37</v>
      </c>
      <c r="E2373" t="s">
        <v>19</v>
      </c>
      <c r="F2373" t="s">
        <v>42</v>
      </c>
      <c r="O2373">
        <v>2032</v>
      </c>
    </row>
    <row r="2374" spans="1:16" x14ac:dyDescent="0.3">
      <c r="A2374" t="str">
        <f t="shared" si="37"/>
        <v>CN|NewCapacity|RE1|PWRWNDOFS_FLO|2032</v>
      </c>
      <c r="B2374" t="s">
        <v>39</v>
      </c>
      <c r="C2374" t="s">
        <v>40</v>
      </c>
      <c r="D2374" t="s">
        <v>37</v>
      </c>
      <c r="E2374" t="s">
        <v>19</v>
      </c>
      <c r="F2374" t="s">
        <v>43</v>
      </c>
      <c r="O2374">
        <v>2032</v>
      </c>
    </row>
    <row r="2375" spans="1:16" x14ac:dyDescent="0.3">
      <c r="A2375" t="str">
        <f t="shared" si="37"/>
        <v>CN|NewCapacity|RE1|PWRWNDONS|2032</v>
      </c>
      <c r="B2375" t="s">
        <v>39</v>
      </c>
      <c r="C2375" t="s">
        <v>40</v>
      </c>
      <c r="D2375" t="s">
        <v>37</v>
      </c>
      <c r="E2375" t="s">
        <v>19</v>
      </c>
      <c r="F2375" t="s">
        <v>36</v>
      </c>
      <c r="O2375">
        <v>2032</v>
      </c>
      <c r="P2375">
        <v>9.4</v>
      </c>
    </row>
    <row r="2376" spans="1:16" x14ac:dyDescent="0.3">
      <c r="A2376" t="str">
        <f t="shared" si="37"/>
        <v>CN|TotalCapacityAnnual|RE1|PWRBGS|2032</v>
      </c>
      <c r="B2376" t="s">
        <v>39</v>
      </c>
      <c r="C2376" t="s">
        <v>40</v>
      </c>
      <c r="D2376" t="s">
        <v>38</v>
      </c>
      <c r="E2376" t="s">
        <v>19</v>
      </c>
      <c r="F2376" t="s">
        <v>20</v>
      </c>
      <c r="O2376">
        <v>2032</v>
      </c>
      <c r="P2376">
        <v>2.5488587520000001E-2</v>
      </c>
    </row>
    <row r="2377" spans="1:16" x14ac:dyDescent="0.3">
      <c r="A2377" t="str">
        <f t="shared" si="37"/>
        <v>CN|TotalCapacityAnnual|RE1|PWRCOA|2032</v>
      </c>
      <c r="B2377" t="s">
        <v>39</v>
      </c>
      <c r="C2377" t="s">
        <v>40</v>
      </c>
      <c r="D2377" t="s">
        <v>38</v>
      </c>
      <c r="E2377" t="s">
        <v>19</v>
      </c>
      <c r="F2377" t="s">
        <v>21</v>
      </c>
      <c r="O2377">
        <v>2032</v>
      </c>
      <c r="P2377">
        <v>13.87584</v>
      </c>
    </row>
    <row r="2378" spans="1:16" x14ac:dyDescent="0.3">
      <c r="A2378" t="str">
        <f t="shared" si="37"/>
        <v>CN|TotalCapacityAnnual|RE1|PWRDSL|2032</v>
      </c>
      <c r="B2378" t="s">
        <v>39</v>
      </c>
      <c r="C2378" t="s">
        <v>40</v>
      </c>
      <c r="D2378" t="s">
        <v>38</v>
      </c>
      <c r="E2378" t="s">
        <v>19</v>
      </c>
      <c r="F2378" t="s">
        <v>22</v>
      </c>
      <c r="O2378">
        <v>2032</v>
      </c>
      <c r="P2378">
        <v>24.944976</v>
      </c>
    </row>
    <row r="2379" spans="1:16" x14ac:dyDescent="0.3">
      <c r="A2379" t="str">
        <f t="shared" si="37"/>
        <v>CN|TotalCapacityAnnual|RE1|PWRFOL|2032</v>
      </c>
      <c r="B2379" t="s">
        <v>39</v>
      </c>
      <c r="C2379" t="s">
        <v>40</v>
      </c>
      <c r="D2379" t="s">
        <v>38</v>
      </c>
      <c r="E2379" t="s">
        <v>19</v>
      </c>
      <c r="F2379" t="s">
        <v>23</v>
      </c>
      <c r="O2379">
        <v>2032</v>
      </c>
      <c r="P2379">
        <v>8.3885759999999987</v>
      </c>
    </row>
    <row r="2380" spans="1:16" x14ac:dyDescent="0.3">
      <c r="A2380" t="str">
        <f t="shared" si="37"/>
        <v>CN|TotalCapacityAnnual|RE1|PWRHYDDAM|2032</v>
      </c>
      <c r="B2380" t="s">
        <v>39</v>
      </c>
      <c r="C2380" t="s">
        <v>40</v>
      </c>
      <c r="D2380" t="s">
        <v>38</v>
      </c>
      <c r="E2380" t="s">
        <v>19</v>
      </c>
      <c r="F2380" t="s">
        <v>24</v>
      </c>
      <c r="O2380">
        <v>2032</v>
      </c>
      <c r="P2380">
        <v>440.49164800000011</v>
      </c>
    </row>
    <row r="2381" spans="1:16" x14ac:dyDescent="0.3">
      <c r="A2381" t="str">
        <f t="shared" si="37"/>
        <v>CN|TotalCapacityAnnual|RE1|PWRHYDROR|2032</v>
      </c>
      <c r="B2381" t="s">
        <v>39</v>
      </c>
      <c r="C2381" t="s">
        <v>40</v>
      </c>
      <c r="D2381" t="s">
        <v>38</v>
      </c>
      <c r="E2381" t="s">
        <v>19</v>
      </c>
      <c r="F2381" t="s">
        <v>25</v>
      </c>
      <c r="O2381">
        <v>2032</v>
      </c>
      <c r="P2381">
        <v>21.097584000000001</v>
      </c>
    </row>
    <row r="2382" spans="1:16" x14ac:dyDescent="0.3">
      <c r="A2382" t="str">
        <f t="shared" si="37"/>
        <v>CN|TotalCapacityAnnual|RE1|PWRHYDROR_NDC|2032</v>
      </c>
      <c r="B2382" t="s">
        <v>39</v>
      </c>
      <c r="C2382" t="s">
        <v>40</v>
      </c>
      <c r="D2382" t="s">
        <v>38</v>
      </c>
      <c r="E2382" t="s">
        <v>19</v>
      </c>
      <c r="F2382" t="s">
        <v>26</v>
      </c>
      <c r="O2382">
        <v>2032</v>
      </c>
      <c r="P2382">
        <v>29.725108271999989</v>
      </c>
    </row>
    <row r="2383" spans="1:16" x14ac:dyDescent="0.3">
      <c r="A2383" t="str">
        <f t="shared" si="37"/>
        <v>CN|TotalCapacityAnnual|RE1|PWRJET|2032</v>
      </c>
      <c r="B2383" t="s">
        <v>39</v>
      </c>
      <c r="C2383" t="s">
        <v>40</v>
      </c>
      <c r="D2383" t="s">
        <v>38</v>
      </c>
      <c r="E2383" t="s">
        <v>19</v>
      </c>
      <c r="F2383" t="s">
        <v>27</v>
      </c>
      <c r="O2383">
        <v>2032</v>
      </c>
      <c r="P2383">
        <v>1.5768</v>
      </c>
    </row>
    <row r="2384" spans="1:16" x14ac:dyDescent="0.3">
      <c r="A2384" t="str">
        <f t="shared" si="37"/>
        <v>CN|TotalCapacityAnnual|RE1|PWRLPG|2032</v>
      </c>
      <c r="B2384" t="s">
        <v>39</v>
      </c>
      <c r="C2384" t="s">
        <v>40</v>
      </c>
      <c r="D2384" t="s">
        <v>38</v>
      </c>
      <c r="E2384" t="s">
        <v>19</v>
      </c>
      <c r="F2384" t="s">
        <v>28</v>
      </c>
      <c r="O2384">
        <v>2032</v>
      </c>
      <c r="P2384">
        <v>1.639872</v>
      </c>
    </row>
    <row r="2385" spans="1:16" x14ac:dyDescent="0.3">
      <c r="A2385" t="str">
        <f t="shared" si="37"/>
        <v>CN|TotalCapacityAnnual|RE1|PWRNGS_CC|2032</v>
      </c>
      <c r="B2385" t="s">
        <v>39</v>
      </c>
      <c r="C2385" t="s">
        <v>40</v>
      </c>
      <c r="D2385" t="s">
        <v>38</v>
      </c>
      <c r="E2385" t="s">
        <v>19</v>
      </c>
      <c r="F2385" t="s">
        <v>29</v>
      </c>
      <c r="O2385">
        <v>2032</v>
      </c>
      <c r="P2385">
        <v>70.104500000000002</v>
      </c>
    </row>
    <row r="2386" spans="1:16" x14ac:dyDescent="0.3">
      <c r="A2386" t="str">
        <f t="shared" si="37"/>
        <v>CN|TotalCapacityAnnual|RE1|PWRNGS_CS|2032</v>
      </c>
      <c r="B2386" t="s">
        <v>39</v>
      </c>
      <c r="C2386" t="s">
        <v>40</v>
      </c>
      <c r="D2386" t="s">
        <v>38</v>
      </c>
      <c r="E2386" t="s">
        <v>19</v>
      </c>
      <c r="F2386" t="s">
        <v>30</v>
      </c>
      <c r="O2386">
        <v>2032</v>
      </c>
      <c r="P2386">
        <v>23.084351999999999</v>
      </c>
    </row>
    <row r="2387" spans="1:16" x14ac:dyDescent="0.3">
      <c r="A2387" t="str">
        <f t="shared" si="37"/>
        <v>CN|TotalCapacityAnnual|RE1|PWRSOLRTP|2032</v>
      </c>
      <c r="B2387" t="s">
        <v>39</v>
      </c>
      <c r="C2387" t="s">
        <v>40</v>
      </c>
      <c r="D2387" t="s">
        <v>38</v>
      </c>
      <c r="E2387" t="s">
        <v>19</v>
      </c>
      <c r="F2387" t="s">
        <v>31</v>
      </c>
      <c r="O2387">
        <v>2032</v>
      </c>
      <c r="P2387">
        <v>134.16409999999999</v>
      </c>
    </row>
    <row r="2388" spans="1:16" x14ac:dyDescent="0.3">
      <c r="A2388" t="str">
        <f t="shared" si="37"/>
        <v>CN|TotalCapacityAnnual|RE1|PWRSOLRTP_ZNI|2032</v>
      </c>
      <c r="B2388" t="s">
        <v>39</v>
      </c>
      <c r="C2388" t="s">
        <v>40</v>
      </c>
      <c r="D2388" t="s">
        <v>38</v>
      </c>
      <c r="E2388" t="s">
        <v>19</v>
      </c>
      <c r="F2388" t="s">
        <v>32</v>
      </c>
      <c r="O2388">
        <v>2032</v>
      </c>
      <c r="P2388">
        <v>1.0725425504584629</v>
      </c>
    </row>
    <row r="2389" spans="1:16" x14ac:dyDescent="0.3">
      <c r="A2389" t="str">
        <f t="shared" si="37"/>
        <v>CN|TotalCapacityAnnual|RE1|PWRSOLUGE|2032</v>
      </c>
      <c r="B2389" t="s">
        <v>39</v>
      </c>
      <c r="C2389" t="s">
        <v>40</v>
      </c>
      <c r="D2389" t="s">
        <v>38</v>
      </c>
      <c r="E2389" t="s">
        <v>19</v>
      </c>
      <c r="F2389" t="s">
        <v>33</v>
      </c>
      <c r="O2389">
        <v>2032</v>
      </c>
      <c r="P2389">
        <v>191.79186048</v>
      </c>
    </row>
    <row r="2390" spans="1:16" x14ac:dyDescent="0.3">
      <c r="A2390" t="str">
        <f t="shared" si="37"/>
        <v>CN|TotalCapacityAnnual|RE1|PWRSOLUGE_BAT|2032</v>
      </c>
      <c r="B2390" t="s">
        <v>39</v>
      </c>
      <c r="C2390" t="s">
        <v>40</v>
      </c>
      <c r="D2390" t="s">
        <v>38</v>
      </c>
      <c r="E2390" t="s">
        <v>19</v>
      </c>
      <c r="F2390" t="s">
        <v>41</v>
      </c>
      <c r="O2390">
        <v>2032</v>
      </c>
    </row>
    <row r="2391" spans="1:16" x14ac:dyDescent="0.3">
      <c r="A2391" t="str">
        <f t="shared" si="37"/>
        <v>CN|TotalCapacityAnnual|RE1|PWRSOLUPE|2032</v>
      </c>
      <c r="B2391" t="s">
        <v>39</v>
      </c>
      <c r="C2391" t="s">
        <v>40</v>
      </c>
      <c r="D2391" t="s">
        <v>38</v>
      </c>
      <c r="E2391" t="s">
        <v>19</v>
      </c>
      <c r="F2391" t="s">
        <v>34</v>
      </c>
      <c r="O2391">
        <v>2032</v>
      </c>
      <c r="P2391">
        <v>39.172600079999931</v>
      </c>
    </row>
    <row r="2392" spans="1:16" x14ac:dyDescent="0.3">
      <c r="A2392" t="str">
        <f t="shared" si="37"/>
        <v>CN|TotalCapacityAnnual|RE1|PWRSTD|2032</v>
      </c>
      <c r="B2392" t="s">
        <v>39</v>
      </c>
      <c r="C2392" t="s">
        <v>40</v>
      </c>
      <c r="D2392" t="s">
        <v>38</v>
      </c>
      <c r="E2392" t="s">
        <v>19</v>
      </c>
      <c r="F2392" t="s">
        <v>35</v>
      </c>
      <c r="O2392">
        <v>2032</v>
      </c>
      <c r="P2392">
        <v>8.163062064</v>
      </c>
    </row>
    <row r="2393" spans="1:16" x14ac:dyDescent="0.3">
      <c r="A2393" t="str">
        <f t="shared" si="37"/>
        <v>CN|TotalCapacityAnnual|RE1|PWRWNDOFS_FIX|2032</v>
      </c>
      <c r="B2393" t="s">
        <v>39</v>
      </c>
      <c r="C2393" t="s">
        <v>40</v>
      </c>
      <c r="D2393" t="s">
        <v>38</v>
      </c>
      <c r="E2393" t="s">
        <v>19</v>
      </c>
      <c r="F2393" t="s">
        <v>42</v>
      </c>
      <c r="O2393">
        <v>2032</v>
      </c>
    </row>
    <row r="2394" spans="1:16" x14ac:dyDescent="0.3">
      <c r="A2394" t="str">
        <f t="shared" si="37"/>
        <v>CN|TotalCapacityAnnual|RE1|PWRWNDOFS_FLO|2032</v>
      </c>
      <c r="B2394" t="s">
        <v>39</v>
      </c>
      <c r="C2394" t="s">
        <v>40</v>
      </c>
      <c r="D2394" t="s">
        <v>38</v>
      </c>
      <c r="E2394" t="s">
        <v>19</v>
      </c>
      <c r="F2394" t="s">
        <v>43</v>
      </c>
      <c r="O2394">
        <v>2032</v>
      </c>
    </row>
    <row r="2395" spans="1:16" x14ac:dyDescent="0.3">
      <c r="A2395" t="str">
        <f t="shared" si="37"/>
        <v>CN|TotalCapacityAnnual|RE1|PWRWNDONS|2032</v>
      </c>
      <c r="B2395" t="s">
        <v>39</v>
      </c>
      <c r="C2395" t="s">
        <v>40</v>
      </c>
      <c r="D2395" t="s">
        <v>38</v>
      </c>
      <c r="E2395" t="s">
        <v>19</v>
      </c>
      <c r="F2395" t="s">
        <v>36</v>
      </c>
      <c r="O2395">
        <v>2032</v>
      </c>
      <c r="P2395">
        <v>77.158108884435592</v>
      </c>
    </row>
    <row r="2396" spans="1:16" x14ac:dyDescent="0.3">
      <c r="A2396" t="str">
        <f t="shared" si="37"/>
        <v>CN|AccumulatedNewCapacity|RE1|PWRBGS|2033</v>
      </c>
      <c r="B2396" t="s">
        <v>39</v>
      </c>
      <c r="C2396" t="s">
        <v>40</v>
      </c>
      <c r="D2396" t="s">
        <v>18</v>
      </c>
      <c r="E2396" t="s">
        <v>19</v>
      </c>
      <c r="F2396" t="s">
        <v>20</v>
      </c>
      <c r="O2396">
        <v>2033</v>
      </c>
    </row>
    <row r="2397" spans="1:16" x14ac:dyDescent="0.3">
      <c r="A2397" t="str">
        <f t="shared" si="37"/>
        <v>CN|AccumulatedNewCapacity|RE1|PWRCOA|2033</v>
      </c>
      <c r="B2397" t="s">
        <v>39</v>
      </c>
      <c r="C2397" t="s">
        <v>40</v>
      </c>
      <c r="D2397" t="s">
        <v>18</v>
      </c>
      <c r="E2397" t="s">
        <v>19</v>
      </c>
      <c r="F2397" t="s">
        <v>21</v>
      </c>
      <c r="O2397">
        <v>2033</v>
      </c>
    </row>
    <row r="2398" spans="1:16" x14ac:dyDescent="0.3">
      <c r="A2398" t="str">
        <f t="shared" si="37"/>
        <v>CN|AccumulatedNewCapacity|RE1|PWRDSL|2033</v>
      </c>
      <c r="B2398" t="s">
        <v>39</v>
      </c>
      <c r="C2398" t="s">
        <v>40</v>
      </c>
      <c r="D2398" t="s">
        <v>18</v>
      </c>
      <c r="E2398" t="s">
        <v>19</v>
      </c>
      <c r="F2398" t="s">
        <v>22</v>
      </c>
      <c r="O2398">
        <v>2033</v>
      </c>
    </row>
    <row r="2399" spans="1:16" x14ac:dyDescent="0.3">
      <c r="A2399" t="str">
        <f t="shared" si="37"/>
        <v>CN|AccumulatedNewCapacity|RE1|PWRFOL|2033</v>
      </c>
      <c r="B2399" t="s">
        <v>39</v>
      </c>
      <c r="C2399" t="s">
        <v>40</v>
      </c>
      <c r="D2399" t="s">
        <v>18</v>
      </c>
      <c r="E2399" t="s">
        <v>19</v>
      </c>
      <c r="F2399" t="s">
        <v>23</v>
      </c>
      <c r="O2399">
        <v>2033</v>
      </c>
    </row>
    <row r="2400" spans="1:16" x14ac:dyDescent="0.3">
      <c r="A2400" t="str">
        <f t="shared" si="37"/>
        <v>CN|AccumulatedNewCapacity|RE1|PWRHYDDAM|2033</v>
      </c>
      <c r="B2400" t="s">
        <v>39</v>
      </c>
      <c r="C2400" t="s">
        <v>40</v>
      </c>
      <c r="D2400" t="s">
        <v>18</v>
      </c>
      <c r="E2400" t="s">
        <v>19</v>
      </c>
      <c r="F2400" t="s">
        <v>24</v>
      </c>
      <c r="O2400">
        <v>2033</v>
      </c>
      <c r="P2400">
        <v>37.840000000000003</v>
      </c>
    </row>
    <row r="2401" spans="1:16" x14ac:dyDescent="0.3">
      <c r="A2401" t="str">
        <f t="shared" si="37"/>
        <v>CN|AccumulatedNewCapacity|RE1|PWRHYDROR|2033</v>
      </c>
      <c r="B2401" t="s">
        <v>39</v>
      </c>
      <c r="C2401" t="s">
        <v>40</v>
      </c>
      <c r="D2401" t="s">
        <v>18</v>
      </c>
      <c r="E2401" t="s">
        <v>19</v>
      </c>
      <c r="F2401" t="s">
        <v>25</v>
      </c>
      <c r="O2401">
        <v>2033</v>
      </c>
    </row>
    <row r="2402" spans="1:16" x14ac:dyDescent="0.3">
      <c r="A2402" t="str">
        <f t="shared" si="37"/>
        <v>CN|AccumulatedNewCapacity|RE1|PWRHYDROR_NDC|2033</v>
      </c>
      <c r="B2402" t="s">
        <v>39</v>
      </c>
      <c r="C2402" t="s">
        <v>40</v>
      </c>
      <c r="D2402" t="s">
        <v>18</v>
      </c>
      <c r="E2402" t="s">
        <v>19</v>
      </c>
      <c r="F2402" t="s">
        <v>26</v>
      </c>
      <c r="O2402">
        <v>2033</v>
      </c>
    </row>
    <row r="2403" spans="1:16" x14ac:dyDescent="0.3">
      <c r="A2403" t="str">
        <f t="shared" si="37"/>
        <v>CN|AccumulatedNewCapacity|RE1|PWRJET|2033</v>
      </c>
      <c r="B2403" t="s">
        <v>39</v>
      </c>
      <c r="C2403" t="s">
        <v>40</v>
      </c>
      <c r="D2403" t="s">
        <v>18</v>
      </c>
      <c r="E2403" t="s">
        <v>19</v>
      </c>
      <c r="F2403" t="s">
        <v>27</v>
      </c>
      <c r="O2403">
        <v>2033</v>
      </c>
    </row>
    <row r="2404" spans="1:16" x14ac:dyDescent="0.3">
      <c r="A2404" t="str">
        <f t="shared" si="37"/>
        <v>CN|AccumulatedNewCapacity|RE1|PWRLPG|2033</v>
      </c>
      <c r="B2404" t="s">
        <v>39</v>
      </c>
      <c r="C2404" t="s">
        <v>40</v>
      </c>
      <c r="D2404" t="s">
        <v>18</v>
      </c>
      <c r="E2404" t="s">
        <v>19</v>
      </c>
      <c r="F2404" t="s">
        <v>28</v>
      </c>
      <c r="O2404">
        <v>2033</v>
      </c>
    </row>
    <row r="2405" spans="1:16" x14ac:dyDescent="0.3">
      <c r="A2405" t="str">
        <f t="shared" si="37"/>
        <v>CN|AccumulatedNewCapacity|RE1|PWRNGS_CC|2033</v>
      </c>
      <c r="B2405" t="s">
        <v>39</v>
      </c>
      <c r="C2405" t="s">
        <v>40</v>
      </c>
      <c r="D2405" t="s">
        <v>18</v>
      </c>
      <c r="E2405" t="s">
        <v>19</v>
      </c>
      <c r="F2405" t="s">
        <v>29</v>
      </c>
      <c r="O2405">
        <v>2033</v>
      </c>
    </row>
    <row r="2406" spans="1:16" x14ac:dyDescent="0.3">
      <c r="A2406" t="str">
        <f t="shared" si="37"/>
        <v>CN|AccumulatedNewCapacity|RE1|PWRNGS_CS|2033</v>
      </c>
      <c r="B2406" t="s">
        <v>39</v>
      </c>
      <c r="C2406" t="s">
        <v>40</v>
      </c>
      <c r="D2406" t="s">
        <v>18</v>
      </c>
      <c r="E2406" t="s">
        <v>19</v>
      </c>
      <c r="F2406" t="s">
        <v>30</v>
      </c>
      <c r="O2406">
        <v>2033</v>
      </c>
    </row>
    <row r="2407" spans="1:16" x14ac:dyDescent="0.3">
      <c r="A2407" t="str">
        <f t="shared" si="37"/>
        <v>CN|AccumulatedNewCapacity|RE1|PWRSOLRTP|2033</v>
      </c>
      <c r="B2407" t="s">
        <v>39</v>
      </c>
      <c r="C2407" t="s">
        <v>40</v>
      </c>
      <c r="D2407" t="s">
        <v>18</v>
      </c>
      <c r="E2407" t="s">
        <v>19</v>
      </c>
      <c r="F2407" t="s">
        <v>31</v>
      </c>
      <c r="O2407">
        <v>2033</v>
      </c>
      <c r="P2407">
        <v>126.8</v>
      </c>
    </row>
    <row r="2408" spans="1:16" x14ac:dyDescent="0.3">
      <c r="A2408" t="str">
        <f t="shared" si="37"/>
        <v>CN|AccumulatedNewCapacity|RE1|PWRSOLRTP_ZNI|2033</v>
      </c>
      <c r="B2408" t="s">
        <v>39</v>
      </c>
      <c r="C2408" t="s">
        <v>40</v>
      </c>
      <c r="D2408" t="s">
        <v>18</v>
      </c>
      <c r="E2408" t="s">
        <v>19</v>
      </c>
      <c r="F2408" t="s">
        <v>32</v>
      </c>
      <c r="O2408">
        <v>2033</v>
      </c>
      <c r="P2408">
        <v>0.65090298158580084</v>
      </c>
    </row>
    <row r="2409" spans="1:16" x14ac:dyDescent="0.3">
      <c r="A2409" t="str">
        <f t="shared" si="37"/>
        <v>CN|AccumulatedNewCapacity|RE1|PWRSOLUGE|2033</v>
      </c>
      <c r="B2409" t="s">
        <v>39</v>
      </c>
      <c r="C2409" t="s">
        <v>40</v>
      </c>
      <c r="D2409" t="s">
        <v>18</v>
      </c>
      <c r="E2409" t="s">
        <v>19</v>
      </c>
      <c r="F2409" t="s">
        <v>33</v>
      </c>
      <c r="O2409">
        <v>2033</v>
      </c>
      <c r="P2409">
        <v>143.394192</v>
      </c>
    </row>
    <row r="2410" spans="1:16" x14ac:dyDescent="0.3">
      <c r="A2410" t="str">
        <f t="shared" si="37"/>
        <v>CN|AccumulatedNewCapacity|RE1|PWRSOLUGE_BAT|2033</v>
      </c>
      <c r="B2410" t="s">
        <v>39</v>
      </c>
      <c r="C2410" t="s">
        <v>40</v>
      </c>
      <c r="D2410" t="s">
        <v>18</v>
      </c>
      <c r="E2410" t="s">
        <v>19</v>
      </c>
      <c r="F2410" t="s">
        <v>41</v>
      </c>
      <c r="O2410">
        <v>2033</v>
      </c>
    </row>
    <row r="2411" spans="1:16" x14ac:dyDescent="0.3">
      <c r="A2411" t="str">
        <f t="shared" si="37"/>
        <v>CN|AccumulatedNewCapacity|RE1|PWRSOLUPE|2033</v>
      </c>
      <c r="B2411" t="s">
        <v>39</v>
      </c>
      <c r="C2411" t="s">
        <v>40</v>
      </c>
      <c r="D2411" t="s">
        <v>18</v>
      </c>
      <c r="E2411" t="s">
        <v>19</v>
      </c>
      <c r="F2411" t="s">
        <v>34</v>
      </c>
      <c r="O2411">
        <v>2033</v>
      </c>
      <c r="P2411">
        <v>12.14419823999993</v>
      </c>
    </row>
    <row r="2412" spans="1:16" x14ac:dyDescent="0.3">
      <c r="A2412" t="str">
        <f t="shared" si="37"/>
        <v>CN|AccumulatedNewCapacity|RE1|PWRSTD|2033</v>
      </c>
      <c r="B2412" t="s">
        <v>39</v>
      </c>
      <c r="C2412" t="s">
        <v>40</v>
      </c>
      <c r="D2412" t="s">
        <v>18</v>
      </c>
      <c r="E2412" t="s">
        <v>19</v>
      </c>
      <c r="F2412" t="s">
        <v>35</v>
      </c>
      <c r="O2412">
        <v>2033</v>
      </c>
    </row>
    <row r="2413" spans="1:16" x14ac:dyDescent="0.3">
      <c r="A2413" t="str">
        <f t="shared" si="37"/>
        <v>CN|AccumulatedNewCapacity|RE1|PWRWNDOFS_FIX|2033</v>
      </c>
      <c r="B2413" t="s">
        <v>39</v>
      </c>
      <c r="C2413" t="s">
        <v>40</v>
      </c>
      <c r="D2413" t="s">
        <v>18</v>
      </c>
      <c r="E2413" t="s">
        <v>19</v>
      </c>
      <c r="F2413" t="s">
        <v>42</v>
      </c>
      <c r="O2413">
        <v>2033</v>
      </c>
    </row>
    <row r="2414" spans="1:16" x14ac:dyDescent="0.3">
      <c r="A2414" t="str">
        <f t="shared" si="37"/>
        <v>CN|AccumulatedNewCapacity|RE1|PWRWNDOFS_FLO|2033</v>
      </c>
      <c r="B2414" t="s">
        <v>39</v>
      </c>
      <c r="C2414" t="s">
        <v>40</v>
      </c>
      <c r="D2414" t="s">
        <v>18</v>
      </c>
      <c r="E2414" t="s">
        <v>19</v>
      </c>
      <c r="F2414" t="s">
        <v>43</v>
      </c>
      <c r="O2414">
        <v>2033</v>
      </c>
    </row>
    <row r="2415" spans="1:16" x14ac:dyDescent="0.3">
      <c r="A2415" t="str">
        <f t="shared" si="37"/>
        <v>CN|AccumulatedNewCapacity|RE1|PWRWNDONS|2033</v>
      </c>
      <c r="B2415" t="s">
        <v>39</v>
      </c>
      <c r="C2415" t="s">
        <v>40</v>
      </c>
      <c r="D2415" t="s">
        <v>18</v>
      </c>
      <c r="E2415" t="s">
        <v>19</v>
      </c>
      <c r="F2415" t="s">
        <v>36</v>
      </c>
      <c r="O2415">
        <v>2033</v>
      </c>
      <c r="P2415">
        <v>85.189446484435592</v>
      </c>
    </row>
    <row r="2416" spans="1:16" x14ac:dyDescent="0.3">
      <c r="A2416" t="str">
        <f t="shared" si="37"/>
        <v>CN|NewCapacity|RE1|PWRBGS|2033</v>
      </c>
      <c r="B2416" t="s">
        <v>39</v>
      </c>
      <c r="C2416" t="s">
        <v>40</v>
      </c>
      <c r="D2416" t="s">
        <v>37</v>
      </c>
      <c r="E2416" t="s">
        <v>19</v>
      </c>
      <c r="F2416" t="s">
        <v>20</v>
      </c>
      <c r="O2416">
        <v>2033</v>
      </c>
    </row>
    <row r="2417" spans="1:16" x14ac:dyDescent="0.3">
      <c r="A2417" t="str">
        <f t="shared" si="37"/>
        <v>CN|NewCapacity|RE1|PWRCOA|2033</v>
      </c>
      <c r="B2417" t="s">
        <v>39</v>
      </c>
      <c r="C2417" t="s">
        <v>40</v>
      </c>
      <c r="D2417" t="s">
        <v>37</v>
      </c>
      <c r="E2417" t="s">
        <v>19</v>
      </c>
      <c r="F2417" t="s">
        <v>21</v>
      </c>
      <c r="O2417">
        <v>2033</v>
      </c>
    </row>
    <row r="2418" spans="1:16" x14ac:dyDescent="0.3">
      <c r="A2418" t="str">
        <f t="shared" si="37"/>
        <v>CN|NewCapacity|RE1|PWRDSL|2033</v>
      </c>
      <c r="B2418" t="s">
        <v>39</v>
      </c>
      <c r="C2418" t="s">
        <v>40</v>
      </c>
      <c r="D2418" t="s">
        <v>37</v>
      </c>
      <c r="E2418" t="s">
        <v>19</v>
      </c>
      <c r="F2418" t="s">
        <v>22</v>
      </c>
      <c r="O2418">
        <v>2033</v>
      </c>
    </row>
    <row r="2419" spans="1:16" x14ac:dyDescent="0.3">
      <c r="A2419" t="str">
        <f t="shared" si="37"/>
        <v>CN|NewCapacity|RE1|PWRFOL|2033</v>
      </c>
      <c r="B2419" t="s">
        <v>39</v>
      </c>
      <c r="C2419" t="s">
        <v>40</v>
      </c>
      <c r="D2419" t="s">
        <v>37</v>
      </c>
      <c r="E2419" t="s">
        <v>19</v>
      </c>
      <c r="F2419" t="s">
        <v>23</v>
      </c>
      <c r="O2419">
        <v>2033</v>
      </c>
    </row>
    <row r="2420" spans="1:16" x14ac:dyDescent="0.3">
      <c r="A2420" t="str">
        <f t="shared" si="37"/>
        <v>CN|NewCapacity|RE1|PWRHYDDAM|2033</v>
      </c>
      <c r="B2420" t="s">
        <v>39</v>
      </c>
      <c r="C2420" t="s">
        <v>40</v>
      </c>
      <c r="D2420" t="s">
        <v>37</v>
      </c>
      <c r="E2420" t="s">
        <v>19</v>
      </c>
      <c r="F2420" t="s">
        <v>24</v>
      </c>
      <c r="O2420">
        <v>2033</v>
      </c>
    </row>
    <row r="2421" spans="1:16" x14ac:dyDescent="0.3">
      <c r="A2421" t="str">
        <f t="shared" si="37"/>
        <v>CN|NewCapacity|RE1|PWRHYDROR|2033</v>
      </c>
      <c r="B2421" t="s">
        <v>39</v>
      </c>
      <c r="C2421" t="s">
        <v>40</v>
      </c>
      <c r="D2421" t="s">
        <v>37</v>
      </c>
      <c r="E2421" t="s">
        <v>19</v>
      </c>
      <c r="F2421" t="s">
        <v>25</v>
      </c>
      <c r="O2421">
        <v>2033</v>
      </c>
    </row>
    <row r="2422" spans="1:16" x14ac:dyDescent="0.3">
      <c r="A2422" t="str">
        <f t="shared" si="37"/>
        <v>CN|NewCapacity|RE1|PWRHYDROR_NDC|2033</v>
      </c>
      <c r="B2422" t="s">
        <v>39</v>
      </c>
      <c r="C2422" t="s">
        <v>40</v>
      </c>
      <c r="D2422" t="s">
        <v>37</v>
      </c>
      <c r="E2422" t="s">
        <v>19</v>
      </c>
      <c r="F2422" t="s">
        <v>26</v>
      </c>
      <c r="O2422">
        <v>2033</v>
      </c>
    </row>
    <row r="2423" spans="1:16" x14ac:dyDescent="0.3">
      <c r="A2423" t="str">
        <f t="shared" si="37"/>
        <v>CN|NewCapacity|RE1|PWRJET|2033</v>
      </c>
      <c r="B2423" t="s">
        <v>39</v>
      </c>
      <c r="C2423" t="s">
        <v>40</v>
      </c>
      <c r="D2423" t="s">
        <v>37</v>
      </c>
      <c r="E2423" t="s">
        <v>19</v>
      </c>
      <c r="F2423" t="s">
        <v>27</v>
      </c>
      <c r="O2423">
        <v>2033</v>
      </c>
    </row>
    <row r="2424" spans="1:16" x14ac:dyDescent="0.3">
      <c r="A2424" t="str">
        <f t="shared" si="37"/>
        <v>CN|NewCapacity|RE1|PWRLPG|2033</v>
      </c>
      <c r="B2424" t="s">
        <v>39</v>
      </c>
      <c r="C2424" t="s">
        <v>40</v>
      </c>
      <c r="D2424" t="s">
        <v>37</v>
      </c>
      <c r="E2424" t="s">
        <v>19</v>
      </c>
      <c r="F2424" t="s">
        <v>28</v>
      </c>
      <c r="O2424">
        <v>2033</v>
      </c>
    </row>
    <row r="2425" spans="1:16" x14ac:dyDescent="0.3">
      <c r="A2425" t="str">
        <f t="shared" si="37"/>
        <v>CN|NewCapacity|RE1|PWRNGS_CC|2033</v>
      </c>
      <c r="B2425" t="s">
        <v>39</v>
      </c>
      <c r="C2425" t="s">
        <v>40</v>
      </c>
      <c r="D2425" t="s">
        <v>37</v>
      </c>
      <c r="E2425" t="s">
        <v>19</v>
      </c>
      <c r="F2425" t="s">
        <v>29</v>
      </c>
      <c r="O2425">
        <v>2033</v>
      </c>
    </row>
    <row r="2426" spans="1:16" x14ac:dyDescent="0.3">
      <c r="A2426" t="str">
        <f t="shared" si="37"/>
        <v>CN|NewCapacity|RE1|PWRNGS_CS|2033</v>
      </c>
      <c r="B2426" t="s">
        <v>39</v>
      </c>
      <c r="C2426" t="s">
        <v>40</v>
      </c>
      <c r="D2426" t="s">
        <v>37</v>
      </c>
      <c r="E2426" t="s">
        <v>19</v>
      </c>
      <c r="F2426" t="s">
        <v>30</v>
      </c>
      <c r="O2426">
        <v>2033</v>
      </c>
    </row>
    <row r="2427" spans="1:16" x14ac:dyDescent="0.3">
      <c r="A2427" t="str">
        <f t="shared" si="37"/>
        <v>CN|NewCapacity|RE1|PWRSOLRTP|2033</v>
      </c>
      <c r="B2427" t="s">
        <v>39</v>
      </c>
      <c r="C2427" t="s">
        <v>40</v>
      </c>
      <c r="D2427" t="s">
        <v>37</v>
      </c>
      <c r="E2427" t="s">
        <v>19</v>
      </c>
      <c r="F2427" t="s">
        <v>31</v>
      </c>
      <c r="O2427">
        <v>2033</v>
      </c>
      <c r="P2427">
        <v>15.92</v>
      </c>
    </row>
    <row r="2428" spans="1:16" x14ac:dyDescent="0.3">
      <c r="A2428" t="str">
        <f t="shared" si="37"/>
        <v>CN|NewCapacity|RE1|PWRSOLRTP_ZNI|2033</v>
      </c>
      <c r="B2428" t="s">
        <v>39</v>
      </c>
      <c r="C2428" t="s">
        <v>40</v>
      </c>
      <c r="D2428" t="s">
        <v>37</v>
      </c>
      <c r="E2428" t="s">
        <v>19</v>
      </c>
      <c r="F2428" t="s">
        <v>32</v>
      </c>
      <c r="O2428">
        <v>2033</v>
      </c>
      <c r="P2428">
        <v>3.9101391127337522E-2</v>
      </c>
    </row>
    <row r="2429" spans="1:16" x14ac:dyDescent="0.3">
      <c r="A2429" t="str">
        <f t="shared" si="37"/>
        <v>CN|NewCapacity|RE1|PWRSOLUGE|2033</v>
      </c>
      <c r="B2429" t="s">
        <v>39</v>
      </c>
      <c r="C2429" t="s">
        <v>40</v>
      </c>
      <c r="D2429" t="s">
        <v>37</v>
      </c>
      <c r="E2429" t="s">
        <v>19</v>
      </c>
      <c r="F2429" t="s">
        <v>33</v>
      </c>
      <c r="O2429">
        <v>2033</v>
      </c>
    </row>
    <row r="2430" spans="1:16" x14ac:dyDescent="0.3">
      <c r="A2430" t="str">
        <f t="shared" si="37"/>
        <v>CN|NewCapacity|RE1|PWRSOLUGE_BAT|2033</v>
      </c>
      <c r="B2430" t="s">
        <v>39</v>
      </c>
      <c r="C2430" t="s">
        <v>40</v>
      </c>
      <c r="D2430" t="s">
        <v>37</v>
      </c>
      <c r="E2430" t="s">
        <v>19</v>
      </c>
      <c r="F2430" t="s">
        <v>41</v>
      </c>
      <c r="O2430">
        <v>2033</v>
      </c>
    </row>
    <row r="2431" spans="1:16" x14ac:dyDescent="0.3">
      <c r="A2431" t="str">
        <f t="shared" si="37"/>
        <v>CN|NewCapacity|RE1|PWRSOLUPE|2033</v>
      </c>
      <c r="B2431" t="s">
        <v>39</v>
      </c>
      <c r="C2431" t="s">
        <v>40</v>
      </c>
      <c r="D2431" t="s">
        <v>37</v>
      </c>
      <c r="E2431" t="s">
        <v>19</v>
      </c>
      <c r="F2431" t="s">
        <v>34</v>
      </c>
      <c r="O2431">
        <v>2033</v>
      </c>
    </row>
    <row r="2432" spans="1:16" x14ac:dyDescent="0.3">
      <c r="A2432" t="str">
        <f t="shared" si="37"/>
        <v>CN|NewCapacity|RE1|PWRSTD|2033</v>
      </c>
      <c r="B2432" t="s">
        <v>39</v>
      </c>
      <c r="C2432" t="s">
        <v>40</v>
      </c>
      <c r="D2432" t="s">
        <v>37</v>
      </c>
      <c r="E2432" t="s">
        <v>19</v>
      </c>
      <c r="F2432" t="s">
        <v>35</v>
      </c>
      <c r="O2432">
        <v>2033</v>
      </c>
    </row>
    <row r="2433" spans="1:16" x14ac:dyDescent="0.3">
      <c r="A2433" t="str">
        <f t="shared" si="37"/>
        <v>CN|NewCapacity|RE1|PWRWNDOFS_FIX|2033</v>
      </c>
      <c r="B2433" t="s">
        <v>39</v>
      </c>
      <c r="C2433" t="s">
        <v>40</v>
      </c>
      <c r="D2433" t="s">
        <v>37</v>
      </c>
      <c r="E2433" t="s">
        <v>19</v>
      </c>
      <c r="F2433" t="s">
        <v>42</v>
      </c>
      <c r="O2433">
        <v>2033</v>
      </c>
    </row>
    <row r="2434" spans="1:16" x14ac:dyDescent="0.3">
      <c r="A2434" t="str">
        <f t="shared" ref="A2434:A2497" si="38">B2434&amp;"|"&amp;D2434&amp;"|"&amp;E2434&amp;"|"&amp;F2434&amp;"|"&amp;O2434</f>
        <v>CN|NewCapacity|RE1|PWRWNDOFS_FLO|2033</v>
      </c>
      <c r="B2434" t="s">
        <v>39</v>
      </c>
      <c r="C2434" t="s">
        <v>40</v>
      </c>
      <c r="D2434" t="s">
        <v>37</v>
      </c>
      <c r="E2434" t="s">
        <v>19</v>
      </c>
      <c r="F2434" t="s">
        <v>43</v>
      </c>
      <c r="O2434">
        <v>2033</v>
      </c>
    </row>
    <row r="2435" spans="1:16" x14ac:dyDescent="0.3">
      <c r="A2435" t="str">
        <f t="shared" si="38"/>
        <v>CN|NewCapacity|RE1|PWRWNDONS|2033</v>
      </c>
      <c r="B2435" t="s">
        <v>39</v>
      </c>
      <c r="C2435" t="s">
        <v>40</v>
      </c>
      <c r="D2435" t="s">
        <v>37</v>
      </c>
      <c r="E2435" t="s">
        <v>19</v>
      </c>
      <c r="F2435" t="s">
        <v>36</v>
      </c>
      <c r="O2435">
        <v>2033</v>
      </c>
      <c r="P2435">
        <v>9.4</v>
      </c>
    </row>
    <row r="2436" spans="1:16" x14ac:dyDescent="0.3">
      <c r="A2436" t="str">
        <f t="shared" si="38"/>
        <v>CN|TotalCapacityAnnual|RE1|PWRBGS|2033</v>
      </c>
      <c r="B2436" t="s">
        <v>39</v>
      </c>
      <c r="C2436" t="s">
        <v>40</v>
      </c>
      <c r="D2436" t="s">
        <v>38</v>
      </c>
      <c r="E2436" t="s">
        <v>19</v>
      </c>
      <c r="F2436" t="s">
        <v>20</v>
      </c>
      <c r="O2436">
        <v>2033</v>
      </c>
      <c r="P2436">
        <v>2.5488587520000001E-2</v>
      </c>
    </row>
    <row r="2437" spans="1:16" x14ac:dyDescent="0.3">
      <c r="A2437" t="str">
        <f t="shared" si="38"/>
        <v>CN|TotalCapacityAnnual|RE1|PWRCOA|2033</v>
      </c>
      <c r="B2437" t="s">
        <v>39</v>
      </c>
      <c r="C2437" t="s">
        <v>40</v>
      </c>
      <c r="D2437" t="s">
        <v>38</v>
      </c>
      <c r="E2437" t="s">
        <v>19</v>
      </c>
      <c r="F2437" t="s">
        <v>21</v>
      </c>
      <c r="O2437">
        <v>2033</v>
      </c>
      <c r="P2437">
        <v>13.87584</v>
      </c>
    </row>
    <row r="2438" spans="1:16" x14ac:dyDescent="0.3">
      <c r="A2438" t="str">
        <f t="shared" si="38"/>
        <v>CN|TotalCapacityAnnual|RE1|PWRDSL|2033</v>
      </c>
      <c r="B2438" t="s">
        <v>39</v>
      </c>
      <c r="C2438" t="s">
        <v>40</v>
      </c>
      <c r="D2438" t="s">
        <v>38</v>
      </c>
      <c r="E2438" t="s">
        <v>19</v>
      </c>
      <c r="F2438" t="s">
        <v>22</v>
      </c>
      <c r="O2438">
        <v>2033</v>
      </c>
      <c r="P2438">
        <v>24.944976</v>
      </c>
    </row>
    <row r="2439" spans="1:16" x14ac:dyDescent="0.3">
      <c r="A2439" t="str">
        <f t="shared" si="38"/>
        <v>CN|TotalCapacityAnnual|RE1|PWRFOL|2033</v>
      </c>
      <c r="B2439" t="s">
        <v>39</v>
      </c>
      <c r="C2439" t="s">
        <v>40</v>
      </c>
      <c r="D2439" t="s">
        <v>38</v>
      </c>
      <c r="E2439" t="s">
        <v>19</v>
      </c>
      <c r="F2439" t="s">
        <v>23</v>
      </c>
      <c r="O2439">
        <v>2033</v>
      </c>
      <c r="P2439">
        <v>8.3885759999999987</v>
      </c>
    </row>
    <row r="2440" spans="1:16" x14ac:dyDescent="0.3">
      <c r="A2440" t="str">
        <f t="shared" si="38"/>
        <v>CN|TotalCapacityAnnual|RE1|PWRHYDDAM|2033</v>
      </c>
      <c r="B2440" t="s">
        <v>39</v>
      </c>
      <c r="C2440" t="s">
        <v>40</v>
      </c>
      <c r="D2440" t="s">
        <v>38</v>
      </c>
      <c r="E2440" t="s">
        <v>19</v>
      </c>
      <c r="F2440" t="s">
        <v>24</v>
      </c>
      <c r="O2440">
        <v>2033</v>
      </c>
      <c r="P2440">
        <v>440.49164800000011</v>
      </c>
    </row>
    <row r="2441" spans="1:16" x14ac:dyDescent="0.3">
      <c r="A2441" t="str">
        <f t="shared" si="38"/>
        <v>CN|TotalCapacityAnnual|RE1|PWRHYDROR|2033</v>
      </c>
      <c r="B2441" t="s">
        <v>39</v>
      </c>
      <c r="C2441" t="s">
        <v>40</v>
      </c>
      <c r="D2441" t="s">
        <v>38</v>
      </c>
      <c r="E2441" t="s">
        <v>19</v>
      </c>
      <c r="F2441" t="s">
        <v>25</v>
      </c>
      <c r="O2441">
        <v>2033</v>
      </c>
      <c r="P2441">
        <v>21.097584000000001</v>
      </c>
    </row>
    <row r="2442" spans="1:16" x14ac:dyDescent="0.3">
      <c r="A2442" t="str">
        <f t="shared" si="38"/>
        <v>CN|TotalCapacityAnnual|RE1|PWRHYDROR_NDC|2033</v>
      </c>
      <c r="B2442" t="s">
        <v>39</v>
      </c>
      <c r="C2442" t="s">
        <v>40</v>
      </c>
      <c r="D2442" t="s">
        <v>38</v>
      </c>
      <c r="E2442" t="s">
        <v>19</v>
      </c>
      <c r="F2442" t="s">
        <v>26</v>
      </c>
      <c r="O2442">
        <v>2033</v>
      </c>
      <c r="P2442">
        <v>29.725108271999989</v>
      </c>
    </row>
    <row r="2443" spans="1:16" x14ac:dyDescent="0.3">
      <c r="A2443" t="str">
        <f t="shared" si="38"/>
        <v>CN|TotalCapacityAnnual|RE1|PWRJET|2033</v>
      </c>
      <c r="B2443" t="s">
        <v>39</v>
      </c>
      <c r="C2443" t="s">
        <v>40</v>
      </c>
      <c r="D2443" t="s">
        <v>38</v>
      </c>
      <c r="E2443" t="s">
        <v>19</v>
      </c>
      <c r="F2443" t="s">
        <v>27</v>
      </c>
      <c r="O2443">
        <v>2033</v>
      </c>
      <c r="P2443">
        <v>1.5768</v>
      </c>
    </row>
    <row r="2444" spans="1:16" x14ac:dyDescent="0.3">
      <c r="A2444" t="str">
        <f t="shared" si="38"/>
        <v>CN|TotalCapacityAnnual|RE1|PWRLPG|2033</v>
      </c>
      <c r="B2444" t="s">
        <v>39</v>
      </c>
      <c r="C2444" t="s">
        <v>40</v>
      </c>
      <c r="D2444" t="s">
        <v>38</v>
      </c>
      <c r="E2444" t="s">
        <v>19</v>
      </c>
      <c r="F2444" t="s">
        <v>28</v>
      </c>
      <c r="O2444">
        <v>2033</v>
      </c>
      <c r="P2444">
        <v>1.639872</v>
      </c>
    </row>
    <row r="2445" spans="1:16" x14ac:dyDescent="0.3">
      <c r="A2445" t="str">
        <f t="shared" si="38"/>
        <v>CN|TotalCapacityAnnual|RE1|PWRNGS_CC|2033</v>
      </c>
      <c r="B2445" t="s">
        <v>39</v>
      </c>
      <c r="C2445" t="s">
        <v>40</v>
      </c>
      <c r="D2445" t="s">
        <v>38</v>
      </c>
      <c r="E2445" t="s">
        <v>19</v>
      </c>
      <c r="F2445" t="s">
        <v>29</v>
      </c>
      <c r="O2445">
        <v>2033</v>
      </c>
      <c r="P2445">
        <v>70.104500000000002</v>
      </c>
    </row>
    <row r="2446" spans="1:16" x14ac:dyDescent="0.3">
      <c r="A2446" t="str">
        <f t="shared" si="38"/>
        <v>CN|TotalCapacityAnnual|RE1|PWRNGS_CS|2033</v>
      </c>
      <c r="B2446" t="s">
        <v>39</v>
      </c>
      <c r="C2446" t="s">
        <v>40</v>
      </c>
      <c r="D2446" t="s">
        <v>38</v>
      </c>
      <c r="E2446" t="s">
        <v>19</v>
      </c>
      <c r="F2446" t="s">
        <v>30</v>
      </c>
      <c r="O2446">
        <v>2033</v>
      </c>
      <c r="P2446">
        <v>23.084351999999999</v>
      </c>
    </row>
    <row r="2447" spans="1:16" x14ac:dyDescent="0.3">
      <c r="A2447" t="str">
        <f t="shared" si="38"/>
        <v>CN|TotalCapacityAnnual|RE1|PWRSOLRTP|2033</v>
      </c>
      <c r="B2447" t="s">
        <v>39</v>
      </c>
      <c r="C2447" t="s">
        <v>40</v>
      </c>
      <c r="D2447" t="s">
        <v>38</v>
      </c>
      <c r="E2447" t="s">
        <v>19</v>
      </c>
      <c r="F2447" t="s">
        <v>31</v>
      </c>
      <c r="O2447">
        <v>2033</v>
      </c>
      <c r="P2447">
        <v>150.08410000000001</v>
      </c>
    </row>
    <row r="2448" spans="1:16" x14ac:dyDescent="0.3">
      <c r="A2448" t="str">
        <f t="shared" si="38"/>
        <v>CN|TotalCapacityAnnual|RE1|PWRSOLRTP_ZNI|2033</v>
      </c>
      <c r="B2448" t="s">
        <v>39</v>
      </c>
      <c r="C2448" t="s">
        <v>40</v>
      </c>
      <c r="D2448" t="s">
        <v>38</v>
      </c>
      <c r="E2448" t="s">
        <v>19</v>
      </c>
      <c r="F2448" t="s">
        <v>32</v>
      </c>
      <c r="O2448">
        <v>2033</v>
      </c>
      <c r="P2448">
        <v>1.111643941585801</v>
      </c>
    </row>
    <row r="2449" spans="1:16" x14ac:dyDescent="0.3">
      <c r="A2449" t="str">
        <f t="shared" si="38"/>
        <v>CN|TotalCapacityAnnual|RE1|PWRSOLUGE|2033</v>
      </c>
      <c r="B2449" t="s">
        <v>39</v>
      </c>
      <c r="C2449" t="s">
        <v>40</v>
      </c>
      <c r="D2449" t="s">
        <v>38</v>
      </c>
      <c r="E2449" t="s">
        <v>19</v>
      </c>
      <c r="F2449" t="s">
        <v>33</v>
      </c>
      <c r="O2449">
        <v>2033</v>
      </c>
      <c r="P2449">
        <v>191.79186048</v>
      </c>
    </row>
    <row r="2450" spans="1:16" x14ac:dyDescent="0.3">
      <c r="A2450" t="str">
        <f t="shared" si="38"/>
        <v>CN|TotalCapacityAnnual|RE1|PWRSOLUGE_BAT|2033</v>
      </c>
      <c r="B2450" t="s">
        <v>39</v>
      </c>
      <c r="C2450" t="s">
        <v>40</v>
      </c>
      <c r="D2450" t="s">
        <v>38</v>
      </c>
      <c r="E2450" t="s">
        <v>19</v>
      </c>
      <c r="F2450" t="s">
        <v>41</v>
      </c>
      <c r="O2450">
        <v>2033</v>
      </c>
    </row>
    <row r="2451" spans="1:16" x14ac:dyDescent="0.3">
      <c r="A2451" t="str">
        <f t="shared" si="38"/>
        <v>CN|TotalCapacityAnnual|RE1|PWRSOLUPE|2033</v>
      </c>
      <c r="B2451" t="s">
        <v>39</v>
      </c>
      <c r="C2451" t="s">
        <v>40</v>
      </c>
      <c r="D2451" t="s">
        <v>38</v>
      </c>
      <c r="E2451" t="s">
        <v>19</v>
      </c>
      <c r="F2451" t="s">
        <v>34</v>
      </c>
      <c r="O2451">
        <v>2033</v>
      </c>
      <c r="P2451">
        <v>39.172600079999931</v>
      </c>
    </row>
    <row r="2452" spans="1:16" x14ac:dyDescent="0.3">
      <c r="A2452" t="str">
        <f t="shared" si="38"/>
        <v>CN|TotalCapacityAnnual|RE1|PWRSTD|2033</v>
      </c>
      <c r="B2452" t="s">
        <v>39</v>
      </c>
      <c r="C2452" t="s">
        <v>40</v>
      </c>
      <c r="D2452" t="s">
        <v>38</v>
      </c>
      <c r="E2452" t="s">
        <v>19</v>
      </c>
      <c r="F2452" t="s">
        <v>35</v>
      </c>
      <c r="O2452">
        <v>2033</v>
      </c>
      <c r="P2452">
        <v>8.163062064</v>
      </c>
    </row>
    <row r="2453" spans="1:16" x14ac:dyDescent="0.3">
      <c r="A2453" t="str">
        <f t="shared" si="38"/>
        <v>CN|TotalCapacityAnnual|RE1|PWRWNDOFS_FIX|2033</v>
      </c>
      <c r="B2453" t="s">
        <v>39</v>
      </c>
      <c r="C2453" t="s">
        <v>40</v>
      </c>
      <c r="D2453" t="s">
        <v>38</v>
      </c>
      <c r="E2453" t="s">
        <v>19</v>
      </c>
      <c r="F2453" t="s">
        <v>42</v>
      </c>
      <c r="O2453">
        <v>2033</v>
      </c>
    </row>
    <row r="2454" spans="1:16" x14ac:dyDescent="0.3">
      <c r="A2454" t="str">
        <f t="shared" si="38"/>
        <v>CN|TotalCapacityAnnual|RE1|PWRWNDOFS_FLO|2033</v>
      </c>
      <c r="B2454" t="s">
        <v>39</v>
      </c>
      <c r="C2454" t="s">
        <v>40</v>
      </c>
      <c r="D2454" t="s">
        <v>38</v>
      </c>
      <c r="E2454" t="s">
        <v>19</v>
      </c>
      <c r="F2454" t="s">
        <v>43</v>
      </c>
      <c r="O2454">
        <v>2033</v>
      </c>
    </row>
    <row r="2455" spans="1:16" x14ac:dyDescent="0.3">
      <c r="A2455" t="str">
        <f t="shared" si="38"/>
        <v>CN|TotalCapacityAnnual|RE1|PWRWNDONS|2033</v>
      </c>
      <c r="B2455" t="s">
        <v>39</v>
      </c>
      <c r="C2455" t="s">
        <v>40</v>
      </c>
      <c r="D2455" t="s">
        <v>38</v>
      </c>
      <c r="E2455" t="s">
        <v>19</v>
      </c>
      <c r="F2455" t="s">
        <v>36</v>
      </c>
      <c r="O2455">
        <v>2033</v>
      </c>
      <c r="P2455">
        <v>86.558108884435597</v>
      </c>
    </row>
    <row r="2456" spans="1:16" x14ac:dyDescent="0.3">
      <c r="A2456" t="str">
        <f t="shared" si="38"/>
        <v>CN|AccumulatedNewCapacity|RE1|PWRBGS|2034</v>
      </c>
      <c r="B2456" t="s">
        <v>39</v>
      </c>
      <c r="C2456" t="s">
        <v>40</v>
      </c>
      <c r="D2456" t="s">
        <v>18</v>
      </c>
      <c r="E2456" t="s">
        <v>19</v>
      </c>
      <c r="F2456" t="s">
        <v>20</v>
      </c>
      <c r="O2456">
        <v>2034</v>
      </c>
    </row>
    <row r="2457" spans="1:16" x14ac:dyDescent="0.3">
      <c r="A2457" t="str">
        <f t="shared" si="38"/>
        <v>CN|AccumulatedNewCapacity|RE1|PWRCOA|2034</v>
      </c>
      <c r="B2457" t="s">
        <v>39</v>
      </c>
      <c r="C2457" t="s">
        <v>40</v>
      </c>
      <c r="D2457" t="s">
        <v>18</v>
      </c>
      <c r="E2457" t="s">
        <v>19</v>
      </c>
      <c r="F2457" t="s">
        <v>21</v>
      </c>
      <c r="O2457">
        <v>2034</v>
      </c>
    </row>
    <row r="2458" spans="1:16" x14ac:dyDescent="0.3">
      <c r="A2458" t="str">
        <f t="shared" si="38"/>
        <v>CN|AccumulatedNewCapacity|RE1|PWRDSL|2034</v>
      </c>
      <c r="B2458" t="s">
        <v>39</v>
      </c>
      <c r="C2458" t="s">
        <v>40</v>
      </c>
      <c r="D2458" t="s">
        <v>18</v>
      </c>
      <c r="E2458" t="s">
        <v>19</v>
      </c>
      <c r="F2458" t="s">
        <v>22</v>
      </c>
      <c r="O2458">
        <v>2034</v>
      </c>
    </row>
    <row r="2459" spans="1:16" x14ac:dyDescent="0.3">
      <c r="A2459" t="str">
        <f t="shared" si="38"/>
        <v>CN|AccumulatedNewCapacity|RE1|PWRFOL|2034</v>
      </c>
      <c r="B2459" t="s">
        <v>39</v>
      </c>
      <c r="C2459" t="s">
        <v>40</v>
      </c>
      <c r="D2459" t="s">
        <v>18</v>
      </c>
      <c r="E2459" t="s">
        <v>19</v>
      </c>
      <c r="F2459" t="s">
        <v>23</v>
      </c>
      <c r="O2459">
        <v>2034</v>
      </c>
    </row>
    <row r="2460" spans="1:16" x14ac:dyDescent="0.3">
      <c r="A2460" t="str">
        <f t="shared" si="38"/>
        <v>CN|AccumulatedNewCapacity|RE1|PWRHYDDAM|2034</v>
      </c>
      <c r="B2460" t="s">
        <v>39</v>
      </c>
      <c r="C2460" t="s">
        <v>40</v>
      </c>
      <c r="D2460" t="s">
        <v>18</v>
      </c>
      <c r="E2460" t="s">
        <v>19</v>
      </c>
      <c r="F2460" t="s">
        <v>24</v>
      </c>
      <c r="O2460">
        <v>2034</v>
      </c>
      <c r="P2460">
        <v>37.840000000000003</v>
      </c>
    </row>
    <row r="2461" spans="1:16" x14ac:dyDescent="0.3">
      <c r="A2461" t="str">
        <f t="shared" si="38"/>
        <v>CN|AccumulatedNewCapacity|RE1|PWRHYDROR|2034</v>
      </c>
      <c r="B2461" t="s">
        <v>39</v>
      </c>
      <c r="C2461" t="s">
        <v>40</v>
      </c>
      <c r="D2461" t="s">
        <v>18</v>
      </c>
      <c r="E2461" t="s">
        <v>19</v>
      </c>
      <c r="F2461" t="s">
        <v>25</v>
      </c>
      <c r="O2461">
        <v>2034</v>
      </c>
    </row>
    <row r="2462" spans="1:16" x14ac:dyDescent="0.3">
      <c r="A2462" t="str">
        <f t="shared" si="38"/>
        <v>CN|AccumulatedNewCapacity|RE1|PWRHYDROR_NDC|2034</v>
      </c>
      <c r="B2462" t="s">
        <v>39</v>
      </c>
      <c r="C2462" t="s">
        <v>40</v>
      </c>
      <c r="D2462" t="s">
        <v>18</v>
      </c>
      <c r="E2462" t="s">
        <v>19</v>
      </c>
      <c r="F2462" t="s">
        <v>26</v>
      </c>
      <c r="O2462">
        <v>2034</v>
      </c>
    </row>
    <row r="2463" spans="1:16" x14ac:dyDescent="0.3">
      <c r="A2463" t="str">
        <f t="shared" si="38"/>
        <v>CN|AccumulatedNewCapacity|RE1|PWRJET|2034</v>
      </c>
      <c r="B2463" t="s">
        <v>39</v>
      </c>
      <c r="C2463" t="s">
        <v>40</v>
      </c>
      <c r="D2463" t="s">
        <v>18</v>
      </c>
      <c r="E2463" t="s">
        <v>19</v>
      </c>
      <c r="F2463" t="s">
        <v>27</v>
      </c>
      <c r="O2463">
        <v>2034</v>
      </c>
    </row>
    <row r="2464" spans="1:16" x14ac:dyDescent="0.3">
      <c r="A2464" t="str">
        <f t="shared" si="38"/>
        <v>CN|AccumulatedNewCapacity|RE1|PWRLPG|2034</v>
      </c>
      <c r="B2464" t="s">
        <v>39</v>
      </c>
      <c r="C2464" t="s">
        <v>40</v>
      </c>
      <c r="D2464" t="s">
        <v>18</v>
      </c>
      <c r="E2464" t="s">
        <v>19</v>
      </c>
      <c r="F2464" t="s">
        <v>28</v>
      </c>
      <c r="O2464">
        <v>2034</v>
      </c>
    </row>
    <row r="2465" spans="1:16" x14ac:dyDescent="0.3">
      <c r="A2465" t="str">
        <f t="shared" si="38"/>
        <v>CN|AccumulatedNewCapacity|RE1|PWRNGS_CC|2034</v>
      </c>
      <c r="B2465" t="s">
        <v>39</v>
      </c>
      <c r="C2465" t="s">
        <v>40</v>
      </c>
      <c r="D2465" t="s">
        <v>18</v>
      </c>
      <c r="E2465" t="s">
        <v>19</v>
      </c>
      <c r="F2465" t="s">
        <v>29</v>
      </c>
      <c r="O2465">
        <v>2034</v>
      </c>
    </row>
    <row r="2466" spans="1:16" x14ac:dyDescent="0.3">
      <c r="A2466" t="str">
        <f t="shared" si="38"/>
        <v>CN|AccumulatedNewCapacity|RE1|PWRNGS_CS|2034</v>
      </c>
      <c r="B2466" t="s">
        <v>39</v>
      </c>
      <c r="C2466" t="s">
        <v>40</v>
      </c>
      <c r="D2466" t="s">
        <v>18</v>
      </c>
      <c r="E2466" t="s">
        <v>19</v>
      </c>
      <c r="F2466" t="s">
        <v>30</v>
      </c>
      <c r="O2466">
        <v>2034</v>
      </c>
    </row>
    <row r="2467" spans="1:16" x14ac:dyDescent="0.3">
      <c r="A2467" t="str">
        <f t="shared" si="38"/>
        <v>CN|AccumulatedNewCapacity|RE1|PWRSOLRTP|2034</v>
      </c>
      <c r="B2467" t="s">
        <v>39</v>
      </c>
      <c r="C2467" t="s">
        <v>40</v>
      </c>
      <c r="D2467" t="s">
        <v>18</v>
      </c>
      <c r="E2467" t="s">
        <v>19</v>
      </c>
      <c r="F2467" t="s">
        <v>31</v>
      </c>
      <c r="O2467">
        <v>2034</v>
      </c>
      <c r="P2467">
        <v>140.15</v>
      </c>
    </row>
    <row r="2468" spans="1:16" x14ac:dyDescent="0.3">
      <c r="A2468" t="str">
        <f t="shared" si="38"/>
        <v>CN|AccumulatedNewCapacity|RE1|PWRSOLRTP_ZNI|2034</v>
      </c>
      <c r="B2468" t="s">
        <v>39</v>
      </c>
      <c r="C2468" t="s">
        <v>40</v>
      </c>
      <c r="D2468" t="s">
        <v>18</v>
      </c>
      <c r="E2468" t="s">
        <v>19</v>
      </c>
      <c r="F2468" t="s">
        <v>32</v>
      </c>
      <c r="O2468">
        <v>2034</v>
      </c>
      <c r="P2468">
        <v>0.69024263684958787</v>
      </c>
    </row>
    <row r="2469" spans="1:16" x14ac:dyDescent="0.3">
      <c r="A2469" t="str">
        <f t="shared" si="38"/>
        <v>CN|AccumulatedNewCapacity|RE1|PWRSOLUGE|2034</v>
      </c>
      <c r="B2469" t="s">
        <v>39</v>
      </c>
      <c r="C2469" t="s">
        <v>40</v>
      </c>
      <c r="D2469" t="s">
        <v>18</v>
      </c>
      <c r="E2469" t="s">
        <v>19</v>
      </c>
      <c r="F2469" t="s">
        <v>33</v>
      </c>
      <c r="O2469">
        <v>2034</v>
      </c>
      <c r="P2469">
        <v>143.394192</v>
      </c>
    </row>
    <row r="2470" spans="1:16" x14ac:dyDescent="0.3">
      <c r="A2470" t="str">
        <f t="shared" si="38"/>
        <v>CN|AccumulatedNewCapacity|RE1|PWRSOLUGE_BAT|2034</v>
      </c>
      <c r="B2470" t="s">
        <v>39</v>
      </c>
      <c r="C2470" t="s">
        <v>40</v>
      </c>
      <c r="D2470" t="s">
        <v>18</v>
      </c>
      <c r="E2470" t="s">
        <v>19</v>
      </c>
      <c r="F2470" t="s">
        <v>41</v>
      </c>
      <c r="O2470">
        <v>2034</v>
      </c>
    </row>
    <row r="2471" spans="1:16" x14ac:dyDescent="0.3">
      <c r="A2471" t="str">
        <f t="shared" si="38"/>
        <v>CN|AccumulatedNewCapacity|RE1|PWRSOLUPE|2034</v>
      </c>
      <c r="B2471" t="s">
        <v>39</v>
      </c>
      <c r="C2471" t="s">
        <v>40</v>
      </c>
      <c r="D2471" t="s">
        <v>18</v>
      </c>
      <c r="E2471" t="s">
        <v>19</v>
      </c>
      <c r="F2471" t="s">
        <v>34</v>
      </c>
      <c r="O2471">
        <v>2034</v>
      </c>
      <c r="P2471">
        <v>12.14419823999993</v>
      </c>
    </row>
    <row r="2472" spans="1:16" x14ac:dyDescent="0.3">
      <c r="A2472" t="str">
        <f t="shared" si="38"/>
        <v>CN|AccumulatedNewCapacity|RE1|PWRSTD|2034</v>
      </c>
      <c r="B2472" t="s">
        <v>39</v>
      </c>
      <c r="C2472" t="s">
        <v>40</v>
      </c>
      <c r="D2472" t="s">
        <v>18</v>
      </c>
      <c r="E2472" t="s">
        <v>19</v>
      </c>
      <c r="F2472" t="s">
        <v>35</v>
      </c>
      <c r="O2472">
        <v>2034</v>
      </c>
    </row>
    <row r="2473" spans="1:16" x14ac:dyDescent="0.3">
      <c r="A2473" t="str">
        <f t="shared" si="38"/>
        <v>CN|AccumulatedNewCapacity|RE1|PWRWNDOFS_FIX|2034</v>
      </c>
      <c r="B2473" t="s">
        <v>39</v>
      </c>
      <c r="C2473" t="s">
        <v>40</v>
      </c>
      <c r="D2473" t="s">
        <v>18</v>
      </c>
      <c r="E2473" t="s">
        <v>19</v>
      </c>
      <c r="F2473" t="s">
        <v>42</v>
      </c>
      <c r="O2473">
        <v>2034</v>
      </c>
    </row>
    <row r="2474" spans="1:16" x14ac:dyDescent="0.3">
      <c r="A2474" t="str">
        <f t="shared" si="38"/>
        <v>CN|AccumulatedNewCapacity|RE1|PWRWNDOFS_FLO|2034</v>
      </c>
      <c r="B2474" t="s">
        <v>39</v>
      </c>
      <c r="C2474" t="s">
        <v>40</v>
      </c>
      <c r="D2474" t="s">
        <v>18</v>
      </c>
      <c r="E2474" t="s">
        <v>19</v>
      </c>
      <c r="F2474" t="s">
        <v>43</v>
      </c>
      <c r="O2474">
        <v>2034</v>
      </c>
    </row>
    <row r="2475" spans="1:16" x14ac:dyDescent="0.3">
      <c r="A2475" t="str">
        <f t="shared" si="38"/>
        <v>CN|AccumulatedNewCapacity|RE1|PWRWNDONS|2034</v>
      </c>
      <c r="B2475" t="s">
        <v>39</v>
      </c>
      <c r="C2475" t="s">
        <v>40</v>
      </c>
      <c r="D2475" t="s">
        <v>18</v>
      </c>
      <c r="E2475" t="s">
        <v>19</v>
      </c>
      <c r="F2475" t="s">
        <v>36</v>
      </c>
      <c r="O2475">
        <v>2034</v>
      </c>
      <c r="P2475">
        <v>94.589446484435598</v>
      </c>
    </row>
    <row r="2476" spans="1:16" x14ac:dyDescent="0.3">
      <c r="A2476" t="str">
        <f t="shared" si="38"/>
        <v>CN|NewCapacity|RE1|PWRBGS|2034</v>
      </c>
      <c r="B2476" t="s">
        <v>39</v>
      </c>
      <c r="C2476" t="s">
        <v>40</v>
      </c>
      <c r="D2476" t="s">
        <v>37</v>
      </c>
      <c r="E2476" t="s">
        <v>19</v>
      </c>
      <c r="F2476" t="s">
        <v>20</v>
      </c>
      <c r="O2476">
        <v>2034</v>
      </c>
    </row>
    <row r="2477" spans="1:16" x14ac:dyDescent="0.3">
      <c r="A2477" t="str">
        <f t="shared" si="38"/>
        <v>CN|NewCapacity|RE1|PWRCOA|2034</v>
      </c>
      <c r="B2477" t="s">
        <v>39</v>
      </c>
      <c r="C2477" t="s">
        <v>40</v>
      </c>
      <c r="D2477" t="s">
        <v>37</v>
      </c>
      <c r="E2477" t="s">
        <v>19</v>
      </c>
      <c r="F2477" t="s">
        <v>21</v>
      </c>
      <c r="O2477">
        <v>2034</v>
      </c>
    </row>
    <row r="2478" spans="1:16" x14ac:dyDescent="0.3">
      <c r="A2478" t="str">
        <f t="shared" si="38"/>
        <v>CN|NewCapacity|RE1|PWRDSL|2034</v>
      </c>
      <c r="B2478" t="s">
        <v>39</v>
      </c>
      <c r="C2478" t="s">
        <v>40</v>
      </c>
      <c r="D2478" t="s">
        <v>37</v>
      </c>
      <c r="E2478" t="s">
        <v>19</v>
      </c>
      <c r="F2478" t="s">
        <v>22</v>
      </c>
      <c r="O2478">
        <v>2034</v>
      </c>
    </row>
    <row r="2479" spans="1:16" x14ac:dyDescent="0.3">
      <c r="A2479" t="str">
        <f t="shared" si="38"/>
        <v>CN|NewCapacity|RE1|PWRFOL|2034</v>
      </c>
      <c r="B2479" t="s">
        <v>39</v>
      </c>
      <c r="C2479" t="s">
        <v>40</v>
      </c>
      <c r="D2479" t="s">
        <v>37</v>
      </c>
      <c r="E2479" t="s">
        <v>19</v>
      </c>
      <c r="F2479" t="s">
        <v>23</v>
      </c>
      <c r="O2479">
        <v>2034</v>
      </c>
    </row>
    <row r="2480" spans="1:16" x14ac:dyDescent="0.3">
      <c r="A2480" t="str">
        <f t="shared" si="38"/>
        <v>CN|NewCapacity|RE1|PWRHYDDAM|2034</v>
      </c>
      <c r="B2480" t="s">
        <v>39</v>
      </c>
      <c r="C2480" t="s">
        <v>40</v>
      </c>
      <c r="D2480" t="s">
        <v>37</v>
      </c>
      <c r="E2480" t="s">
        <v>19</v>
      </c>
      <c r="F2480" t="s">
        <v>24</v>
      </c>
      <c r="O2480">
        <v>2034</v>
      </c>
    </row>
    <row r="2481" spans="1:16" x14ac:dyDescent="0.3">
      <c r="A2481" t="str">
        <f t="shared" si="38"/>
        <v>CN|NewCapacity|RE1|PWRHYDROR|2034</v>
      </c>
      <c r="B2481" t="s">
        <v>39</v>
      </c>
      <c r="C2481" t="s">
        <v>40</v>
      </c>
      <c r="D2481" t="s">
        <v>37</v>
      </c>
      <c r="E2481" t="s">
        <v>19</v>
      </c>
      <c r="F2481" t="s">
        <v>25</v>
      </c>
      <c r="O2481">
        <v>2034</v>
      </c>
    </row>
    <row r="2482" spans="1:16" x14ac:dyDescent="0.3">
      <c r="A2482" t="str">
        <f t="shared" si="38"/>
        <v>CN|NewCapacity|RE1|PWRHYDROR_NDC|2034</v>
      </c>
      <c r="B2482" t="s">
        <v>39</v>
      </c>
      <c r="C2482" t="s">
        <v>40</v>
      </c>
      <c r="D2482" t="s">
        <v>37</v>
      </c>
      <c r="E2482" t="s">
        <v>19</v>
      </c>
      <c r="F2482" t="s">
        <v>26</v>
      </c>
      <c r="O2482">
        <v>2034</v>
      </c>
    </row>
    <row r="2483" spans="1:16" x14ac:dyDescent="0.3">
      <c r="A2483" t="str">
        <f t="shared" si="38"/>
        <v>CN|NewCapacity|RE1|PWRJET|2034</v>
      </c>
      <c r="B2483" t="s">
        <v>39</v>
      </c>
      <c r="C2483" t="s">
        <v>40</v>
      </c>
      <c r="D2483" t="s">
        <v>37</v>
      </c>
      <c r="E2483" t="s">
        <v>19</v>
      </c>
      <c r="F2483" t="s">
        <v>27</v>
      </c>
      <c r="O2483">
        <v>2034</v>
      </c>
    </row>
    <row r="2484" spans="1:16" x14ac:dyDescent="0.3">
      <c r="A2484" t="str">
        <f t="shared" si="38"/>
        <v>CN|NewCapacity|RE1|PWRLPG|2034</v>
      </c>
      <c r="B2484" t="s">
        <v>39</v>
      </c>
      <c r="C2484" t="s">
        <v>40</v>
      </c>
      <c r="D2484" t="s">
        <v>37</v>
      </c>
      <c r="E2484" t="s">
        <v>19</v>
      </c>
      <c r="F2484" t="s">
        <v>28</v>
      </c>
      <c r="O2484">
        <v>2034</v>
      </c>
    </row>
    <row r="2485" spans="1:16" x14ac:dyDescent="0.3">
      <c r="A2485" t="str">
        <f t="shared" si="38"/>
        <v>CN|NewCapacity|RE1|PWRNGS_CC|2034</v>
      </c>
      <c r="B2485" t="s">
        <v>39</v>
      </c>
      <c r="C2485" t="s">
        <v>40</v>
      </c>
      <c r="D2485" t="s">
        <v>37</v>
      </c>
      <c r="E2485" t="s">
        <v>19</v>
      </c>
      <c r="F2485" t="s">
        <v>29</v>
      </c>
      <c r="O2485">
        <v>2034</v>
      </c>
    </row>
    <row r="2486" spans="1:16" x14ac:dyDescent="0.3">
      <c r="A2486" t="str">
        <f t="shared" si="38"/>
        <v>CN|NewCapacity|RE1|PWRNGS_CS|2034</v>
      </c>
      <c r="B2486" t="s">
        <v>39</v>
      </c>
      <c r="C2486" t="s">
        <v>40</v>
      </c>
      <c r="D2486" t="s">
        <v>37</v>
      </c>
      <c r="E2486" t="s">
        <v>19</v>
      </c>
      <c r="F2486" t="s">
        <v>30</v>
      </c>
      <c r="O2486">
        <v>2034</v>
      </c>
    </row>
    <row r="2487" spans="1:16" x14ac:dyDescent="0.3">
      <c r="A2487" t="str">
        <f t="shared" si="38"/>
        <v>CN|NewCapacity|RE1|PWRSOLRTP|2034</v>
      </c>
      <c r="B2487" t="s">
        <v>39</v>
      </c>
      <c r="C2487" t="s">
        <v>40</v>
      </c>
      <c r="D2487" t="s">
        <v>37</v>
      </c>
      <c r="E2487" t="s">
        <v>19</v>
      </c>
      <c r="F2487" t="s">
        <v>31</v>
      </c>
      <c r="O2487">
        <v>2034</v>
      </c>
      <c r="P2487">
        <v>13.35</v>
      </c>
    </row>
    <row r="2488" spans="1:16" x14ac:dyDescent="0.3">
      <c r="A2488" t="str">
        <f t="shared" si="38"/>
        <v>CN|NewCapacity|RE1|PWRSOLRTP_ZNI|2034</v>
      </c>
      <c r="B2488" t="s">
        <v>39</v>
      </c>
      <c r="C2488" t="s">
        <v>40</v>
      </c>
      <c r="D2488" t="s">
        <v>37</v>
      </c>
      <c r="E2488" t="s">
        <v>19</v>
      </c>
      <c r="F2488" t="s">
        <v>32</v>
      </c>
      <c r="O2488">
        <v>2034</v>
      </c>
      <c r="P2488">
        <v>3.9339655263787021E-2</v>
      </c>
    </row>
    <row r="2489" spans="1:16" x14ac:dyDescent="0.3">
      <c r="A2489" t="str">
        <f t="shared" si="38"/>
        <v>CN|NewCapacity|RE1|PWRSOLUGE|2034</v>
      </c>
      <c r="B2489" t="s">
        <v>39</v>
      </c>
      <c r="C2489" t="s">
        <v>40</v>
      </c>
      <c r="D2489" t="s">
        <v>37</v>
      </c>
      <c r="E2489" t="s">
        <v>19</v>
      </c>
      <c r="F2489" t="s">
        <v>33</v>
      </c>
      <c r="O2489">
        <v>2034</v>
      </c>
    </row>
    <row r="2490" spans="1:16" x14ac:dyDescent="0.3">
      <c r="A2490" t="str">
        <f t="shared" si="38"/>
        <v>CN|NewCapacity|RE1|PWRSOLUGE_BAT|2034</v>
      </c>
      <c r="B2490" t="s">
        <v>39</v>
      </c>
      <c r="C2490" t="s">
        <v>40</v>
      </c>
      <c r="D2490" t="s">
        <v>37</v>
      </c>
      <c r="E2490" t="s">
        <v>19</v>
      </c>
      <c r="F2490" t="s">
        <v>41</v>
      </c>
      <c r="O2490">
        <v>2034</v>
      </c>
    </row>
    <row r="2491" spans="1:16" x14ac:dyDescent="0.3">
      <c r="A2491" t="str">
        <f t="shared" si="38"/>
        <v>CN|NewCapacity|RE1|PWRSOLUPE|2034</v>
      </c>
      <c r="B2491" t="s">
        <v>39</v>
      </c>
      <c r="C2491" t="s">
        <v>40</v>
      </c>
      <c r="D2491" t="s">
        <v>37</v>
      </c>
      <c r="E2491" t="s">
        <v>19</v>
      </c>
      <c r="F2491" t="s">
        <v>34</v>
      </c>
      <c r="O2491">
        <v>2034</v>
      </c>
    </row>
    <row r="2492" spans="1:16" x14ac:dyDescent="0.3">
      <c r="A2492" t="str">
        <f t="shared" si="38"/>
        <v>CN|NewCapacity|RE1|PWRSTD|2034</v>
      </c>
      <c r="B2492" t="s">
        <v>39</v>
      </c>
      <c r="C2492" t="s">
        <v>40</v>
      </c>
      <c r="D2492" t="s">
        <v>37</v>
      </c>
      <c r="E2492" t="s">
        <v>19</v>
      </c>
      <c r="F2492" t="s">
        <v>35</v>
      </c>
      <c r="O2492">
        <v>2034</v>
      </c>
    </row>
    <row r="2493" spans="1:16" x14ac:dyDescent="0.3">
      <c r="A2493" t="str">
        <f t="shared" si="38"/>
        <v>CN|NewCapacity|RE1|PWRWNDOFS_FIX|2034</v>
      </c>
      <c r="B2493" t="s">
        <v>39</v>
      </c>
      <c r="C2493" t="s">
        <v>40</v>
      </c>
      <c r="D2493" t="s">
        <v>37</v>
      </c>
      <c r="E2493" t="s">
        <v>19</v>
      </c>
      <c r="F2493" t="s">
        <v>42</v>
      </c>
      <c r="O2493">
        <v>2034</v>
      </c>
    </row>
    <row r="2494" spans="1:16" x14ac:dyDescent="0.3">
      <c r="A2494" t="str">
        <f t="shared" si="38"/>
        <v>CN|NewCapacity|RE1|PWRWNDOFS_FLO|2034</v>
      </c>
      <c r="B2494" t="s">
        <v>39</v>
      </c>
      <c r="C2494" t="s">
        <v>40</v>
      </c>
      <c r="D2494" t="s">
        <v>37</v>
      </c>
      <c r="E2494" t="s">
        <v>19</v>
      </c>
      <c r="F2494" t="s">
        <v>43</v>
      </c>
      <c r="O2494">
        <v>2034</v>
      </c>
    </row>
    <row r="2495" spans="1:16" x14ac:dyDescent="0.3">
      <c r="A2495" t="str">
        <f t="shared" si="38"/>
        <v>CN|NewCapacity|RE1|PWRWNDONS|2034</v>
      </c>
      <c r="B2495" t="s">
        <v>39</v>
      </c>
      <c r="C2495" t="s">
        <v>40</v>
      </c>
      <c r="D2495" t="s">
        <v>37</v>
      </c>
      <c r="E2495" t="s">
        <v>19</v>
      </c>
      <c r="F2495" t="s">
        <v>36</v>
      </c>
      <c r="O2495">
        <v>2034</v>
      </c>
      <c r="P2495">
        <v>9.4</v>
      </c>
    </row>
    <row r="2496" spans="1:16" x14ac:dyDescent="0.3">
      <c r="A2496" t="str">
        <f t="shared" si="38"/>
        <v>CN|TotalCapacityAnnual|RE1|PWRBGS|2034</v>
      </c>
      <c r="B2496" t="s">
        <v>39</v>
      </c>
      <c r="C2496" t="s">
        <v>40</v>
      </c>
      <c r="D2496" t="s">
        <v>38</v>
      </c>
      <c r="E2496" t="s">
        <v>19</v>
      </c>
      <c r="F2496" t="s">
        <v>20</v>
      </c>
      <c r="O2496">
        <v>2034</v>
      </c>
      <c r="P2496">
        <v>2.5488587520000001E-2</v>
      </c>
    </row>
    <row r="2497" spans="1:16" x14ac:dyDescent="0.3">
      <c r="A2497" t="str">
        <f t="shared" si="38"/>
        <v>CN|TotalCapacityAnnual|RE1|PWRCOA|2034</v>
      </c>
      <c r="B2497" t="s">
        <v>39</v>
      </c>
      <c r="C2497" t="s">
        <v>40</v>
      </c>
      <c r="D2497" t="s">
        <v>38</v>
      </c>
      <c r="E2497" t="s">
        <v>19</v>
      </c>
      <c r="F2497" t="s">
        <v>21</v>
      </c>
      <c r="O2497">
        <v>2034</v>
      </c>
      <c r="P2497">
        <v>13.87584</v>
      </c>
    </row>
    <row r="2498" spans="1:16" x14ac:dyDescent="0.3">
      <c r="A2498" t="str">
        <f t="shared" ref="A2498:A2561" si="39">B2498&amp;"|"&amp;D2498&amp;"|"&amp;E2498&amp;"|"&amp;F2498&amp;"|"&amp;O2498</f>
        <v>CN|TotalCapacityAnnual|RE1|PWRDSL|2034</v>
      </c>
      <c r="B2498" t="s">
        <v>39</v>
      </c>
      <c r="C2498" t="s">
        <v>40</v>
      </c>
      <c r="D2498" t="s">
        <v>38</v>
      </c>
      <c r="E2498" t="s">
        <v>19</v>
      </c>
      <c r="F2498" t="s">
        <v>22</v>
      </c>
      <c r="O2498">
        <v>2034</v>
      </c>
      <c r="P2498">
        <v>24.944976</v>
      </c>
    </row>
    <row r="2499" spans="1:16" x14ac:dyDescent="0.3">
      <c r="A2499" t="str">
        <f t="shared" si="39"/>
        <v>CN|TotalCapacityAnnual|RE1|PWRFOL|2034</v>
      </c>
      <c r="B2499" t="s">
        <v>39</v>
      </c>
      <c r="C2499" t="s">
        <v>40</v>
      </c>
      <c r="D2499" t="s">
        <v>38</v>
      </c>
      <c r="E2499" t="s">
        <v>19</v>
      </c>
      <c r="F2499" t="s">
        <v>23</v>
      </c>
      <c r="O2499">
        <v>2034</v>
      </c>
      <c r="P2499">
        <v>8.3885759999999987</v>
      </c>
    </row>
    <row r="2500" spans="1:16" x14ac:dyDescent="0.3">
      <c r="A2500" t="str">
        <f t="shared" si="39"/>
        <v>CN|TotalCapacityAnnual|RE1|PWRHYDDAM|2034</v>
      </c>
      <c r="B2500" t="s">
        <v>39</v>
      </c>
      <c r="C2500" t="s">
        <v>40</v>
      </c>
      <c r="D2500" t="s">
        <v>38</v>
      </c>
      <c r="E2500" t="s">
        <v>19</v>
      </c>
      <c r="F2500" t="s">
        <v>24</v>
      </c>
      <c r="O2500">
        <v>2034</v>
      </c>
      <c r="P2500">
        <v>440.49164800000011</v>
      </c>
    </row>
    <row r="2501" spans="1:16" x14ac:dyDescent="0.3">
      <c r="A2501" t="str">
        <f t="shared" si="39"/>
        <v>CN|TotalCapacityAnnual|RE1|PWRHYDROR|2034</v>
      </c>
      <c r="B2501" t="s">
        <v>39</v>
      </c>
      <c r="C2501" t="s">
        <v>40</v>
      </c>
      <c r="D2501" t="s">
        <v>38</v>
      </c>
      <c r="E2501" t="s">
        <v>19</v>
      </c>
      <c r="F2501" t="s">
        <v>25</v>
      </c>
      <c r="O2501">
        <v>2034</v>
      </c>
      <c r="P2501">
        <v>21.097584000000001</v>
      </c>
    </row>
    <row r="2502" spans="1:16" x14ac:dyDescent="0.3">
      <c r="A2502" t="str">
        <f t="shared" si="39"/>
        <v>CN|TotalCapacityAnnual|RE1|PWRHYDROR_NDC|2034</v>
      </c>
      <c r="B2502" t="s">
        <v>39</v>
      </c>
      <c r="C2502" t="s">
        <v>40</v>
      </c>
      <c r="D2502" t="s">
        <v>38</v>
      </c>
      <c r="E2502" t="s">
        <v>19</v>
      </c>
      <c r="F2502" t="s">
        <v>26</v>
      </c>
      <c r="O2502">
        <v>2034</v>
      </c>
      <c r="P2502">
        <v>29.725108271999989</v>
      </c>
    </row>
    <row r="2503" spans="1:16" x14ac:dyDescent="0.3">
      <c r="A2503" t="str">
        <f t="shared" si="39"/>
        <v>CN|TotalCapacityAnnual|RE1|PWRJET|2034</v>
      </c>
      <c r="B2503" t="s">
        <v>39</v>
      </c>
      <c r="C2503" t="s">
        <v>40</v>
      </c>
      <c r="D2503" t="s">
        <v>38</v>
      </c>
      <c r="E2503" t="s">
        <v>19</v>
      </c>
      <c r="F2503" t="s">
        <v>27</v>
      </c>
      <c r="O2503">
        <v>2034</v>
      </c>
      <c r="P2503">
        <v>1.5768</v>
      </c>
    </row>
    <row r="2504" spans="1:16" x14ac:dyDescent="0.3">
      <c r="A2504" t="str">
        <f t="shared" si="39"/>
        <v>CN|TotalCapacityAnnual|RE1|PWRLPG|2034</v>
      </c>
      <c r="B2504" t="s">
        <v>39</v>
      </c>
      <c r="C2504" t="s">
        <v>40</v>
      </c>
      <c r="D2504" t="s">
        <v>38</v>
      </c>
      <c r="E2504" t="s">
        <v>19</v>
      </c>
      <c r="F2504" t="s">
        <v>28</v>
      </c>
      <c r="O2504">
        <v>2034</v>
      </c>
      <c r="P2504">
        <v>1.639872</v>
      </c>
    </row>
    <row r="2505" spans="1:16" x14ac:dyDescent="0.3">
      <c r="A2505" t="str">
        <f t="shared" si="39"/>
        <v>CN|TotalCapacityAnnual|RE1|PWRNGS_CC|2034</v>
      </c>
      <c r="B2505" t="s">
        <v>39</v>
      </c>
      <c r="C2505" t="s">
        <v>40</v>
      </c>
      <c r="D2505" t="s">
        <v>38</v>
      </c>
      <c r="E2505" t="s">
        <v>19</v>
      </c>
      <c r="F2505" t="s">
        <v>29</v>
      </c>
      <c r="O2505">
        <v>2034</v>
      </c>
      <c r="P2505">
        <v>70.104500000000002</v>
      </c>
    </row>
    <row r="2506" spans="1:16" x14ac:dyDescent="0.3">
      <c r="A2506" t="str">
        <f t="shared" si="39"/>
        <v>CN|TotalCapacityAnnual|RE1|PWRNGS_CS|2034</v>
      </c>
      <c r="B2506" t="s">
        <v>39</v>
      </c>
      <c r="C2506" t="s">
        <v>40</v>
      </c>
      <c r="D2506" t="s">
        <v>38</v>
      </c>
      <c r="E2506" t="s">
        <v>19</v>
      </c>
      <c r="F2506" t="s">
        <v>30</v>
      </c>
      <c r="O2506">
        <v>2034</v>
      </c>
      <c r="P2506">
        <v>23.084351999999999</v>
      </c>
    </row>
    <row r="2507" spans="1:16" x14ac:dyDescent="0.3">
      <c r="A2507" t="str">
        <f t="shared" si="39"/>
        <v>CN|TotalCapacityAnnual|RE1|PWRSOLRTP|2034</v>
      </c>
      <c r="B2507" t="s">
        <v>39</v>
      </c>
      <c r="C2507" t="s">
        <v>40</v>
      </c>
      <c r="D2507" t="s">
        <v>38</v>
      </c>
      <c r="E2507" t="s">
        <v>19</v>
      </c>
      <c r="F2507" t="s">
        <v>31</v>
      </c>
      <c r="O2507">
        <v>2034</v>
      </c>
      <c r="P2507">
        <v>163.4341</v>
      </c>
    </row>
    <row r="2508" spans="1:16" x14ac:dyDescent="0.3">
      <c r="A2508" t="str">
        <f t="shared" si="39"/>
        <v>CN|TotalCapacityAnnual|RE1|PWRSOLRTP_ZNI|2034</v>
      </c>
      <c r="B2508" t="s">
        <v>39</v>
      </c>
      <c r="C2508" t="s">
        <v>40</v>
      </c>
      <c r="D2508" t="s">
        <v>38</v>
      </c>
      <c r="E2508" t="s">
        <v>19</v>
      </c>
      <c r="F2508" t="s">
        <v>32</v>
      </c>
      <c r="O2508">
        <v>2034</v>
      </c>
      <c r="P2508">
        <v>1.1509835968495881</v>
      </c>
    </row>
    <row r="2509" spans="1:16" x14ac:dyDescent="0.3">
      <c r="A2509" t="str">
        <f t="shared" si="39"/>
        <v>CN|TotalCapacityAnnual|RE1|PWRSOLUGE|2034</v>
      </c>
      <c r="B2509" t="s">
        <v>39</v>
      </c>
      <c r="C2509" t="s">
        <v>40</v>
      </c>
      <c r="D2509" t="s">
        <v>38</v>
      </c>
      <c r="E2509" t="s">
        <v>19</v>
      </c>
      <c r="F2509" t="s">
        <v>33</v>
      </c>
      <c r="O2509">
        <v>2034</v>
      </c>
      <c r="P2509">
        <v>191.79186048</v>
      </c>
    </row>
    <row r="2510" spans="1:16" x14ac:dyDescent="0.3">
      <c r="A2510" t="str">
        <f t="shared" si="39"/>
        <v>CN|TotalCapacityAnnual|RE1|PWRSOLUGE_BAT|2034</v>
      </c>
      <c r="B2510" t="s">
        <v>39</v>
      </c>
      <c r="C2510" t="s">
        <v>40</v>
      </c>
      <c r="D2510" t="s">
        <v>38</v>
      </c>
      <c r="E2510" t="s">
        <v>19</v>
      </c>
      <c r="F2510" t="s">
        <v>41</v>
      </c>
      <c r="O2510">
        <v>2034</v>
      </c>
    </row>
    <row r="2511" spans="1:16" x14ac:dyDescent="0.3">
      <c r="A2511" t="str">
        <f t="shared" si="39"/>
        <v>CN|TotalCapacityAnnual|RE1|PWRSOLUPE|2034</v>
      </c>
      <c r="B2511" t="s">
        <v>39</v>
      </c>
      <c r="C2511" t="s">
        <v>40</v>
      </c>
      <c r="D2511" t="s">
        <v>38</v>
      </c>
      <c r="E2511" t="s">
        <v>19</v>
      </c>
      <c r="F2511" t="s">
        <v>34</v>
      </c>
      <c r="O2511">
        <v>2034</v>
      </c>
      <c r="P2511">
        <v>39.172600079999931</v>
      </c>
    </row>
    <row r="2512" spans="1:16" x14ac:dyDescent="0.3">
      <c r="A2512" t="str">
        <f t="shared" si="39"/>
        <v>CN|TotalCapacityAnnual|RE1|PWRSTD|2034</v>
      </c>
      <c r="B2512" t="s">
        <v>39</v>
      </c>
      <c r="C2512" t="s">
        <v>40</v>
      </c>
      <c r="D2512" t="s">
        <v>38</v>
      </c>
      <c r="E2512" t="s">
        <v>19</v>
      </c>
      <c r="F2512" t="s">
        <v>35</v>
      </c>
      <c r="O2512">
        <v>2034</v>
      </c>
      <c r="P2512">
        <v>8.163062064</v>
      </c>
    </row>
    <row r="2513" spans="1:16" x14ac:dyDescent="0.3">
      <c r="A2513" t="str">
        <f t="shared" si="39"/>
        <v>CN|TotalCapacityAnnual|RE1|PWRWNDOFS_FIX|2034</v>
      </c>
      <c r="B2513" t="s">
        <v>39</v>
      </c>
      <c r="C2513" t="s">
        <v>40</v>
      </c>
      <c r="D2513" t="s">
        <v>38</v>
      </c>
      <c r="E2513" t="s">
        <v>19</v>
      </c>
      <c r="F2513" t="s">
        <v>42</v>
      </c>
      <c r="O2513">
        <v>2034</v>
      </c>
    </row>
    <row r="2514" spans="1:16" x14ac:dyDescent="0.3">
      <c r="A2514" t="str">
        <f t="shared" si="39"/>
        <v>CN|TotalCapacityAnnual|RE1|PWRWNDOFS_FLO|2034</v>
      </c>
      <c r="B2514" t="s">
        <v>39</v>
      </c>
      <c r="C2514" t="s">
        <v>40</v>
      </c>
      <c r="D2514" t="s">
        <v>38</v>
      </c>
      <c r="E2514" t="s">
        <v>19</v>
      </c>
      <c r="F2514" t="s">
        <v>43</v>
      </c>
      <c r="O2514">
        <v>2034</v>
      </c>
    </row>
    <row r="2515" spans="1:16" x14ac:dyDescent="0.3">
      <c r="A2515" t="str">
        <f t="shared" si="39"/>
        <v>CN|TotalCapacityAnnual|RE1|PWRWNDONS|2034</v>
      </c>
      <c r="B2515" t="s">
        <v>39</v>
      </c>
      <c r="C2515" t="s">
        <v>40</v>
      </c>
      <c r="D2515" t="s">
        <v>38</v>
      </c>
      <c r="E2515" t="s">
        <v>19</v>
      </c>
      <c r="F2515" t="s">
        <v>36</v>
      </c>
      <c r="O2515">
        <v>2034</v>
      </c>
      <c r="P2515">
        <v>95.958108884435603</v>
      </c>
    </row>
    <row r="2516" spans="1:16" x14ac:dyDescent="0.3">
      <c r="A2516" t="str">
        <f t="shared" si="39"/>
        <v>CN|AccumulatedNewCapacity|RE1|PWRBGS|2035</v>
      </c>
      <c r="B2516" t="s">
        <v>39</v>
      </c>
      <c r="C2516" t="s">
        <v>40</v>
      </c>
      <c r="D2516" t="s">
        <v>18</v>
      </c>
      <c r="E2516" t="s">
        <v>19</v>
      </c>
      <c r="F2516" t="s">
        <v>20</v>
      </c>
      <c r="O2516">
        <v>2035</v>
      </c>
    </row>
    <row r="2517" spans="1:16" x14ac:dyDescent="0.3">
      <c r="A2517" t="str">
        <f t="shared" si="39"/>
        <v>CN|AccumulatedNewCapacity|RE1|PWRCOA|2035</v>
      </c>
      <c r="B2517" t="s">
        <v>39</v>
      </c>
      <c r="C2517" t="s">
        <v>40</v>
      </c>
      <c r="D2517" t="s">
        <v>18</v>
      </c>
      <c r="E2517" t="s">
        <v>19</v>
      </c>
      <c r="F2517" t="s">
        <v>21</v>
      </c>
      <c r="O2517">
        <v>2035</v>
      </c>
    </row>
    <row r="2518" spans="1:16" x14ac:dyDescent="0.3">
      <c r="A2518" t="str">
        <f t="shared" si="39"/>
        <v>CN|AccumulatedNewCapacity|RE1|PWRDSL|2035</v>
      </c>
      <c r="B2518" t="s">
        <v>39</v>
      </c>
      <c r="C2518" t="s">
        <v>40</v>
      </c>
      <c r="D2518" t="s">
        <v>18</v>
      </c>
      <c r="E2518" t="s">
        <v>19</v>
      </c>
      <c r="F2518" t="s">
        <v>22</v>
      </c>
      <c r="O2518">
        <v>2035</v>
      </c>
    </row>
    <row r="2519" spans="1:16" x14ac:dyDescent="0.3">
      <c r="A2519" t="str">
        <f t="shared" si="39"/>
        <v>CN|AccumulatedNewCapacity|RE1|PWRFOL|2035</v>
      </c>
      <c r="B2519" t="s">
        <v>39</v>
      </c>
      <c r="C2519" t="s">
        <v>40</v>
      </c>
      <c r="D2519" t="s">
        <v>18</v>
      </c>
      <c r="E2519" t="s">
        <v>19</v>
      </c>
      <c r="F2519" t="s">
        <v>23</v>
      </c>
      <c r="O2519">
        <v>2035</v>
      </c>
    </row>
    <row r="2520" spans="1:16" x14ac:dyDescent="0.3">
      <c r="A2520" t="str">
        <f t="shared" si="39"/>
        <v>CN|AccumulatedNewCapacity|RE1|PWRHYDDAM|2035</v>
      </c>
      <c r="B2520" t="s">
        <v>39</v>
      </c>
      <c r="C2520" t="s">
        <v>40</v>
      </c>
      <c r="D2520" t="s">
        <v>18</v>
      </c>
      <c r="E2520" t="s">
        <v>19</v>
      </c>
      <c r="F2520" t="s">
        <v>24</v>
      </c>
      <c r="O2520">
        <v>2035</v>
      </c>
      <c r="P2520">
        <v>37.840000000000003</v>
      </c>
    </row>
    <row r="2521" spans="1:16" x14ac:dyDescent="0.3">
      <c r="A2521" t="str">
        <f t="shared" si="39"/>
        <v>CN|AccumulatedNewCapacity|RE1|PWRHYDROR|2035</v>
      </c>
      <c r="B2521" t="s">
        <v>39</v>
      </c>
      <c r="C2521" t="s">
        <v>40</v>
      </c>
      <c r="D2521" t="s">
        <v>18</v>
      </c>
      <c r="E2521" t="s">
        <v>19</v>
      </c>
      <c r="F2521" t="s">
        <v>25</v>
      </c>
      <c r="O2521">
        <v>2035</v>
      </c>
    </row>
    <row r="2522" spans="1:16" x14ac:dyDescent="0.3">
      <c r="A2522" t="str">
        <f t="shared" si="39"/>
        <v>CN|AccumulatedNewCapacity|RE1|PWRHYDROR_NDC|2035</v>
      </c>
      <c r="B2522" t="s">
        <v>39</v>
      </c>
      <c r="C2522" t="s">
        <v>40</v>
      </c>
      <c r="D2522" t="s">
        <v>18</v>
      </c>
      <c r="E2522" t="s">
        <v>19</v>
      </c>
      <c r="F2522" t="s">
        <v>26</v>
      </c>
      <c r="O2522">
        <v>2035</v>
      </c>
    </row>
    <row r="2523" spans="1:16" x14ac:dyDescent="0.3">
      <c r="A2523" t="str">
        <f t="shared" si="39"/>
        <v>CN|AccumulatedNewCapacity|RE1|PWRJET|2035</v>
      </c>
      <c r="B2523" t="s">
        <v>39</v>
      </c>
      <c r="C2523" t="s">
        <v>40</v>
      </c>
      <c r="D2523" t="s">
        <v>18</v>
      </c>
      <c r="E2523" t="s">
        <v>19</v>
      </c>
      <c r="F2523" t="s">
        <v>27</v>
      </c>
      <c r="O2523">
        <v>2035</v>
      </c>
    </row>
    <row r="2524" spans="1:16" x14ac:dyDescent="0.3">
      <c r="A2524" t="str">
        <f t="shared" si="39"/>
        <v>CN|AccumulatedNewCapacity|RE1|PWRLPG|2035</v>
      </c>
      <c r="B2524" t="s">
        <v>39</v>
      </c>
      <c r="C2524" t="s">
        <v>40</v>
      </c>
      <c r="D2524" t="s">
        <v>18</v>
      </c>
      <c r="E2524" t="s">
        <v>19</v>
      </c>
      <c r="F2524" t="s">
        <v>28</v>
      </c>
      <c r="O2524">
        <v>2035</v>
      </c>
    </row>
    <row r="2525" spans="1:16" x14ac:dyDescent="0.3">
      <c r="A2525" t="str">
        <f t="shared" si="39"/>
        <v>CN|AccumulatedNewCapacity|RE1|PWRNGS_CC|2035</v>
      </c>
      <c r="B2525" t="s">
        <v>39</v>
      </c>
      <c r="C2525" t="s">
        <v>40</v>
      </c>
      <c r="D2525" t="s">
        <v>18</v>
      </c>
      <c r="E2525" t="s">
        <v>19</v>
      </c>
      <c r="F2525" t="s">
        <v>29</v>
      </c>
      <c r="O2525">
        <v>2035</v>
      </c>
    </row>
    <row r="2526" spans="1:16" x14ac:dyDescent="0.3">
      <c r="A2526" t="str">
        <f t="shared" si="39"/>
        <v>CN|AccumulatedNewCapacity|RE1|PWRNGS_CS|2035</v>
      </c>
      <c r="B2526" t="s">
        <v>39</v>
      </c>
      <c r="C2526" t="s">
        <v>40</v>
      </c>
      <c r="D2526" t="s">
        <v>18</v>
      </c>
      <c r="E2526" t="s">
        <v>19</v>
      </c>
      <c r="F2526" t="s">
        <v>30</v>
      </c>
      <c r="O2526">
        <v>2035</v>
      </c>
    </row>
    <row r="2527" spans="1:16" x14ac:dyDescent="0.3">
      <c r="A2527" t="str">
        <f t="shared" si="39"/>
        <v>CN|AccumulatedNewCapacity|RE1|PWRSOLRTP|2035</v>
      </c>
      <c r="B2527" t="s">
        <v>39</v>
      </c>
      <c r="C2527" t="s">
        <v>40</v>
      </c>
      <c r="D2527" t="s">
        <v>18</v>
      </c>
      <c r="E2527" t="s">
        <v>19</v>
      </c>
      <c r="F2527" t="s">
        <v>31</v>
      </c>
      <c r="O2527">
        <v>2035</v>
      </c>
      <c r="P2527">
        <v>151.94</v>
      </c>
    </row>
    <row r="2528" spans="1:16" x14ac:dyDescent="0.3">
      <c r="A2528" t="str">
        <f t="shared" si="39"/>
        <v>CN|AccumulatedNewCapacity|RE1|PWRSOLRTP_ZNI|2035</v>
      </c>
      <c r="B2528" t="s">
        <v>39</v>
      </c>
      <c r="C2528" t="s">
        <v>40</v>
      </c>
      <c r="D2528" t="s">
        <v>18</v>
      </c>
      <c r="E2528" t="s">
        <v>19</v>
      </c>
      <c r="F2528" t="s">
        <v>32</v>
      </c>
      <c r="O2528">
        <v>2035</v>
      </c>
      <c r="P2528">
        <v>0.72992806437895164</v>
      </c>
    </row>
    <row r="2529" spans="1:16" x14ac:dyDescent="0.3">
      <c r="A2529" t="str">
        <f t="shared" si="39"/>
        <v>CN|AccumulatedNewCapacity|RE1|PWRSOLUGE|2035</v>
      </c>
      <c r="B2529" t="s">
        <v>39</v>
      </c>
      <c r="C2529" t="s">
        <v>40</v>
      </c>
      <c r="D2529" t="s">
        <v>18</v>
      </c>
      <c r="E2529" t="s">
        <v>19</v>
      </c>
      <c r="F2529" t="s">
        <v>33</v>
      </c>
      <c r="O2529">
        <v>2035</v>
      </c>
      <c r="P2529">
        <v>143.394192</v>
      </c>
    </row>
    <row r="2530" spans="1:16" x14ac:dyDescent="0.3">
      <c r="A2530" t="str">
        <f t="shared" si="39"/>
        <v>CN|AccumulatedNewCapacity|RE1|PWRSOLUGE_BAT|2035</v>
      </c>
      <c r="B2530" t="s">
        <v>39</v>
      </c>
      <c r="C2530" t="s">
        <v>40</v>
      </c>
      <c r="D2530" t="s">
        <v>18</v>
      </c>
      <c r="E2530" t="s">
        <v>19</v>
      </c>
      <c r="F2530" t="s">
        <v>41</v>
      </c>
      <c r="O2530">
        <v>2035</v>
      </c>
    </row>
    <row r="2531" spans="1:16" x14ac:dyDescent="0.3">
      <c r="A2531" t="str">
        <f t="shared" si="39"/>
        <v>CN|AccumulatedNewCapacity|RE1|PWRSOLUPE|2035</v>
      </c>
      <c r="B2531" t="s">
        <v>39</v>
      </c>
      <c r="C2531" t="s">
        <v>40</v>
      </c>
      <c r="D2531" t="s">
        <v>18</v>
      </c>
      <c r="E2531" t="s">
        <v>19</v>
      </c>
      <c r="F2531" t="s">
        <v>34</v>
      </c>
      <c r="O2531">
        <v>2035</v>
      </c>
      <c r="P2531">
        <v>12.14419823999993</v>
      </c>
    </row>
    <row r="2532" spans="1:16" x14ac:dyDescent="0.3">
      <c r="A2532" t="str">
        <f t="shared" si="39"/>
        <v>CN|AccumulatedNewCapacity|RE1|PWRSTD|2035</v>
      </c>
      <c r="B2532" t="s">
        <v>39</v>
      </c>
      <c r="C2532" t="s">
        <v>40</v>
      </c>
      <c r="D2532" t="s">
        <v>18</v>
      </c>
      <c r="E2532" t="s">
        <v>19</v>
      </c>
      <c r="F2532" t="s">
        <v>35</v>
      </c>
      <c r="O2532">
        <v>2035</v>
      </c>
    </row>
    <row r="2533" spans="1:16" x14ac:dyDescent="0.3">
      <c r="A2533" t="str">
        <f t="shared" si="39"/>
        <v>CN|AccumulatedNewCapacity|RE1|PWRWNDOFS_FIX|2035</v>
      </c>
      <c r="B2533" t="s">
        <v>39</v>
      </c>
      <c r="C2533" t="s">
        <v>40</v>
      </c>
      <c r="D2533" t="s">
        <v>18</v>
      </c>
      <c r="E2533" t="s">
        <v>19</v>
      </c>
      <c r="F2533" t="s">
        <v>42</v>
      </c>
      <c r="O2533">
        <v>2035</v>
      </c>
    </row>
    <row r="2534" spans="1:16" x14ac:dyDescent="0.3">
      <c r="A2534" t="str">
        <f t="shared" si="39"/>
        <v>CN|AccumulatedNewCapacity|RE1|PWRWNDOFS_FLO|2035</v>
      </c>
      <c r="B2534" t="s">
        <v>39</v>
      </c>
      <c r="C2534" t="s">
        <v>40</v>
      </c>
      <c r="D2534" t="s">
        <v>18</v>
      </c>
      <c r="E2534" t="s">
        <v>19</v>
      </c>
      <c r="F2534" t="s">
        <v>43</v>
      </c>
      <c r="O2534">
        <v>2035</v>
      </c>
    </row>
    <row r="2535" spans="1:16" x14ac:dyDescent="0.3">
      <c r="A2535" t="str">
        <f t="shared" si="39"/>
        <v>CN|AccumulatedNewCapacity|RE1|PWRWNDONS|2035</v>
      </c>
      <c r="B2535" t="s">
        <v>39</v>
      </c>
      <c r="C2535" t="s">
        <v>40</v>
      </c>
      <c r="D2535" t="s">
        <v>18</v>
      </c>
      <c r="E2535" t="s">
        <v>19</v>
      </c>
      <c r="F2535" t="s">
        <v>36</v>
      </c>
      <c r="O2535">
        <v>2035</v>
      </c>
      <c r="P2535">
        <v>141.8994464844356</v>
      </c>
    </row>
    <row r="2536" spans="1:16" x14ac:dyDescent="0.3">
      <c r="A2536" t="str">
        <f t="shared" si="39"/>
        <v>CN|NewCapacity|RE1|PWRBGS|2035</v>
      </c>
      <c r="B2536" t="s">
        <v>39</v>
      </c>
      <c r="C2536" t="s">
        <v>40</v>
      </c>
      <c r="D2536" t="s">
        <v>37</v>
      </c>
      <c r="E2536" t="s">
        <v>19</v>
      </c>
      <c r="F2536" t="s">
        <v>20</v>
      </c>
      <c r="O2536">
        <v>2035</v>
      </c>
    </row>
    <row r="2537" spans="1:16" x14ac:dyDescent="0.3">
      <c r="A2537" t="str">
        <f t="shared" si="39"/>
        <v>CN|NewCapacity|RE1|PWRCOA|2035</v>
      </c>
      <c r="B2537" t="s">
        <v>39</v>
      </c>
      <c r="C2537" t="s">
        <v>40</v>
      </c>
      <c r="D2537" t="s">
        <v>37</v>
      </c>
      <c r="E2537" t="s">
        <v>19</v>
      </c>
      <c r="F2537" t="s">
        <v>21</v>
      </c>
      <c r="O2537">
        <v>2035</v>
      </c>
    </row>
    <row r="2538" spans="1:16" x14ac:dyDescent="0.3">
      <c r="A2538" t="str">
        <f t="shared" si="39"/>
        <v>CN|NewCapacity|RE1|PWRDSL|2035</v>
      </c>
      <c r="B2538" t="s">
        <v>39</v>
      </c>
      <c r="C2538" t="s">
        <v>40</v>
      </c>
      <c r="D2538" t="s">
        <v>37</v>
      </c>
      <c r="E2538" t="s">
        <v>19</v>
      </c>
      <c r="F2538" t="s">
        <v>22</v>
      </c>
      <c r="O2538">
        <v>2035</v>
      </c>
    </row>
    <row r="2539" spans="1:16" x14ac:dyDescent="0.3">
      <c r="A2539" t="str">
        <f t="shared" si="39"/>
        <v>CN|NewCapacity|RE1|PWRFOL|2035</v>
      </c>
      <c r="B2539" t="s">
        <v>39</v>
      </c>
      <c r="C2539" t="s">
        <v>40</v>
      </c>
      <c r="D2539" t="s">
        <v>37</v>
      </c>
      <c r="E2539" t="s">
        <v>19</v>
      </c>
      <c r="F2539" t="s">
        <v>23</v>
      </c>
      <c r="O2539">
        <v>2035</v>
      </c>
    </row>
    <row r="2540" spans="1:16" x14ac:dyDescent="0.3">
      <c r="A2540" t="str">
        <f t="shared" si="39"/>
        <v>CN|NewCapacity|RE1|PWRHYDDAM|2035</v>
      </c>
      <c r="B2540" t="s">
        <v>39</v>
      </c>
      <c r="C2540" t="s">
        <v>40</v>
      </c>
      <c r="D2540" t="s">
        <v>37</v>
      </c>
      <c r="E2540" t="s">
        <v>19</v>
      </c>
      <c r="F2540" t="s">
        <v>24</v>
      </c>
      <c r="O2540">
        <v>2035</v>
      </c>
    </row>
    <row r="2541" spans="1:16" x14ac:dyDescent="0.3">
      <c r="A2541" t="str">
        <f t="shared" si="39"/>
        <v>CN|NewCapacity|RE1|PWRHYDROR|2035</v>
      </c>
      <c r="B2541" t="s">
        <v>39</v>
      </c>
      <c r="C2541" t="s">
        <v>40</v>
      </c>
      <c r="D2541" t="s">
        <v>37</v>
      </c>
      <c r="E2541" t="s">
        <v>19</v>
      </c>
      <c r="F2541" t="s">
        <v>25</v>
      </c>
      <c r="O2541">
        <v>2035</v>
      </c>
    </row>
    <row r="2542" spans="1:16" x14ac:dyDescent="0.3">
      <c r="A2542" t="str">
        <f t="shared" si="39"/>
        <v>CN|NewCapacity|RE1|PWRHYDROR_NDC|2035</v>
      </c>
      <c r="B2542" t="s">
        <v>39</v>
      </c>
      <c r="C2542" t="s">
        <v>40</v>
      </c>
      <c r="D2542" t="s">
        <v>37</v>
      </c>
      <c r="E2542" t="s">
        <v>19</v>
      </c>
      <c r="F2542" t="s">
        <v>26</v>
      </c>
      <c r="O2542">
        <v>2035</v>
      </c>
    </row>
    <row r="2543" spans="1:16" x14ac:dyDescent="0.3">
      <c r="A2543" t="str">
        <f t="shared" si="39"/>
        <v>CN|NewCapacity|RE1|PWRJET|2035</v>
      </c>
      <c r="B2543" t="s">
        <v>39</v>
      </c>
      <c r="C2543" t="s">
        <v>40</v>
      </c>
      <c r="D2543" t="s">
        <v>37</v>
      </c>
      <c r="E2543" t="s">
        <v>19</v>
      </c>
      <c r="F2543" t="s">
        <v>27</v>
      </c>
      <c r="O2543">
        <v>2035</v>
      </c>
    </row>
    <row r="2544" spans="1:16" x14ac:dyDescent="0.3">
      <c r="A2544" t="str">
        <f t="shared" si="39"/>
        <v>CN|NewCapacity|RE1|PWRLPG|2035</v>
      </c>
      <c r="B2544" t="s">
        <v>39</v>
      </c>
      <c r="C2544" t="s">
        <v>40</v>
      </c>
      <c r="D2544" t="s">
        <v>37</v>
      </c>
      <c r="E2544" t="s">
        <v>19</v>
      </c>
      <c r="F2544" t="s">
        <v>28</v>
      </c>
      <c r="O2544">
        <v>2035</v>
      </c>
    </row>
    <row r="2545" spans="1:16" x14ac:dyDescent="0.3">
      <c r="A2545" t="str">
        <f t="shared" si="39"/>
        <v>CN|NewCapacity|RE1|PWRNGS_CC|2035</v>
      </c>
      <c r="B2545" t="s">
        <v>39</v>
      </c>
      <c r="C2545" t="s">
        <v>40</v>
      </c>
      <c r="D2545" t="s">
        <v>37</v>
      </c>
      <c r="E2545" t="s">
        <v>19</v>
      </c>
      <c r="F2545" t="s">
        <v>29</v>
      </c>
      <c r="O2545">
        <v>2035</v>
      </c>
    </row>
    <row r="2546" spans="1:16" x14ac:dyDescent="0.3">
      <c r="A2546" t="str">
        <f t="shared" si="39"/>
        <v>CN|NewCapacity|RE1|PWRNGS_CS|2035</v>
      </c>
      <c r="B2546" t="s">
        <v>39</v>
      </c>
      <c r="C2546" t="s">
        <v>40</v>
      </c>
      <c r="D2546" t="s">
        <v>37</v>
      </c>
      <c r="E2546" t="s">
        <v>19</v>
      </c>
      <c r="F2546" t="s">
        <v>30</v>
      </c>
      <c r="O2546">
        <v>2035</v>
      </c>
    </row>
    <row r="2547" spans="1:16" x14ac:dyDescent="0.3">
      <c r="A2547" t="str">
        <f t="shared" si="39"/>
        <v>CN|NewCapacity|RE1|PWRSOLRTP|2035</v>
      </c>
      <c r="B2547" t="s">
        <v>39</v>
      </c>
      <c r="C2547" t="s">
        <v>40</v>
      </c>
      <c r="D2547" t="s">
        <v>37</v>
      </c>
      <c r="E2547" t="s">
        <v>19</v>
      </c>
      <c r="F2547" t="s">
        <v>31</v>
      </c>
      <c r="O2547">
        <v>2035</v>
      </c>
      <c r="P2547">
        <v>11.79</v>
      </c>
    </row>
    <row r="2548" spans="1:16" x14ac:dyDescent="0.3">
      <c r="A2548" t="str">
        <f t="shared" si="39"/>
        <v>CN|NewCapacity|RE1|PWRSOLRTP_ZNI|2035</v>
      </c>
      <c r="B2548" t="s">
        <v>39</v>
      </c>
      <c r="C2548" t="s">
        <v>40</v>
      </c>
      <c r="D2548" t="s">
        <v>37</v>
      </c>
      <c r="E2548" t="s">
        <v>19</v>
      </c>
      <c r="F2548" t="s">
        <v>32</v>
      </c>
      <c r="O2548">
        <v>2035</v>
      </c>
      <c r="P2548">
        <v>3.9685427529363833E-2</v>
      </c>
    </row>
    <row r="2549" spans="1:16" x14ac:dyDescent="0.3">
      <c r="A2549" t="str">
        <f t="shared" si="39"/>
        <v>CN|NewCapacity|RE1|PWRSOLUGE|2035</v>
      </c>
      <c r="B2549" t="s">
        <v>39</v>
      </c>
      <c r="C2549" t="s">
        <v>40</v>
      </c>
      <c r="D2549" t="s">
        <v>37</v>
      </c>
      <c r="E2549" t="s">
        <v>19</v>
      </c>
      <c r="F2549" t="s">
        <v>33</v>
      </c>
      <c r="O2549">
        <v>2035</v>
      </c>
    </row>
    <row r="2550" spans="1:16" x14ac:dyDescent="0.3">
      <c r="A2550" t="str">
        <f t="shared" si="39"/>
        <v>CN|NewCapacity|RE1|PWRSOLUGE_BAT|2035</v>
      </c>
      <c r="B2550" t="s">
        <v>39</v>
      </c>
      <c r="C2550" t="s">
        <v>40</v>
      </c>
      <c r="D2550" t="s">
        <v>37</v>
      </c>
      <c r="E2550" t="s">
        <v>19</v>
      </c>
      <c r="F2550" t="s">
        <v>41</v>
      </c>
      <c r="O2550">
        <v>2035</v>
      </c>
    </row>
    <row r="2551" spans="1:16" x14ac:dyDescent="0.3">
      <c r="A2551" t="str">
        <f t="shared" si="39"/>
        <v>CN|NewCapacity|RE1|PWRSOLUPE|2035</v>
      </c>
      <c r="B2551" t="s">
        <v>39</v>
      </c>
      <c r="C2551" t="s">
        <v>40</v>
      </c>
      <c r="D2551" t="s">
        <v>37</v>
      </c>
      <c r="E2551" t="s">
        <v>19</v>
      </c>
      <c r="F2551" t="s">
        <v>34</v>
      </c>
      <c r="O2551">
        <v>2035</v>
      </c>
    </row>
    <row r="2552" spans="1:16" x14ac:dyDescent="0.3">
      <c r="A2552" t="str">
        <f t="shared" si="39"/>
        <v>CN|NewCapacity|RE1|PWRSTD|2035</v>
      </c>
      <c r="B2552" t="s">
        <v>39</v>
      </c>
      <c r="C2552" t="s">
        <v>40</v>
      </c>
      <c r="D2552" t="s">
        <v>37</v>
      </c>
      <c r="E2552" t="s">
        <v>19</v>
      </c>
      <c r="F2552" t="s">
        <v>35</v>
      </c>
      <c r="O2552">
        <v>2035</v>
      </c>
    </row>
    <row r="2553" spans="1:16" x14ac:dyDescent="0.3">
      <c r="A2553" t="str">
        <f t="shared" si="39"/>
        <v>CN|NewCapacity|RE1|PWRWNDOFS_FIX|2035</v>
      </c>
      <c r="B2553" t="s">
        <v>39</v>
      </c>
      <c r="C2553" t="s">
        <v>40</v>
      </c>
      <c r="D2553" t="s">
        <v>37</v>
      </c>
      <c r="E2553" t="s">
        <v>19</v>
      </c>
      <c r="F2553" t="s">
        <v>42</v>
      </c>
      <c r="O2553">
        <v>2035</v>
      </c>
    </row>
    <row r="2554" spans="1:16" x14ac:dyDescent="0.3">
      <c r="A2554" t="str">
        <f t="shared" si="39"/>
        <v>CN|NewCapacity|RE1|PWRWNDOFS_FLO|2035</v>
      </c>
      <c r="B2554" t="s">
        <v>39</v>
      </c>
      <c r="C2554" t="s">
        <v>40</v>
      </c>
      <c r="D2554" t="s">
        <v>37</v>
      </c>
      <c r="E2554" t="s">
        <v>19</v>
      </c>
      <c r="F2554" t="s">
        <v>43</v>
      </c>
      <c r="O2554">
        <v>2035</v>
      </c>
    </row>
    <row r="2555" spans="1:16" x14ac:dyDescent="0.3">
      <c r="A2555" t="str">
        <f t="shared" si="39"/>
        <v>CN|NewCapacity|RE1|PWRWNDONS|2035</v>
      </c>
      <c r="B2555" t="s">
        <v>39</v>
      </c>
      <c r="C2555" t="s">
        <v>40</v>
      </c>
      <c r="D2555" t="s">
        <v>37</v>
      </c>
      <c r="E2555" t="s">
        <v>19</v>
      </c>
      <c r="F2555" t="s">
        <v>36</v>
      </c>
      <c r="O2555">
        <v>2035</v>
      </c>
      <c r="P2555">
        <v>47.31</v>
      </c>
    </row>
    <row r="2556" spans="1:16" x14ac:dyDescent="0.3">
      <c r="A2556" t="str">
        <f t="shared" si="39"/>
        <v>CN|TotalCapacityAnnual|RE1|PWRBGS|2035</v>
      </c>
      <c r="B2556" t="s">
        <v>39</v>
      </c>
      <c r="C2556" t="s">
        <v>40</v>
      </c>
      <c r="D2556" t="s">
        <v>38</v>
      </c>
      <c r="E2556" t="s">
        <v>19</v>
      </c>
      <c r="F2556" t="s">
        <v>20</v>
      </c>
      <c r="O2556">
        <v>2035</v>
      </c>
      <c r="P2556">
        <v>2.5488587520000001E-2</v>
      </c>
    </row>
    <row r="2557" spans="1:16" x14ac:dyDescent="0.3">
      <c r="A2557" t="str">
        <f t="shared" si="39"/>
        <v>CN|TotalCapacityAnnual|RE1|PWRCOA|2035</v>
      </c>
      <c r="B2557" t="s">
        <v>39</v>
      </c>
      <c r="C2557" t="s">
        <v>40</v>
      </c>
      <c r="D2557" t="s">
        <v>38</v>
      </c>
      <c r="E2557" t="s">
        <v>19</v>
      </c>
      <c r="F2557" t="s">
        <v>21</v>
      </c>
      <c r="O2557">
        <v>2035</v>
      </c>
      <c r="P2557">
        <v>13.87584</v>
      </c>
    </row>
    <row r="2558" spans="1:16" x14ac:dyDescent="0.3">
      <c r="A2558" t="str">
        <f t="shared" si="39"/>
        <v>CN|TotalCapacityAnnual|RE1|PWRDSL|2035</v>
      </c>
      <c r="B2558" t="s">
        <v>39</v>
      </c>
      <c r="C2558" t="s">
        <v>40</v>
      </c>
      <c r="D2558" t="s">
        <v>38</v>
      </c>
      <c r="E2558" t="s">
        <v>19</v>
      </c>
      <c r="F2558" t="s">
        <v>22</v>
      </c>
      <c r="O2558">
        <v>2035</v>
      </c>
    </row>
    <row r="2559" spans="1:16" x14ac:dyDescent="0.3">
      <c r="A2559" t="str">
        <f t="shared" si="39"/>
        <v>CN|TotalCapacityAnnual|RE1|PWRFOL|2035</v>
      </c>
      <c r="B2559" t="s">
        <v>39</v>
      </c>
      <c r="C2559" t="s">
        <v>40</v>
      </c>
      <c r="D2559" t="s">
        <v>38</v>
      </c>
      <c r="E2559" t="s">
        <v>19</v>
      </c>
      <c r="F2559" t="s">
        <v>23</v>
      </c>
      <c r="O2559">
        <v>2035</v>
      </c>
      <c r="P2559">
        <v>8.3885759999999987</v>
      </c>
    </row>
    <row r="2560" spans="1:16" x14ac:dyDescent="0.3">
      <c r="A2560" t="str">
        <f t="shared" si="39"/>
        <v>CN|TotalCapacityAnnual|RE1|PWRHYDDAM|2035</v>
      </c>
      <c r="B2560" t="s">
        <v>39</v>
      </c>
      <c r="C2560" t="s">
        <v>40</v>
      </c>
      <c r="D2560" t="s">
        <v>38</v>
      </c>
      <c r="E2560" t="s">
        <v>19</v>
      </c>
      <c r="F2560" t="s">
        <v>24</v>
      </c>
      <c r="O2560">
        <v>2035</v>
      </c>
      <c r="P2560">
        <v>440.49164800000011</v>
      </c>
    </row>
    <row r="2561" spans="1:16" x14ac:dyDescent="0.3">
      <c r="A2561" t="str">
        <f t="shared" si="39"/>
        <v>CN|TotalCapacityAnnual|RE1|PWRHYDROR|2035</v>
      </c>
      <c r="B2561" t="s">
        <v>39</v>
      </c>
      <c r="C2561" t="s">
        <v>40</v>
      </c>
      <c r="D2561" t="s">
        <v>38</v>
      </c>
      <c r="E2561" t="s">
        <v>19</v>
      </c>
      <c r="F2561" t="s">
        <v>25</v>
      </c>
      <c r="O2561">
        <v>2035</v>
      </c>
      <c r="P2561">
        <v>21.097584000000001</v>
      </c>
    </row>
    <row r="2562" spans="1:16" x14ac:dyDescent="0.3">
      <c r="A2562" t="str">
        <f t="shared" ref="A2562:A2625" si="40">B2562&amp;"|"&amp;D2562&amp;"|"&amp;E2562&amp;"|"&amp;F2562&amp;"|"&amp;O2562</f>
        <v>CN|TotalCapacityAnnual|RE1|PWRHYDROR_NDC|2035</v>
      </c>
      <c r="B2562" t="s">
        <v>39</v>
      </c>
      <c r="C2562" t="s">
        <v>40</v>
      </c>
      <c r="D2562" t="s">
        <v>38</v>
      </c>
      <c r="E2562" t="s">
        <v>19</v>
      </c>
      <c r="F2562" t="s">
        <v>26</v>
      </c>
      <c r="O2562">
        <v>2035</v>
      </c>
      <c r="P2562">
        <v>29.725108271999989</v>
      </c>
    </row>
    <row r="2563" spans="1:16" x14ac:dyDescent="0.3">
      <c r="A2563" t="str">
        <f t="shared" si="40"/>
        <v>CN|TotalCapacityAnnual|RE1|PWRJET|2035</v>
      </c>
      <c r="B2563" t="s">
        <v>39</v>
      </c>
      <c r="C2563" t="s">
        <v>40</v>
      </c>
      <c r="D2563" t="s">
        <v>38</v>
      </c>
      <c r="E2563" t="s">
        <v>19</v>
      </c>
      <c r="F2563" t="s">
        <v>27</v>
      </c>
      <c r="O2563">
        <v>2035</v>
      </c>
      <c r="P2563">
        <v>1.5768</v>
      </c>
    </row>
    <row r="2564" spans="1:16" x14ac:dyDescent="0.3">
      <c r="A2564" t="str">
        <f t="shared" si="40"/>
        <v>CN|TotalCapacityAnnual|RE1|PWRLPG|2035</v>
      </c>
      <c r="B2564" t="s">
        <v>39</v>
      </c>
      <c r="C2564" t="s">
        <v>40</v>
      </c>
      <c r="D2564" t="s">
        <v>38</v>
      </c>
      <c r="E2564" t="s">
        <v>19</v>
      </c>
      <c r="F2564" t="s">
        <v>28</v>
      </c>
      <c r="O2564">
        <v>2035</v>
      </c>
      <c r="P2564">
        <v>1.639872</v>
      </c>
    </row>
    <row r="2565" spans="1:16" x14ac:dyDescent="0.3">
      <c r="A2565" t="str">
        <f t="shared" si="40"/>
        <v>CN|TotalCapacityAnnual|RE1|PWRNGS_CC|2035</v>
      </c>
      <c r="B2565" t="s">
        <v>39</v>
      </c>
      <c r="C2565" t="s">
        <v>40</v>
      </c>
      <c r="D2565" t="s">
        <v>38</v>
      </c>
      <c r="E2565" t="s">
        <v>19</v>
      </c>
      <c r="F2565" t="s">
        <v>29</v>
      </c>
      <c r="O2565">
        <v>2035</v>
      </c>
      <c r="P2565">
        <v>70.104500000000002</v>
      </c>
    </row>
    <row r="2566" spans="1:16" x14ac:dyDescent="0.3">
      <c r="A2566" t="str">
        <f t="shared" si="40"/>
        <v>CN|TotalCapacityAnnual|RE1|PWRNGS_CS|2035</v>
      </c>
      <c r="B2566" t="s">
        <v>39</v>
      </c>
      <c r="C2566" t="s">
        <v>40</v>
      </c>
      <c r="D2566" t="s">
        <v>38</v>
      </c>
      <c r="E2566" t="s">
        <v>19</v>
      </c>
      <c r="F2566" t="s">
        <v>30</v>
      </c>
      <c r="O2566">
        <v>2035</v>
      </c>
      <c r="P2566">
        <v>48.03</v>
      </c>
    </row>
    <row r="2567" spans="1:16" x14ac:dyDescent="0.3">
      <c r="A2567" t="str">
        <f t="shared" si="40"/>
        <v>CN|TotalCapacityAnnual|RE1|PWRSOLRTP|2035</v>
      </c>
      <c r="B2567" t="s">
        <v>39</v>
      </c>
      <c r="C2567" t="s">
        <v>40</v>
      </c>
      <c r="D2567" t="s">
        <v>38</v>
      </c>
      <c r="E2567" t="s">
        <v>19</v>
      </c>
      <c r="F2567" t="s">
        <v>31</v>
      </c>
      <c r="O2567">
        <v>2035</v>
      </c>
      <c r="P2567">
        <v>175.22409999999999</v>
      </c>
    </row>
    <row r="2568" spans="1:16" x14ac:dyDescent="0.3">
      <c r="A2568" t="str">
        <f t="shared" si="40"/>
        <v>CN|TotalCapacityAnnual|RE1|PWRSOLRTP_ZNI|2035</v>
      </c>
      <c r="B2568" t="s">
        <v>39</v>
      </c>
      <c r="C2568" t="s">
        <v>40</v>
      </c>
      <c r="D2568" t="s">
        <v>38</v>
      </c>
      <c r="E2568" t="s">
        <v>19</v>
      </c>
      <c r="F2568" t="s">
        <v>32</v>
      </c>
      <c r="O2568">
        <v>2035</v>
      </c>
      <c r="P2568">
        <v>1.1906690243789519</v>
      </c>
    </row>
    <row r="2569" spans="1:16" x14ac:dyDescent="0.3">
      <c r="A2569" t="str">
        <f t="shared" si="40"/>
        <v>CN|TotalCapacityAnnual|RE1|PWRSOLUGE|2035</v>
      </c>
      <c r="B2569" t="s">
        <v>39</v>
      </c>
      <c r="C2569" t="s">
        <v>40</v>
      </c>
      <c r="D2569" t="s">
        <v>38</v>
      </c>
      <c r="E2569" t="s">
        <v>19</v>
      </c>
      <c r="F2569" t="s">
        <v>33</v>
      </c>
      <c r="O2569">
        <v>2035</v>
      </c>
      <c r="P2569">
        <v>191.79186048</v>
      </c>
    </row>
    <row r="2570" spans="1:16" x14ac:dyDescent="0.3">
      <c r="A2570" t="str">
        <f t="shared" si="40"/>
        <v>CN|TotalCapacityAnnual|RE1|PWRSOLUGE_BAT|2035</v>
      </c>
      <c r="B2570" t="s">
        <v>39</v>
      </c>
      <c r="C2570" t="s">
        <v>40</v>
      </c>
      <c r="D2570" t="s">
        <v>38</v>
      </c>
      <c r="E2570" t="s">
        <v>19</v>
      </c>
      <c r="F2570" t="s">
        <v>41</v>
      </c>
      <c r="O2570">
        <v>2035</v>
      </c>
    </row>
    <row r="2571" spans="1:16" x14ac:dyDescent="0.3">
      <c r="A2571" t="str">
        <f t="shared" si="40"/>
        <v>CN|TotalCapacityAnnual|RE1|PWRSOLUPE|2035</v>
      </c>
      <c r="B2571" t="s">
        <v>39</v>
      </c>
      <c r="C2571" t="s">
        <v>40</v>
      </c>
      <c r="D2571" t="s">
        <v>38</v>
      </c>
      <c r="E2571" t="s">
        <v>19</v>
      </c>
      <c r="F2571" t="s">
        <v>34</v>
      </c>
      <c r="O2571">
        <v>2035</v>
      </c>
      <c r="P2571">
        <v>39.172600079999931</v>
      </c>
    </row>
    <row r="2572" spans="1:16" x14ac:dyDescent="0.3">
      <c r="A2572" t="str">
        <f t="shared" si="40"/>
        <v>CN|TotalCapacityAnnual|RE1|PWRSTD|2035</v>
      </c>
      <c r="B2572" t="s">
        <v>39</v>
      </c>
      <c r="C2572" t="s">
        <v>40</v>
      </c>
      <c r="D2572" t="s">
        <v>38</v>
      </c>
      <c r="E2572" t="s">
        <v>19</v>
      </c>
      <c r="F2572" t="s">
        <v>35</v>
      </c>
      <c r="O2572">
        <v>2035</v>
      </c>
      <c r="P2572">
        <v>8.163062064</v>
      </c>
    </row>
    <row r="2573" spans="1:16" x14ac:dyDescent="0.3">
      <c r="A2573" t="str">
        <f t="shared" si="40"/>
        <v>CN|TotalCapacityAnnual|RE1|PWRWNDOFS_FIX|2035</v>
      </c>
      <c r="B2573" t="s">
        <v>39</v>
      </c>
      <c r="C2573" t="s">
        <v>40</v>
      </c>
      <c r="D2573" t="s">
        <v>38</v>
      </c>
      <c r="E2573" t="s">
        <v>19</v>
      </c>
      <c r="F2573" t="s">
        <v>42</v>
      </c>
      <c r="O2573">
        <v>2035</v>
      </c>
    </row>
    <row r="2574" spans="1:16" x14ac:dyDescent="0.3">
      <c r="A2574" t="str">
        <f t="shared" si="40"/>
        <v>CN|TotalCapacityAnnual|RE1|PWRWNDOFS_FLO|2035</v>
      </c>
      <c r="B2574" t="s">
        <v>39</v>
      </c>
      <c r="C2574" t="s">
        <v>40</v>
      </c>
      <c r="D2574" t="s">
        <v>38</v>
      </c>
      <c r="E2574" t="s">
        <v>19</v>
      </c>
      <c r="F2574" t="s">
        <v>43</v>
      </c>
      <c r="O2574">
        <v>2035</v>
      </c>
    </row>
    <row r="2575" spans="1:16" x14ac:dyDescent="0.3">
      <c r="A2575" t="str">
        <f t="shared" si="40"/>
        <v>CN|TotalCapacityAnnual|RE1|PWRWNDONS|2035</v>
      </c>
      <c r="B2575" t="s">
        <v>39</v>
      </c>
      <c r="C2575" t="s">
        <v>40</v>
      </c>
      <c r="D2575" t="s">
        <v>38</v>
      </c>
      <c r="E2575" t="s">
        <v>19</v>
      </c>
      <c r="F2575" t="s">
        <v>36</v>
      </c>
      <c r="O2575">
        <v>2035</v>
      </c>
      <c r="P2575">
        <v>143.26810888443561</v>
      </c>
    </row>
    <row r="2576" spans="1:16" x14ac:dyDescent="0.3">
      <c r="A2576" t="str">
        <f t="shared" si="40"/>
        <v>CN|AccumulatedNewCapacity|RE1|PWRBGS|2036</v>
      </c>
      <c r="B2576" t="s">
        <v>39</v>
      </c>
      <c r="C2576" t="s">
        <v>40</v>
      </c>
      <c r="D2576" t="s">
        <v>18</v>
      </c>
      <c r="E2576" t="s">
        <v>19</v>
      </c>
      <c r="F2576" t="s">
        <v>20</v>
      </c>
      <c r="O2576">
        <v>2036</v>
      </c>
    </row>
    <row r="2577" spans="1:16" x14ac:dyDescent="0.3">
      <c r="A2577" t="str">
        <f t="shared" si="40"/>
        <v>CN|AccumulatedNewCapacity|RE1|PWRCOA|2036</v>
      </c>
      <c r="B2577" t="s">
        <v>39</v>
      </c>
      <c r="C2577" t="s">
        <v>40</v>
      </c>
      <c r="D2577" t="s">
        <v>18</v>
      </c>
      <c r="E2577" t="s">
        <v>19</v>
      </c>
      <c r="F2577" t="s">
        <v>21</v>
      </c>
      <c r="O2577">
        <v>2036</v>
      </c>
    </row>
    <row r="2578" spans="1:16" x14ac:dyDescent="0.3">
      <c r="A2578" t="str">
        <f t="shared" si="40"/>
        <v>CN|AccumulatedNewCapacity|RE1|PWRDSL|2036</v>
      </c>
      <c r="B2578" t="s">
        <v>39</v>
      </c>
      <c r="C2578" t="s">
        <v>40</v>
      </c>
      <c r="D2578" t="s">
        <v>18</v>
      </c>
      <c r="E2578" t="s">
        <v>19</v>
      </c>
      <c r="F2578" t="s">
        <v>22</v>
      </c>
      <c r="O2578">
        <v>2036</v>
      </c>
    </row>
    <row r="2579" spans="1:16" x14ac:dyDescent="0.3">
      <c r="A2579" t="str">
        <f t="shared" si="40"/>
        <v>CN|AccumulatedNewCapacity|RE1|PWRFOL|2036</v>
      </c>
      <c r="B2579" t="s">
        <v>39</v>
      </c>
      <c r="C2579" t="s">
        <v>40</v>
      </c>
      <c r="D2579" t="s">
        <v>18</v>
      </c>
      <c r="E2579" t="s">
        <v>19</v>
      </c>
      <c r="F2579" t="s">
        <v>23</v>
      </c>
      <c r="O2579">
        <v>2036</v>
      </c>
    </row>
    <row r="2580" spans="1:16" x14ac:dyDescent="0.3">
      <c r="A2580" t="str">
        <f t="shared" si="40"/>
        <v>CN|AccumulatedNewCapacity|RE1|PWRHYDDAM|2036</v>
      </c>
      <c r="B2580" t="s">
        <v>39</v>
      </c>
      <c r="C2580" t="s">
        <v>40</v>
      </c>
      <c r="D2580" t="s">
        <v>18</v>
      </c>
      <c r="E2580" t="s">
        <v>19</v>
      </c>
      <c r="F2580" t="s">
        <v>24</v>
      </c>
      <c r="O2580">
        <v>2036</v>
      </c>
      <c r="P2580">
        <v>37.840000000000003</v>
      </c>
    </row>
    <row r="2581" spans="1:16" x14ac:dyDescent="0.3">
      <c r="A2581" t="str">
        <f t="shared" si="40"/>
        <v>CN|AccumulatedNewCapacity|RE1|PWRHYDROR|2036</v>
      </c>
      <c r="B2581" t="s">
        <v>39</v>
      </c>
      <c r="C2581" t="s">
        <v>40</v>
      </c>
      <c r="D2581" t="s">
        <v>18</v>
      </c>
      <c r="E2581" t="s">
        <v>19</v>
      </c>
      <c r="F2581" t="s">
        <v>25</v>
      </c>
      <c r="O2581">
        <v>2036</v>
      </c>
    </row>
    <row r="2582" spans="1:16" x14ac:dyDescent="0.3">
      <c r="A2582" t="str">
        <f t="shared" si="40"/>
        <v>CN|AccumulatedNewCapacity|RE1|PWRHYDROR_NDC|2036</v>
      </c>
      <c r="B2582" t="s">
        <v>39</v>
      </c>
      <c r="C2582" t="s">
        <v>40</v>
      </c>
      <c r="D2582" t="s">
        <v>18</v>
      </c>
      <c r="E2582" t="s">
        <v>19</v>
      </c>
      <c r="F2582" t="s">
        <v>26</v>
      </c>
      <c r="O2582">
        <v>2036</v>
      </c>
    </row>
    <row r="2583" spans="1:16" x14ac:dyDescent="0.3">
      <c r="A2583" t="str">
        <f t="shared" si="40"/>
        <v>CN|AccumulatedNewCapacity|RE1|PWRJET|2036</v>
      </c>
      <c r="B2583" t="s">
        <v>39</v>
      </c>
      <c r="C2583" t="s">
        <v>40</v>
      </c>
      <c r="D2583" t="s">
        <v>18</v>
      </c>
      <c r="E2583" t="s">
        <v>19</v>
      </c>
      <c r="F2583" t="s">
        <v>27</v>
      </c>
      <c r="O2583">
        <v>2036</v>
      </c>
    </row>
    <row r="2584" spans="1:16" x14ac:dyDescent="0.3">
      <c r="A2584" t="str">
        <f t="shared" si="40"/>
        <v>CN|AccumulatedNewCapacity|RE1|PWRLPG|2036</v>
      </c>
      <c r="B2584" t="s">
        <v>39</v>
      </c>
      <c r="C2584" t="s">
        <v>40</v>
      </c>
      <c r="D2584" t="s">
        <v>18</v>
      </c>
      <c r="E2584" t="s">
        <v>19</v>
      </c>
      <c r="F2584" t="s">
        <v>28</v>
      </c>
      <c r="O2584">
        <v>2036</v>
      </c>
    </row>
    <row r="2585" spans="1:16" x14ac:dyDescent="0.3">
      <c r="A2585" t="str">
        <f t="shared" si="40"/>
        <v>CN|AccumulatedNewCapacity|RE1|PWRNGS_CC|2036</v>
      </c>
      <c r="B2585" t="s">
        <v>39</v>
      </c>
      <c r="C2585" t="s">
        <v>40</v>
      </c>
      <c r="D2585" t="s">
        <v>18</v>
      </c>
      <c r="E2585" t="s">
        <v>19</v>
      </c>
      <c r="F2585" t="s">
        <v>29</v>
      </c>
      <c r="O2585">
        <v>2036</v>
      </c>
    </row>
    <row r="2586" spans="1:16" x14ac:dyDescent="0.3">
      <c r="A2586" t="str">
        <f t="shared" si="40"/>
        <v>CN|AccumulatedNewCapacity|RE1|PWRNGS_CS|2036</v>
      </c>
      <c r="B2586" t="s">
        <v>39</v>
      </c>
      <c r="C2586" t="s">
        <v>40</v>
      </c>
      <c r="D2586" t="s">
        <v>18</v>
      </c>
      <c r="E2586" t="s">
        <v>19</v>
      </c>
      <c r="F2586" t="s">
        <v>30</v>
      </c>
      <c r="O2586">
        <v>2036</v>
      </c>
    </row>
    <row r="2587" spans="1:16" x14ac:dyDescent="0.3">
      <c r="A2587" t="str">
        <f t="shared" si="40"/>
        <v>CN|AccumulatedNewCapacity|RE1|PWRSOLRTP|2036</v>
      </c>
      <c r="B2587" t="s">
        <v>39</v>
      </c>
      <c r="C2587" t="s">
        <v>40</v>
      </c>
      <c r="D2587" t="s">
        <v>18</v>
      </c>
      <c r="E2587" t="s">
        <v>19</v>
      </c>
      <c r="F2587" t="s">
        <v>31</v>
      </c>
      <c r="O2587">
        <v>2036</v>
      </c>
      <c r="P2587">
        <v>163.92</v>
      </c>
    </row>
    <row r="2588" spans="1:16" x14ac:dyDescent="0.3">
      <c r="A2588" t="str">
        <f t="shared" si="40"/>
        <v>CN|AccumulatedNewCapacity|RE1|PWRSOLRTP_ZNI|2036</v>
      </c>
      <c r="B2588" t="s">
        <v>39</v>
      </c>
      <c r="C2588" t="s">
        <v>40</v>
      </c>
      <c r="D2588" t="s">
        <v>18</v>
      </c>
      <c r="E2588" t="s">
        <v>19</v>
      </c>
      <c r="F2588" t="s">
        <v>32</v>
      </c>
      <c r="O2588">
        <v>2036</v>
      </c>
      <c r="P2588">
        <v>0.77035577591644344</v>
      </c>
    </row>
    <row r="2589" spans="1:16" x14ac:dyDescent="0.3">
      <c r="A2589" t="str">
        <f t="shared" si="40"/>
        <v>CN|AccumulatedNewCapacity|RE1|PWRSOLUGE|2036</v>
      </c>
      <c r="B2589" t="s">
        <v>39</v>
      </c>
      <c r="C2589" t="s">
        <v>40</v>
      </c>
      <c r="D2589" t="s">
        <v>18</v>
      </c>
      <c r="E2589" t="s">
        <v>19</v>
      </c>
      <c r="F2589" t="s">
        <v>33</v>
      </c>
      <c r="O2589">
        <v>2036</v>
      </c>
      <c r="P2589">
        <v>143.394192</v>
      </c>
    </row>
    <row r="2590" spans="1:16" x14ac:dyDescent="0.3">
      <c r="A2590" t="str">
        <f t="shared" si="40"/>
        <v>CN|AccumulatedNewCapacity|RE1|PWRSOLUGE_BAT|2036</v>
      </c>
      <c r="B2590" t="s">
        <v>39</v>
      </c>
      <c r="C2590" t="s">
        <v>40</v>
      </c>
      <c r="D2590" t="s">
        <v>18</v>
      </c>
      <c r="E2590" t="s">
        <v>19</v>
      </c>
      <c r="F2590" t="s">
        <v>41</v>
      </c>
      <c r="O2590">
        <v>2036</v>
      </c>
    </row>
    <row r="2591" spans="1:16" x14ac:dyDescent="0.3">
      <c r="A2591" t="str">
        <f t="shared" si="40"/>
        <v>CN|AccumulatedNewCapacity|RE1|PWRSOLUPE|2036</v>
      </c>
      <c r="B2591" t="s">
        <v>39</v>
      </c>
      <c r="C2591" t="s">
        <v>40</v>
      </c>
      <c r="D2591" t="s">
        <v>18</v>
      </c>
      <c r="E2591" t="s">
        <v>19</v>
      </c>
      <c r="F2591" t="s">
        <v>34</v>
      </c>
      <c r="O2591">
        <v>2036</v>
      </c>
      <c r="P2591">
        <v>12.14419823999993</v>
      </c>
    </row>
    <row r="2592" spans="1:16" x14ac:dyDescent="0.3">
      <c r="A2592" t="str">
        <f t="shared" si="40"/>
        <v>CN|AccumulatedNewCapacity|RE1|PWRSTD|2036</v>
      </c>
      <c r="B2592" t="s">
        <v>39</v>
      </c>
      <c r="C2592" t="s">
        <v>40</v>
      </c>
      <c r="D2592" t="s">
        <v>18</v>
      </c>
      <c r="E2592" t="s">
        <v>19</v>
      </c>
      <c r="F2592" t="s">
        <v>35</v>
      </c>
      <c r="O2592">
        <v>2036</v>
      </c>
    </row>
    <row r="2593" spans="1:16" x14ac:dyDescent="0.3">
      <c r="A2593" t="str">
        <f t="shared" si="40"/>
        <v>CN|AccumulatedNewCapacity|RE1|PWRWNDOFS_FIX|2036</v>
      </c>
      <c r="B2593" t="s">
        <v>39</v>
      </c>
      <c r="C2593" t="s">
        <v>40</v>
      </c>
      <c r="D2593" t="s">
        <v>18</v>
      </c>
      <c r="E2593" t="s">
        <v>19</v>
      </c>
      <c r="F2593" t="s">
        <v>42</v>
      </c>
      <c r="O2593">
        <v>2036</v>
      </c>
      <c r="P2593">
        <v>13.05396568386857</v>
      </c>
    </row>
    <row r="2594" spans="1:16" x14ac:dyDescent="0.3">
      <c r="A2594" t="str">
        <f t="shared" si="40"/>
        <v>CN|AccumulatedNewCapacity|RE1|PWRWNDOFS_FLO|2036</v>
      </c>
      <c r="B2594" t="s">
        <v>39</v>
      </c>
      <c r="C2594" t="s">
        <v>40</v>
      </c>
      <c r="D2594" t="s">
        <v>18</v>
      </c>
      <c r="E2594" t="s">
        <v>19</v>
      </c>
      <c r="F2594" t="s">
        <v>43</v>
      </c>
      <c r="O2594">
        <v>2036</v>
      </c>
    </row>
    <row r="2595" spans="1:16" x14ac:dyDescent="0.3">
      <c r="A2595" t="str">
        <f t="shared" si="40"/>
        <v>CN|AccumulatedNewCapacity|RE1|PWRWNDONS|2036</v>
      </c>
      <c r="B2595" t="s">
        <v>39</v>
      </c>
      <c r="C2595" t="s">
        <v>40</v>
      </c>
      <c r="D2595" t="s">
        <v>18</v>
      </c>
      <c r="E2595" t="s">
        <v>19</v>
      </c>
      <c r="F2595" t="s">
        <v>36</v>
      </c>
      <c r="O2595">
        <v>2036</v>
      </c>
      <c r="P2595">
        <v>189.2094464844356</v>
      </c>
    </row>
    <row r="2596" spans="1:16" x14ac:dyDescent="0.3">
      <c r="A2596" t="str">
        <f t="shared" si="40"/>
        <v>CN|NewCapacity|RE1|PWRBGS|2036</v>
      </c>
      <c r="B2596" t="s">
        <v>39</v>
      </c>
      <c r="C2596" t="s">
        <v>40</v>
      </c>
      <c r="D2596" t="s">
        <v>37</v>
      </c>
      <c r="E2596" t="s">
        <v>19</v>
      </c>
      <c r="F2596" t="s">
        <v>20</v>
      </c>
      <c r="O2596">
        <v>2036</v>
      </c>
    </row>
    <row r="2597" spans="1:16" x14ac:dyDescent="0.3">
      <c r="A2597" t="str">
        <f t="shared" si="40"/>
        <v>CN|NewCapacity|RE1|PWRCOA|2036</v>
      </c>
      <c r="B2597" t="s">
        <v>39</v>
      </c>
      <c r="C2597" t="s">
        <v>40</v>
      </c>
      <c r="D2597" t="s">
        <v>37</v>
      </c>
      <c r="E2597" t="s">
        <v>19</v>
      </c>
      <c r="F2597" t="s">
        <v>21</v>
      </c>
      <c r="O2597">
        <v>2036</v>
      </c>
    </row>
    <row r="2598" spans="1:16" x14ac:dyDescent="0.3">
      <c r="A2598" t="str">
        <f t="shared" si="40"/>
        <v>CN|NewCapacity|RE1|PWRDSL|2036</v>
      </c>
      <c r="B2598" t="s">
        <v>39</v>
      </c>
      <c r="C2598" t="s">
        <v>40</v>
      </c>
      <c r="D2598" t="s">
        <v>37</v>
      </c>
      <c r="E2598" t="s">
        <v>19</v>
      </c>
      <c r="F2598" t="s">
        <v>22</v>
      </c>
      <c r="O2598">
        <v>2036</v>
      </c>
    </row>
    <row r="2599" spans="1:16" x14ac:dyDescent="0.3">
      <c r="A2599" t="str">
        <f t="shared" si="40"/>
        <v>CN|NewCapacity|RE1|PWRFOL|2036</v>
      </c>
      <c r="B2599" t="s">
        <v>39</v>
      </c>
      <c r="C2599" t="s">
        <v>40</v>
      </c>
      <c r="D2599" t="s">
        <v>37</v>
      </c>
      <c r="E2599" t="s">
        <v>19</v>
      </c>
      <c r="F2599" t="s">
        <v>23</v>
      </c>
      <c r="O2599">
        <v>2036</v>
      </c>
    </row>
    <row r="2600" spans="1:16" x14ac:dyDescent="0.3">
      <c r="A2600" t="str">
        <f t="shared" si="40"/>
        <v>CN|NewCapacity|RE1|PWRHYDDAM|2036</v>
      </c>
      <c r="B2600" t="s">
        <v>39</v>
      </c>
      <c r="C2600" t="s">
        <v>40</v>
      </c>
      <c r="D2600" t="s">
        <v>37</v>
      </c>
      <c r="E2600" t="s">
        <v>19</v>
      </c>
      <c r="F2600" t="s">
        <v>24</v>
      </c>
      <c r="O2600">
        <v>2036</v>
      </c>
    </row>
    <row r="2601" spans="1:16" x14ac:dyDescent="0.3">
      <c r="A2601" t="str">
        <f t="shared" si="40"/>
        <v>CN|NewCapacity|RE1|PWRHYDROR|2036</v>
      </c>
      <c r="B2601" t="s">
        <v>39</v>
      </c>
      <c r="C2601" t="s">
        <v>40</v>
      </c>
      <c r="D2601" t="s">
        <v>37</v>
      </c>
      <c r="E2601" t="s">
        <v>19</v>
      </c>
      <c r="F2601" t="s">
        <v>25</v>
      </c>
      <c r="O2601">
        <v>2036</v>
      </c>
    </row>
    <row r="2602" spans="1:16" x14ac:dyDescent="0.3">
      <c r="A2602" t="str">
        <f t="shared" si="40"/>
        <v>CN|NewCapacity|RE1|PWRHYDROR_NDC|2036</v>
      </c>
      <c r="B2602" t="s">
        <v>39</v>
      </c>
      <c r="C2602" t="s">
        <v>40</v>
      </c>
      <c r="D2602" t="s">
        <v>37</v>
      </c>
      <c r="E2602" t="s">
        <v>19</v>
      </c>
      <c r="F2602" t="s">
        <v>26</v>
      </c>
      <c r="O2602">
        <v>2036</v>
      </c>
    </row>
    <row r="2603" spans="1:16" x14ac:dyDescent="0.3">
      <c r="A2603" t="str">
        <f t="shared" si="40"/>
        <v>CN|NewCapacity|RE1|PWRJET|2036</v>
      </c>
      <c r="B2603" t="s">
        <v>39</v>
      </c>
      <c r="C2603" t="s">
        <v>40</v>
      </c>
      <c r="D2603" t="s">
        <v>37</v>
      </c>
      <c r="E2603" t="s">
        <v>19</v>
      </c>
      <c r="F2603" t="s">
        <v>27</v>
      </c>
      <c r="O2603">
        <v>2036</v>
      </c>
    </row>
    <row r="2604" spans="1:16" x14ac:dyDescent="0.3">
      <c r="A2604" t="str">
        <f t="shared" si="40"/>
        <v>CN|NewCapacity|RE1|PWRLPG|2036</v>
      </c>
      <c r="B2604" t="s">
        <v>39</v>
      </c>
      <c r="C2604" t="s">
        <v>40</v>
      </c>
      <c r="D2604" t="s">
        <v>37</v>
      </c>
      <c r="E2604" t="s">
        <v>19</v>
      </c>
      <c r="F2604" t="s">
        <v>28</v>
      </c>
      <c r="O2604">
        <v>2036</v>
      </c>
    </row>
    <row r="2605" spans="1:16" x14ac:dyDescent="0.3">
      <c r="A2605" t="str">
        <f t="shared" si="40"/>
        <v>CN|NewCapacity|RE1|PWRNGS_CC|2036</v>
      </c>
      <c r="B2605" t="s">
        <v>39</v>
      </c>
      <c r="C2605" t="s">
        <v>40</v>
      </c>
      <c r="D2605" t="s">
        <v>37</v>
      </c>
      <c r="E2605" t="s">
        <v>19</v>
      </c>
      <c r="F2605" t="s">
        <v>29</v>
      </c>
      <c r="O2605">
        <v>2036</v>
      </c>
    </row>
    <row r="2606" spans="1:16" x14ac:dyDescent="0.3">
      <c r="A2606" t="str">
        <f t="shared" si="40"/>
        <v>CN|NewCapacity|RE1|PWRNGS_CS|2036</v>
      </c>
      <c r="B2606" t="s">
        <v>39</v>
      </c>
      <c r="C2606" t="s">
        <v>40</v>
      </c>
      <c r="D2606" t="s">
        <v>37</v>
      </c>
      <c r="E2606" t="s">
        <v>19</v>
      </c>
      <c r="F2606" t="s">
        <v>30</v>
      </c>
      <c r="O2606">
        <v>2036</v>
      </c>
    </row>
    <row r="2607" spans="1:16" x14ac:dyDescent="0.3">
      <c r="A2607" t="str">
        <f t="shared" si="40"/>
        <v>CN|NewCapacity|RE1|PWRSOLRTP|2036</v>
      </c>
      <c r="B2607" t="s">
        <v>39</v>
      </c>
      <c r="C2607" t="s">
        <v>40</v>
      </c>
      <c r="D2607" t="s">
        <v>37</v>
      </c>
      <c r="E2607" t="s">
        <v>19</v>
      </c>
      <c r="F2607" t="s">
        <v>31</v>
      </c>
      <c r="O2607">
        <v>2036</v>
      </c>
      <c r="P2607">
        <v>11.98</v>
      </c>
    </row>
    <row r="2608" spans="1:16" x14ac:dyDescent="0.3">
      <c r="A2608" t="str">
        <f t="shared" si="40"/>
        <v>CN|NewCapacity|RE1|PWRSOLRTP_ZNI|2036</v>
      </c>
      <c r="B2608" t="s">
        <v>39</v>
      </c>
      <c r="C2608" t="s">
        <v>40</v>
      </c>
      <c r="D2608" t="s">
        <v>37</v>
      </c>
      <c r="E2608" t="s">
        <v>19</v>
      </c>
      <c r="F2608" t="s">
        <v>32</v>
      </c>
      <c r="O2608">
        <v>2036</v>
      </c>
      <c r="P2608">
        <v>4.0427711537491778E-2</v>
      </c>
    </row>
    <row r="2609" spans="1:16" x14ac:dyDescent="0.3">
      <c r="A2609" t="str">
        <f t="shared" si="40"/>
        <v>CN|NewCapacity|RE1|PWRSOLUGE|2036</v>
      </c>
      <c r="B2609" t="s">
        <v>39</v>
      </c>
      <c r="C2609" t="s">
        <v>40</v>
      </c>
      <c r="D2609" t="s">
        <v>37</v>
      </c>
      <c r="E2609" t="s">
        <v>19</v>
      </c>
      <c r="F2609" t="s">
        <v>33</v>
      </c>
      <c r="O2609">
        <v>2036</v>
      </c>
    </row>
    <row r="2610" spans="1:16" x14ac:dyDescent="0.3">
      <c r="A2610" t="str">
        <f t="shared" si="40"/>
        <v>CN|NewCapacity|RE1|PWRSOLUGE_BAT|2036</v>
      </c>
      <c r="B2610" t="s">
        <v>39</v>
      </c>
      <c r="C2610" t="s">
        <v>40</v>
      </c>
      <c r="D2610" t="s">
        <v>37</v>
      </c>
      <c r="E2610" t="s">
        <v>19</v>
      </c>
      <c r="F2610" t="s">
        <v>41</v>
      </c>
      <c r="O2610">
        <v>2036</v>
      </c>
    </row>
    <row r="2611" spans="1:16" x14ac:dyDescent="0.3">
      <c r="A2611" t="str">
        <f t="shared" si="40"/>
        <v>CN|NewCapacity|RE1|PWRSOLUPE|2036</v>
      </c>
      <c r="B2611" t="s">
        <v>39</v>
      </c>
      <c r="C2611" t="s">
        <v>40</v>
      </c>
      <c r="D2611" t="s">
        <v>37</v>
      </c>
      <c r="E2611" t="s">
        <v>19</v>
      </c>
      <c r="F2611" t="s">
        <v>34</v>
      </c>
      <c r="O2611">
        <v>2036</v>
      </c>
    </row>
    <row r="2612" spans="1:16" x14ac:dyDescent="0.3">
      <c r="A2612" t="str">
        <f t="shared" si="40"/>
        <v>CN|NewCapacity|RE1|PWRSTD|2036</v>
      </c>
      <c r="B2612" t="s">
        <v>39</v>
      </c>
      <c r="C2612" t="s">
        <v>40</v>
      </c>
      <c r="D2612" t="s">
        <v>37</v>
      </c>
      <c r="E2612" t="s">
        <v>19</v>
      </c>
      <c r="F2612" t="s">
        <v>35</v>
      </c>
      <c r="O2612">
        <v>2036</v>
      </c>
    </row>
    <row r="2613" spans="1:16" x14ac:dyDescent="0.3">
      <c r="A2613" t="str">
        <f t="shared" si="40"/>
        <v>CN|NewCapacity|RE1|PWRWNDOFS_FIX|2036</v>
      </c>
      <c r="B2613" t="s">
        <v>39</v>
      </c>
      <c r="C2613" t="s">
        <v>40</v>
      </c>
      <c r="D2613" t="s">
        <v>37</v>
      </c>
      <c r="E2613" t="s">
        <v>19</v>
      </c>
      <c r="F2613" t="s">
        <v>42</v>
      </c>
      <c r="O2613">
        <v>2036</v>
      </c>
      <c r="P2613">
        <v>13.05396568386857</v>
      </c>
    </row>
    <row r="2614" spans="1:16" x14ac:dyDescent="0.3">
      <c r="A2614" t="str">
        <f t="shared" si="40"/>
        <v>CN|NewCapacity|RE1|PWRWNDOFS_FLO|2036</v>
      </c>
      <c r="B2614" t="s">
        <v>39</v>
      </c>
      <c r="C2614" t="s">
        <v>40</v>
      </c>
      <c r="D2614" t="s">
        <v>37</v>
      </c>
      <c r="E2614" t="s">
        <v>19</v>
      </c>
      <c r="F2614" t="s">
        <v>43</v>
      </c>
      <c r="O2614">
        <v>2036</v>
      </c>
    </row>
    <row r="2615" spans="1:16" x14ac:dyDescent="0.3">
      <c r="A2615" t="str">
        <f t="shared" si="40"/>
        <v>CN|NewCapacity|RE1|PWRWNDONS|2036</v>
      </c>
      <c r="B2615" t="s">
        <v>39</v>
      </c>
      <c r="C2615" t="s">
        <v>40</v>
      </c>
      <c r="D2615" t="s">
        <v>37</v>
      </c>
      <c r="E2615" t="s">
        <v>19</v>
      </c>
      <c r="F2615" t="s">
        <v>36</v>
      </c>
      <c r="O2615">
        <v>2036</v>
      </c>
      <c r="P2615">
        <v>47.31</v>
      </c>
    </row>
    <row r="2616" spans="1:16" x14ac:dyDescent="0.3">
      <c r="A2616" t="str">
        <f t="shared" si="40"/>
        <v>CN|TotalCapacityAnnual|RE1|PWRBGS|2036</v>
      </c>
      <c r="B2616" t="s">
        <v>39</v>
      </c>
      <c r="C2616" t="s">
        <v>40</v>
      </c>
      <c r="D2616" t="s">
        <v>38</v>
      </c>
      <c r="E2616" t="s">
        <v>19</v>
      </c>
      <c r="F2616" t="s">
        <v>20</v>
      </c>
      <c r="O2616">
        <v>2036</v>
      </c>
      <c r="P2616">
        <v>2.5488587520000001E-2</v>
      </c>
    </row>
    <row r="2617" spans="1:16" x14ac:dyDescent="0.3">
      <c r="A2617" t="str">
        <f t="shared" si="40"/>
        <v>CN|TotalCapacityAnnual|RE1|PWRCOA|2036</v>
      </c>
      <c r="B2617" t="s">
        <v>39</v>
      </c>
      <c r="C2617" t="s">
        <v>40</v>
      </c>
      <c r="D2617" t="s">
        <v>38</v>
      </c>
      <c r="E2617" t="s">
        <v>19</v>
      </c>
      <c r="F2617" t="s">
        <v>21</v>
      </c>
      <c r="O2617">
        <v>2036</v>
      </c>
    </row>
    <row r="2618" spans="1:16" x14ac:dyDescent="0.3">
      <c r="A2618" t="str">
        <f t="shared" si="40"/>
        <v>CN|TotalCapacityAnnual|RE1|PWRDSL|2036</v>
      </c>
      <c r="B2618" t="s">
        <v>39</v>
      </c>
      <c r="C2618" t="s">
        <v>40</v>
      </c>
      <c r="D2618" t="s">
        <v>38</v>
      </c>
      <c r="E2618" t="s">
        <v>19</v>
      </c>
      <c r="F2618" t="s">
        <v>22</v>
      </c>
      <c r="O2618">
        <v>2036</v>
      </c>
    </row>
    <row r="2619" spans="1:16" x14ac:dyDescent="0.3">
      <c r="A2619" t="str">
        <f t="shared" si="40"/>
        <v>CN|TotalCapacityAnnual|RE1|PWRFOL|2036</v>
      </c>
      <c r="B2619" t="s">
        <v>39</v>
      </c>
      <c r="C2619" t="s">
        <v>40</v>
      </c>
      <c r="D2619" t="s">
        <v>38</v>
      </c>
      <c r="E2619" t="s">
        <v>19</v>
      </c>
      <c r="F2619" t="s">
        <v>23</v>
      </c>
      <c r="O2619">
        <v>2036</v>
      </c>
      <c r="P2619">
        <v>8.3885759999999987</v>
      </c>
    </row>
    <row r="2620" spans="1:16" x14ac:dyDescent="0.3">
      <c r="A2620" t="str">
        <f t="shared" si="40"/>
        <v>CN|TotalCapacityAnnual|RE1|PWRHYDDAM|2036</v>
      </c>
      <c r="B2620" t="s">
        <v>39</v>
      </c>
      <c r="C2620" t="s">
        <v>40</v>
      </c>
      <c r="D2620" t="s">
        <v>38</v>
      </c>
      <c r="E2620" t="s">
        <v>19</v>
      </c>
      <c r="F2620" t="s">
        <v>24</v>
      </c>
      <c r="O2620">
        <v>2036</v>
      </c>
      <c r="P2620">
        <v>440.49164800000011</v>
      </c>
    </row>
    <row r="2621" spans="1:16" x14ac:dyDescent="0.3">
      <c r="A2621" t="str">
        <f t="shared" si="40"/>
        <v>CN|TotalCapacityAnnual|RE1|PWRHYDROR|2036</v>
      </c>
      <c r="B2621" t="s">
        <v>39</v>
      </c>
      <c r="C2621" t="s">
        <v>40</v>
      </c>
      <c r="D2621" t="s">
        <v>38</v>
      </c>
      <c r="E2621" t="s">
        <v>19</v>
      </c>
      <c r="F2621" t="s">
        <v>25</v>
      </c>
      <c r="O2621">
        <v>2036</v>
      </c>
      <c r="P2621">
        <v>21.097584000000001</v>
      </c>
    </row>
    <row r="2622" spans="1:16" x14ac:dyDescent="0.3">
      <c r="A2622" t="str">
        <f t="shared" si="40"/>
        <v>CN|TotalCapacityAnnual|RE1|PWRHYDROR_NDC|2036</v>
      </c>
      <c r="B2622" t="s">
        <v>39</v>
      </c>
      <c r="C2622" t="s">
        <v>40</v>
      </c>
      <c r="D2622" t="s">
        <v>38</v>
      </c>
      <c r="E2622" t="s">
        <v>19</v>
      </c>
      <c r="F2622" t="s">
        <v>26</v>
      </c>
      <c r="O2622">
        <v>2036</v>
      </c>
      <c r="P2622">
        <v>29.725108271999989</v>
      </c>
    </row>
    <row r="2623" spans="1:16" x14ac:dyDescent="0.3">
      <c r="A2623" t="str">
        <f t="shared" si="40"/>
        <v>CN|TotalCapacityAnnual|RE1|PWRJET|2036</v>
      </c>
      <c r="B2623" t="s">
        <v>39</v>
      </c>
      <c r="C2623" t="s">
        <v>40</v>
      </c>
      <c r="D2623" t="s">
        <v>38</v>
      </c>
      <c r="E2623" t="s">
        <v>19</v>
      </c>
      <c r="F2623" t="s">
        <v>27</v>
      </c>
      <c r="O2623">
        <v>2036</v>
      </c>
      <c r="P2623">
        <v>1.5768</v>
      </c>
    </row>
    <row r="2624" spans="1:16" x14ac:dyDescent="0.3">
      <c r="A2624" t="str">
        <f t="shared" si="40"/>
        <v>CN|TotalCapacityAnnual|RE1|PWRLPG|2036</v>
      </c>
      <c r="B2624" t="s">
        <v>39</v>
      </c>
      <c r="C2624" t="s">
        <v>40</v>
      </c>
      <c r="D2624" t="s">
        <v>38</v>
      </c>
      <c r="E2624" t="s">
        <v>19</v>
      </c>
      <c r="F2624" t="s">
        <v>28</v>
      </c>
      <c r="O2624">
        <v>2036</v>
      </c>
      <c r="P2624">
        <v>1.639872</v>
      </c>
    </row>
    <row r="2625" spans="1:16" x14ac:dyDescent="0.3">
      <c r="A2625" t="str">
        <f t="shared" si="40"/>
        <v>CN|TotalCapacityAnnual|RE1|PWRNGS_CC|2036</v>
      </c>
      <c r="B2625" t="s">
        <v>39</v>
      </c>
      <c r="C2625" t="s">
        <v>40</v>
      </c>
      <c r="D2625" t="s">
        <v>38</v>
      </c>
      <c r="E2625" t="s">
        <v>19</v>
      </c>
      <c r="F2625" t="s">
        <v>29</v>
      </c>
      <c r="O2625">
        <v>2036</v>
      </c>
      <c r="P2625">
        <v>70.104500000000002</v>
      </c>
    </row>
    <row r="2626" spans="1:16" x14ac:dyDescent="0.3">
      <c r="A2626" t="str">
        <f t="shared" ref="A2626:A2689" si="41">B2626&amp;"|"&amp;D2626&amp;"|"&amp;E2626&amp;"|"&amp;F2626&amp;"|"&amp;O2626</f>
        <v>CN|TotalCapacityAnnual|RE1|PWRNGS_CS|2036</v>
      </c>
      <c r="B2626" t="s">
        <v>39</v>
      </c>
      <c r="C2626" t="s">
        <v>40</v>
      </c>
      <c r="D2626" t="s">
        <v>38</v>
      </c>
      <c r="E2626" t="s">
        <v>19</v>
      </c>
      <c r="F2626" t="s">
        <v>30</v>
      </c>
      <c r="O2626">
        <v>2036</v>
      </c>
      <c r="P2626">
        <v>48.03</v>
      </c>
    </row>
    <row r="2627" spans="1:16" x14ac:dyDescent="0.3">
      <c r="A2627" t="str">
        <f t="shared" si="41"/>
        <v>CN|TotalCapacityAnnual|RE1|PWRSOLRTP|2036</v>
      </c>
      <c r="B2627" t="s">
        <v>39</v>
      </c>
      <c r="C2627" t="s">
        <v>40</v>
      </c>
      <c r="D2627" t="s">
        <v>38</v>
      </c>
      <c r="E2627" t="s">
        <v>19</v>
      </c>
      <c r="F2627" t="s">
        <v>31</v>
      </c>
      <c r="O2627">
        <v>2036</v>
      </c>
      <c r="P2627">
        <v>187.20410000000001</v>
      </c>
    </row>
    <row r="2628" spans="1:16" x14ac:dyDescent="0.3">
      <c r="A2628" t="str">
        <f t="shared" si="41"/>
        <v>CN|TotalCapacityAnnual|RE1|PWRSOLRTP_ZNI|2036</v>
      </c>
      <c r="B2628" t="s">
        <v>39</v>
      </c>
      <c r="C2628" t="s">
        <v>40</v>
      </c>
      <c r="D2628" t="s">
        <v>38</v>
      </c>
      <c r="E2628" t="s">
        <v>19</v>
      </c>
      <c r="F2628" t="s">
        <v>32</v>
      </c>
      <c r="O2628">
        <v>2036</v>
      </c>
      <c r="P2628">
        <v>1.2310967359164431</v>
      </c>
    </row>
    <row r="2629" spans="1:16" x14ac:dyDescent="0.3">
      <c r="A2629" t="str">
        <f t="shared" si="41"/>
        <v>CN|TotalCapacityAnnual|RE1|PWRSOLUGE|2036</v>
      </c>
      <c r="B2629" t="s">
        <v>39</v>
      </c>
      <c r="C2629" t="s">
        <v>40</v>
      </c>
      <c r="D2629" t="s">
        <v>38</v>
      </c>
      <c r="E2629" t="s">
        <v>19</v>
      </c>
      <c r="F2629" t="s">
        <v>33</v>
      </c>
      <c r="O2629">
        <v>2036</v>
      </c>
      <c r="P2629">
        <v>191.79186048</v>
      </c>
    </row>
    <row r="2630" spans="1:16" x14ac:dyDescent="0.3">
      <c r="A2630" t="str">
        <f t="shared" si="41"/>
        <v>CN|TotalCapacityAnnual|RE1|PWRSOLUGE_BAT|2036</v>
      </c>
      <c r="B2630" t="s">
        <v>39</v>
      </c>
      <c r="C2630" t="s">
        <v>40</v>
      </c>
      <c r="D2630" t="s">
        <v>38</v>
      </c>
      <c r="E2630" t="s">
        <v>19</v>
      </c>
      <c r="F2630" t="s">
        <v>41</v>
      </c>
      <c r="O2630">
        <v>2036</v>
      </c>
    </row>
    <row r="2631" spans="1:16" x14ac:dyDescent="0.3">
      <c r="A2631" t="str">
        <f t="shared" si="41"/>
        <v>CN|TotalCapacityAnnual|RE1|PWRSOLUPE|2036</v>
      </c>
      <c r="B2631" t="s">
        <v>39</v>
      </c>
      <c r="C2631" t="s">
        <v>40</v>
      </c>
      <c r="D2631" t="s">
        <v>38</v>
      </c>
      <c r="E2631" t="s">
        <v>19</v>
      </c>
      <c r="F2631" t="s">
        <v>34</v>
      </c>
      <c r="O2631">
        <v>2036</v>
      </c>
      <c r="P2631">
        <v>39.172600079999931</v>
      </c>
    </row>
    <row r="2632" spans="1:16" x14ac:dyDescent="0.3">
      <c r="A2632" t="str">
        <f t="shared" si="41"/>
        <v>CN|TotalCapacityAnnual|RE1|PWRSTD|2036</v>
      </c>
      <c r="B2632" t="s">
        <v>39</v>
      </c>
      <c r="C2632" t="s">
        <v>40</v>
      </c>
      <c r="D2632" t="s">
        <v>38</v>
      </c>
      <c r="E2632" t="s">
        <v>19</v>
      </c>
      <c r="F2632" t="s">
        <v>35</v>
      </c>
      <c r="O2632">
        <v>2036</v>
      </c>
      <c r="P2632">
        <v>8.163062064</v>
      </c>
    </row>
    <row r="2633" spans="1:16" x14ac:dyDescent="0.3">
      <c r="A2633" t="str">
        <f t="shared" si="41"/>
        <v>CN|TotalCapacityAnnual|RE1|PWRWNDOFS_FIX|2036</v>
      </c>
      <c r="B2633" t="s">
        <v>39</v>
      </c>
      <c r="C2633" t="s">
        <v>40</v>
      </c>
      <c r="D2633" t="s">
        <v>38</v>
      </c>
      <c r="E2633" t="s">
        <v>19</v>
      </c>
      <c r="F2633" t="s">
        <v>42</v>
      </c>
      <c r="O2633">
        <v>2036</v>
      </c>
      <c r="P2633">
        <v>13.05396568386857</v>
      </c>
    </row>
    <row r="2634" spans="1:16" x14ac:dyDescent="0.3">
      <c r="A2634" t="str">
        <f t="shared" si="41"/>
        <v>CN|TotalCapacityAnnual|RE1|PWRWNDOFS_FLO|2036</v>
      </c>
      <c r="B2634" t="s">
        <v>39</v>
      </c>
      <c r="C2634" t="s">
        <v>40</v>
      </c>
      <c r="D2634" t="s">
        <v>38</v>
      </c>
      <c r="E2634" t="s">
        <v>19</v>
      </c>
      <c r="F2634" t="s">
        <v>43</v>
      </c>
      <c r="O2634">
        <v>2036</v>
      </c>
    </row>
    <row r="2635" spans="1:16" x14ac:dyDescent="0.3">
      <c r="A2635" t="str">
        <f t="shared" si="41"/>
        <v>CN|TotalCapacityAnnual|RE1|PWRWNDONS|2036</v>
      </c>
      <c r="B2635" t="s">
        <v>39</v>
      </c>
      <c r="C2635" t="s">
        <v>40</v>
      </c>
      <c r="D2635" t="s">
        <v>38</v>
      </c>
      <c r="E2635" t="s">
        <v>19</v>
      </c>
      <c r="F2635" t="s">
        <v>36</v>
      </c>
      <c r="O2635">
        <v>2036</v>
      </c>
      <c r="P2635">
        <v>190.57810888443561</v>
      </c>
    </row>
    <row r="2636" spans="1:16" x14ac:dyDescent="0.3">
      <c r="A2636" t="str">
        <f t="shared" si="41"/>
        <v>CN|AccumulatedNewCapacity|RE1|PWRBGS|2037</v>
      </c>
      <c r="B2636" t="s">
        <v>39</v>
      </c>
      <c r="C2636" t="s">
        <v>40</v>
      </c>
      <c r="D2636" t="s">
        <v>18</v>
      </c>
      <c r="E2636" t="s">
        <v>19</v>
      </c>
      <c r="F2636" t="s">
        <v>20</v>
      </c>
      <c r="O2636">
        <v>2037</v>
      </c>
    </row>
    <row r="2637" spans="1:16" x14ac:dyDescent="0.3">
      <c r="A2637" t="str">
        <f t="shared" si="41"/>
        <v>CN|AccumulatedNewCapacity|RE1|PWRCOA|2037</v>
      </c>
      <c r="B2637" t="s">
        <v>39</v>
      </c>
      <c r="C2637" t="s">
        <v>40</v>
      </c>
      <c r="D2637" t="s">
        <v>18</v>
      </c>
      <c r="E2637" t="s">
        <v>19</v>
      </c>
      <c r="F2637" t="s">
        <v>21</v>
      </c>
      <c r="O2637">
        <v>2037</v>
      </c>
    </row>
    <row r="2638" spans="1:16" x14ac:dyDescent="0.3">
      <c r="A2638" t="str">
        <f t="shared" si="41"/>
        <v>CN|AccumulatedNewCapacity|RE1|PWRDSL|2037</v>
      </c>
      <c r="B2638" t="s">
        <v>39</v>
      </c>
      <c r="C2638" t="s">
        <v>40</v>
      </c>
      <c r="D2638" t="s">
        <v>18</v>
      </c>
      <c r="E2638" t="s">
        <v>19</v>
      </c>
      <c r="F2638" t="s">
        <v>22</v>
      </c>
      <c r="O2638">
        <v>2037</v>
      </c>
    </row>
    <row r="2639" spans="1:16" x14ac:dyDescent="0.3">
      <c r="A2639" t="str">
        <f t="shared" si="41"/>
        <v>CN|AccumulatedNewCapacity|RE1|PWRFOL|2037</v>
      </c>
      <c r="B2639" t="s">
        <v>39</v>
      </c>
      <c r="C2639" t="s">
        <v>40</v>
      </c>
      <c r="D2639" t="s">
        <v>18</v>
      </c>
      <c r="E2639" t="s">
        <v>19</v>
      </c>
      <c r="F2639" t="s">
        <v>23</v>
      </c>
      <c r="O2639">
        <v>2037</v>
      </c>
    </row>
    <row r="2640" spans="1:16" x14ac:dyDescent="0.3">
      <c r="A2640" t="str">
        <f t="shared" si="41"/>
        <v>CN|AccumulatedNewCapacity|RE1|PWRHYDDAM|2037</v>
      </c>
      <c r="B2640" t="s">
        <v>39</v>
      </c>
      <c r="C2640" t="s">
        <v>40</v>
      </c>
      <c r="D2640" t="s">
        <v>18</v>
      </c>
      <c r="E2640" t="s">
        <v>19</v>
      </c>
      <c r="F2640" t="s">
        <v>24</v>
      </c>
      <c r="O2640">
        <v>2037</v>
      </c>
      <c r="P2640">
        <v>37.840000000000003</v>
      </c>
    </row>
    <row r="2641" spans="1:16" x14ac:dyDescent="0.3">
      <c r="A2641" t="str">
        <f t="shared" si="41"/>
        <v>CN|AccumulatedNewCapacity|RE1|PWRHYDROR|2037</v>
      </c>
      <c r="B2641" t="s">
        <v>39</v>
      </c>
      <c r="C2641" t="s">
        <v>40</v>
      </c>
      <c r="D2641" t="s">
        <v>18</v>
      </c>
      <c r="E2641" t="s">
        <v>19</v>
      </c>
      <c r="F2641" t="s">
        <v>25</v>
      </c>
      <c r="O2641">
        <v>2037</v>
      </c>
    </row>
    <row r="2642" spans="1:16" x14ac:dyDescent="0.3">
      <c r="A2642" t="str">
        <f t="shared" si="41"/>
        <v>CN|AccumulatedNewCapacity|RE1|PWRHYDROR_NDC|2037</v>
      </c>
      <c r="B2642" t="s">
        <v>39</v>
      </c>
      <c r="C2642" t="s">
        <v>40</v>
      </c>
      <c r="D2642" t="s">
        <v>18</v>
      </c>
      <c r="E2642" t="s">
        <v>19</v>
      </c>
      <c r="F2642" t="s">
        <v>26</v>
      </c>
      <c r="O2642">
        <v>2037</v>
      </c>
    </row>
    <row r="2643" spans="1:16" x14ac:dyDescent="0.3">
      <c r="A2643" t="str">
        <f t="shared" si="41"/>
        <v>CN|AccumulatedNewCapacity|RE1|PWRJET|2037</v>
      </c>
      <c r="B2643" t="s">
        <v>39</v>
      </c>
      <c r="C2643" t="s">
        <v>40</v>
      </c>
      <c r="D2643" t="s">
        <v>18</v>
      </c>
      <c r="E2643" t="s">
        <v>19</v>
      </c>
      <c r="F2643" t="s">
        <v>27</v>
      </c>
      <c r="O2643">
        <v>2037</v>
      </c>
    </row>
    <row r="2644" spans="1:16" x14ac:dyDescent="0.3">
      <c r="A2644" t="str">
        <f t="shared" si="41"/>
        <v>CN|AccumulatedNewCapacity|RE1|PWRLPG|2037</v>
      </c>
      <c r="B2644" t="s">
        <v>39</v>
      </c>
      <c r="C2644" t="s">
        <v>40</v>
      </c>
      <c r="D2644" t="s">
        <v>18</v>
      </c>
      <c r="E2644" t="s">
        <v>19</v>
      </c>
      <c r="F2644" t="s">
        <v>28</v>
      </c>
      <c r="O2644">
        <v>2037</v>
      </c>
    </row>
    <row r="2645" spans="1:16" x14ac:dyDescent="0.3">
      <c r="A2645" t="str">
        <f t="shared" si="41"/>
        <v>CN|AccumulatedNewCapacity|RE1|PWRNGS_CC|2037</v>
      </c>
      <c r="B2645" t="s">
        <v>39</v>
      </c>
      <c r="C2645" t="s">
        <v>40</v>
      </c>
      <c r="D2645" t="s">
        <v>18</v>
      </c>
      <c r="E2645" t="s">
        <v>19</v>
      </c>
      <c r="F2645" t="s">
        <v>29</v>
      </c>
      <c r="O2645">
        <v>2037</v>
      </c>
    </row>
    <row r="2646" spans="1:16" x14ac:dyDescent="0.3">
      <c r="A2646" t="str">
        <f t="shared" si="41"/>
        <v>CN|AccumulatedNewCapacity|RE1|PWRNGS_CS|2037</v>
      </c>
      <c r="B2646" t="s">
        <v>39</v>
      </c>
      <c r="C2646" t="s">
        <v>40</v>
      </c>
      <c r="D2646" t="s">
        <v>18</v>
      </c>
      <c r="E2646" t="s">
        <v>19</v>
      </c>
      <c r="F2646" t="s">
        <v>30</v>
      </c>
      <c r="O2646">
        <v>2037</v>
      </c>
    </row>
    <row r="2647" spans="1:16" x14ac:dyDescent="0.3">
      <c r="A2647" t="str">
        <f t="shared" si="41"/>
        <v>CN|AccumulatedNewCapacity|RE1|PWRSOLRTP|2037</v>
      </c>
      <c r="B2647" t="s">
        <v>39</v>
      </c>
      <c r="C2647" t="s">
        <v>40</v>
      </c>
      <c r="D2647" t="s">
        <v>18</v>
      </c>
      <c r="E2647" t="s">
        <v>19</v>
      </c>
      <c r="F2647" t="s">
        <v>31</v>
      </c>
      <c r="O2647">
        <v>2037</v>
      </c>
      <c r="P2647">
        <v>174.07</v>
      </c>
    </row>
    <row r="2648" spans="1:16" x14ac:dyDescent="0.3">
      <c r="A2648" t="str">
        <f t="shared" si="41"/>
        <v>CN|AccumulatedNewCapacity|RE1|PWRSOLRTP_ZNI|2037</v>
      </c>
      <c r="B2648" t="s">
        <v>39</v>
      </c>
      <c r="C2648" t="s">
        <v>40</v>
      </c>
      <c r="D2648" t="s">
        <v>18</v>
      </c>
      <c r="E2648" t="s">
        <v>19</v>
      </c>
      <c r="F2648" t="s">
        <v>32</v>
      </c>
      <c r="O2648">
        <v>2037</v>
      </c>
      <c r="P2648">
        <v>0.81149631771257125</v>
      </c>
    </row>
    <row r="2649" spans="1:16" x14ac:dyDescent="0.3">
      <c r="A2649" t="str">
        <f t="shared" si="41"/>
        <v>CN|AccumulatedNewCapacity|RE1|PWRSOLUGE|2037</v>
      </c>
      <c r="B2649" t="s">
        <v>39</v>
      </c>
      <c r="C2649" t="s">
        <v>40</v>
      </c>
      <c r="D2649" t="s">
        <v>18</v>
      </c>
      <c r="E2649" t="s">
        <v>19</v>
      </c>
      <c r="F2649" t="s">
        <v>33</v>
      </c>
      <c r="O2649">
        <v>2037</v>
      </c>
      <c r="P2649">
        <v>143.394192</v>
      </c>
    </row>
    <row r="2650" spans="1:16" x14ac:dyDescent="0.3">
      <c r="A2650" t="str">
        <f t="shared" si="41"/>
        <v>CN|AccumulatedNewCapacity|RE1|PWRSOLUGE_BAT|2037</v>
      </c>
      <c r="B2650" t="s">
        <v>39</v>
      </c>
      <c r="C2650" t="s">
        <v>40</v>
      </c>
      <c r="D2650" t="s">
        <v>18</v>
      </c>
      <c r="E2650" t="s">
        <v>19</v>
      </c>
      <c r="F2650" t="s">
        <v>41</v>
      </c>
      <c r="O2650">
        <v>2037</v>
      </c>
    </row>
    <row r="2651" spans="1:16" x14ac:dyDescent="0.3">
      <c r="A2651" t="str">
        <f t="shared" si="41"/>
        <v>CN|AccumulatedNewCapacity|RE1|PWRSOLUPE|2037</v>
      </c>
      <c r="B2651" t="s">
        <v>39</v>
      </c>
      <c r="C2651" t="s">
        <v>40</v>
      </c>
      <c r="D2651" t="s">
        <v>18</v>
      </c>
      <c r="E2651" t="s">
        <v>19</v>
      </c>
      <c r="F2651" t="s">
        <v>34</v>
      </c>
      <c r="O2651">
        <v>2037</v>
      </c>
      <c r="P2651">
        <v>12.14419823999993</v>
      </c>
    </row>
    <row r="2652" spans="1:16" x14ac:dyDescent="0.3">
      <c r="A2652" t="str">
        <f t="shared" si="41"/>
        <v>CN|AccumulatedNewCapacity|RE1|PWRSTD|2037</v>
      </c>
      <c r="B2652" t="s">
        <v>39</v>
      </c>
      <c r="C2652" t="s">
        <v>40</v>
      </c>
      <c r="D2652" t="s">
        <v>18</v>
      </c>
      <c r="E2652" t="s">
        <v>19</v>
      </c>
      <c r="F2652" t="s">
        <v>35</v>
      </c>
      <c r="O2652">
        <v>2037</v>
      </c>
    </row>
    <row r="2653" spans="1:16" x14ac:dyDescent="0.3">
      <c r="A2653" t="str">
        <f t="shared" si="41"/>
        <v>CN|AccumulatedNewCapacity|RE1|PWRWNDOFS_FIX|2037</v>
      </c>
      <c r="B2653" t="s">
        <v>39</v>
      </c>
      <c r="C2653" t="s">
        <v>40</v>
      </c>
      <c r="D2653" t="s">
        <v>18</v>
      </c>
      <c r="E2653" t="s">
        <v>19</v>
      </c>
      <c r="F2653" t="s">
        <v>42</v>
      </c>
      <c r="O2653">
        <v>2037</v>
      </c>
      <c r="P2653">
        <v>36.184766587762063</v>
      </c>
    </row>
    <row r="2654" spans="1:16" x14ac:dyDescent="0.3">
      <c r="A2654" t="str">
        <f t="shared" si="41"/>
        <v>CN|AccumulatedNewCapacity|RE1|PWRWNDOFS_FLO|2037</v>
      </c>
      <c r="B2654" t="s">
        <v>39</v>
      </c>
      <c r="C2654" t="s">
        <v>40</v>
      </c>
      <c r="D2654" t="s">
        <v>18</v>
      </c>
      <c r="E2654" t="s">
        <v>19</v>
      </c>
      <c r="F2654" t="s">
        <v>43</v>
      </c>
      <c r="O2654">
        <v>2037</v>
      </c>
    </row>
    <row r="2655" spans="1:16" x14ac:dyDescent="0.3">
      <c r="A2655" t="str">
        <f t="shared" si="41"/>
        <v>CN|AccumulatedNewCapacity|RE1|PWRWNDONS|2037</v>
      </c>
      <c r="B2655" t="s">
        <v>39</v>
      </c>
      <c r="C2655" t="s">
        <v>40</v>
      </c>
      <c r="D2655" t="s">
        <v>18</v>
      </c>
      <c r="E2655" t="s">
        <v>19</v>
      </c>
      <c r="F2655" t="s">
        <v>36</v>
      </c>
      <c r="O2655">
        <v>2037</v>
      </c>
      <c r="P2655">
        <v>236.5194464844356</v>
      </c>
    </row>
    <row r="2656" spans="1:16" x14ac:dyDescent="0.3">
      <c r="A2656" t="str">
        <f t="shared" si="41"/>
        <v>CN|NewCapacity|RE1|PWRBGS|2037</v>
      </c>
      <c r="B2656" t="s">
        <v>39</v>
      </c>
      <c r="C2656" t="s">
        <v>40</v>
      </c>
      <c r="D2656" t="s">
        <v>37</v>
      </c>
      <c r="E2656" t="s">
        <v>19</v>
      </c>
      <c r="F2656" t="s">
        <v>20</v>
      </c>
      <c r="O2656">
        <v>2037</v>
      </c>
    </row>
    <row r="2657" spans="1:16" x14ac:dyDescent="0.3">
      <c r="A2657" t="str">
        <f t="shared" si="41"/>
        <v>CN|NewCapacity|RE1|PWRCOA|2037</v>
      </c>
      <c r="B2657" t="s">
        <v>39</v>
      </c>
      <c r="C2657" t="s">
        <v>40</v>
      </c>
      <c r="D2657" t="s">
        <v>37</v>
      </c>
      <c r="E2657" t="s">
        <v>19</v>
      </c>
      <c r="F2657" t="s">
        <v>21</v>
      </c>
      <c r="O2657">
        <v>2037</v>
      </c>
    </row>
    <row r="2658" spans="1:16" x14ac:dyDescent="0.3">
      <c r="A2658" t="str">
        <f t="shared" si="41"/>
        <v>CN|NewCapacity|RE1|PWRDSL|2037</v>
      </c>
      <c r="B2658" t="s">
        <v>39</v>
      </c>
      <c r="C2658" t="s">
        <v>40</v>
      </c>
      <c r="D2658" t="s">
        <v>37</v>
      </c>
      <c r="E2658" t="s">
        <v>19</v>
      </c>
      <c r="F2658" t="s">
        <v>22</v>
      </c>
      <c r="O2658">
        <v>2037</v>
      </c>
    </row>
    <row r="2659" spans="1:16" x14ac:dyDescent="0.3">
      <c r="A2659" t="str">
        <f t="shared" si="41"/>
        <v>CN|NewCapacity|RE1|PWRFOL|2037</v>
      </c>
      <c r="B2659" t="s">
        <v>39</v>
      </c>
      <c r="C2659" t="s">
        <v>40</v>
      </c>
      <c r="D2659" t="s">
        <v>37</v>
      </c>
      <c r="E2659" t="s">
        <v>19</v>
      </c>
      <c r="F2659" t="s">
        <v>23</v>
      </c>
      <c r="O2659">
        <v>2037</v>
      </c>
    </row>
    <row r="2660" spans="1:16" x14ac:dyDescent="0.3">
      <c r="A2660" t="str">
        <f t="shared" si="41"/>
        <v>CN|NewCapacity|RE1|PWRHYDDAM|2037</v>
      </c>
      <c r="B2660" t="s">
        <v>39</v>
      </c>
      <c r="C2660" t="s">
        <v>40</v>
      </c>
      <c r="D2660" t="s">
        <v>37</v>
      </c>
      <c r="E2660" t="s">
        <v>19</v>
      </c>
      <c r="F2660" t="s">
        <v>24</v>
      </c>
      <c r="O2660">
        <v>2037</v>
      </c>
    </row>
    <row r="2661" spans="1:16" x14ac:dyDescent="0.3">
      <c r="A2661" t="str">
        <f t="shared" si="41"/>
        <v>CN|NewCapacity|RE1|PWRHYDROR|2037</v>
      </c>
      <c r="B2661" t="s">
        <v>39</v>
      </c>
      <c r="C2661" t="s">
        <v>40</v>
      </c>
      <c r="D2661" t="s">
        <v>37</v>
      </c>
      <c r="E2661" t="s">
        <v>19</v>
      </c>
      <c r="F2661" t="s">
        <v>25</v>
      </c>
      <c r="O2661">
        <v>2037</v>
      </c>
    </row>
    <row r="2662" spans="1:16" x14ac:dyDescent="0.3">
      <c r="A2662" t="str">
        <f t="shared" si="41"/>
        <v>CN|NewCapacity|RE1|PWRHYDROR_NDC|2037</v>
      </c>
      <c r="B2662" t="s">
        <v>39</v>
      </c>
      <c r="C2662" t="s">
        <v>40</v>
      </c>
      <c r="D2662" t="s">
        <v>37</v>
      </c>
      <c r="E2662" t="s">
        <v>19</v>
      </c>
      <c r="F2662" t="s">
        <v>26</v>
      </c>
      <c r="O2662">
        <v>2037</v>
      </c>
    </row>
    <row r="2663" spans="1:16" x14ac:dyDescent="0.3">
      <c r="A2663" t="str">
        <f t="shared" si="41"/>
        <v>CN|NewCapacity|RE1|PWRJET|2037</v>
      </c>
      <c r="B2663" t="s">
        <v>39</v>
      </c>
      <c r="C2663" t="s">
        <v>40</v>
      </c>
      <c r="D2663" t="s">
        <v>37</v>
      </c>
      <c r="E2663" t="s">
        <v>19</v>
      </c>
      <c r="F2663" t="s">
        <v>27</v>
      </c>
      <c r="O2663">
        <v>2037</v>
      </c>
    </row>
    <row r="2664" spans="1:16" x14ac:dyDescent="0.3">
      <c r="A2664" t="str">
        <f t="shared" si="41"/>
        <v>CN|NewCapacity|RE1|PWRLPG|2037</v>
      </c>
      <c r="B2664" t="s">
        <v>39</v>
      </c>
      <c r="C2664" t="s">
        <v>40</v>
      </c>
      <c r="D2664" t="s">
        <v>37</v>
      </c>
      <c r="E2664" t="s">
        <v>19</v>
      </c>
      <c r="F2664" t="s">
        <v>28</v>
      </c>
      <c r="O2664">
        <v>2037</v>
      </c>
    </row>
    <row r="2665" spans="1:16" x14ac:dyDescent="0.3">
      <c r="A2665" t="str">
        <f t="shared" si="41"/>
        <v>CN|NewCapacity|RE1|PWRNGS_CC|2037</v>
      </c>
      <c r="B2665" t="s">
        <v>39</v>
      </c>
      <c r="C2665" t="s">
        <v>40</v>
      </c>
      <c r="D2665" t="s">
        <v>37</v>
      </c>
      <c r="E2665" t="s">
        <v>19</v>
      </c>
      <c r="F2665" t="s">
        <v>29</v>
      </c>
      <c r="O2665">
        <v>2037</v>
      </c>
    </row>
    <row r="2666" spans="1:16" x14ac:dyDescent="0.3">
      <c r="A2666" t="str">
        <f t="shared" si="41"/>
        <v>CN|NewCapacity|RE1|PWRNGS_CS|2037</v>
      </c>
      <c r="B2666" t="s">
        <v>39</v>
      </c>
      <c r="C2666" t="s">
        <v>40</v>
      </c>
      <c r="D2666" t="s">
        <v>37</v>
      </c>
      <c r="E2666" t="s">
        <v>19</v>
      </c>
      <c r="F2666" t="s">
        <v>30</v>
      </c>
      <c r="O2666">
        <v>2037</v>
      </c>
    </row>
    <row r="2667" spans="1:16" x14ac:dyDescent="0.3">
      <c r="A2667" t="str">
        <f t="shared" si="41"/>
        <v>CN|NewCapacity|RE1|PWRSOLRTP|2037</v>
      </c>
      <c r="B2667" t="s">
        <v>39</v>
      </c>
      <c r="C2667" t="s">
        <v>40</v>
      </c>
      <c r="D2667" t="s">
        <v>37</v>
      </c>
      <c r="E2667" t="s">
        <v>19</v>
      </c>
      <c r="F2667" t="s">
        <v>31</v>
      </c>
      <c r="O2667">
        <v>2037</v>
      </c>
      <c r="P2667">
        <v>10.15</v>
      </c>
    </row>
    <row r="2668" spans="1:16" x14ac:dyDescent="0.3">
      <c r="A2668" t="str">
        <f t="shared" si="41"/>
        <v>CN|NewCapacity|RE1|PWRSOLRTP_ZNI|2037</v>
      </c>
      <c r="B2668" t="s">
        <v>39</v>
      </c>
      <c r="C2668" t="s">
        <v>40</v>
      </c>
      <c r="D2668" t="s">
        <v>37</v>
      </c>
      <c r="E2668" t="s">
        <v>19</v>
      </c>
      <c r="F2668" t="s">
        <v>32</v>
      </c>
      <c r="O2668">
        <v>2037</v>
      </c>
      <c r="P2668">
        <v>4.1140541796127812E-2</v>
      </c>
    </row>
    <row r="2669" spans="1:16" x14ac:dyDescent="0.3">
      <c r="A2669" t="str">
        <f t="shared" si="41"/>
        <v>CN|NewCapacity|RE1|PWRSOLUGE|2037</v>
      </c>
      <c r="B2669" t="s">
        <v>39</v>
      </c>
      <c r="C2669" t="s">
        <v>40</v>
      </c>
      <c r="D2669" t="s">
        <v>37</v>
      </c>
      <c r="E2669" t="s">
        <v>19</v>
      </c>
      <c r="F2669" t="s">
        <v>33</v>
      </c>
      <c r="O2669">
        <v>2037</v>
      </c>
    </row>
    <row r="2670" spans="1:16" x14ac:dyDescent="0.3">
      <c r="A2670" t="str">
        <f t="shared" si="41"/>
        <v>CN|NewCapacity|RE1|PWRSOLUGE_BAT|2037</v>
      </c>
      <c r="B2670" t="s">
        <v>39</v>
      </c>
      <c r="C2670" t="s">
        <v>40</v>
      </c>
      <c r="D2670" t="s">
        <v>37</v>
      </c>
      <c r="E2670" t="s">
        <v>19</v>
      </c>
      <c r="F2670" t="s">
        <v>41</v>
      </c>
      <c r="O2670">
        <v>2037</v>
      </c>
    </row>
    <row r="2671" spans="1:16" x14ac:dyDescent="0.3">
      <c r="A2671" t="str">
        <f t="shared" si="41"/>
        <v>CN|NewCapacity|RE1|PWRSOLUPE|2037</v>
      </c>
      <c r="B2671" t="s">
        <v>39</v>
      </c>
      <c r="C2671" t="s">
        <v>40</v>
      </c>
      <c r="D2671" t="s">
        <v>37</v>
      </c>
      <c r="E2671" t="s">
        <v>19</v>
      </c>
      <c r="F2671" t="s">
        <v>34</v>
      </c>
      <c r="O2671">
        <v>2037</v>
      </c>
    </row>
    <row r="2672" spans="1:16" x14ac:dyDescent="0.3">
      <c r="A2672" t="str">
        <f t="shared" si="41"/>
        <v>CN|NewCapacity|RE1|PWRSTD|2037</v>
      </c>
      <c r="B2672" t="s">
        <v>39</v>
      </c>
      <c r="C2672" t="s">
        <v>40</v>
      </c>
      <c r="D2672" t="s">
        <v>37</v>
      </c>
      <c r="E2672" t="s">
        <v>19</v>
      </c>
      <c r="F2672" t="s">
        <v>35</v>
      </c>
      <c r="O2672">
        <v>2037</v>
      </c>
    </row>
    <row r="2673" spans="1:16" x14ac:dyDescent="0.3">
      <c r="A2673" t="str">
        <f t="shared" si="41"/>
        <v>CN|NewCapacity|RE1|PWRWNDOFS_FIX|2037</v>
      </c>
      <c r="B2673" t="s">
        <v>39</v>
      </c>
      <c r="C2673" t="s">
        <v>40</v>
      </c>
      <c r="D2673" t="s">
        <v>37</v>
      </c>
      <c r="E2673" t="s">
        <v>19</v>
      </c>
      <c r="F2673" t="s">
        <v>42</v>
      </c>
      <c r="O2673">
        <v>2037</v>
      </c>
      <c r="P2673">
        <v>23.130800903893491</v>
      </c>
    </row>
    <row r="2674" spans="1:16" x14ac:dyDescent="0.3">
      <c r="A2674" t="str">
        <f t="shared" si="41"/>
        <v>CN|NewCapacity|RE1|PWRWNDOFS_FLO|2037</v>
      </c>
      <c r="B2674" t="s">
        <v>39</v>
      </c>
      <c r="C2674" t="s">
        <v>40</v>
      </c>
      <c r="D2674" t="s">
        <v>37</v>
      </c>
      <c r="E2674" t="s">
        <v>19</v>
      </c>
      <c r="F2674" t="s">
        <v>43</v>
      </c>
      <c r="O2674">
        <v>2037</v>
      </c>
    </row>
    <row r="2675" spans="1:16" x14ac:dyDescent="0.3">
      <c r="A2675" t="str">
        <f t="shared" si="41"/>
        <v>CN|NewCapacity|RE1|PWRWNDONS|2037</v>
      </c>
      <c r="B2675" t="s">
        <v>39</v>
      </c>
      <c r="C2675" t="s">
        <v>40</v>
      </c>
      <c r="D2675" t="s">
        <v>37</v>
      </c>
      <c r="E2675" t="s">
        <v>19</v>
      </c>
      <c r="F2675" t="s">
        <v>36</v>
      </c>
      <c r="O2675">
        <v>2037</v>
      </c>
      <c r="P2675">
        <v>47.31</v>
      </c>
    </row>
    <row r="2676" spans="1:16" x14ac:dyDescent="0.3">
      <c r="A2676" t="str">
        <f t="shared" si="41"/>
        <v>CN|TotalCapacityAnnual|RE1|PWRBGS|2037</v>
      </c>
      <c r="B2676" t="s">
        <v>39</v>
      </c>
      <c r="C2676" t="s">
        <v>40</v>
      </c>
      <c r="D2676" t="s">
        <v>38</v>
      </c>
      <c r="E2676" t="s">
        <v>19</v>
      </c>
      <c r="F2676" t="s">
        <v>20</v>
      </c>
      <c r="O2676">
        <v>2037</v>
      </c>
      <c r="P2676">
        <v>2.5488587520000001E-2</v>
      </c>
    </row>
    <row r="2677" spans="1:16" x14ac:dyDescent="0.3">
      <c r="A2677" t="str">
        <f t="shared" si="41"/>
        <v>CN|TotalCapacityAnnual|RE1|PWRCOA|2037</v>
      </c>
      <c r="B2677" t="s">
        <v>39</v>
      </c>
      <c r="C2677" t="s">
        <v>40</v>
      </c>
      <c r="D2677" t="s">
        <v>38</v>
      </c>
      <c r="E2677" t="s">
        <v>19</v>
      </c>
      <c r="F2677" t="s">
        <v>21</v>
      </c>
      <c r="O2677">
        <v>2037</v>
      </c>
    </row>
    <row r="2678" spans="1:16" x14ac:dyDescent="0.3">
      <c r="A2678" t="str">
        <f t="shared" si="41"/>
        <v>CN|TotalCapacityAnnual|RE1|PWRDSL|2037</v>
      </c>
      <c r="B2678" t="s">
        <v>39</v>
      </c>
      <c r="C2678" t="s">
        <v>40</v>
      </c>
      <c r="D2678" t="s">
        <v>38</v>
      </c>
      <c r="E2678" t="s">
        <v>19</v>
      </c>
      <c r="F2678" t="s">
        <v>22</v>
      </c>
      <c r="O2678">
        <v>2037</v>
      </c>
    </row>
    <row r="2679" spans="1:16" x14ac:dyDescent="0.3">
      <c r="A2679" t="str">
        <f t="shared" si="41"/>
        <v>CN|TotalCapacityAnnual|RE1|PWRFOL|2037</v>
      </c>
      <c r="B2679" t="s">
        <v>39</v>
      </c>
      <c r="C2679" t="s">
        <v>40</v>
      </c>
      <c r="D2679" t="s">
        <v>38</v>
      </c>
      <c r="E2679" t="s">
        <v>19</v>
      </c>
      <c r="F2679" t="s">
        <v>23</v>
      </c>
      <c r="O2679">
        <v>2037</v>
      </c>
      <c r="P2679">
        <v>8.3885759999999987</v>
      </c>
    </row>
    <row r="2680" spans="1:16" x14ac:dyDescent="0.3">
      <c r="A2680" t="str">
        <f t="shared" si="41"/>
        <v>CN|TotalCapacityAnnual|RE1|PWRHYDDAM|2037</v>
      </c>
      <c r="B2680" t="s">
        <v>39</v>
      </c>
      <c r="C2680" t="s">
        <v>40</v>
      </c>
      <c r="D2680" t="s">
        <v>38</v>
      </c>
      <c r="E2680" t="s">
        <v>19</v>
      </c>
      <c r="F2680" t="s">
        <v>24</v>
      </c>
      <c r="O2680">
        <v>2037</v>
      </c>
      <c r="P2680">
        <v>440.49164800000011</v>
      </c>
    </row>
    <row r="2681" spans="1:16" x14ac:dyDescent="0.3">
      <c r="A2681" t="str">
        <f t="shared" si="41"/>
        <v>CN|TotalCapacityAnnual|RE1|PWRHYDROR|2037</v>
      </c>
      <c r="B2681" t="s">
        <v>39</v>
      </c>
      <c r="C2681" t="s">
        <v>40</v>
      </c>
      <c r="D2681" t="s">
        <v>38</v>
      </c>
      <c r="E2681" t="s">
        <v>19</v>
      </c>
      <c r="F2681" t="s">
        <v>25</v>
      </c>
      <c r="O2681">
        <v>2037</v>
      </c>
      <c r="P2681">
        <v>21.097584000000001</v>
      </c>
    </row>
    <row r="2682" spans="1:16" x14ac:dyDescent="0.3">
      <c r="A2682" t="str">
        <f t="shared" si="41"/>
        <v>CN|TotalCapacityAnnual|RE1|PWRHYDROR_NDC|2037</v>
      </c>
      <c r="B2682" t="s">
        <v>39</v>
      </c>
      <c r="C2682" t="s">
        <v>40</v>
      </c>
      <c r="D2682" t="s">
        <v>38</v>
      </c>
      <c r="E2682" t="s">
        <v>19</v>
      </c>
      <c r="F2682" t="s">
        <v>26</v>
      </c>
      <c r="O2682">
        <v>2037</v>
      </c>
      <c r="P2682">
        <v>29.725108271999989</v>
      </c>
    </row>
    <row r="2683" spans="1:16" x14ac:dyDescent="0.3">
      <c r="A2683" t="str">
        <f t="shared" si="41"/>
        <v>CN|TotalCapacityAnnual|RE1|PWRJET|2037</v>
      </c>
      <c r="B2683" t="s">
        <v>39</v>
      </c>
      <c r="C2683" t="s">
        <v>40</v>
      </c>
      <c r="D2683" t="s">
        <v>38</v>
      </c>
      <c r="E2683" t="s">
        <v>19</v>
      </c>
      <c r="F2683" t="s">
        <v>27</v>
      </c>
      <c r="O2683">
        <v>2037</v>
      </c>
      <c r="P2683">
        <v>1.5768</v>
      </c>
    </row>
    <row r="2684" spans="1:16" x14ac:dyDescent="0.3">
      <c r="A2684" t="str">
        <f t="shared" si="41"/>
        <v>CN|TotalCapacityAnnual|RE1|PWRLPG|2037</v>
      </c>
      <c r="B2684" t="s">
        <v>39</v>
      </c>
      <c r="C2684" t="s">
        <v>40</v>
      </c>
      <c r="D2684" t="s">
        <v>38</v>
      </c>
      <c r="E2684" t="s">
        <v>19</v>
      </c>
      <c r="F2684" t="s">
        <v>28</v>
      </c>
      <c r="O2684">
        <v>2037</v>
      </c>
      <c r="P2684">
        <v>1.639872</v>
      </c>
    </row>
    <row r="2685" spans="1:16" x14ac:dyDescent="0.3">
      <c r="A2685" t="str">
        <f t="shared" si="41"/>
        <v>CN|TotalCapacityAnnual|RE1|PWRNGS_CC|2037</v>
      </c>
      <c r="B2685" t="s">
        <v>39</v>
      </c>
      <c r="C2685" t="s">
        <v>40</v>
      </c>
      <c r="D2685" t="s">
        <v>38</v>
      </c>
      <c r="E2685" t="s">
        <v>19</v>
      </c>
      <c r="F2685" t="s">
        <v>29</v>
      </c>
      <c r="O2685">
        <v>2037</v>
      </c>
      <c r="P2685">
        <v>70.104500000000002</v>
      </c>
    </row>
    <row r="2686" spans="1:16" x14ac:dyDescent="0.3">
      <c r="A2686" t="str">
        <f t="shared" si="41"/>
        <v>CN|TotalCapacityAnnual|RE1|PWRNGS_CS|2037</v>
      </c>
      <c r="B2686" t="s">
        <v>39</v>
      </c>
      <c r="C2686" t="s">
        <v>40</v>
      </c>
      <c r="D2686" t="s">
        <v>38</v>
      </c>
      <c r="E2686" t="s">
        <v>19</v>
      </c>
      <c r="F2686" t="s">
        <v>30</v>
      </c>
      <c r="O2686">
        <v>2037</v>
      </c>
      <c r="P2686">
        <v>48.03</v>
      </c>
    </row>
    <row r="2687" spans="1:16" x14ac:dyDescent="0.3">
      <c r="A2687" t="str">
        <f t="shared" si="41"/>
        <v>CN|TotalCapacityAnnual|RE1|PWRSOLRTP|2037</v>
      </c>
      <c r="B2687" t="s">
        <v>39</v>
      </c>
      <c r="C2687" t="s">
        <v>40</v>
      </c>
      <c r="D2687" t="s">
        <v>38</v>
      </c>
      <c r="E2687" t="s">
        <v>19</v>
      </c>
      <c r="F2687" t="s">
        <v>31</v>
      </c>
      <c r="O2687">
        <v>2037</v>
      </c>
      <c r="P2687">
        <v>197.35409999999999</v>
      </c>
    </row>
    <row r="2688" spans="1:16" x14ac:dyDescent="0.3">
      <c r="A2688" t="str">
        <f t="shared" si="41"/>
        <v>CN|TotalCapacityAnnual|RE1|PWRSOLRTP_ZNI|2037</v>
      </c>
      <c r="B2688" t="s">
        <v>39</v>
      </c>
      <c r="C2688" t="s">
        <v>40</v>
      </c>
      <c r="D2688" t="s">
        <v>38</v>
      </c>
      <c r="E2688" t="s">
        <v>19</v>
      </c>
      <c r="F2688" t="s">
        <v>32</v>
      </c>
      <c r="O2688">
        <v>2037</v>
      </c>
      <c r="P2688">
        <v>1.272237277712571</v>
      </c>
    </row>
    <row r="2689" spans="1:16" x14ac:dyDescent="0.3">
      <c r="A2689" t="str">
        <f t="shared" si="41"/>
        <v>CN|TotalCapacityAnnual|RE1|PWRSOLUGE|2037</v>
      </c>
      <c r="B2689" t="s">
        <v>39</v>
      </c>
      <c r="C2689" t="s">
        <v>40</v>
      </c>
      <c r="D2689" t="s">
        <v>38</v>
      </c>
      <c r="E2689" t="s">
        <v>19</v>
      </c>
      <c r="F2689" t="s">
        <v>33</v>
      </c>
      <c r="O2689">
        <v>2037</v>
      </c>
      <c r="P2689">
        <v>191.79186048</v>
      </c>
    </row>
    <row r="2690" spans="1:16" x14ac:dyDescent="0.3">
      <c r="A2690" t="str">
        <f t="shared" ref="A2690:A2753" si="42">B2690&amp;"|"&amp;D2690&amp;"|"&amp;E2690&amp;"|"&amp;F2690&amp;"|"&amp;O2690</f>
        <v>CN|TotalCapacityAnnual|RE1|PWRSOLUGE_BAT|2037</v>
      </c>
      <c r="B2690" t="s">
        <v>39</v>
      </c>
      <c r="C2690" t="s">
        <v>40</v>
      </c>
      <c r="D2690" t="s">
        <v>38</v>
      </c>
      <c r="E2690" t="s">
        <v>19</v>
      </c>
      <c r="F2690" t="s">
        <v>41</v>
      </c>
      <c r="O2690">
        <v>2037</v>
      </c>
    </row>
    <row r="2691" spans="1:16" x14ac:dyDescent="0.3">
      <c r="A2691" t="str">
        <f t="shared" si="42"/>
        <v>CN|TotalCapacityAnnual|RE1|PWRSOLUPE|2037</v>
      </c>
      <c r="B2691" t="s">
        <v>39</v>
      </c>
      <c r="C2691" t="s">
        <v>40</v>
      </c>
      <c r="D2691" t="s">
        <v>38</v>
      </c>
      <c r="E2691" t="s">
        <v>19</v>
      </c>
      <c r="F2691" t="s">
        <v>34</v>
      </c>
      <c r="O2691">
        <v>2037</v>
      </c>
      <c r="P2691">
        <v>39.172600079999931</v>
      </c>
    </row>
    <row r="2692" spans="1:16" x14ac:dyDescent="0.3">
      <c r="A2692" t="str">
        <f t="shared" si="42"/>
        <v>CN|TotalCapacityAnnual|RE1|PWRSTD|2037</v>
      </c>
      <c r="B2692" t="s">
        <v>39</v>
      </c>
      <c r="C2692" t="s">
        <v>40</v>
      </c>
      <c r="D2692" t="s">
        <v>38</v>
      </c>
      <c r="E2692" t="s">
        <v>19</v>
      </c>
      <c r="F2692" t="s">
        <v>35</v>
      </c>
      <c r="O2692">
        <v>2037</v>
      </c>
      <c r="P2692">
        <v>8.163062064</v>
      </c>
    </row>
    <row r="2693" spans="1:16" x14ac:dyDescent="0.3">
      <c r="A2693" t="str">
        <f t="shared" si="42"/>
        <v>CN|TotalCapacityAnnual|RE1|PWRWNDOFS_FIX|2037</v>
      </c>
      <c r="B2693" t="s">
        <v>39</v>
      </c>
      <c r="C2693" t="s">
        <v>40</v>
      </c>
      <c r="D2693" t="s">
        <v>38</v>
      </c>
      <c r="E2693" t="s">
        <v>19</v>
      </c>
      <c r="F2693" t="s">
        <v>42</v>
      </c>
      <c r="O2693">
        <v>2037</v>
      </c>
      <c r="P2693">
        <v>36.184766587762063</v>
      </c>
    </row>
    <row r="2694" spans="1:16" x14ac:dyDescent="0.3">
      <c r="A2694" t="str">
        <f t="shared" si="42"/>
        <v>CN|TotalCapacityAnnual|RE1|PWRWNDOFS_FLO|2037</v>
      </c>
      <c r="B2694" t="s">
        <v>39</v>
      </c>
      <c r="C2694" t="s">
        <v>40</v>
      </c>
      <c r="D2694" t="s">
        <v>38</v>
      </c>
      <c r="E2694" t="s">
        <v>19</v>
      </c>
      <c r="F2694" t="s">
        <v>43</v>
      </c>
      <c r="O2694">
        <v>2037</v>
      </c>
    </row>
    <row r="2695" spans="1:16" x14ac:dyDescent="0.3">
      <c r="A2695" t="str">
        <f t="shared" si="42"/>
        <v>CN|TotalCapacityAnnual|RE1|PWRWNDONS|2037</v>
      </c>
      <c r="B2695" t="s">
        <v>39</v>
      </c>
      <c r="C2695" t="s">
        <v>40</v>
      </c>
      <c r="D2695" t="s">
        <v>38</v>
      </c>
      <c r="E2695" t="s">
        <v>19</v>
      </c>
      <c r="F2695" t="s">
        <v>36</v>
      </c>
      <c r="O2695">
        <v>2037</v>
      </c>
      <c r="P2695">
        <v>237.88810888443561</v>
      </c>
    </row>
    <row r="2696" spans="1:16" x14ac:dyDescent="0.3">
      <c r="A2696" t="str">
        <f t="shared" si="42"/>
        <v>CN|AccumulatedNewCapacity|RE1|PWRBGS|2038</v>
      </c>
      <c r="B2696" t="s">
        <v>39</v>
      </c>
      <c r="C2696" t="s">
        <v>40</v>
      </c>
      <c r="D2696" t="s">
        <v>18</v>
      </c>
      <c r="E2696" t="s">
        <v>19</v>
      </c>
      <c r="F2696" t="s">
        <v>20</v>
      </c>
      <c r="O2696">
        <v>2038</v>
      </c>
    </row>
    <row r="2697" spans="1:16" x14ac:dyDescent="0.3">
      <c r="A2697" t="str">
        <f t="shared" si="42"/>
        <v>CN|AccumulatedNewCapacity|RE1|PWRCOA|2038</v>
      </c>
      <c r="B2697" t="s">
        <v>39</v>
      </c>
      <c r="C2697" t="s">
        <v>40</v>
      </c>
      <c r="D2697" t="s">
        <v>18</v>
      </c>
      <c r="E2697" t="s">
        <v>19</v>
      </c>
      <c r="F2697" t="s">
        <v>21</v>
      </c>
      <c r="O2697">
        <v>2038</v>
      </c>
    </row>
    <row r="2698" spans="1:16" x14ac:dyDescent="0.3">
      <c r="A2698" t="str">
        <f t="shared" si="42"/>
        <v>CN|AccumulatedNewCapacity|RE1|PWRDSL|2038</v>
      </c>
      <c r="B2698" t="s">
        <v>39</v>
      </c>
      <c r="C2698" t="s">
        <v>40</v>
      </c>
      <c r="D2698" t="s">
        <v>18</v>
      </c>
      <c r="E2698" t="s">
        <v>19</v>
      </c>
      <c r="F2698" t="s">
        <v>22</v>
      </c>
      <c r="O2698">
        <v>2038</v>
      </c>
    </row>
    <row r="2699" spans="1:16" x14ac:dyDescent="0.3">
      <c r="A2699" t="str">
        <f t="shared" si="42"/>
        <v>CN|AccumulatedNewCapacity|RE1|PWRFOL|2038</v>
      </c>
      <c r="B2699" t="s">
        <v>39</v>
      </c>
      <c r="C2699" t="s">
        <v>40</v>
      </c>
      <c r="D2699" t="s">
        <v>18</v>
      </c>
      <c r="E2699" t="s">
        <v>19</v>
      </c>
      <c r="F2699" t="s">
        <v>23</v>
      </c>
      <c r="O2699">
        <v>2038</v>
      </c>
    </row>
    <row r="2700" spans="1:16" x14ac:dyDescent="0.3">
      <c r="A2700" t="str">
        <f t="shared" si="42"/>
        <v>CN|AccumulatedNewCapacity|RE1|PWRHYDDAM|2038</v>
      </c>
      <c r="B2700" t="s">
        <v>39</v>
      </c>
      <c r="C2700" t="s">
        <v>40</v>
      </c>
      <c r="D2700" t="s">
        <v>18</v>
      </c>
      <c r="E2700" t="s">
        <v>19</v>
      </c>
      <c r="F2700" t="s">
        <v>24</v>
      </c>
      <c r="O2700">
        <v>2038</v>
      </c>
      <c r="P2700">
        <v>37.840000000000003</v>
      </c>
    </row>
    <row r="2701" spans="1:16" x14ac:dyDescent="0.3">
      <c r="A2701" t="str">
        <f t="shared" si="42"/>
        <v>CN|AccumulatedNewCapacity|RE1|PWRHYDROR|2038</v>
      </c>
      <c r="B2701" t="s">
        <v>39</v>
      </c>
      <c r="C2701" t="s">
        <v>40</v>
      </c>
      <c r="D2701" t="s">
        <v>18</v>
      </c>
      <c r="E2701" t="s">
        <v>19</v>
      </c>
      <c r="F2701" t="s">
        <v>25</v>
      </c>
      <c r="O2701">
        <v>2038</v>
      </c>
    </row>
    <row r="2702" spans="1:16" x14ac:dyDescent="0.3">
      <c r="A2702" t="str">
        <f t="shared" si="42"/>
        <v>CN|AccumulatedNewCapacity|RE1|PWRHYDROR_NDC|2038</v>
      </c>
      <c r="B2702" t="s">
        <v>39</v>
      </c>
      <c r="C2702" t="s">
        <v>40</v>
      </c>
      <c r="D2702" t="s">
        <v>18</v>
      </c>
      <c r="E2702" t="s">
        <v>19</v>
      </c>
      <c r="F2702" t="s">
        <v>26</v>
      </c>
      <c r="O2702">
        <v>2038</v>
      </c>
    </row>
    <row r="2703" spans="1:16" x14ac:dyDescent="0.3">
      <c r="A2703" t="str">
        <f t="shared" si="42"/>
        <v>CN|AccumulatedNewCapacity|RE1|PWRJET|2038</v>
      </c>
      <c r="B2703" t="s">
        <v>39</v>
      </c>
      <c r="C2703" t="s">
        <v>40</v>
      </c>
      <c r="D2703" t="s">
        <v>18</v>
      </c>
      <c r="E2703" t="s">
        <v>19</v>
      </c>
      <c r="F2703" t="s">
        <v>27</v>
      </c>
      <c r="O2703">
        <v>2038</v>
      </c>
    </row>
    <row r="2704" spans="1:16" x14ac:dyDescent="0.3">
      <c r="A2704" t="str">
        <f t="shared" si="42"/>
        <v>CN|AccumulatedNewCapacity|RE1|PWRLPG|2038</v>
      </c>
      <c r="B2704" t="s">
        <v>39</v>
      </c>
      <c r="C2704" t="s">
        <v>40</v>
      </c>
      <c r="D2704" t="s">
        <v>18</v>
      </c>
      <c r="E2704" t="s">
        <v>19</v>
      </c>
      <c r="F2704" t="s">
        <v>28</v>
      </c>
      <c r="O2704">
        <v>2038</v>
      </c>
    </row>
    <row r="2705" spans="1:16" x14ac:dyDescent="0.3">
      <c r="A2705" t="str">
        <f t="shared" si="42"/>
        <v>CN|AccumulatedNewCapacity|RE1|PWRNGS_CC|2038</v>
      </c>
      <c r="B2705" t="s">
        <v>39</v>
      </c>
      <c r="C2705" t="s">
        <v>40</v>
      </c>
      <c r="D2705" t="s">
        <v>18</v>
      </c>
      <c r="E2705" t="s">
        <v>19</v>
      </c>
      <c r="F2705" t="s">
        <v>29</v>
      </c>
      <c r="O2705">
        <v>2038</v>
      </c>
    </row>
    <row r="2706" spans="1:16" x14ac:dyDescent="0.3">
      <c r="A2706" t="str">
        <f t="shared" si="42"/>
        <v>CN|AccumulatedNewCapacity|RE1|PWRNGS_CS|2038</v>
      </c>
      <c r="B2706" t="s">
        <v>39</v>
      </c>
      <c r="C2706" t="s">
        <v>40</v>
      </c>
      <c r="D2706" t="s">
        <v>18</v>
      </c>
      <c r="E2706" t="s">
        <v>19</v>
      </c>
      <c r="F2706" t="s">
        <v>30</v>
      </c>
      <c r="O2706">
        <v>2038</v>
      </c>
    </row>
    <row r="2707" spans="1:16" x14ac:dyDescent="0.3">
      <c r="A2707" t="str">
        <f t="shared" si="42"/>
        <v>CN|AccumulatedNewCapacity|RE1|PWRSOLRTP|2038</v>
      </c>
      <c r="B2707" t="s">
        <v>39</v>
      </c>
      <c r="C2707" t="s">
        <v>40</v>
      </c>
      <c r="D2707" t="s">
        <v>18</v>
      </c>
      <c r="E2707" t="s">
        <v>19</v>
      </c>
      <c r="F2707" t="s">
        <v>31</v>
      </c>
      <c r="O2707">
        <v>2038</v>
      </c>
      <c r="P2707">
        <v>181.77</v>
      </c>
    </row>
    <row r="2708" spans="1:16" x14ac:dyDescent="0.3">
      <c r="A2708" t="str">
        <f t="shared" si="42"/>
        <v>CN|AccumulatedNewCapacity|RE1|PWRSOLRTP_ZNI|2038</v>
      </c>
      <c r="B2708" t="s">
        <v>39</v>
      </c>
      <c r="C2708" t="s">
        <v>40</v>
      </c>
      <c r="D2708" t="s">
        <v>18</v>
      </c>
      <c r="E2708" t="s">
        <v>19</v>
      </c>
      <c r="F2708" t="s">
        <v>32</v>
      </c>
      <c r="O2708">
        <v>2038</v>
      </c>
      <c r="P2708">
        <v>0.8534155502813684</v>
      </c>
    </row>
    <row r="2709" spans="1:16" x14ac:dyDescent="0.3">
      <c r="A2709" t="str">
        <f t="shared" si="42"/>
        <v>CN|AccumulatedNewCapacity|RE1|PWRSOLUGE|2038</v>
      </c>
      <c r="B2709" t="s">
        <v>39</v>
      </c>
      <c r="C2709" t="s">
        <v>40</v>
      </c>
      <c r="D2709" t="s">
        <v>18</v>
      </c>
      <c r="E2709" t="s">
        <v>19</v>
      </c>
      <c r="F2709" t="s">
        <v>33</v>
      </c>
      <c r="O2709">
        <v>2038</v>
      </c>
      <c r="P2709">
        <v>143.394192</v>
      </c>
    </row>
    <row r="2710" spans="1:16" x14ac:dyDescent="0.3">
      <c r="A2710" t="str">
        <f t="shared" si="42"/>
        <v>CN|AccumulatedNewCapacity|RE1|PWRSOLUGE_BAT|2038</v>
      </c>
      <c r="B2710" t="s">
        <v>39</v>
      </c>
      <c r="C2710" t="s">
        <v>40</v>
      </c>
      <c r="D2710" t="s">
        <v>18</v>
      </c>
      <c r="E2710" t="s">
        <v>19</v>
      </c>
      <c r="F2710" t="s">
        <v>41</v>
      </c>
      <c r="O2710">
        <v>2038</v>
      </c>
    </row>
    <row r="2711" spans="1:16" x14ac:dyDescent="0.3">
      <c r="A2711" t="str">
        <f t="shared" si="42"/>
        <v>CN|AccumulatedNewCapacity|RE1|PWRSOLUPE|2038</v>
      </c>
      <c r="B2711" t="s">
        <v>39</v>
      </c>
      <c r="C2711" t="s">
        <v>40</v>
      </c>
      <c r="D2711" t="s">
        <v>18</v>
      </c>
      <c r="E2711" t="s">
        <v>19</v>
      </c>
      <c r="F2711" t="s">
        <v>34</v>
      </c>
      <c r="O2711">
        <v>2038</v>
      </c>
      <c r="P2711">
        <v>12.14419823999993</v>
      </c>
    </row>
    <row r="2712" spans="1:16" x14ac:dyDescent="0.3">
      <c r="A2712" t="str">
        <f t="shared" si="42"/>
        <v>CN|AccumulatedNewCapacity|RE1|PWRSTD|2038</v>
      </c>
      <c r="B2712" t="s">
        <v>39</v>
      </c>
      <c r="C2712" t="s">
        <v>40</v>
      </c>
      <c r="D2712" t="s">
        <v>18</v>
      </c>
      <c r="E2712" t="s">
        <v>19</v>
      </c>
      <c r="F2712" t="s">
        <v>35</v>
      </c>
      <c r="O2712">
        <v>2038</v>
      </c>
    </row>
    <row r="2713" spans="1:16" x14ac:dyDescent="0.3">
      <c r="A2713" t="str">
        <f t="shared" si="42"/>
        <v>CN|AccumulatedNewCapacity|RE1|PWRWNDOFS_FIX|2038</v>
      </c>
      <c r="B2713" t="s">
        <v>39</v>
      </c>
      <c r="C2713" t="s">
        <v>40</v>
      </c>
      <c r="D2713" t="s">
        <v>18</v>
      </c>
      <c r="E2713" t="s">
        <v>19</v>
      </c>
      <c r="F2713" t="s">
        <v>42</v>
      </c>
      <c r="O2713">
        <v>2038</v>
      </c>
      <c r="P2713">
        <v>83.494766587762058</v>
      </c>
    </row>
    <row r="2714" spans="1:16" x14ac:dyDescent="0.3">
      <c r="A2714" t="str">
        <f t="shared" si="42"/>
        <v>CN|AccumulatedNewCapacity|RE1|PWRWNDOFS_FLO|2038</v>
      </c>
      <c r="B2714" t="s">
        <v>39</v>
      </c>
      <c r="C2714" t="s">
        <v>40</v>
      </c>
      <c r="D2714" t="s">
        <v>18</v>
      </c>
      <c r="E2714" t="s">
        <v>19</v>
      </c>
      <c r="F2714" t="s">
        <v>43</v>
      </c>
      <c r="O2714">
        <v>2038</v>
      </c>
    </row>
    <row r="2715" spans="1:16" x14ac:dyDescent="0.3">
      <c r="A2715" t="str">
        <f t="shared" si="42"/>
        <v>CN|AccumulatedNewCapacity|RE1|PWRWNDONS|2038</v>
      </c>
      <c r="B2715" t="s">
        <v>39</v>
      </c>
      <c r="C2715" t="s">
        <v>40</v>
      </c>
      <c r="D2715" t="s">
        <v>18</v>
      </c>
      <c r="E2715" t="s">
        <v>19</v>
      </c>
      <c r="F2715" t="s">
        <v>36</v>
      </c>
      <c r="O2715">
        <v>2038</v>
      </c>
      <c r="P2715">
        <v>283.82944648443561</v>
      </c>
    </row>
    <row r="2716" spans="1:16" x14ac:dyDescent="0.3">
      <c r="A2716" t="str">
        <f t="shared" si="42"/>
        <v>CN|NewCapacity|RE1|PWRBGS|2038</v>
      </c>
      <c r="B2716" t="s">
        <v>39</v>
      </c>
      <c r="C2716" t="s">
        <v>40</v>
      </c>
      <c r="D2716" t="s">
        <v>37</v>
      </c>
      <c r="E2716" t="s">
        <v>19</v>
      </c>
      <c r="F2716" t="s">
        <v>20</v>
      </c>
      <c r="O2716">
        <v>2038</v>
      </c>
    </row>
    <row r="2717" spans="1:16" x14ac:dyDescent="0.3">
      <c r="A2717" t="str">
        <f t="shared" si="42"/>
        <v>CN|NewCapacity|RE1|PWRCOA|2038</v>
      </c>
      <c r="B2717" t="s">
        <v>39</v>
      </c>
      <c r="C2717" t="s">
        <v>40</v>
      </c>
      <c r="D2717" t="s">
        <v>37</v>
      </c>
      <c r="E2717" t="s">
        <v>19</v>
      </c>
      <c r="F2717" t="s">
        <v>21</v>
      </c>
      <c r="O2717">
        <v>2038</v>
      </c>
    </row>
    <row r="2718" spans="1:16" x14ac:dyDescent="0.3">
      <c r="A2718" t="str">
        <f t="shared" si="42"/>
        <v>CN|NewCapacity|RE1|PWRDSL|2038</v>
      </c>
      <c r="B2718" t="s">
        <v>39</v>
      </c>
      <c r="C2718" t="s">
        <v>40</v>
      </c>
      <c r="D2718" t="s">
        <v>37</v>
      </c>
      <c r="E2718" t="s">
        <v>19</v>
      </c>
      <c r="F2718" t="s">
        <v>22</v>
      </c>
      <c r="O2718">
        <v>2038</v>
      </c>
    </row>
    <row r="2719" spans="1:16" x14ac:dyDescent="0.3">
      <c r="A2719" t="str">
        <f t="shared" si="42"/>
        <v>CN|NewCapacity|RE1|PWRFOL|2038</v>
      </c>
      <c r="B2719" t="s">
        <v>39</v>
      </c>
      <c r="C2719" t="s">
        <v>40</v>
      </c>
      <c r="D2719" t="s">
        <v>37</v>
      </c>
      <c r="E2719" t="s">
        <v>19</v>
      </c>
      <c r="F2719" t="s">
        <v>23</v>
      </c>
      <c r="O2719">
        <v>2038</v>
      </c>
    </row>
    <row r="2720" spans="1:16" x14ac:dyDescent="0.3">
      <c r="A2720" t="str">
        <f t="shared" si="42"/>
        <v>CN|NewCapacity|RE1|PWRHYDDAM|2038</v>
      </c>
      <c r="B2720" t="s">
        <v>39</v>
      </c>
      <c r="C2720" t="s">
        <v>40</v>
      </c>
      <c r="D2720" t="s">
        <v>37</v>
      </c>
      <c r="E2720" t="s">
        <v>19</v>
      </c>
      <c r="F2720" t="s">
        <v>24</v>
      </c>
      <c r="O2720">
        <v>2038</v>
      </c>
    </row>
    <row r="2721" spans="1:16" x14ac:dyDescent="0.3">
      <c r="A2721" t="str">
        <f t="shared" si="42"/>
        <v>CN|NewCapacity|RE1|PWRHYDROR|2038</v>
      </c>
      <c r="B2721" t="s">
        <v>39</v>
      </c>
      <c r="C2721" t="s">
        <v>40</v>
      </c>
      <c r="D2721" t="s">
        <v>37</v>
      </c>
      <c r="E2721" t="s">
        <v>19</v>
      </c>
      <c r="F2721" t="s">
        <v>25</v>
      </c>
      <c r="O2721">
        <v>2038</v>
      </c>
    </row>
    <row r="2722" spans="1:16" x14ac:dyDescent="0.3">
      <c r="A2722" t="str">
        <f t="shared" si="42"/>
        <v>CN|NewCapacity|RE1|PWRHYDROR_NDC|2038</v>
      </c>
      <c r="B2722" t="s">
        <v>39</v>
      </c>
      <c r="C2722" t="s">
        <v>40</v>
      </c>
      <c r="D2722" t="s">
        <v>37</v>
      </c>
      <c r="E2722" t="s">
        <v>19</v>
      </c>
      <c r="F2722" t="s">
        <v>26</v>
      </c>
      <c r="O2722">
        <v>2038</v>
      </c>
    </row>
    <row r="2723" spans="1:16" x14ac:dyDescent="0.3">
      <c r="A2723" t="str">
        <f t="shared" si="42"/>
        <v>CN|NewCapacity|RE1|PWRJET|2038</v>
      </c>
      <c r="B2723" t="s">
        <v>39</v>
      </c>
      <c r="C2723" t="s">
        <v>40</v>
      </c>
      <c r="D2723" t="s">
        <v>37</v>
      </c>
      <c r="E2723" t="s">
        <v>19</v>
      </c>
      <c r="F2723" t="s">
        <v>27</v>
      </c>
      <c r="O2723">
        <v>2038</v>
      </c>
    </row>
    <row r="2724" spans="1:16" x14ac:dyDescent="0.3">
      <c r="A2724" t="str">
        <f t="shared" si="42"/>
        <v>CN|NewCapacity|RE1|PWRLPG|2038</v>
      </c>
      <c r="B2724" t="s">
        <v>39</v>
      </c>
      <c r="C2724" t="s">
        <v>40</v>
      </c>
      <c r="D2724" t="s">
        <v>37</v>
      </c>
      <c r="E2724" t="s">
        <v>19</v>
      </c>
      <c r="F2724" t="s">
        <v>28</v>
      </c>
      <c r="O2724">
        <v>2038</v>
      </c>
    </row>
    <row r="2725" spans="1:16" x14ac:dyDescent="0.3">
      <c r="A2725" t="str">
        <f t="shared" si="42"/>
        <v>CN|NewCapacity|RE1|PWRNGS_CC|2038</v>
      </c>
      <c r="B2725" t="s">
        <v>39</v>
      </c>
      <c r="C2725" t="s">
        <v>40</v>
      </c>
      <c r="D2725" t="s">
        <v>37</v>
      </c>
      <c r="E2725" t="s">
        <v>19</v>
      </c>
      <c r="F2725" t="s">
        <v>29</v>
      </c>
      <c r="O2725">
        <v>2038</v>
      </c>
    </row>
    <row r="2726" spans="1:16" x14ac:dyDescent="0.3">
      <c r="A2726" t="str">
        <f t="shared" si="42"/>
        <v>CN|NewCapacity|RE1|PWRNGS_CS|2038</v>
      </c>
      <c r="B2726" t="s">
        <v>39</v>
      </c>
      <c r="C2726" t="s">
        <v>40</v>
      </c>
      <c r="D2726" t="s">
        <v>37</v>
      </c>
      <c r="E2726" t="s">
        <v>19</v>
      </c>
      <c r="F2726" t="s">
        <v>30</v>
      </c>
      <c r="O2726">
        <v>2038</v>
      </c>
    </row>
    <row r="2727" spans="1:16" x14ac:dyDescent="0.3">
      <c r="A2727" t="str">
        <f t="shared" si="42"/>
        <v>CN|NewCapacity|RE1|PWRSOLRTP|2038</v>
      </c>
      <c r="B2727" t="s">
        <v>39</v>
      </c>
      <c r="C2727" t="s">
        <v>40</v>
      </c>
      <c r="D2727" t="s">
        <v>37</v>
      </c>
      <c r="E2727" t="s">
        <v>19</v>
      </c>
      <c r="F2727" t="s">
        <v>31</v>
      </c>
      <c r="O2727">
        <v>2038</v>
      </c>
      <c r="P2727">
        <v>7.7</v>
      </c>
    </row>
    <row r="2728" spans="1:16" x14ac:dyDescent="0.3">
      <c r="A2728" t="str">
        <f t="shared" si="42"/>
        <v>CN|NewCapacity|RE1|PWRSOLRTP_ZNI|2038</v>
      </c>
      <c r="B2728" t="s">
        <v>39</v>
      </c>
      <c r="C2728" t="s">
        <v>40</v>
      </c>
      <c r="D2728" t="s">
        <v>37</v>
      </c>
      <c r="E2728" t="s">
        <v>19</v>
      </c>
      <c r="F2728" t="s">
        <v>32</v>
      </c>
      <c r="O2728">
        <v>2038</v>
      </c>
      <c r="P2728">
        <v>4.1919232568797128E-2</v>
      </c>
    </row>
    <row r="2729" spans="1:16" x14ac:dyDescent="0.3">
      <c r="A2729" t="str">
        <f t="shared" si="42"/>
        <v>CN|NewCapacity|RE1|PWRSOLUGE|2038</v>
      </c>
      <c r="B2729" t="s">
        <v>39</v>
      </c>
      <c r="C2729" t="s">
        <v>40</v>
      </c>
      <c r="D2729" t="s">
        <v>37</v>
      </c>
      <c r="E2729" t="s">
        <v>19</v>
      </c>
      <c r="F2729" t="s">
        <v>33</v>
      </c>
      <c r="O2729">
        <v>2038</v>
      </c>
    </row>
    <row r="2730" spans="1:16" x14ac:dyDescent="0.3">
      <c r="A2730" t="str">
        <f t="shared" si="42"/>
        <v>CN|NewCapacity|RE1|PWRSOLUGE_BAT|2038</v>
      </c>
      <c r="B2730" t="s">
        <v>39</v>
      </c>
      <c r="C2730" t="s">
        <v>40</v>
      </c>
      <c r="D2730" t="s">
        <v>37</v>
      </c>
      <c r="E2730" t="s">
        <v>19</v>
      </c>
      <c r="F2730" t="s">
        <v>41</v>
      </c>
      <c r="O2730">
        <v>2038</v>
      </c>
    </row>
    <row r="2731" spans="1:16" x14ac:dyDescent="0.3">
      <c r="A2731" t="str">
        <f t="shared" si="42"/>
        <v>CN|NewCapacity|RE1|PWRSOLUPE|2038</v>
      </c>
      <c r="B2731" t="s">
        <v>39</v>
      </c>
      <c r="C2731" t="s">
        <v>40</v>
      </c>
      <c r="D2731" t="s">
        <v>37</v>
      </c>
      <c r="E2731" t="s">
        <v>19</v>
      </c>
      <c r="F2731" t="s">
        <v>34</v>
      </c>
      <c r="O2731">
        <v>2038</v>
      </c>
    </row>
    <row r="2732" spans="1:16" x14ac:dyDescent="0.3">
      <c r="A2732" t="str">
        <f t="shared" si="42"/>
        <v>CN|NewCapacity|RE1|PWRSTD|2038</v>
      </c>
      <c r="B2732" t="s">
        <v>39</v>
      </c>
      <c r="C2732" t="s">
        <v>40</v>
      </c>
      <c r="D2732" t="s">
        <v>37</v>
      </c>
      <c r="E2732" t="s">
        <v>19</v>
      </c>
      <c r="F2732" t="s">
        <v>35</v>
      </c>
      <c r="O2732">
        <v>2038</v>
      </c>
    </row>
    <row r="2733" spans="1:16" x14ac:dyDescent="0.3">
      <c r="A2733" t="str">
        <f t="shared" si="42"/>
        <v>CN|NewCapacity|RE1|PWRWNDOFS_FIX|2038</v>
      </c>
      <c r="B2733" t="s">
        <v>39</v>
      </c>
      <c r="C2733" t="s">
        <v>40</v>
      </c>
      <c r="D2733" t="s">
        <v>37</v>
      </c>
      <c r="E2733" t="s">
        <v>19</v>
      </c>
      <c r="F2733" t="s">
        <v>42</v>
      </c>
      <c r="O2733">
        <v>2038</v>
      </c>
      <c r="P2733">
        <v>47.31</v>
      </c>
    </row>
    <row r="2734" spans="1:16" x14ac:dyDescent="0.3">
      <c r="A2734" t="str">
        <f t="shared" si="42"/>
        <v>CN|NewCapacity|RE1|PWRWNDOFS_FLO|2038</v>
      </c>
      <c r="B2734" t="s">
        <v>39</v>
      </c>
      <c r="C2734" t="s">
        <v>40</v>
      </c>
      <c r="D2734" t="s">
        <v>37</v>
      </c>
      <c r="E2734" t="s">
        <v>19</v>
      </c>
      <c r="F2734" t="s">
        <v>43</v>
      </c>
      <c r="O2734">
        <v>2038</v>
      </c>
    </row>
    <row r="2735" spans="1:16" x14ac:dyDescent="0.3">
      <c r="A2735" t="str">
        <f t="shared" si="42"/>
        <v>CN|NewCapacity|RE1|PWRWNDONS|2038</v>
      </c>
      <c r="B2735" t="s">
        <v>39</v>
      </c>
      <c r="C2735" t="s">
        <v>40</v>
      </c>
      <c r="D2735" t="s">
        <v>37</v>
      </c>
      <c r="E2735" t="s">
        <v>19</v>
      </c>
      <c r="F2735" t="s">
        <v>36</v>
      </c>
      <c r="O2735">
        <v>2038</v>
      </c>
      <c r="P2735">
        <v>47.31</v>
      </c>
    </row>
    <row r="2736" spans="1:16" x14ac:dyDescent="0.3">
      <c r="A2736" t="str">
        <f t="shared" si="42"/>
        <v>CN|TotalCapacityAnnual|RE1|PWRBGS|2038</v>
      </c>
      <c r="B2736" t="s">
        <v>39</v>
      </c>
      <c r="C2736" t="s">
        <v>40</v>
      </c>
      <c r="D2736" t="s">
        <v>38</v>
      </c>
      <c r="E2736" t="s">
        <v>19</v>
      </c>
      <c r="F2736" t="s">
        <v>20</v>
      </c>
      <c r="O2736">
        <v>2038</v>
      </c>
      <c r="P2736">
        <v>2.5488587520000001E-2</v>
      </c>
    </row>
    <row r="2737" spans="1:16" x14ac:dyDescent="0.3">
      <c r="A2737" t="str">
        <f t="shared" si="42"/>
        <v>CN|TotalCapacityAnnual|RE1|PWRCOA|2038</v>
      </c>
      <c r="B2737" t="s">
        <v>39</v>
      </c>
      <c r="C2737" t="s">
        <v>40</v>
      </c>
      <c r="D2737" t="s">
        <v>38</v>
      </c>
      <c r="E2737" t="s">
        <v>19</v>
      </c>
      <c r="F2737" t="s">
        <v>21</v>
      </c>
      <c r="O2737">
        <v>2038</v>
      </c>
    </row>
    <row r="2738" spans="1:16" x14ac:dyDescent="0.3">
      <c r="A2738" t="str">
        <f t="shared" si="42"/>
        <v>CN|TotalCapacityAnnual|RE1|PWRDSL|2038</v>
      </c>
      <c r="B2738" t="s">
        <v>39</v>
      </c>
      <c r="C2738" t="s">
        <v>40</v>
      </c>
      <c r="D2738" t="s">
        <v>38</v>
      </c>
      <c r="E2738" t="s">
        <v>19</v>
      </c>
      <c r="F2738" t="s">
        <v>22</v>
      </c>
      <c r="O2738">
        <v>2038</v>
      </c>
    </row>
    <row r="2739" spans="1:16" x14ac:dyDescent="0.3">
      <c r="A2739" t="str">
        <f t="shared" si="42"/>
        <v>CN|TotalCapacityAnnual|RE1|PWRFOL|2038</v>
      </c>
      <c r="B2739" t="s">
        <v>39</v>
      </c>
      <c r="C2739" t="s">
        <v>40</v>
      </c>
      <c r="D2739" t="s">
        <v>38</v>
      </c>
      <c r="E2739" t="s">
        <v>19</v>
      </c>
      <c r="F2739" t="s">
        <v>23</v>
      </c>
      <c r="O2739">
        <v>2038</v>
      </c>
      <c r="P2739">
        <v>8.3885759999999987</v>
      </c>
    </row>
    <row r="2740" spans="1:16" x14ac:dyDescent="0.3">
      <c r="A2740" t="str">
        <f t="shared" si="42"/>
        <v>CN|TotalCapacityAnnual|RE1|PWRHYDDAM|2038</v>
      </c>
      <c r="B2740" t="s">
        <v>39</v>
      </c>
      <c r="C2740" t="s">
        <v>40</v>
      </c>
      <c r="D2740" t="s">
        <v>38</v>
      </c>
      <c r="E2740" t="s">
        <v>19</v>
      </c>
      <c r="F2740" t="s">
        <v>24</v>
      </c>
      <c r="O2740">
        <v>2038</v>
      </c>
      <c r="P2740">
        <v>440.49164800000011</v>
      </c>
    </row>
    <row r="2741" spans="1:16" x14ac:dyDescent="0.3">
      <c r="A2741" t="str">
        <f t="shared" si="42"/>
        <v>CN|TotalCapacityAnnual|RE1|PWRHYDROR|2038</v>
      </c>
      <c r="B2741" t="s">
        <v>39</v>
      </c>
      <c r="C2741" t="s">
        <v>40</v>
      </c>
      <c r="D2741" t="s">
        <v>38</v>
      </c>
      <c r="E2741" t="s">
        <v>19</v>
      </c>
      <c r="F2741" t="s">
        <v>25</v>
      </c>
      <c r="O2741">
        <v>2038</v>
      </c>
      <c r="P2741">
        <v>21.097584000000001</v>
      </c>
    </row>
    <row r="2742" spans="1:16" x14ac:dyDescent="0.3">
      <c r="A2742" t="str">
        <f t="shared" si="42"/>
        <v>CN|TotalCapacityAnnual|RE1|PWRHYDROR_NDC|2038</v>
      </c>
      <c r="B2742" t="s">
        <v>39</v>
      </c>
      <c r="C2742" t="s">
        <v>40</v>
      </c>
      <c r="D2742" t="s">
        <v>38</v>
      </c>
      <c r="E2742" t="s">
        <v>19</v>
      </c>
      <c r="F2742" t="s">
        <v>26</v>
      </c>
      <c r="O2742">
        <v>2038</v>
      </c>
      <c r="P2742">
        <v>29.725108271999989</v>
      </c>
    </row>
    <row r="2743" spans="1:16" x14ac:dyDescent="0.3">
      <c r="A2743" t="str">
        <f t="shared" si="42"/>
        <v>CN|TotalCapacityAnnual|RE1|PWRJET|2038</v>
      </c>
      <c r="B2743" t="s">
        <v>39</v>
      </c>
      <c r="C2743" t="s">
        <v>40</v>
      </c>
      <c r="D2743" t="s">
        <v>38</v>
      </c>
      <c r="E2743" t="s">
        <v>19</v>
      </c>
      <c r="F2743" t="s">
        <v>27</v>
      </c>
      <c r="O2743">
        <v>2038</v>
      </c>
      <c r="P2743">
        <v>1.5768</v>
      </c>
    </row>
    <row r="2744" spans="1:16" x14ac:dyDescent="0.3">
      <c r="A2744" t="str">
        <f t="shared" si="42"/>
        <v>CN|TotalCapacityAnnual|RE1|PWRLPG|2038</v>
      </c>
      <c r="B2744" t="s">
        <v>39</v>
      </c>
      <c r="C2744" t="s">
        <v>40</v>
      </c>
      <c r="D2744" t="s">
        <v>38</v>
      </c>
      <c r="E2744" t="s">
        <v>19</v>
      </c>
      <c r="F2744" t="s">
        <v>28</v>
      </c>
      <c r="O2744">
        <v>2038</v>
      </c>
      <c r="P2744">
        <v>1.639872</v>
      </c>
    </row>
    <row r="2745" spans="1:16" x14ac:dyDescent="0.3">
      <c r="A2745" t="str">
        <f t="shared" si="42"/>
        <v>CN|TotalCapacityAnnual|RE1|PWRNGS_CC|2038</v>
      </c>
      <c r="B2745" t="s">
        <v>39</v>
      </c>
      <c r="C2745" t="s">
        <v>40</v>
      </c>
      <c r="D2745" t="s">
        <v>38</v>
      </c>
      <c r="E2745" t="s">
        <v>19</v>
      </c>
      <c r="F2745" t="s">
        <v>29</v>
      </c>
      <c r="O2745">
        <v>2038</v>
      </c>
      <c r="P2745">
        <v>70.104500000000002</v>
      </c>
    </row>
    <row r="2746" spans="1:16" x14ac:dyDescent="0.3">
      <c r="A2746" t="str">
        <f t="shared" si="42"/>
        <v>CN|TotalCapacityAnnual|RE1|PWRNGS_CS|2038</v>
      </c>
      <c r="B2746" t="s">
        <v>39</v>
      </c>
      <c r="C2746" t="s">
        <v>40</v>
      </c>
      <c r="D2746" t="s">
        <v>38</v>
      </c>
      <c r="E2746" t="s">
        <v>19</v>
      </c>
      <c r="F2746" t="s">
        <v>30</v>
      </c>
      <c r="O2746">
        <v>2038</v>
      </c>
      <c r="P2746">
        <v>48.03</v>
      </c>
    </row>
    <row r="2747" spans="1:16" x14ac:dyDescent="0.3">
      <c r="A2747" t="str">
        <f t="shared" si="42"/>
        <v>CN|TotalCapacityAnnual|RE1|PWRSOLRTP|2038</v>
      </c>
      <c r="B2747" t="s">
        <v>39</v>
      </c>
      <c r="C2747" t="s">
        <v>40</v>
      </c>
      <c r="D2747" t="s">
        <v>38</v>
      </c>
      <c r="E2747" t="s">
        <v>19</v>
      </c>
      <c r="F2747" t="s">
        <v>31</v>
      </c>
      <c r="O2747">
        <v>2038</v>
      </c>
      <c r="P2747">
        <v>205.05410000000001</v>
      </c>
    </row>
    <row r="2748" spans="1:16" x14ac:dyDescent="0.3">
      <c r="A2748" t="str">
        <f t="shared" si="42"/>
        <v>CN|TotalCapacityAnnual|RE1|PWRSOLRTP_ZNI|2038</v>
      </c>
      <c r="B2748" t="s">
        <v>39</v>
      </c>
      <c r="C2748" t="s">
        <v>40</v>
      </c>
      <c r="D2748" t="s">
        <v>38</v>
      </c>
      <c r="E2748" t="s">
        <v>19</v>
      </c>
      <c r="F2748" t="s">
        <v>32</v>
      </c>
      <c r="O2748">
        <v>2038</v>
      </c>
      <c r="P2748">
        <v>1.3141565102813679</v>
      </c>
    </row>
    <row r="2749" spans="1:16" x14ac:dyDescent="0.3">
      <c r="A2749" t="str">
        <f t="shared" si="42"/>
        <v>CN|TotalCapacityAnnual|RE1|PWRSOLUGE|2038</v>
      </c>
      <c r="B2749" t="s">
        <v>39</v>
      </c>
      <c r="C2749" t="s">
        <v>40</v>
      </c>
      <c r="D2749" t="s">
        <v>38</v>
      </c>
      <c r="E2749" t="s">
        <v>19</v>
      </c>
      <c r="F2749" t="s">
        <v>33</v>
      </c>
      <c r="O2749">
        <v>2038</v>
      </c>
      <c r="P2749">
        <v>191.79186048</v>
      </c>
    </row>
    <row r="2750" spans="1:16" x14ac:dyDescent="0.3">
      <c r="A2750" t="str">
        <f t="shared" si="42"/>
        <v>CN|TotalCapacityAnnual|RE1|PWRSOLUGE_BAT|2038</v>
      </c>
      <c r="B2750" t="s">
        <v>39</v>
      </c>
      <c r="C2750" t="s">
        <v>40</v>
      </c>
      <c r="D2750" t="s">
        <v>38</v>
      </c>
      <c r="E2750" t="s">
        <v>19</v>
      </c>
      <c r="F2750" t="s">
        <v>41</v>
      </c>
      <c r="O2750">
        <v>2038</v>
      </c>
    </row>
    <row r="2751" spans="1:16" x14ac:dyDescent="0.3">
      <c r="A2751" t="str">
        <f t="shared" si="42"/>
        <v>CN|TotalCapacityAnnual|RE1|PWRSOLUPE|2038</v>
      </c>
      <c r="B2751" t="s">
        <v>39</v>
      </c>
      <c r="C2751" t="s">
        <v>40</v>
      </c>
      <c r="D2751" t="s">
        <v>38</v>
      </c>
      <c r="E2751" t="s">
        <v>19</v>
      </c>
      <c r="F2751" t="s">
        <v>34</v>
      </c>
      <c r="O2751">
        <v>2038</v>
      </c>
      <c r="P2751">
        <v>39.172600079999931</v>
      </c>
    </row>
    <row r="2752" spans="1:16" x14ac:dyDescent="0.3">
      <c r="A2752" t="str">
        <f t="shared" si="42"/>
        <v>CN|TotalCapacityAnnual|RE1|PWRSTD|2038</v>
      </c>
      <c r="B2752" t="s">
        <v>39</v>
      </c>
      <c r="C2752" t="s">
        <v>40</v>
      </c>
      <c r="D2752" t="s">
        <v>38</v>
      </c>
      <c r="E2752" t="s">
        <v>19</v>
      </c>
      <c r="F2752" t="s">
        <v>35</v>
      </c>
      <c r="O2752">
        <v>2038</v>
      </c>
      <c r="P2752">
        <v>8.163062064</v>
      </c>
    </row>
    <row r="2753" spans="1:16" x14ac:dyDescent="0.3">
      <c r="A2753" t="str">
        <f t="shared" si="42"/>
        <v>CN|TotalCapacityAnnual|RE1|PWRWNDOFS_FIX|2038</v>
      </c>
      <c r="B2753" t="s">
        <v>39</v>
      </c>
      <c r="C2753" t="s">
        <v>40</v>
      </c>
      <c r="D2753" t="s">
        <v>38</v>
      </c>
      <c r="E2753" t="s">
        <v>19</v>
      </c>
      <c r="F2753" t="s">
        <v>42</v>
      </c>
      <c r="O2753">
        <v>2038</v>
      </c>
      <c r="P2753">
        <v>83.494766587762058</v>
      </c>
    </row>
    <row r="2754" spans="1:16" x14ac:dyDescent="0.3">
      <c r="A2754" t="str">
        <f t="shared" ref="A2754:A2817" si="43">B2754&amp;"|"&amp;D2754&amp;"|"&amp;E2754&amp;"|"&amp;F2754&amp;"|"&amp;O2754</f>
        <v>CN|TotalCapacityAnnual|RE1|PWRWNDOFS_FLO|2038</v>
      </c>
      <c r="B2754" t="s">
        <v>39</v>
      </c>
      <c r="C2754" t="s">
        <v>40</v>
      </c>
      <c r="D2754" t="s">
        <v>38</v>
      </c>
      <c r="E2754" t="s">
        <v>19</v>
      </c>
      <c r="F2754" t="s">
        <v>43</v>
      </c>
      <c r="O2754">
        <v>2038</v>
      </c>
    </row>
    <row r="2755" spans="1:16" x14ac:dyDescent="0.3">
      <c r="A2755" t="str">
        <f t="shared" si="43"/>
        <v>CN|TotalCapacityAnnual|RE1|PWRWNDONS|2038</v>
      </c>
      <c r="B2755" t="s">
        <v>39</v>
      </c>
      <c r="C2755" t="s">
        <v>40</v>
      </c>
      <c r="D2755" t="s">
        <v>38</v>
      </c>
      <c r="E2755" t="s">
        <v>19</v>
      </c>
      <c r="F2755" t="s">
        <v>36</v>
      </c>
      <c r="O2755">
        <v>2038</v>
      </c>
      <c r="P2755">
        <v>285.19810888443561</v>
      </c>
    </row>
    <row r="2756" spans="1:16" x14ac:dyDescent="0.3">
      <c r="A2756" t="str">
        <f t="shared" si="43"/>
        <v>CN|AccumulatedNewCapacity|RE1|PWRBGS|2039</v>
      </c>
      <c r="B2756" t="s">
        <v>39</v>
      </c>
      <c r="C2756" t="s">
        <v>40</v>
      </c>
      <c r="D2756" t="s">
        <v>18</v>
      </c>
      <c r="E2756" t="s">
        <v>19</v>
      </c>
      <c r="F2756" t="s">
        <v>20</v>
      </c>
      <c r="O2756">
        <v>2039</v>
      </c>
    </row>
    <row r="2757" spans="1:16" x14ac:dyDescent="0.3">
      <c r="A2757" t="str">
        <f t="shared" si="43"/>
        <v>CN|AccumulatedNewCapacity|RE1|PWRCOA|2039</v>
      </c>
      <c r="B2757" t="s">
        <v>39</v>
      </c>
      <c r="C2757" t="s">
        <v>40</v>
      </c>
      <c r="D2757" t="s">
        <v>18</v>
      </c>
      <c r="E2757" t="s">
        <v>19</v>
      </c>
      <c r="F2757" t="s">
        <v>21</v>
      </c>
      <c r="O2757">
        <v>2039</v>
      </c>
    </row>
    <row r="2758" spans="1:16" x14ac:dyDescent="0.3">
      <c r="A2758" t="str">
        <f t="shared" si="43"/>
        <v>CN|AccumulatedNewCapacity|RE1|PWRDSL|2039</v>
      </c>
      <c r="B2758" t="s">
        <v>39</v>
      </c>
      <c r="C2758" t="s">
        <v>40</v>
      </c>
      <c r="D2758" t="s">
        <v>18</v>
      </c>
      <c r="E2758" t="s">
        <v>19</v>
      </c>
      <c r="F2758" t="s">
        <v>22</v>
      </c>
      <c r="O2758">
        <v>2039</v>
      </c>
    </row>
    <row r="2759" spans="1:16" x14ac:dyDescent="0.3">
      <c r="A2759" t="str">
        <f t="shared" si="43"/>
        <v>CN|AccumulatedNewCapacity|RE1|PWRFOL|2039</v>
      </c>
      <c r="B2759" t="s">
        <v>39</v>
      </c>
      <c r="C2759" t="s">
        <v>40</v>
      </c>
      <c r="D2759" t="s">
        <v>18</v>
      </c>
      <c r="E2759" t="s">
        <v>19</v>
      </c>
      <c r="F2759" t="s">
        <v>23</v>
      </c>
      <c r="O2759">
        <v>2039</v>
      </c>
    </row>
    <row r="2760" spans="1:16" x14ac:dyDescent="0.3">
      <c r="A2760" t="str">
        <f t="shared" si="43"/>
        <v>CN|AccumulatedNewCapacity|RE1|PWRHYDDAM|2039</v>
      </c>
      <c r="B2760" t="s">
        <v>39</v>
      </c>
      <c r="C2760" t="s">
        <v>40</v>
      </c>
      <c r="D2760" t="s">
        <v>18</v>
      </c>
      <c r="E2760" t="s">
        <v>19</v>
      </c>
      <c r="F2760" t="s">
        <v>24</v>
      </c>
      <c r="O2760">
        <v>2039</v>
      </c>
      <c r="P2760">
        <v>37.840000000000003</v>
      </c>
    </row>
    <row r="2761" spans="1:16" x14ac:dyDescent="0.3">
      <c r="A2761" t="str">
        <f t="shared" si="43"/>
        <v>CN|AccumulatedNewCapacity|RE1|PWRHYDROR|2039</v>
      </c>
      <c r="B2761" t="s">
        <v>39</v>
      </c>
      <c r="C2761" t="s">
        <v>40</v>
      </c>
      <c r="D2761" t="s">
        <v>18</v>
      </c>
      <c r="E2761" t="s">
        <v>19</v>
      </c>
      <c r="F2761" t="s">
        <v>25</v>
      </c>
      <c r="O2761">
        <v>2039</v>
      </c>
    </row>
    <row r="2762" spans="1:16" x14ac:dyDescent="0.3">
      <c r="A2762" t="str">
        <f t="shared" si="43"/>
        <v>CN|AccumulatedNewCapacity|RE1|PWRHYDROR_NDC|2039</v>
      </c>
      <c r="B2762" t="s">
        <v>39</v>
      </c>
      <c r="C2762" t="s">
        <v>40</v>
      </c>
      <c r="D2762" t="s">
        <v>18</v>
      </c>
      <c r="E2762" t="s">
        <v>19</v>
      </c>
      <c r="F2762" t="s">
        <v>26</v>
      </c>
      <c r="O2762">
        <v>2039</v>
      </c>
    </row>
    <row r="2763" spans="1:16" x14ac:dyDescent="0.3">
      <c r="A2763" t="str">
        <f t="shared" si="43"/>
        <v>CN|AccumulatedNewCapacity|RE1|PWRJET|2039</v>
      </c>
      <c r="B2763" t="s">
        <v>39</v>
      </c>
      <c r="C2763" t="s">
        <v>40</v>
      </c>
      <c r="D2763" t="s">
        <v>18</v>
      </c>
      <c r="E2763" t="s">
        <v>19</v>
      </c>
      <c r="F2763" t="s">
        <v>27</v>
      </c>
      <c r="O2763">
        <v>2039</v>
      </c>
    </row>
    <row r="2764" spans="1:16" x14ac:dyDescent="0.3">
      <c r="A2764" t="str">
        <f t="shared" si="43"/>
        <v>CN|AccumulatedNewCapacity|RE1|PWRLPG|2039</v>
      </c>
      <c r="B2764" t="s">
        <v>39</v>
      </c>
      <c r="C2764" t="s">
        <v>40</v>
      </c>
      <c r="D2764" t="s">
        <v>18</v>
      </c>
      <c r="E2764" t="s">
        <v>19</v>
      </c>
      <c r="F2764" t="s">
        <v>28</v>
      </c>
      <c r="O2764">
        <v>2039</v>
      </c>
    </row>
    <row r="2765" spans="1:16" x14ac:dyDescent="0.3">
      <c r="A2765" t="str">
        <f t="shared" si="43"/>
        <v>CN|AccumulatedNewCapacity|RE1|PWRNGS_CC|2039</v>
      </c>
      <c r="B2765" t="s">
        <v>39</v>
      </c>
      <c r="C2765" t="s">
        <v>40</v>
      </c>
      <c r="D2765" t="s">
        <v>18</v>
      </c>
      <c r="E2765" t="s">
        <v>19</v>
      </c>
      <c r="F2765" t="s">
        <v>29</v>
      </c>
      <c r="O2765">
        <v>2039</v>
      </c>
    </row>
    <row r="2766" spans="1:16" x14ac:dyDescent="0.3">
      <c r="A2766" t="str">
        <f t="shared" si="43"/>
        <v>CN|AccumulatedNewCapacity|RE1|PWRNGS_CS|2039</v>
      </c>
      <c r="B2766" t="s">
        <v>39</v>
      </c>
      <c r="C2766" t="s">
        <v>40</v>
      </c>
      <c r="D2766" t="s">
        <v>18</v>
      </c>
      <c r="E2766" t="s">
        <v>19</v>
      </c>
      <c r="F2766" t="s">
        <v>30</v>
      </c>
      <c r="O2766">
        <v>2039</v>
      </c>
    </row>
    <row r="2767" spans="1:16" x14ac:dyDescent="0.3">
      <c r="A2767" t="str">
        <f t="shared" si="43"/>
        <v>CN|AccumulatedNewCapacity|RE1|PWRSOLRTP|2039</v>
      </c>
      <c r="B2767" t="s">
        <v>39</v>
      </c>
      <c r="C2767" t="s">
        <v>40</v>
      </c>
      <c r="D2767" t="s">
        <v>18</v>
      </c>
      <c r="E2767" t="s">
        <v>19</v>
      </c>
      <c r="F2767" t="s">
        <v>31</v>
      </c>
      <c r="O2767">
        <v>2039</v>
      </c>
      <c r="P2767">
        <v>187.79</v>
      </c>
    </row>
    <row r="2768" spans="1:16" x14ac:dyDescent="0.3">
      <c r="A2768" t="str">
        <f t="shared" si="43"/>
        <v>CN|AccumulatedNewCapacity|RE1|PWRSOLRTP_ZNI|2039</v>
      </c>
      <c r="B2768" t="s">
        <v>39</v>
      </c>
      <c r="C2768" t="s">
        <v>40</v>
      </c>
      <c r="D2768" t="s">
        <v>18</v>
      </c>
      <c r="E2768" t="s">
        <v>19</v>
      </c>
      <c r="F2768" t="s">
        <v>32</v>
      </c>
      <c r="O2768">
        <v>2039</v>
      </c>
      <c r="P2768">
        <v>0.89613105225913248</v>
      </c>
    </row>
    <row r="2769" spans="1:16" x14ac:dyDescent="0.3">
      <c r="A2769" t="str">
        <f t="shared" si="43"/>
        <v>CN|AccumulatedNewCapacity|RE1|PWRSOLUGE|2039</v>
      </c>
      <c r="B2769" t="s">
        <v>39</v>
      </c>
      <c r="C2769" t="s">
        <v>40</v>
      </c>
      <c r="D2769" t="s">
        <v>18</v>
      </c>
      <c r="E2769" t="s">
        <v>19</v>
      </c>
      <c r="F2769" t="s">
        <v>33</v>
      </c>
      <c r="O2769">
        <v>2039</v>
      </c>
      <c r="P2769">
        <v>190.70419200000001</v>
      </c>
    </row>
    <row r="2770" spans="1:16" x14ac:dyDescent="0.3">
      <c r="A2770" t="str">
        <f t="shared" si="43"/>
        <v>CN|AccumulatedNewCapacity|RE1|PWRSOLUGE_BAT|2039</v>
      </c>
      <c r="B2770" t="s">
        <v>39</v>
      </c>
      <c r="C2770" t="s">
        <v>40</v>
      </c>
      <c r="D2770" t="s">
        <v>18</v>
      </c>
      <c r="E2770" t="s">
        <v>19</v>
      </c>
      <c r="F2770" t="s">
        <v>41</v>
      </c>
      <c r="O2770">
        <v>2039</v>
      </c>
    </row>
    <row r="2771" spans="1:16" x14ac:dyDescent="0.3">
      <c r="A2771" t="str">
        <f t="shared" si="43"/>
        <v>CN|AccumulatedNewCapacity|RE1|PWRSOLUPE|2039</v>
      </c>
      <c r="B2771" t="s">
        <v>39</v>
      </c>
      <c r="C2771" t="s">
        <v>40</v>
      </c>
      <c r="D2771" t="s">
        <v>18</v>
      </c>
      <c r="E2771" t="s">
        <v>19</v>
      </c>
      <c r="F2771" t="s">
        <v>34</v>
      </c>
      <c r="O2771">
        <v>2039</v>
      </c>
      <c r="P2771">
        <v>12.14419823999993</v>
      </c>
    </row>
    <row r="2772" spans="1:16" x14ac:dyDescent="0.3">
      <c r="A2772" t="str">
        <f t="shared" si="43"/>
        <v>CN|AccumulatedNewCapacity|RE1|PWRSTD|2039</v>
      </c>
      <c r="B2772" t="s">
        <v>39</v>
      </c>
      <c r="C2772" t="s">
        <v>40</v>
      </c>
      <c r="D2772" t="s">
        <v>18</v>
      </c>
      <c r="E2772" t="s">
        <v>19</v>
      </c>
      <c r="F2772" t="s">
        <v>35</v>
      </c>
      <c r="O2772">
        <v>2039</v>
      </c>
    </row>
    <row r="2773" spans="1:16" x14ac:dyDescent="0.3">
      <c r="A2773" t="str">
        <f t="shared" si="43"/>
        <v>CN|AccumulatedNewCapacity|RE1|PWRWNDOFS_FIX|2039</v>
      </c>
      <c r="B2773" t="s">
        <v>39</v>
      </c>
      <c r="C2773" t="s">
        <v>40</v>
      </c>
      <c r="D2773" t="s">
        <v>18</v>
      </c>
      <c r="E2773" t="s">
        <v>19</v>
      </c>
      <c r="F2773" t="s">
        <v>42</v>
      </c>
      <c r="O2773">
        <v>2039</v>
      </c>
      <c r="P2773">
        <v>130.80476658776209</v>
      </c>
    </row>
    <row r="2774" spans="1:16" x14ac:dyDescent="0.3">
      <c r="A2774" t="str">
        <f t="shared" si="43"/>
        <v>CN|AccumulatedNewCapacity|RE1|PWRWNDOFS_FLO|2039</v>
      </c>
      <c r="B2774" t="s">
        <v>39</v>
      </c>
      <c r="C2774" t="s">
        <v>40</v>
      </c>
      <c r="D2774" t="s">
        <v>18</v>
      </c>
      <c r="E2774" t="s">
        <v>19</v>
      </c>
      <c r="F2774" t="s">
        <v>43</v>
      </c>
      <c r="O2774">
        <v>2039</v>
      </c>
    </row>
    <row r="2775" spans="1:16" x14ac:dyDescent="0.3">
      <c r="A2775" t="str">
        <f t="shared" si="43"/>
        <v>CN|AccumulatedNewCapacity|RE1|PWRWNDONS|2039</v>
      </c>
      <c r="B2775" t="s">
        <v>39</v>
      </c>
      <c r="C2775" t="s">
        <v>40</v>
      </c>
      <c r="D2775" t="s">
        <v>18</v>
      </c>
      <c r="E2775" t="s">
        <v>19</v>
      </c>
      <c r="F2775" t="s">
        <v>36</v>
      </c>
      <c r="O2775">
        <v>2039</v>
      </c>
      <c r="P2775">
        <v>331.13944648443561</v>
      </c>
    </row>
    <row r="2776" spans="1:16" x14ac:dyDescent="0.3">
      <c r="A2776" t="str">
        <f t="shared" si="43"/>
        <v>CN|NewCapacity|RE1|PWRBGS|2039</v>
      </c>
      <c r="B2776" t="s">
        <v>39</v>
      </c>
      <c r="C2776" t="s">
        <v>40</v>
      </c>
      <c r="D2776" t="s">
        <v>37</v>
      </c>
      <c r="E2776" t="s">
        <v>19</v>
      </c>
      <c r="F2776" t="s">
        <v>20</v>
      </c>
      <c r="O2776">
        <v>2039</v>
      </c>
    </row>
    <row r="2777" spans="1:16" x14ac:dyDescent="0.3">
      <c r="A2777" t="str">
        <f t="shared" si="43"/>
        <v>CN|NewCapacity|RE1|PWRCOA|2039</v>
      </c>
      <c r="B2777" t="s">
        <v>39</v>
      </c>
      <c r="C2777" t="s">
        <v>40</v>
      </c>
      <c r="D2777" t="s">
        <v>37</v>
      </c>
      <c r="E2777" t="s">
        <v>19</v>
      </c>
      <c r="F2777" t="s">
        <v>21</v>
      </c>
      <c r="O2777">
        <v>2039</v>
      </c>
    </row>
    <row r="2778" spans="1:16" x14ac:dyDescent="0.3">
      <c r="A2778" t="str">
        <f t="shared" si="43"/>
        <v>CN|NewCapacity|RE1|PWRDSL|2039</v>
      </c>
      <c r="B2778" t="s">
        <v>39</v>
      </c>
      <c r="C2778" t="s">
        <v>40</v>
      </c>
      <c r="D2778" t="s">
        <v>37</v>
      </c>
      <c r="E2778" t="s">
        <v>19</v>
      </c>
      <c r="F2778" t="s">
        <v>22</v>
      </c>
      <c r="O2778">
        <v>2039</v>
      </c>
    </row>
    <row r="2779" spans="1:16" x14ac:dyDescent="0.3">
      <c r="A2779" t="str">
        <f t="shared" si="43"/>
        <v>CN|NewCapacity|RE1|PWRFOL|2039</v>
      </c>
      <c r="B2779" t="s">
        <v>39</v>
      </c>
      <c r="C2779" t="s">
        <v>40</v>
      </c>
      <c r="D2779" t="s">
        <v>37</v>
      </c>
      <c r="E2779" t="s">
        <v>19</v>
      </c>
      <c r="F2779" t="s">
        <v>23</v>
      </c>
      <c r="O2779">
        <v>2039</v>
      </c>
    </row>
    <row r="2780" spans="1:16" x14ac:dyDescent="0.3">
      <c r="A2780" t="str">
        <f t="shared" si="43"/>
        <v>CN|NewCapacity|RE1|PWRHYDDAM|2039</v>
      </c>
      <c r="B2780" t="s">
        <v>39</v>
      </c>
      <c r="C2780" t="s">
        <v>40</v>
      </c>
      <c r="D2780" t="s">
        <v>37</v>
      </c>
      <c r="E2780" t="s">
        <v>19</v>
      </c>
      <c r="F2780" t="s">
        <v>24</v>
      </c>
      <c r="O2780">
        <v>2039</v>
      </c>
    </row>
    <row r="2781" spans="1:16" x14ac:dyDescent="0.3">
      <c r="A2781" t="str">
        <f t="shared" si="43"/>
        <v>CN|NewCapacity|RE1|PWRHYDROR|2039</v>
      </c>
      <c r="B2781" t="s">
        <v>39</v>
      </c>
      <c r="C2781" t="s">
        <v>40</v>
      </c>
      <c r="D2781" t="s">
        <v>37</v>
      </c>
      <c r="E2781" t="s">
        <v>19</v>
      </c>
      <c r="F2781" t="s">
        <v>25</v>
      </c>
      <c r="O2781">
        <v>2039</v>
      </c>
    </row>
    <row r="2782" spans="1:16" x14ac:dyDescent="0.3">
      <c r="A2782" t="str">
        <f t="shared" si="43"/>
        <v>CN|NewCapacity|RE1|PWRHYDROR_NDC|2039</v>
      </c>
      <c r="B2782" t="s">
        <v>39</v>
      </c>
      <c r="C2782" t="s">
        <v>40</v>
      </c>
      <c r="D2782" t="s">
        <v>37</v>
      </c>
      <c r="E2782" t="s">
        <v>19</v>
      </c>
      <c r="F2782" t="s">
        <v>26</v>
      </c>
      <c r="O2782">
        <v>2039</v>
      </c>
    </row>
    <row r="2783" spans="1:16" x14ac:dyDescent="0.3">
      <c r="A2783" t="str">
        <f t="shared" si="43"/>
        <v>CN|NewCapacity|RE1|PWRJET|2039</v>
      </c>
      <c r="B2783" t="s">
        <v>39</v>
      </c>
      <c r="C2783" t="s">
        <v>40</v>
      </c>
      <c r="D2783" t="s">
        <v>37</v>
      </c>
      <c r="E2783" t="s">
        <v>19</v>
      </c>
      <c r="F2783" t="s">
        <v>27</v>
      </c>
      <c r="O2783">
        <v>2039</v>
      </c>
    </row>
    <row r="2784" spans="1:16" x14ac:dyDescent="0.3">
      <c r="A2784" t="str">
        <f t="shared" si="43"/>
        <v>CN|NewCapacity|RE1|PWRLPG|2039</v>
      </c>
      <c r="B2784" t="s">
        <v>39</v>
      </c>
      <c r="C2784" t="s">
        <v>40</v>
      </c>
      <c r="D2784" t="s">
        <v>37</v>
      </c>
      <c r="E2784" t="s">
        <v>19</v>
      </c>
      <c r="F2784" t="s">
        <v>28</v>
      </c>
      <c r="O2784">
        <v>2039</v>
      </c>
    </row>
    <row r="2785" spans="1:16" x14ac:dyDescent="0.3">
      <c r="A2785" t="str">
        <f t="shared" si="43"/>
        <v>CN|NewCapacity|RE1|PWRNGS_CC|2039</v>
      </c>
      <c r="B2785" t="s">
        <v>39</v>
      </c>
      <c r="C2785" t="s">
        <v>40</v>
      </c>
      <c r="D2785" t="s">
        <v>37</v>
      </c>
      <c r="E2785" t="s">
        <v>19</v>
      </c>
      <c r="F2785" t="s">
        <v>29</v>
      </c>
      <c r="O2785">
        <v>2039</v>
      </c>
    </row>
    <row r="2786" spans="1:16" x14ac:dyDescent="0.3">
      <c r="A2786" t="str">
        <f t="shared" si="43"/>
        <v>CN|NewCapacity|RE1|PWRNGS_CS|2039</v>
      </c>
      <c r="B2786" t="s">
        <v>39</v>
      </c>
      <c r="C2786" t="s">
        <v>40</v>
      </c>
      <c r="D2786" t="s">
        <v>37</v>
      </c>
      <c r="E2786" t="s">
        <v>19</v>
      </c>
      <c r="F2786" t="s">
        <v>30</v>
      </c>
      <c r="O2786">
        <v>2039</v>
      </c>
    </row>
    <row r="2787" spans="1:16" x14ac:dyDescent="0.3">
      <c r="A2787" t="str">
        <f t="shared" si="43"/>
        <v>CN|NewCapacity|RE1|PWRSOLRTP|2039</v>
      </c>
      <c r="B2787" t="s">
        <v>39</v>
      </c>
      <c r="C2787" t="s">
        <v>40</v>
      </c>
      <c r="D2787" t="s">
        <v>37</v>
      </c>
      <c r="E2787" t="s">
        <v>19</v>
      </c>
      <c r="F2787" t="s">
        <v>31</v>
      </c>
      <c r="O2787">
        <v>2039</v>
      </c>
      <c r="P2787">
        <v>6.02</v>
      </c>
    </row>
    <row r="2788" spans="1:16" x14ac:dyDescent="0.3">
      <c r="A2788" t="str">
        <f t="shared" si="43"/>
        <v>CN|NewCapacity|RE1|PWRSOLRTP_ZNI|2039</v>
      </c>
      <c r="B2788" t="s">
        <v>39</v>
      </c>
      <c r="C2788" t="s">
        <v>40</v>
      </c>
      <c r="D2788" t="s">
        <v>37</v>
      </c>
      <c r="E2788" t="s">
        <v>19</v>
      </c>
      <c r="F2788" t="s">
        <v>32</v>
      </c>
      <c r="O2788">
        <v>2039</v>
      </c>
      <c r="P2788">
        <v>4.2715501977764088E-2</v>
      </c>
    </row>
    <row r="2789" spans="1:16" x14ac:dyDescent="0.3">
      <c r="A2789" t="str">
        <f t="shared" si="43"/>
        <v>CN|NewCapacity|RE1|PWRSOLUGE|2039</v>
      </c>
      <c r="B2789" t="s">
        <v>39</v>
      </c>
      <c r="C2789" t="s">
        <v>40</v>
      </c>
      <c r="D2789" t="s">
        <v>37</v>
      </c>
      <c r="E2789" t="s">
        <v>19</v>
      </c>
      <c r="F2789" t="s">
        <v>33</v>
      </c>
      <c r="O2789">
        <v>2039</v>
      </c>
      <c r="P2789">
        <v>47.31</v>
      </c>
    </row>
    <row r="2790" spans="1:16" x14ac:dyDescent="0.3">
      <c r="A2790" t="str">
        <f t="shared" si="43"/>
        <v>CN|NewCapacity|RE1|PWRSOLUGE_BAT|2039</v>
      </c>
      <c r="B2790" t="s">
        <v>39</v>
      </c>
      <c r="C2790" t="s">
        <v>40</v>
      </c>
      <c r="D2790" t="s">
        <v>37</v>
      </c>
      <c r="E2790" t="s">
        <v>19</v>
      </c>
      <c r="F2790" t="s">
        <v>41</v>
      </c>
      <c r="O2790">
        <v>2039</v>
      </c>
    </row>
    <row r="2791" spans="1:16" x14ac:dyDescent="0.3">
      <c r="A2791" t="str">
        <f t="shared" si="43"/>
        <v>CN|NewCapacity|RE1|PWRSOLUPE|2039</v>
      </c>
      <c r="B2791" t="s">
        <v>39</v>
      </c>
      <c r="C2791" t="s">
        <v>40</v>
      </c>
      <c r="D2791" t="s">
        <v>37</v>
      </c>
      <c r="E2791" t="s">
        <v>19</v>
      </c>
      <c r="F2791" t="s">
        <v>34</v>
      </c>
      <c r="O2791">
        <v>2039</v>
      </c>
    </row>
    <row r="2792" spans="1:16" x14ac:dyDescent="0.3">
      <c r="A2792" t="str">
        <f t="shared" si="43"/>
        <v>CN|NewCapacity|RE1|PWRSTD|2039</v>
      </c>
      <c r="B2792" t="s">
        <v>39</v>
      </c>
      <c r="C2792" t="s">
        <v>40</v>
      </c>
      <c r="D2792" t="s">
        <v>37</v>
      </c>
      <c r="E2792" t="s">
        <v>19</v>
      </c>
      <c r="F2792" t="s">
        <v>35</v>
      </c>
      <c r="O2792">
        <v>2039</v>
      </c>
    </row>
    <row r="2793" spans="1:16" x14ac:dyDescent="0.3">
      <c r="A2793" t="str">
        <f t="shared" si="43"/>
        <v>CN|NewCapacity|RE1|PWRWNDOFS_FIX|2039</v>
      </c>
      <c r="B2793" t="s">
        <v>39</v>
      </c>
      <c r="C2793" t="s">
        <v>40</v>
      </c>
      <c r="D2793" t="s">
        <v>37</v>
      </c>
      <c r="E2793" t="s">
        <v>19</v>
      </c>
      <c r="F2793" t="s">
        <v>42</v>
      </c>
      <c r="O2793">
        <v>2039</v>
      </c>
      <c r="P2793">
        <v>47.31</v>
      </c>
    </row>
    <row r="2794" spans="1:16" x14ac:dyDescent="0.3">
      <c r="A2794" t="str">
        <f t="shared" si="43"/>
        <v>CN|NewCapacity|RE1|PWRWNDOFS_FLO|2039</v>
      </c>
      <c r="B2794" t="s">
        <v>39</v>
      </c>
      <c r="C2794" t="s">
        <v>40</v>
      </c>
      <c r="D2794" t="s">
        <v>37</v>
      </c>
      <c r="E2794" t="s">
        <v>19</v>
      </c>
      <c r="F2794" t="s">
        <v>43</v>
      </c>
      <c r="O2794">
        <v>2039</v>
      </c>
    </row>
    <row r="2795" spans="1:16" x14ac:dyDescent="0.3">
      <c r="A2795" t="str">
        <f t="shared" si="43"/>
        <v>CN|NewCapacity|RE1|PWRWNDONS|2039</v>
      </c>
      <c r="B2795" t="s">
        <v>39</v>
      </c>
      <c r="C2795" t="s">
        <v>40</v>
      </c>
      <c r="D2795" t="s">
        <v>37</v>
      </c>
      <c r="E2795" t="s">
        <v>19</v>
      </c>
      <c r="F2795" t="s">
        <v>36</v>
      </c>
      <c r="O2795">
        <v>2039</v>
      </c>
      <c r="P2795">
        <v>47.31</v>
      </c>
    </row>
    <row r="2796" spans="1:16" x14ac:dyDescent="0.3">
      <c r="A2796" t="str">
        <f t="shared" si="43"/>
        <v>CN|TotalCapacityAnnual|RE1|PWRBGS|2039</v>
      </c>
      <c r="B2796" t="s">
        <v>39</v>
      </c>
      <c r="C2796" t="s">
        <v>40</v>
      </c>
      <c r="D2796" t="s">
        <v>38</v>
      </c>
      <c r="E2796" t="s">
        <v>19</v>
      </c>
      <c r="F2796" t="s">
        <v>20</v>
      </c>
      <c r="O2796">
        <v>2039</v>
      </c>
      <c r="P2796">
        <v>2.5488587520000001E-2</v>
      </c>
    </row>
    <row r="2797" spans="1:16" x14ac:dyDescent="0.3">
      <c r="A2797" t="str">
        <f t="shared" si="43"/>
        <v>CN|TotalCapacityAnnual|RE1|PWRCOA|2039</v>
      </c>
      <c r="B2797" t="s">
        <v>39</v>
      </c>
      <c r="C2797" t="s">
        <v>40</v>
      </c>
      <c r="D2797" t="s">
        <v>38</v>
      </c>
      <c r="E2797" t="s">
        <v>19</v>
      </c>
      <c r="F2797" t="s">
        <v>21</v>
      </c>
      <c r="O2797">
        <v>2039</v>
      </c>
    </row>
    <row r="2798" spans="1:16" x14ac:dyDescent="0.3">
      <c r="A2798" t="str">
        <f t="shared" si="43"/>
        <v>CN|TotalCapacityAnnual|RE1|PWRDSL|2039</v>
      </c>
      <c r="B2798" t="s">
        <v>39</v>
      </c>
      <c r="C2798" t="s">
        <v>40</v>
      </c>
      <c r="D2798" t="s">
        <v>38</v>
      </c>
      <c r="E2798" t="s">
        <v>19</v>
      </c>
      <c r="F2798" t="s">
        <v>22</v>
      </c>
      <c r="O2798">
        <v>2039</v>
      </c>
    </row>
    <row r="2799" spans="1:16" x14ac:dyDescent="0.3">
      <c r="A2799" t="str">
        <f t="shared" si="43"/>
        <v>CN|TotalCapacityAnnual|RE1|PWRFOL|2039</v>
      </c>
      <c r="B2799" t="s">
        <v>39</v>
      </c>
      <c r="C2799" t="s">
        <v>40</v>
      </c>
      <c r="D2799" t="s">
        <v>38</v>
      </c>
      <c r="E2799" t="s">
        <v>19</v>
      </c>
      <c r="F2799" t="s">
        <v>23</v>
      </c>
      <c r="O2799">
        <v>2039</v>
      </c>
      <c r="P2799">
        <v>8.3885759999999987</v>
      </c>
    </row>
    <row r="2800" spans="1:16" x14ac:dyDescent="0.3">
      <c r="A2800" t="str">
        <f t="shared" si="43"/>
        <v>CN|TotalCapacityAnnual|RE1|PWRHYDDAM|2039</v>
      </c>
      <c r="B2800" t="s">
        <v>39</v>
      </c>
      <c r="C2800" t="s">
        <v>40</v>
      </c>
      <c r="D2800" t="s">
        <v>38</v>
      </c>
      <c r="E2800" t="s">
        <v>19</v>
      </c>
      <c r="F2800" t="s">
        <v>24</v>
      </c>
      <c r="O2800">
        <v>2039</v>
      </c>
      <c r="P2800">
        <v>440.49164800000011</v>
      </c>
    </row>
    <row r="2801" spans="1:16" x14ac:dyDescent="0.3">
      <c r="A2801" t="str">
        <f t="shared" si="43"/>
        <v>CN|TotalCapacityAnnual|RE1|PWRHYDROR|2039</v>
      </c>
      <c r="B2801" t="s">
        <v>39</v>
      </c>
      <c r="C2801" t="s">
        <v>40</v>
      </c>
      <c r="D2801" t="s">
        <v>38</v>
      </c>
      <c r="E2801" t="s">
        <v>19</v>
      </c>
      <c r="F2801" t="s">
        <v>25</v>
      </c>
      <c r="O2801">
        <v>2039</v>
      </c>
      <c r="P2801">
        <v>21.097584000000001</v>
      </c>
    </row>
    <row r="2802" spans="1:16" x14ac:dyDescent="0.3">
      <c r="A2802" t="str">
        <f t="shared" si="43"/>
        <v>CN|TotalCapacityAnnual|RE1|PWRHYDROR_NDC|2039</v>
      </c>
      <c r="B2802" t="s">
        <v>39</v>
      </c>
      <c r="C2802" t="s">
        <v>40</v>
      </c>
      <c r="D2802" t="s">
        <v>38</v>
      </c>
      <c r="E2802" t="s">
        <v>19</v>
      </c>
      <c r="F2802" t="s">
        <v>26</v>
      </c>
      <c r="O2802">
        <v>2039</v>
      </c>
      <c r="P2802">
        <v>29.725108271999989</v>
      </c>
    </row>
    <row r="2803" spans="1:16" x14ac:dyDescent="0.3">
      <c r="A2803" t="str">
        <f t="shared" si="43"/>
        <v>CN|TotalCapacityAnnual|RE1|PWRJET|2039</v>
      </c>
      <c r="B2803" t="s">
        <v>39</v>
      </c>
      <c r="C2803" t="s">
        <v>40</v>
      </c>
      <c r="D2803" t="s">
        <v>38</v>
      </c>
      <c r="E2803" t="s">
        <v>19</v>
      </c>
      <c r="F2803" t="s">
        <v>27</v>
      </c>
      <c r="O2803">
        <v>2039</v>
      </c>
      <c r="P2803">
        <v>1.5768</v>
      </c>
    </row>
    <row r="2804" spans="1:16" x14ac:dyDescent="0.3">
      <c r="A2804" t="str">
        <f t="shared" si="43"/>
        <v>CN|TotalCapacityAnnual|RE1|PWRLPG|2039</v>
      </c>
      <c r="B2804" t="s">
        <v>39</v>
      </c>
      <c r="C2804" t="s">
        <v>40</v>
      </c>
      <c r="D2804" t="s">
        <v>38</v>
      </c>
      <c r="E2804" t="s">
        <v>19</v>
      </c>
      <c r="F2804" t="s">
        <v>28</v>
      </c>
      <c r="O2804">
        <v>2039</v>
      </c>
      <c r="P2804">
        <v>1.639872</v>
      </c>
    </row>
    <row r="2805" spans="1:16" x14ac:dyDescent="0.3">
      <c r="A2805" t="str">
        <f t="shared" si="43"/>
        <v>CN|TotalCapacityAnnual|RE1|PWRNGS_CC|2039</v>
      </c>
      <c r="B2805" t="s">
        <v>39</v>
      </c>
      <c r="C2805" t="s">
        <v>40</v>
      </c>
      <c r="D2805" t="s">
        <v>38</v>
      </c>
      <c r="E2805" t="s">
        <v>19</v>
      </c>
      <c r="F2805" t="s">
        <v>29</v>
      </c>
      <c r="O2805">
        <v>2039</v>
      </c>
      <c r="P2805">
        <v>70.104500000000002</v>
      </c>
    </row>
    <row r="2806" spans="1:16" x14ac:dyDescent="0.3">
      <c r="A2806" t="str">
        <f t="shared" si="43"/>
        <v>CN|TotalCapacityAnnual|RE1|PWRNGS_CS|2039</v>
      </c>
      <c r="B2806" t="s">
        <v>39</v>
      </c>
      <c r="C2806" t="s">
        <v>40</v>
      </c>
      <c r="D2806" t="s">
        <v>38</v>
      </c>
      <c r="E2806" t="s">
        <v>19</v>
      </c>
      <c r="F2806" t="s">
        <v>30</v>
      </c>
      <c r="O2806">
        <v>2039</v>
      </c>
      <c r="P2806">
        <v>48.03</v>
      </c>
    </row>
    <row r="2807" spans="1:16" x14ac:dyDescent="0.3">
      <c r="A2807" t="str">
        <f t="shared" si="43"/>
        <v>CN|TotalCapacityAnnual|RE1|PWRSOLRTP|2039</v>
      </c>
      <c r="B2807" t="s">
        <v>39</v>
      </c>
      <c r="C2807" t="s">
        <v>40</v>
      </c>
      <c r="D2807" t="s">
        <v>38</v>
      </c>
      <c r="E2807" t="s">
        <v>19</v>
      </c>
      <c r="F2807" t="s">
        <v>31</v>
      </c>
      <c r="O2807">
        <v>2039</v>
      </c>
      <c r="P2807">
        <v>211.07409999999999</v>
      </c>
    </row>
    <row r="2808" spans="1:16" x14ac:dyDescent="0.3">
      <c r="A2808" t="str">
        <f t="shared" si="43"/>
        <v>CN|TotalCapacityAnnual|RE1|PWRSOLRTP_ZNI|2039</v>
      </c>
      <c r="B2808" t="s">
        <v>39</v>
      </c>
      <c r="C2808" t="s">
        <v>40</v>
      </c>
      <c r="D2808" t="s">
        <v>38</v>
      </c>
      <c r="E2808" t="s">
        <v>19</v>
      </c>
      <c r="F2808" t="s">
        <v>32</v>
      </c>
      <c r="O2808">
        <v>2039</v>
      </c>
      <c r="P2808">
        <v>1.356872012259132</v>
      </c>
    </row>
    <row r="2809" spans="1:16" x14ac:dyDescent="0.3">
      <c r="A2809" t="str">
        <f t="shared" si="43"/>
        <v>CN|TotalCapacityAnnual|RE1|PWRSOLUGE|2039</v>
      </c>
      <c r="B2809" t="s">
        <v>39</v>
      </c>
      <c r="C2809" t="s">
        <v>40</v>
      </c>
      <c r="D2809" t="s">
        <v>38</v>
      </c>
      <c r="E2809" t="s">
        <v>19</v>
      </c>
      <c r="F2809" t="s">
        <v>33</v>
      </c>
      <c r="O2809">
        <v>2039</v>
      </c>
      <c r="P2809">
        <v>239.10186048</v>
      </c>
    </row>
    <row r="2810" spans="1:16" x14ac:dyDescent="0.3">
      <c r="A2810" t="str">
        <f t="shared" si="43"/>
        <v>CN|TotalCapacityAnnual|RE1|PWRSOLUGE_BAT|2039</v>
      </c>
      <c r="B2810" t="s">
        <v>39</v>
      </c>
      <c r="C2810" t="s">
        <v>40</v>
      </c>
      <c r="D2810" t="s">
        <v>38</v>
      </c>
      <c r="E2810" t="s">
        <v>19</v>
      </c>
      <c r="F2810" t="s">
        <v>41</v>
      </c>
      <c r="O2810">
        <v>2039</v>
      </c>
    </row>
    <row r="2811" spans="1:16" x14ac:dyDescent="0.3">
      <c r="A2811" t="str">
        <f t="shared" si="43"/>
        <v>CN|TotalCapacityAnnual|RE1|PWRSOLUPE|2039</v>
      </c>
      <c r="B2811" t="s">
        <v>39</v>
      </c>
      <c r="C2811" t="s">
        <v>40</v>
      </c>
      <c r="D2811" t="s">
        <v>38</v>
      </c>
      <c r="E2811" t="s">
        <v>19</v>
      </c>
      <c r="F2811" t="s">
        <v>34</v>
      </c>
      <c r="O2811">
        <v>2039</v>
      </c>
      <c r="P2811">
        <v>39.172600079999931</v>
      </c>
    </row>
    <row r="2812" spans="1:16" x14ac:dyDescent="0.3">
      <c r="A2812" t="str">
        <f t="shared" si="43"/>
        <v>CN|TotalCapacityAnnual|RE1|PWRSTD|2039</v>
      </c>
      <c r="B2812" t="s">
        <v>39</v>
      </c>
      <c r="C2812" t="s">
        <v>40</v>
      </c>
      <c r="D2812" t="s">
        <v>38</v>
      </c>
      <c r="E2812" t="s">
        <v>19</v>
      </c>
      <c r="F2812" t="s">
        <v>35</v>
      </c>
      <c r="O2812">
        <v>2039</v>
      </c>
      <c r="P2812">
        <v>8.163062064</v>
      </c>
    </row>
    <row r="2813" spans="1:16" x14ac:dyDescent="0.3">
      <c r="A2813" t="str">
        <f t="shared" si="43"/>
        <v>CN|TotalCapacityAnnual|RE1|PWRWNDOFS_FIX|2039</v>
      </c>
      <c r="B2813" t="s">
        <v>39</v>
      </c>
      <c r="C2813" t="s">
        <v>40</v>
      </c>
      <c r="D2813" t="s">
        <v>38</v>
      </c>
      <c r="E2813" t="s">
        <v>19</v>
      </c>
      <c r="F2813" t="s">
        <v>42</v>
      </c>
      <c r="O2813">
        <v>2039</v>
      </c>
      <c r="P2813">
        <v>130.80476658776209</v>
      </c>
    </row>
    <row r="2814" spans="1:16" x14ac:dyDescent="0.3">
      <c r="A2814" t="str">
        <f t="shared" si="43"/>
        <v>CN|TotalCapacityAnnual|RE1|PWRWNDOFS_FLO|2039</v>
      </c>
      <c r="B2814" t="s">
        <v>39</v>
      </c>
      <c r="C2814" t="s">
        <v>40</v>
      </c>
      <c r="D2814" t="s">
        <v>38</v>
      </c>
      <c r="E2814" t="s">
        <v>19</v>
      </c>
      <c r="F2814" t="s">
        <v>43</v>
      </c>
      <c r="O2814">
        <v>2039</v>
      </c>
    </row>
    <row r="2815" spans="1:16" x14ac:dyDescent="0.3">
      <c r="A2815" t="str">
        <f t="shared" si="43"/>
        <v>CN|TotalCapacityAnnual|RE1|PWRWNDONS|2039</v>
      </c>
      <c r="B2815" t="s">
        <v>39</v>
      </c>
      <c r="C2815" t="s">
        <v>40</v>
      </c>
      <c r="D2815" t="s">
        <v>38</v>
      </c>
      <c r="E2815" t="s">
        <v>19</v>
      </c>
      <c r="F2815" t="s">
        <v>36</v>
      </c>
      <c r="O2815">
        <v>2039</v>
      </c>
      <c r="P2815">
        <v>332.50810888443561</v>
      </c>
    </row>
    <row r="2816" spans="1:16" x14ac:dyDescent="0.3">
      <c r="A2816" t="str">
        <f t="shared" si="43"/>
        <v>CN|AccumulatedNewCapacity|RE1|PWRBGS|2040</v>
      </c>
      <c r="B2816" t="s">
        <v>39</v>
      </c>
      <c r="C2816" t="s">
        <v>40</v>
      </c>
      <c r="D2816" t="s">
        <v>18</v>
      </c>
      <c r="E2816" t="s">
        <v>19</v>
      </c>
      <c r="F2816" t="s">
        <v>20</v>
      </c>
      <c r="O2816">
        <v>2040</v>
      </c>
    </row>
    <row r="2817" spans="1:16" x14ac:dyDescent="0.3">
      <c r="A2817" t="str">
        <f t="shared" si="43"/>
        <v>CN|AccumulatedNewCapacity|RE1|PWRCOA|2040</v>
      </c>
      <c r="B2817" t="s">
        <v>39</v>
      </c>
      <c r="C2817" t="s">
        <v>40</v>
      </c>
      <c r="D2817" t="s">
        <v>18</v>
      </c>
      <c r="E2817" t="s">
        <v>19</v>
      </c>
      <c r="F2817" t="s">
        <v>21</v>
      </c>
      <c r="O2817">
        <v>2040</v>
      </c>
    </row>
    <row r="2818" spans="1:16" x14ac:dyDescent="0.3">
      <c r="A2818" t="str">
        <f t="shared" ref="A2818:A2881" si="44">B2818&amp;"|"&amp;D2818&amp;"|"&amp;E2818&amp;"|"&amp;F2818&amp;"|"&amp;O2818</f>
        <v>CN|AccumulatedNewCapacity|RE1|PWRDSL|2040</v>
      </c>
      <c r="B2818" t="s">
        <v>39</v>
      </c>
      <c r="C2818" t="s">
        <v>40</v>
      </c>
      <c r="D2818" t="s">
        <v>18</v>
      </c>
      <c r="E2818" t="s">
        <v>19</v>
      </c>
      <c r="F2818" t="s">
        <v>22</v>
      </c>
      <c r="O2818">
        <v>2040</v>
      </c>
    </row>
    <row r="2819" spans="1:16" x14ac:dyDescent="0.3">
      <c r="A2819" t="str">
        <f t="shared" si="44"/>
        <v>CN|AccumulatedNewCapacity|RE1|PWRFOL|2040</v>
      </c>
      <c r="B2819" t="s">
        <v>39</v>
      </c>
      <c r="C2819" t="s">
        <v>40</v>
      </c>
      <c r="D2819" t="s">
        <v>18</v>
      </c>
      <c r="E2819" t="s">
        <v>19</v>
      </c>
      <c r="F2819" t="s">
        <v>23</v>
      </c>
      <c r="O2819">
        <v>2040</v>
      </c>
    </row>
    <row r="2820" spans="1:16" x14ac:dyDescent="0.3">
      <c r="A2820" t="str">
        <f t="shared" si="44"/>
        <v>CN|AccumulatedNewCapacity|RE1|PWRHYDDAM|2040</v>
      </c>
      <c r="B2820" t="s">
        <v>39</v>
      </c>
      <c r="C2820" t="s">
        <v>40</v>
      </c>
      <c r="D2820" t="s">
        <v>18</v>
      </c>
      <c r="E2820" t="s">
        <v>19</v>
      </c>
      <c r="F2820" t="s">
        <v>24</v>
      </c>
      <c r="O2820">
        <v>2040</v>
      </c>
      <c r="P2820">
        <v>37.840000000000003</v>
      </c>
    </row>
    <row r="2821" spans="1:16" x14ac:dyDescent="0.3">
      <c r="A2821" t="str">
        <f t="shared" si="44"/>
        <v>CN|AccumulatedNewCapacity|RE1|PWRHYDROR|2040</v>
      </c>
      <c r="B2821" t="s">
        <v>39</v>
      </c>
      <c r="C2821" t="s">
        <v>40</v>
      </c>
      <c r="D2821" t="s">
        <v>18</v>
      </c>
      <c r="E2821" t="s">
        <v>19</v>
      </c>
      <c r="F2821" t="s">
        <v>25</v>
      </c>
      <c r="O2821">
        <v>2040</v>
      </c>
    </row>
    <row r="2822" spans="1:16" x14ac:dyDescent="0.3">
      <c r="A2822" t="str">
        <f t="shared" si="44"/>
        <v>CN|AccumulatedNewCapacity|RE1|PWRHYDROR_NDC|2040</v>
      </c>
      <c r="B2822" t="s">
        <v>39</v>
      </c>
      <c r="C2822" t="s">
        <v>40</v>
      </c>
      <c r="D2822" t="s">
        <v>18</v>
      </c>
      <c r="E2822" t="s">
        <v>19</v>
      </c>
      <c r="F2822" t="s">
        <v>26</v>
      </c>
      <c r="O2822">
        <v>2040</v>
      </c>
      <c r="P2822">
        <v>31.34</v>
      </c>
    </row>
    <row r="2823" spans="1:16" x14ac:dyDescent="0.3">
      <c r="A2823" t="str">
        <f t="shared" si="44"/>
        <v>CN|AccumulatedNewCapacity|RE1|PWRJET|2040</v>
      </c>
      <c r="B2823" t="s">
        <v>39</v>
      </c>
      <c r="C2823" t="s">
        <v>40</v>
      </c>
      <c r="D2823" t="s">
        <v>18</v>
      </c>
      <c r="E2823" t="s">
        <v>19</v>
      </c>
      <c r="F2823" t="s">
        <v>27</v>
      </c>
      <c r="O2823">
        <v>2040</v>
      </c>
    </row>
    <row r="2824" spans="1:16" x14ac:dyDescent="0.3">
      <c r="A2824" t="str">
        <f t="shared" si="44"/>
        <v>CN|AccumulatedNewCapacity|RE1|PWRLPG|2040</v>
      </c>
      <c r="B2824" t="s">
        <v>39</v>
      </c>
      <c r="C2824" t="s">
        <v>40</v>
      </c>
      <c r="D2824" t="s">
        <v>18</v>
      </c>
      <c r="E2824" t="s">
        <v>19</v>
      </c>
      <c r="F2824" t="s">
        <v>28</v>
      </c>
      <c r="O2824">
        <v>2040</v>
      </c>
    </row>
    <row r="2825" spans="1:16" x14ac:dyDescent="0.3">
      <c r="A2825" t="str">
        <f t="shared" si="44"/>
        <v>CN|AccumulatedNewCapacity|RE1|PWRNGS_CC|2040</v>
      </c>
      <c r="B2825" t="s">
        <v>39</v>
      </c>
      <c r="C2825" t="s">
        <v>40</v>
      </c>
      <c r="D2825" t="s">
        <v>18</v>
      </c>
      <c r="E2825" t="s">
        <v>19</v>
      </c>
      <c r="F2825" t="s">
        <v>29</v>
      </c>
      <c r="O2825">
        <v>2040</v>
      </c>
    </row>
    <row r="2826" spans="1:16" x14ac:dyDescent="0.3">
      <c r="A2826" t="str">
        <f t="shared" si="44"/>
        <v>CN|AccumulatedNewCapacity|RE1|PWRNGS_CS|2040</v>
      </c>
      <c r="B2826" t="s">
        <v>39</v>
      </c>
      <c r="C2826" t="s">
        <v>40</v>
      </c>
      <c r="D2826" t="s">
        <v>18</v>
      </c>
      <c r="E2826" t="s">
        <v>19</v>
      </c>
      <c r="F2826" t="s">
        <v>30</v>
      </c>
      <c r="O2826">
        <v>2040</v>
      </c>
    </row>
    <row r="2827" spans="1:16" x14ac:dyDescent="0.3">
      <c r="A2827" t="str">
        <f t="shared" si="44"/>
        <v>CN|AccumulatedNewCapacity|RE1|PWRSOLRTP|2040</v>
      </c>
      <c r="B2827" t="s">
        <v>39</v>
      </c>
      <c r="C2827" t="s">
        <v>40</v>
      </c>
      <c r="D2827" t="s">
        <v>18</v>
      </c>
      <c r="E2827" t="s">
        <v>19</v>
      </c>
      <c r="F2827" t="s">
        <v>31</v>
      </c>
      <c r="O2827">
        <v>2040</v>
      </c>
      <c r="P2827">
        <v>192.7</v>
      </c>
    </row>
    <row r="2828" spans="1:16" x14ac:dyDescent="0.3">
      <c r="A2828" t="str">
        <f t="shared" si="44"/>
        <v>CN|AccumulatedNewCapacity|RE1|PWRSOLRTP_ZNI|2040</v>
      </c>
      <c r="B2828" t="s">
        <v>39</v>
      </c>
      <c r="C2828" t="s">
        <v>40</v>
      </c>
      <c r="D2828" t="s">
        <v>18</v>
      </c>
      <c r="E2828" t="s">
        <v>19</v>
      </c>
      <c r="F2828" t="s">
        <v>32</v>
      </c>
      <c r="O2828">
        <v>2040</v>
      </c>
      <c r="P2828">
        <v>0.93966972462386933</v>
      </c>
    </row>
    <row r="2829" spans="1:16" x14ac:dyDescent="0.3">
      <c r="A2829" t="str">
        <f t="shared" si="44"/>
        <v>CN|AccumulatedNewCapacity|RE1|PWRSOLUGE|2040</v>
      </c>
      <c r="B2829" t="s">
        <v>39</v>
      </c>
      <c r="C2829" t="s">
        <v>40</v>
      </c>
      <c r="D2829" t="s">
        <v>18</v>
      </c>
      <c r="E2829" t="s">
        <v>19</v>
      </c>
      <c r="F2829" t="s">
        <v>33</v>
      </c>
      <c r="O2829">
        <v>2040</v>
      </c>
      <c r="P2829">
        <v>238.01419200000001</v>
      </c>
    </row>
    <row r="2830" spans="1:16" x14ac:dyDescent="0.3">
      <c r="A2830" t="str">
        <f t="shared" si="44"/>
        <v>CN|AccumulatedNewCapacity|RE1|PWRSOLUGE_BAT|2040</v>
      </c>
      <c r="B2830" t="s">
        <v>39</v>
      </c>
      <c r="C2830" t="s">
        <v>40</v>
      </c>
      <c r="D2830" t="s">
        <v>18</v>
      </c>
      <c r="E2830" t="s">
        <v>19</v>
      </c>
      <c r="F2830" t="s">
        <v>41</v>
      </c>
      <c r="O2830">
        <v>2040</v>
      </c>
    </row>
    <row r="2831" spans="1:16" x14ac:dyDescent="0.3">
      <c r="A2831" t="str">
        <f t="shared" si="44"/>
        <v>CN|AccumulatedNewCapacity|RE1|PWRSOLUPE|2040</v>
      </c>
      <c r="B2831" t="s">
        <v>39</v>
      </c>
      <c r="C2831" t="s">
        <v>40</v>
      </c>
      <c r="D2831" t="s">
        <v>18</v>
      </c>
      <c r="E2831" t="s">
        <v>19</v>
      </c>
      <c r="F2831" t="s">
        <v>34</v>
      </c>
      <c r="O2831">
        <v>2040</v>
      </c>
      <c r="P2831">
        <v>12.14419823999993</v>
      </c>
    </row>
    <row r="2832" spans="1:16" x14ac:dyDescent="0.3">
      <c r="A2832" t="str">
        <f t="shared" si="44"/>
        <v>CN|AccumulatedNewCapacity|RE1|PWRSTD|2040</v>
      </c>
      <c r="B2832" t="s">
        <v>39</v>
      </c>
      <c r="C2832" t="s">
        <v>40</v>
      </c>
      <c r="D2832" t="s">
        <v>18</v>
      </c>
      <c r="E2832" t="s">
        <v>19</v>
      </c>
      <c r="F2832" t="s">
        <v>35</v>
      </c>
      <c r="O2832">
        <v>2040</v>
      </c>
    </row>
    <row r="2833" spans="1:16" x14ac:dyDescent="0.3">
      <c r="A2833" t="str">
        <f t="shared" si="44"/>
        <v>CN|AccumulatedNewCapacity|RE1|PWRWNDOFS_FIX|2040</v>
      </c>
      <c r="B2833" t="s">
        <v>39</v>
      </c>
      <c r="C2833" t="s">
        <v>40</v>
      </c>
      <c r="D2833" t="s">
        <v>18</v>
      </c>
      <c r="E2833" t="s">
        <v>19</v>
      </c>
      <c r="F2833" t="s">
        <v>42</v>
      </c>
      <c r="O2833">
        <v>2040</v>
      </c>
      <c r="P2833">
        <v>178.11476658776209</v>
      </c>
    </row>
    <row r="2834" spans="1:16" x14ac:dyDescent="0.3">
      <c r="A2834" t="str">
        <f t="shared" si="44"/>
        <v>CN|AccumulatedNewCapacity|RE1|PWRWNDOFS_FLO|2040</v>
      </c>
      <c r="B2834" t="s">
        <v>39</v>
      </c>
      <c r="C2834" t="s">
        <v>40</v>
      </c>
      <c r="D2834" t="s">
        <v>18</v>
      </c>
      <c r="E2834" t="s">
        <v>19</v>
      </c>
      <c r="F2834" t="s">
        <v>43</v>
      </c>
      <c r="O2834">
        <v>2040</v>
      </c>
    </row>
    <row r="2835" spans="1:16" x14ac:dyDescent="0.3">
      <c r="A2835" t="str">
        <f t="shared" si="44"/>
        <v>CN|AccumulatedNewCapacity|RE1|PWRWNDONS|2040</v>
      </c>
      <c r="B2835" t="s">
        <v>39</v>
      </c>
      <c r="C2835" t="s">
        <v>40</v>
      </c>
      <c r="D2835" t="s">
        <v>18</v>
      </c>
      <c r="E2835" t="s">
        <v>19</v>
      </c>
      <c r="F2835" t="s">
        <v>36</v>
      </c>
      <c r="O2835">
        <v>2040</v>
      </c>
      <c r="P2835">
        <v>378.44944648443561</v>
      </c>
    </row>
    <row r="2836" spans="1:16" x14ac:dyDescent="0.3">
      <c r="A2836" t="str">
        <f t="shared" si="44"/>
        <v>CN|NewCapacity|RE1|PWRBGS|2040</v>
      </c>
      <c r="B2836" t="s">
        <v>39</v>
      </c>
      <c r="C2836" t="s">
        <v>40</v>
      </c>
      <c r="D2836" t="s">
        <v>37</v>
      </c>
      <c r="E2836" t="s">
        <v>19</v>
      </c>
      <c r="F2836" t="s">
        <v>20</v>
      </c>
      <c r="O2836">
        <v>2040</v>
      </c>
    </row>
    <row r="2837" spans="1:16" x14ac:dyDescent="0.3">
      <c r="A2837" t="str">
        <f t="shared" si="44"/>
        <v>CN|NewCapacity|RE1|PWRCOA|2040</v>
      </c>
      <c r="B2837" t="s">
        <v>39</v>
      </c>
      <c r="C2837" t="s">
        <v>40</v>
      </c>
      <c r="D2837" t="s">
        <v>37</v>
      </c>
      <c r="E2837" t="s">
        <v>19</v>
      </c>
      <c r="F2837" t="s">
        <v>21</v>
      </c>
      <c r="O2837">
        <v>2040</v>
      </c>
    </row>
    <row r="2838" spans="1:16" x14ac:dyDescent="0.3">
      <c r="A2838" t="str">
        <f t="shared" si="44"/>
        <v>CN|NewCapacity|RE1|PWRDSL|2040</v>
      </c>
      <c r="B2838" t="s">
        <v>39</v>
      </c>
      <c r="C2838" t="s">
        <v>40</v>
      </c>
      <c r="D2838" t="s">
        <v>37</v>
      </c>
      <c r="E2838" t="s">
        <v>19</v>
      </c>
      <c r="F2838" t="s">
        <v>22</v>
      </c>
      <c r="O2838">
        <v>2040</v>
      </c>
    </row>
    <row r="2839" spans="1:16" x14ac:dyDescent="0.3">
      <c r="A2839" t="str">
        <f t="shared" si="44"/>
        <v>CN|NewCapacity|RE1|PWRFOL|2040</v>
      </c>
      <c r="B2839" t="s">
        <v>39</v>
      </c>
      <c r="C2839" t="s">
        <v>40</v>
      </c>
      <c r="D2839" t="s">
        <v>37</v>
      </c>
      <c r="E2839" t="s">
        <v>19</v>
      </c>
      <c r="F2839" t="s">
        <v>23</v>
      </c>
      <c r="O2839">
        <v>2040</v>
      </c>
    </row>
    <row r="2840" spans="1:16" x14ac:dyDescent="0.3">
      <c r="A2840" t="str">
        <f t="shared" si="44"/>
        <v>CN|NewCapacity|RE1|PWRHYDDAM|2040</v>
      </c>
      <c r="B2840" t="s">
        <v>39</v>
      </c>
      <c r="C2840" t="s">
        <v>40</v>
      </c>
      <c r="D2840" t="s">
        <v>37</v>
      </c>
      <c r="E2840" t="s">
        <v>19</v>
      </c>
      <c r="F2840" t="s">
        <v>24</v>
      </c>
      <c r="O2840">
        <v>2040</v>
      </c>
    </row>
    <row r="2841" spans="1:16" x14ac:dyDescent="0.3">
      <c r="A2841" t="str">
        <f t="shared" si="44"/>
        <v>CN|NewCapacity|RE1|PWRHYDROR|2040</v>
      </c>
      <c r="B2841" t="s">
        <v>39</v>
      </c>
      <c r="C2841" t="s">
        <v>40</v>
      </c>
      <c r="D2841" t="s">
        <v>37</v>
      </c>
      <c r="E2841" t="s">
        <v>19</v>
      </c>
      <c r="F2841" t="s">
        <v>25</v>
      </c>
      <c r="O2841">
        <v>2040</v>
      </c>
    </row>
    <row r="2842" spans="1:16" x14ac:dyDescent="0.3">
      <c r="A2842" t="str">
        <f t="shared" si="44"/>
        <v>CN|NewCapacity|RE1|PWRHYDROR_NDC|2040</v>
      </c>
      <c r="B2842" t="s">
        <v>39</v>
      </c>
      <c r="C2842" t="s">
        <v>40</v>
      </c>
      <c r="D2842" t="s">
        <v>37</v>
      </c>
      <c r="E2842" t="s">
        <v>19</v>
      </c>
      <c r="F2842" t="s">
        <v>26</v>
      </c>
      <c r="O2842">
        <v>2040</v>
      </c>
      <c r="P2842">
        <v>31.34</v>
      </c>
    </row>
    <row r="2843" spans="1:16" x14ac:dyDescent="0.3">
      <c r="A2843" t="str">
        <f t="shared" si="44"/>
        <v>CN|NewCapacity|RE1|PWRJET|2040</v>
      </c>
      <c r="B2843" t="s">
        <v>39</v>
      </c>
      <c r="C2843" t="s">
        <v>40</v>
      </c>
      <c r="D2843" t="s">
        <v>37</v>
      </c>
      <c r="E2843" t="s">
        <v>19</v>
      </c>
      <c r="F2843" t="s">
        <v>27</v>
      </c>
      <c r="O2843">
        <v>2040</v>
      </c>
    </row>
    <row r="2844" spans="1:16" x14ac:dyDescent="0.3">
      <c r="A2844" t="str">
        <f t="shared" si="44"/>
        <v>CN|NewCapacity|RE1|PWRLPG|2040</v>
      </c>
      <c r="B2844" t="s">
        <v>39</v>
      </c>
      <c r="C2844" t="s">
        <v>40</v>
      </c>
      <c r="D2844" t="s">
        <v>37</v>
      </c>
      <c r="E2844" t="s">
        <v>19</v>
      </c>
      <c r="F2844" t="s">
        <v>28</v>
      </c>
      <c r="O2844">
        <v>2040</v>
      </c>
    </row>
    <row r="2845" spans="1:16" x14ac:dyDescent="0.3">
      <c r="A2845" t="str">
        <f t="shared" si="44"/>
        <v>CN|NewCapacity|RE1|PWRNGS_CC|2040</v>
      </c>
      <c r="B2845" t="s">
        <v>39</v>
      </c>
      <c r="C2845" t="s">
        <v>40</v>
      </c>
      <c r="D2845" t="s">
        <v>37</v>
      </c>
      <c r="E2845" t="s">
        <v>19</v>
      </c>
      <c r="F2845" t="s">
        <v>29</v>
      </c>
      <c r="O2845">
        <v>2040</v>
      </c>
    </row>
    <row r="2846" spans="1:16" x14ac:dyDescent="0.3">
      <c r="A2846" t="str">
        <f t="shared" si="44"/>
        <v>CN|NewCapacity|RE1|PWRNGS_CS|2040</v>
      </c>
      <c r="B2846" t="s">
        <v>39</v>
      </c>
      <c r="C2846" t="s">
        <v>40</v>
      </c>
      <c r="D2846" t="s">
        <v>37</v>
      </c>
      <c r="E2846" t="s">
        <v>19</v>
      </c>
      <c r="F2846" t="s">
        <v>30</v>
      </c>
      <c r="O2846">
        <v>2040</v>
      </c>
    </row>
    <row r="2847" spans="1:16" x14ac:dyDescent="0.3">
      <c r="A2847" t="str">
        <f t="shared" si="44"/>
        <v>CN|NewCapacity|RE1|PWRSOLRTP|2040</v>
      </c>
      <c r="B2847" t="s">
        <v>39</v>
      </c>
      <c r="C2847" t="s">
        <v>40</v>
      </c>
      <c r="D2847" t="s">
        <v>37</v>
      </c>
      <c r="E2847" t="s">
        <v>19</v>
      </c>
      <c r="F2847" t="s">
        <v>31</v>
      </c>
      <c r="O2847">
        <v>2040</v>
      </c>
      <c r="P2847">
        <v>4.91</v>
      </c>
    </row>
    <row r="2848" spans="1:16" x14ac:dyDescent="0.3">
      <c r="A2848" t="str">
        <f t="shared" si="44"/>
        <v>CN|NewCapacity|RE1|PWRSOLRTP_ZNI|2040</v>
      </c>
      <c r="B2848" t="s">
        <v>39</v>
      </c>
      <c r="C2848" t="s">
        <v>40</v>
      </c>
      <c r="D2848" t="s">
        <v>37</v>
      </c>
      <c r="E2848" t="s">
        <v>19</v>
      </c>
      <c r="F2848" t="s">
        <v>32</v>
      </c>
      <c r="O2848">
        <v>2040</v>
      </c>
      <c r="P2848">
        <v>4.353867236473688E-2</v>
      </c>
    </row>
    <row r="2849" spans="1:16" x14ac:dyDescent="0.3">
      <c r="A2849" t="str">
        <f t="shared" si="44"/>
        <v>CN|NewCapacity|RE1|PWRSOLUGE|2040</v>
      </c>
      <c r="B2849" t="s">
        <v>39</v>
      </c>
      <c r="C2849" t="s">
        <v>40</v>
      </c>
      <c r="D2849" t="s">
        <v>37</v>
      </c>
      <c r="E2849" t="s">
        <v>19</v>
      </c>
      <c r="F2849" t="s">
        <v>33</v>
      </c>
      <c r="O2849">
        <v>2040</v>
      </c>
      <c r="P2849">
        <v>47.31</v>
      </c>
    </row>
    <row r="2850" spans="1:16" x14ac:dyDescent="0.3">
      <c r="A2850" t="str">
        <f t="shared" si="44"/>
        <v>CN|NewCapacity|RE1|PWRSOLUGE_BAT|2040</v>
      </c>
      <c r="B2850" t="s">
        <v>39</v>
      </c>
      <c r="C2850" t="s">
        <v>40</v>
      </c>
      <c r="D2850" t="s">
        <v>37</v>
      </c>
      <c r="E2850" t="s">
        <v>19</v>
      </c>
      <c r="F2850" t="s">
        <v>41</v>
      </c>
      <c r="O2850">
        <v>2040</v>
      </c>
    </row>
    <row r="2851" spans="1:16" x14ac:dyDescent="0.3">
      <c r="A2851" t="str">
        <f t="shared" si="44"/>
        <v>CN|NewCapacity|RE1|PWRSOLUPE|2040</v>
      </c>
      <c r="B2851" t="s">
        <v>39</v>
      </c>
      <c r="C2851" t="s">
        <v>40</v>
      </c>
      <c r="D2851" t="s">
        <v>37</v>
      </c>
      <c r="E2851" t="s">
        <v>19</v>
      </c>
      <c r="F2851" t="s">
        <v>34</v>
      </c>
      <c r="O2851">
        <v>2040</v>
      </c>
    </row>
    <row r="2852" spans="1:16" x14ac:dyDescent="0.3">
      <c r="A2852" t="str">
        <f t="shared" si="44"/>
        <v>CN|NewCapacity|RE1|PWRSTD|2040</v>
      </c>
      <c r="B2852" t="s">
        <v>39</v>
      </c>
      <c r="C2852" t="s">
        <v>40</v>
      </c>
      <c r="D2852" t="s">
        <v>37</v>
      </c>
      <c r="E2852" t="s">
        <v>19</v>
      </c>
      <c r="F2852" t="s">
        <v>35</v>
      </c>
      <c r="O2852">
        <v>2040</v>
      </c>
    </row>
    <row r="2853" spans="1:16" x14ac:dyDescent="0.3">
      <c r="A2853" t="str">
        <f t="shared" si="44"/>
        <v>CN|NewCapacity|RE1|PWRWNDOFS_FIX|2040</v>
      </c>
      <c r="B2853" t="s">
        <v>39</v>
      </c>
      <c r="C2853" t="s">
        <v>40</v>
      </c>
      <c r="D2853" t="s">
        <v>37</v>
      </c>
      <c r="E2853" t="s">
        <v>19</v>
      </c>
      <c r="F2853" t="s">
        <v>42</v>
      </c>
      <c r="O2853">
        <v>2040</v>
      </c>
      <c r="P2853">
        <v>47.31</v>
      </c>
    </row>
    <row r="2854" spans="1:16" x14ac:dyDescent="0.3">
      <c r="A2854" t="str">
        <f t="shared" si="44"/>
        <v>CN|NewCapacity|RE1|PWRWNDOFS_FLO|2040</v>
      </c>
      <c r="B2854" t="s">
        <v>39</v>
      </c>
      <c r="C2854" t="s">
        <v>40</v>
      </c>
      <c r="D2854" t="s">
        <v>37</v>
      </c>
      <c r="E2854" t="s">
        <v>19</v>
      </c>
      <c r="F2854" t="s">
        <v>43</v>
      </c>
      <c r="O2854">
        <v>2040</v>
      </c>
    </row>
    <row r="2855" spans="1:16" x14ac:dyDescent="0.3">
      <c r="A2855" t="str">
        <f t="shared" si="44"/>
        <v>CN|NewCapacity|RE1|PWRWNDONS|2040</v>
      </c>
      <c r="B2855" t="s">
        <v>39</v>
      </c>
      <c r="C2855" t="s">
        <v>40</v>
      </c>
      <c r="D2855" t="s">
        <v>37</v>
      </c>
      <c r="E2855" t="s">
        <v>19</v>
      </c>
      <c r="F2855" t="s">
        <v>36</v>
      </c>
      <c r="O2855">
        <v>2040</v>
      </c>
      <c r="P2855">
        <v>47.31</v>
      </c>
    </row>
    <row r="2856" spans="1:16" x14ac:dyDescent="0.3">
      <c r="A2856" t="str">
        <f t="shared" si="44"/>
        <v>CN|TotalCapacityAnnual|RE1|PWRBGS|2040</v>
      </c>
      <c r="B2856" t="s">
        <v>39</v>
      </c>
      <c r="C2856" t="s">
        <v>40</v>
      </c>
      <c r="D2856" t="s">
        <v>38</v>
      </c>
      <c r="E2856" t="s">
        <v>19</v>
      </c>
      <c r="F2856" t="s">
        <v>20</v>
      </c>
      <c r="O2856">
        <v>2040</v>
      </c>
      <c r="P2856">
        <v>2.5488587520000001E-2</v>
      </c>
    </row>
    <row r="2857" spans="1:16" x14ac:dyDescent="0.3">
      <c r="A2857" t="str">
        <f t="shared" si="44"/>
        <v>CN|TotalCapacityAnnual|RE1|PWRCOA|2040</v>
      </c>
      <c r="B2857" t="s">
        <v>39</v>
      </c>
      <c r="C2857" t="s">
        <v>40</v>
      </c>
      <c r="D2857" t="s">
        <v>38</v>
      </c>
      <c r="E2857" t="s">
        <v>19</v>
      </c>
      <c r="F2857" t="s">
        <v>21</v>
      </c>
      <c r="O2857">
        <v>2040</v>
      </c>
    </row>
    <row r="2858" spans="1:16" x14ac:dyDescent="0.3">
      <c r="A2858" t="str">
        <f t="shared" si="44"/>
        <v>CN|TotalCapacityAnnual|RE1|PWRDSL|2040</v>
      </c>
      <c r="B2858" t="s">
        <v>39</v>
      </c>
      <c r="C2858" t="s">
        <v>40</v>
      </c>
      <c r="D2858" t="s">
        <v>38</v>
      </c>
      <c r="E2858" t="s">
        <v>19</v>
      </c>
      <c r="F2858" t="s">
        <v>22</v>
      </c>
      <c r="O2858">
        <v>2040</v>
      </c>
    </row>
    <row r="2859" spans="1:16" x14ac:dyDescent="0.3">
      <c r="A2859" t="str">
        <f t="shared" si="44"/>
        <v>CN|TotalCapacityAnnual|RE1|PWRFOL|2040</v>
      </c>
      <c r="B2859" t="s">
        <v>39</v>
      </c>
      <c r="C2859" t="s">
        <v>40</v>
      </c>
      <c r="D2859" t="s">
        <v>38</v>
      </c>
      <c r="E2859" t="s">
        <v>19</v>
      </c>
      <c r="F2859" t="s">
        <v>23</v>
      </c>
      <c r="O2859">
        <v>2040</v>
      </c>
      <c r="P2859">
        <v>8.3885759999999987</v>
      </c>
    </row>
    <row r="2860" spans="1:16" x14ac:dyDescent="0.3">
      <c r="A2860" t="str">
        <f t="shared" si="44"/>
        <v>CN|TotalCapacityAnnual|RE1|PWRHYDDAM|2040</v>
      </c>
      <c r="B2860" t="s">
        <v>39</v>
      </c>
      <c r="C2860" t="s">
        <v>40</v>
      </c>
      <c r="D2860" t="s">
        <v>38</v>
      </c>
      <c r="E2860" t="s">
        <v>19</v>
      </c>
      <c r="F2860" t="s">
        <v>24</v>
      </c>
      <c r="O2860">
        <v>2040</v>
      </c>
      <c r="P2860">
        <v>440.49164800000011</v>
      </c>
    </row>
    <row r="2861" spans="1:16" x14ac:dyDescent="0.3">
      <c r="A2861" t="str">
        <f t="shared" si="44"/>
        <v>CN|TotalCapacityAnnual|RE1|PWRHYDROR|2040</v>
      </c>
      <c r="B2861" t="s">
        <v>39</v>
      </c>
      <c r="C2861" t="s">
        <v>40</v>
      </c>
      <c r="D2861" t="s">
        <v>38</v>
      </c>
      <c r="E2861" t="s">
        <v>19</v>
      </c>
      <c r="F2861" t="s">
        <v>25</v>
      </c>
      <c r="O2861">
        <v>2040</v>
      </c>
      <c r="P2861">
        <v>21.097584000000001</v>
      </c>
    </row>
    <row r="2862" spans="1:16" x14ac:dyDescent="0.3">
      <c r="A2862" t="str">
        <f t="shared" si="44"/>
        <v>CN|TotalCapacityAnnual|RE1|PWRHYDROR_NDC|2040</v>
      </c>
      <c r="B2862" t="s">
        <v>39</v>
      </c>
      <c r="C2862" t="s">
        <v>40</v>
      </c>
      <c r="D2862" t="s">
        <v>38</v>
      </c>
      <c r="E2862" t="s">
        <v>19</v>
      </c>
      <c r="F2862" t="s">
        <v>26</v>
      </c>
      <c r="O2862">
        <v>2040</v>
      </c>
      <c r="P2862">
        <v>61.065108271999989</v>
      </c>
    </row>
    <row r="2863" spans="1:16" x14ac:dyDescent="0.3">
      <c r="A2863" t="str">
        <f t="shared" si="44"/>
        <v>CN|TotalCapacityAnnual|RE1|PWRJET|2040</v>
      </c>
      <c r="B2863" t="s">
        <v>39</v>
      </c>
      <c r="C2863" t="s">
        <v>40</v>
      </c>
      <c r="D2863" t="s">
        <v>38</v>
      </c>
      <c r="E2863" t="s">
        <v>19</v>
      </c>
      <c r="F2863" t="s">
        <v>27</v>
      </c>
      <c r="O2863">
        <v>2040</v>
      </c>
      <c r="P2863">
        <v>1.5768</v>
      </c>
    </row>
    <row r="2864" spans="1:16" x14ac:dyDescent="0.3">
      <c r="A2864" t="str">
        <f t="shared" si="44"/>
        <v>CN|TotalCapacityAnnual|RE1|PWRLPG|2040</v>
      </c>
      <c r="B2864" t="s">
        <v>39</v>
      </c>
      <c r="C2864" t="s">
        <v>40</v>
      </c>
      <c r="D2864" t="s">
        <v>38</v>
      </c>
      <c r="E2864" t="s">
        <v>19</v>
      </c>
      <c r="F2864" t="s">
        <v>28</v>
      </c>
      <c r="O2864">
        <v>2040</v>
      </c>
      <c r="P2864">
        <v>1.639872</v>
      </c>
    </row>
    <row r="2865" spans="1:16" x14ac:dyDescent="0.3">
      <c r="A2865" t="str">
        <f t="shared" si="44"/>
        <v>CN|TotalCapacityAnnual|RE1|PWRNGS_CC|2040</v>
      </c>
      <c r="B2865" t="s">
        <v>39</v>
      </c>
      <c r="C2865" t="s">
        <v>40</v>
      </c>
      <c r="D2865" t="s">
        <v>38</v>
      </c>
      <c r="E2865" t="s">
        <v>19</v>
      </c>
      <c r="F2865" t="s">
        <v>29</v>
      </c>
      <c r="O2865">
        <v>2040</v>
      </c>
      <c r="P2865">
        <v>70.104500000000002</v>
      </c>
    </row>
    <row r="2866" spans="1:16" x14ac:dyDescent="0.3">
      <c r="A2866" t="str">
        <f t="shared" si="44"/>
        <v>CN|TotalCapacityAnnual|RE1|PWRNGS_CS|2040</v>
      </c>
      <c r="B2866" t="s">
        <v>39</v>
      </c>
      <c r="C2866" t="s">
        <v>40</v>
      </c>
      <c r="D2866" t="s">
        <v>38</v>
      </c>
      <c r="E2866" t="s">
        <v>19</v>
      </c>
      <c r="F2866" t="s">
        <v>30</v>
      </c>
      <c r="O2866">
        <v>2040</v>
      </c>
      <c r="P2866">
        <v>48.03</v>
      </c>
    </row>
    <row r="2867" spans="1:16" x14ac:dyDescent="0.3">
      <c r="A2867" t="str">
        <f t="shared" si="44"/>
        <v>CN|TotalCapacityAnnual|RE1|PWRSOLRTP|2040</v>
      </c>
      <c r="B2867" t="s">
        <v>39</v>
      </c>
      <c r="C2867" t="s">
        <v>40</v>
      </c>
      <c r="D2867" t="s">
        <v>38</v>
      </c>
      <c r="E2867" t="s">
        <v>19</v>
      </c>
      <c r="F2867" t="s">
        <v>31</v>
      </c>
      <c r="O2867">
        <v>2040</v>
      </c>
      <c r="P2867">
        <v>215.98410000000001</v>
      </c>
    </row>
    <row r="2868" spans="1:16" x14ac:dyDescent="0.3">
      <c r="A2868" t="str">
        <f t="shared" si="44"/>
        <v>CN|TotalCapacityAnnual|RE1|PWRSOLRTP_ZNI|2040</v>
      </c>
      <c r="B2868" t="s">
        <v>39</v>
      </c>
      <c r="C2868" t="s">
        <v>40</v>
      </c>
      <c r="D2868" t="s">
        <v>38</v>
      </c>
      <c r="E2868" t="s">
        <v>19</v>
      </c>
      <c r="F2868" t="s">
        <v>32</v>
      </c>
      <c r="O2868">
        <v>2040</v>
      </c>
      <c r="P2868">
        <v>1.4004106846238691</v>
      </c>
    </row>
    <row r="2869" spans="1:16" x14ac:dyDescent="0.3">
      <c r="A2869" t="str">
        <f t="shared" si="44"/>
        <v>CN|TotalCapacityAnnual|RE1|PWRSOLUGE|2040</v>
      </c>
      <c r="B2869" t="s">
        <v>39</v>
      </c>
      <c r="C2869" t="s">
        <v>40</v>
      </c>
      <c r="D2869" t="s">
        <v>38</v>
      </c>
      <c r="E2869" t="s">
        <v>19</v>
      </c>
      <c r="F2869" t="s">
        <v>33</v>
      </c>
      <c r="O2869">
        <v>2040</v>
      </c>
      <c r="P2869">
        <v>286.41186047999997</v>
      </c>
    </row>
    <row r="2870" spans="1:16" x14ac:dyDescent="0.3">
      <c r="A2870" t="str">
        <f t="shared" si="44"/>
        <v>CN|TotalCapacityAnnual|RE1|PWRSOLUGE_BAT|2040</v>
      </c>
      <c r="B2870" t="s">
        <v>39</v>
      </c>
      <c r="C2870" t="s">
        <v>40</v>
      </c>
      <c r="D2870" t="s">
        <v>38</v>
      </c>
      <c r="E2870" t="s">
        <v>19</v>
      </c>
      <c r="F2870" t="s">
        <v>41</v>
      </c>
      <c r="O2870">
        <v>2040</v>
      </c>
    </row>
    <row r="2871" spans="1:16" x14ac:dyDescent="0.3">
      <c r="A2871" t="str">
        <f t="shared" si="44"/>
        <v>CN|TotalCapacityAnnual|RE1|PWRSOLUPE|2040</v>
      </c>
      <c r="B2871" t="s">
        <v>39</v>
      </c>
      <c r="C2871" t="s">
        <v>40</v>
      </c>
      <c r="D2871" t="s">
        <v>38</v>
      </c>
      <c r="E2871" t="s">
        <v>19</v>
      </c>
      <c r="F2871" t="s">
        <v>34</v>
      </c>
      <c r="O2871">
        <v>2040</v>
      </c>
      <c r="P2871">
        <v>39.172600079999931</v>
      </c>
    </row>
    <row r="2872" spans="1:16" x14ac:dyDescent="0.3">
      <c r="A2872" t="str">
        <f t="shared" si="44"/>
        <v>CN|TotalCapacityAnnual|RE1|PWRSTD|2040</v>
      </c>
      <c r="B2872" t="s">
        <v>39</v>
      </c>
      <c r="C2872" t="s">
        <v>40</v>
      </c>
      <c r="D2872" t="s">
        <v>38</v>
      </c>
      <c r="E2872" t="s">
        <v>19</v>
      </c>
      <c r="F2872" t="s">
        <v>35</v>
      </c>
      <c r="O2872">
        <v>2040</v>
      </c>
      <c r="P2872">
        <v>8.163062064</v>
      </c>
    </row>
    <row r="2873" spans="1:16" x14ac:dyDescent="0.3">
      <c r="A2873" t="str">
        <f t="shared" si="44"/>
        <v>CN|TotalCapacityAnnual|RE1|PWRWNDOFS_FIX|2040</v>
      </c>
      <c r="B2873" t="s">
        <v>39</v>
      </c>
      <c r="C2873" t="s">
        <v>40</v>
      </c>
      <c r="D2873" t="s">
        <v>38</v>
      </c>
      <c r="E2873" t="s">
        <v>19</v>
      </c>
      <c r="F2873" t="s">
        <v>42</v>
      </c>
      <c r="O2873">
        <v>2040</v>
      </c>
      <c r="P2873">
        <v>178.11476658776209</v>
      </c>
    </row>
    <row r="2874" spans="1:16" x14ac:dyDescent="0.3">
      <c r="A2874" t="str">
        <f t="shared" si="44"/>
        <v>CN|TotalCapacityAnnual|RE1|PWRWNDOFS_FLO|2040</v>
      </c>
      <c r="B2874" t="s">
        <v>39</v>
      </c>
      <c r="C2874" t="s">
        <v>40</v>
      </c>
      <c r="D2874" t="s">
        <v>38</v>
      </c>
      <c r="E2874" t="s">
        <v>19</v>
      </c>
      <c r="F2874" t="s">
        <v>43</v>
      </c>
      <c r="O2874">
        <v>2040</v>
      </c>
    </row>
    <row r="2875" spans="1:16" x14ac:dyDescent="0.3">
      <c r="A2875" t="str">
        <f t="shared" si="44"/>
        <v>CN|TotalCapacityAnnual|RE1|PWRWNDONS|2040</v>
      </c>
      <c r="B2875" t="s">
        <v>39</v>
      </c>
      <c r="C2875" t="s">
        <v>40</v>
      </c>
      <c r="D2875" t="s">
        <v>38</v>
      </c>
      <c r="E2875" t="s">
        <v>19</v>
      </c>
      <c r="F2875" t="s">
        <v>36</v>
      </c>
      <c r="O2875">
        <v>2040</v>
      </c>
      <c r="P2875">
        <v>379.81810888443562</v>
      </c>
    </row>
    <row r="2876" spans="1:16" x14ac:dyDescent="0.3">
      <c r="A2876" t="str">
        <f t="shared" si="44"/>
        <v>CN|AccumulatedNewCapacity|RE1|PWRBGS|2041</v>
      </c>
      <c r="B2876" t="s">
        <v>39</v>
      </c>
      <c r="C2876" t="s">
        <v>40</v>
      </c>
      <c r="D2876" t="s">
        <v>18</v>
      </c>
      <c r="E2876" t="s">
        <v>19</v>
      </c>
      <c r="F2876" t="s">
        <v>20</v>
      </c>
      <c r="O2876">
        <v>2041</v>
      </c>
    </row>
    <row r="2877" spans="1:16" x14ac:dyDescent="0.3">
      <c r="A2877" t="str">
        <f t="shared" si="44"/>
        <v>CN|AccumulatedNewCapacity|RE1|PWRCOA|2041</v>
      </c>
      <c r="B2877" t="s">
        <v>39</v>
      </c>
      <c r="C2877" t="s">
        <v>40</v>
      </c>
      <c r="D2877" t="s">
        <v>18</v>
      </c>
      <c r="E2877" t="s">
        <v>19</v>
      </c>
      <c r="F2877" t="s">
        <v>21</v>
      </c>
      <c r="O2877">
        <v>2041</v>
      </c>
    </row>
    <row r="2878" spans="1:16" x14ac:dyDescent="0.3">
      <c r="A2878" t="str">
        <f t="shared" si="44"/>
        <v>CN|AccumulatedNewCapacity|RE1|PWRDSL|2041</v>
      </c>
      <c r="B2878" t="s">
        <v>39</v>
      </c>
      <c r="C2878" t="s">
        <v>40</v>
      </c>
      <c r="D2878" t="s">
        <v>18</v>
      </c>
      <c r="E2878" t="s">
        <v>19</v>
      </c>
      <c r="F2878" t="s">
        <v>22</v>
      </c>
      <c r="O2878">
        <v>2041</v>
      </c>
    </row>
    <row r="2879" spans="1:16" x14ac:dyDescent="0.3">
      <c r="A2879" t="str">
        <f t="shared" si="44"/>
        <v>CN|AccumulatedNewCapacity|RE1|PWRFOL|2041</v>
      </c>
      <c r="B2879" t="s">
        <v>39</v>
      </c>
      <c r="C2879" t="s">
        <v>40</v>
      </c>
      <c r="D2879" t="s">
        <v>18</v>
      </c>
      <c r="E2879" t="s">
        <v>19</v>
      </c>
      <c r="F2879" t="s">
        <v>23</v>
      </c>
      <c r="O2879">
        <v>2041</v>
      </c>
    </row>
    <row r="2880" spans="1:16" x14ac:dyDescent="0.3">
      <c r="A2880" t="str">
        <f t="shared" si="44"/>
        <v>CN|AccumulatedNewCapacity|RE1|PWRHYDDAM|2041</v>
      </c>
      <c r="B2880" t="s">
        <v>39</v>
      </c>
      <c r="C2880" t="s">
        <v>40</v>
      </c>
      <c r="D2880" t="s">
        <v>18</v>
      </c>
      <c r="E2880" t="s">
        <v>19</v>
      </c>
      <c r="F2880" t="s">
        <v>24</v>
      </c>
      <c r="O2880">
        <v>2041</v>
      </c>
      <c r="P2880">
        <v>37.840000000000003</v>
      </c>
    </row>
    <row r="2881" spans="1:16" x14ac:dyDescent="0.3">
      <c r="A2881" t="str">
        <f t="shared" si="44"/>
        <v>CN|AccumulatedNewCapacity|RE1|PWRHYDROR|2041</v>
      </c>
      <c r="B2881" t="s">
        <v>39</v>
      </c>
      <c r="C2881" t="s">
        <v>40</v>
      </c>
      <c r="D2881" t="s">
        <v>18</v>
      </c>
      <c r="E2881" t="s">
        <v>19</v>
      </c>
      <c r="F2881" t="s">
        <v>25</v>
      </c>
      <c r="O2881">
        <v>2041</v>
      </c>
    </row>
    <row r="2882" spans="1:16" x14ac:dyDescent="0.3">
      <c r="A2882" t="str">
        <f t="shared" ref="A2882:A2945" si="45">B2882&amp;"|"&amp;D2882&amp;"|"&amp;E2882&amp;"|"&amp;F2882&amp;"|"&amp;O2882</f>
        <v>CN|AccumulatedNewCapacity|RE1|PWRHYDROR_NDC|2041</v>
      </c>
      <c r="B2882" t="s">
        <v>39</v>
      </c>
      <c r="C2882" t="s">
        <v>40</v>
      </c>
      <c r="D2882" t="s">
        <v>18</v>
      </c>
      <c r="E2882" t="s">
        <v>19</v>
      </c>
      <c r="F2882" t="s">
        <v>26</v>
      </c>
      <c r="O2882">
        <v>2041</v>
      </c>
      <c r="P2882">
        <v>58.986358233509478</v>
      </c>
    </row>
    <row r="2883" spans="1:16" x14ac:dyDescent="0.3">
      <c r="A2883" t="str">
        <f t="shared" si="45"/>
        <v>CN|AccumulatedNewCapacity|RE1|PWRJET|2041</v>
      </c>
      <c r="B2883" t="s">
        <v>39</v>
      </c>
      <c r="C2883" t="s">
        <v>40</v>
      </c>
      <c r="D2883" t="s">
        <v>18</v>
      </c>
      <c r="E2883" t="s">
        <v>19</v>
      </c>
      <c r="F2883" t="s">
        <v>27</v>
      </c>
      <c r="O2883">
        <v>2041</v>
      </c>
    </row>
    <row r="2884" spans="1:16" x14ac:dyDescent="0.3">
      <c r="A2884" t="str">
        <f t="shared" si="45"/>
        <v>CN|AccumulatedNewCapacity|RE1|PWRLPG|2041</v>
      </c>
      <c r="B2884" t="s">
        <v>39</v>
      </c>
      <c r="C2884" t="s">
        <v>40</v>
      </c>
      <c r="D2884" t="s">
        <v>18</v>
      </c>
      <c r="E2884" t="s">
        <v>19</v>
      </c>
      <c r="F2884" t="s">
        <v>28</v>
      </c>
      <c r="O2884">
        <v>2041</v>
      </c>
    </row>
    <row r="2885" spans="1:16" x14ac:dyDescent="0.3">
      <c r="A2885" t="str">
        <f t="shared" si="45"/>
        <v>CN|AccumulatedNewCapacity|RE1|PWRNGS_CC|2041</v>
      </c>
      <c r="B2885" t="s">
        <v>39</v>
      </c>
      <c r="C2885" t="s">
        <v>40</v>
      </c>
      <c r="D2885" t="s">
        <v>18</v>
      </c>
      <c r="E2885" t="s">
        <v>19</v>
      </c>
      <c r="F2885" t="s">
        <v>29</v>
      </c>
      <c r="O2885">
        <v>2041</v>
      </c>
    </row>
    <row r="2886" spans="1:16" x14ac:dyDescent="0.3">
      <c r="A2886" t="str">
        <f t="shared" si="45"/>
        <v>CN|AccumulatedNewCapacity|RE1|PWRNGS_CS|2041</v>
      </c>
      <c r="B2886" t="s">
        <v>39</v>
      </c>
      <c r="C2886" t="s">
        <v>40</v>
      </c>
      <c r="D2886" t="s">
        <v>18</v>
      </c>
      <c r="E2886" t="s">
        <v>19</v>
      </c>
      <c r="F2886" t="s">
        <v>30</v>
      </c>
      <c r="O2886">
        <v>2041</v>
      </c>
    </row>
    <row r="2887" spans="1:16" x14ac:dyDescent="0.3">
      <c r="A2887" t="str">
        <f t="shared" si="45"/>
        <v>CN|AccumulatedNewCapacity|RE1|PWRSOLRTP|2041</v>
      </c>
      <c r="B2887" t="s">
        <v>39</v>
      </c>
      <c r="C2887" t="s">
        <v>40</v>
      </c>
      <c r="D2887" t="s">
        <v>18</v>
      </c>
      <c r="E2887" t="s">
        <v>19</v>
      </c>
      <c r="F2887" t="s">
        <v>31</v>
      </c>
      <c r="O2887">
        <v>2041</v>
      </c>
      <c r="P2887">
        <v>196.82</v>
      </c>
    </row>
    <row r="2888" spans="1:16" x14ac:dyDescent="0.3">
      <c r="A2888" t="str">
        <f t="shared" si="45"/>
        <v>CN|AccumulatedNewCapacity|RE1|PWRSOLRTP_ZNI|2041</v>
      </c>
      <c r="B2888" t="s">
        <v>39</v>
      </c>
      <c r="C2888" t="s">
        <v>40</v>
      </c>
      <c r="D2888" t="s">
        <v>18</v>
      </c>
      <c r="E2888" t="s">
        <v>19</v>
      </c>
      <c r="F2888" t="s">
        <v>32</v>
      </c>
      <c r="O2888">
        <v>2041</v>
      </c>
      <c r="P2888">
        <v>0.98406339499690743</v>
      </c>
    </row>
    <row r="2889" spans="1:16" x14ac:dyDescent="0.3">
      <c r="A2889" t="str">
        <f t="shared" si="45"/>
        <v>CN|AccumulatedNewCapacity|RE1|PWRSOLUGE|2041</v>
      </c>
      <c r="B2889" t="s">
        <v>39</v>
      </c>
      <c r="C2889" t="s">
        <v>40</v>
      </c>
      <c r="D2889" t="s">
        <v>18</v>
      </c>
      <c r="E2889" t="s">
        <v>19</v>
      </c>
      <c r="F2889" t="s">
        <v>33</v>
      </c>
      <c r="O2889">
        <v>2041</v>
      </c>
      <c r="P2889">
        <v>285.32419199999998</v>
      </c>
    </row>
    <row r="2890" spans="1:16" x14ac:dyDescent="0.3">
      <c r="A2890" t="str">
        <f t="shared" si="45"/>
        <v>CN|AccumulatedNewCapacity|RE1|PWRSOLUGE_BAT|2041</v>
      </c>
      <c r="B2890" t="s">
        <v>39</v>
      </c>
      <c r="C2890" t="s">
        <v>40</v>
      </c>
      <c r="D2890" t="s">
        <v>18</v>
      </c>
      <c r="E2890" t="s">
        <v>19</v>
      </c>
      <c r="F2890" t="s">
        <v>41</v>
      </c>
      <c r="O2890">
        <v>2041</v>
      </c>
    </row>
    <row r="2891" spans="1:16" x14ac:dyDescent="0.3">
      <c r="A2891" t="str">
        <f t="shared" si="45"/>
        <v>CN|AccumulatedNewCapacity|RE1|PWRSOLUPE|2041</v>
      </c>
      <c r="B2891" t="s">
        <v>39</v>
      </c>
      <c r="C2891" t="s">
        <v>40</v>
      </c>
      <c r="D2891" t="s">
        <v>18</v>
      </c>
      <c r="E2891" t="s">
        <v>19</v>
      </c>
      <c r="F2891" t="s">
        <v>34</v>
      </c>
      <c r="O2891">
        <v>2041</v>
      </c>
      <c r="P2891">
        <v>12.14419823999993</v>
      </c>
    </row>
    <row r="2892" spans="1:16" x14ac:dyDescent="0.3">
      <c r="A2892" t="str">
        <f t="shared" si="45"/>
        <v>CN|AccumulatedNewCapacity|RE1|PWRSTD|2041</v>
      </c>
      <c r="B2892" t="s">
        <v>39</v>
      </c>
      <c r="C2892" t="s">
        <v>40</v>
      </c>
      <c r="D2892" t="s">
        <v>18</v>
      </c>
      <c r="E2892" t="s">
        <v>19</v>
      </c>
      <c r="F2892" t="s">
        <v>35</v>
      </c>
      <c r="O2892">
        <v>2041</v>
      </c>
    </row>
    <row r="2893" spans="1:16" x14ac:dyDescent="0.3">
      <c r="A2893" t="str">
        <f t="shared" si="45"/>
        <v>CN|AccumulatedNewCapacity|RE1|PWRWNDOFS_FIX|2041</v>
      </c>
      <c r="B2893" t="s">
        <v>39</v>
      </c>
      <c r="C2893" t="s">
        <v>40</v>
      </c>
      <c r="D2893" t="s">
        <v>18</v>
      </c>
      <c r="E2893" t="s">
        <v>19</v>
      </c>
      <c r="F2893" t="s">
        <v>42</v>
      </c>
      <c r="O2893">
        <v>2041</v>
      </c>
      <c r="P2893">
        <v>225.42476658776209</v>
      </c>
    </row>
    <row r="2894" spans="1:16" x14ac:dyDescent="0.3">
      <c r="A2894" t="str">
        <f t="shared" si="45"/>
        <v>CN|AccumulatedNewCapacity|RE1|PWRWNDOFS_FLO|2041</v>
      </c>
      <c r="B2894" t="s">
        <v>39</v>
      </c>
      <c r="C2894" t="s">
        <v>40</v>
      </c>
      <c r="D2894" t="s">
        <v>18</v>
      </c>
      <c r="E2894" t="s">
        <v>19</v>
      </c>
      <c r="F2894" t="s">
        <v>43</v>
      </c>
      <c r="O2894">
        <v>2041</v>
      </c>
    </row>
    <row r="2895" spans="1:16" x14ac:dyDescent="0.3">
      <c r="A2895" t="str">
        <f t="shared" si="45"/>
        <v>CN|AccumulatedNewCapacity|RE1|PWRWNDONS|2041</v>
      </c>
      <c r="B2895" t="s">
        <v>39</v>
      </c>
      <c r="C2895" t="s">
        <v>40</v>
      </c>
      <c r="D2895" t="s">
        <v>18</v>
      </c>
      <c r="E2895" t="s">
        <v>19</v>
      </c>
      <c r="F2895" t="s">
        <v>36</v>
      </c>
      <c r="O2895">
        <v>2041</v>
      </c>
      <c r="P2895">
        <v>425.75944648443561</v>
      </c>
    </row>
    <row r="2896" spans="1:16" x14ac:dyDescent="0.3">
      <c r="A2896" t="str">
        <f t="shared" si="45"/>
        <v>CN|NewCapacity|RE1|PWRBGS|2041</v>
      </c>
      <c r="B2896" t="s">
        <v>39</v>
      </c>
      <c r="C2896" t="s">
        <v>40</v>
      </c>
      <c r="D2896" t="s">
        <v>37</v>
      </c>
      <c r="E2896" t="s">
        <v>19</v>
      </c>
      <c r="F2896" t="s">
        <v>20</v>
      </c>
      <c r="O2896">
        <v>2041</v>
      </c>
    </row>
    <row r="2897" spans="1:16" x14ac:dyDescent="0.3">
      <c r="A2897" t="str">
        <f t="shared" si="45"/>
        <v>CN|NewCapacity|RE1|PWRCOA|2041</v>
      </c>
      <c r="B2897" t="s">
        <v>39</v>
      </c>
      <c r="C2897" t="s">
        <v>40</v>
      </c>
      <c r="D2897" t="s">
        <v>37</v>
      </c>
      <c r="E2897" t="s">
        <v>19</v>
      </c>
      <c r="F2897" t="s">
        <v>21</v>
      </c>
      <c r="O2897">
        <v>2041</v>
      </c>
    </row>
    <row r="2898" spans="1:16" x14ac:dyDescent="0.3">
      <c r="A2898" t="str">
        <f t="shared" si="45"/>
        <v>CN|NewCapacity|RE1|PWRDSL|2041</v>
      </c>
      <c r="B2898" t="s">
        <v>39</v>
      </c>
      <c r="C2898" t="s">
        <v>40</v>
      </c>
      <c r="D2898" t="s">
        <v>37</v>
      </c>
      <c r="E2898" t="s">
        <v>19</v>
      </c>
      <c r="F2898" t="s">
        <v>22</v>
      </c>
      <c r="O2898">
        <v>2041</v>
      </c>
    </row>
    <row r="2899" spans="1:16" x14ac:dyDescent="0.3">
      <c r="A2899" t="str">
        <f t="shared" si="45"/>
        <v>CN|NewCapacity|RE1|PWRFOL|2041</v>
      </c>
      <c r="B2899" t="s">
        <v>39</v>
      </c>
      <c r="C2899" t="s">
        <v>40</v>
      </c>
      <c r="D2899" t="s">
        <v>37</v>
      </c>
      <c r="E2899" t="s">
        <v>19</v>
      </c>
      <c r="F2899" t="s">
        <v>23</v>
      </c>
      <c r="O2899">
        <v>2041</v>
      </c>
    </row>
    <row r="2900" spans="1:16" x14ac:dyDescent="0.3">
      <c r="A2900" t="str">
        <f t="shared" si="45"/>
        <v>CN|NewCapacity|RE1|PWRHYDDAM|2041</v>
      </c>
      <c r="B2900" t="s">
        <v>39</v>
      </c>
      <c r="C2900" t="s">
        <v>40</v>
      </c>
      <c r="D2900" t="s">
        <v>37</v>
      </c>
      <c r="E2900" t="s">
        <v>19</v>
      </c>
      <c r="F2900" t="s">
        <v>24</v>
      </c>
      <c r="O2900">
        <v>2041</v>
      </c>
    </row>
    <row r="2901" spans="1:16" x14ac:dyDescent="0.3">
      <c r="A2901" t="str">
        <f t="shared" si="45"/>
        <v>CN|NewCapacity|RE1|PWRHYDROR|2041</v>
      </c>
      <c r="B2901" t="s">
        <v>39</v>
      </c>
      <c r="C2901" t="s">
        <v>40</v>
      </c>
      <c r="D2901" t="s">
        <v>37</v>
      </c>
      <c r="E2901" t="s">
        <v>19</v>
      </c>
      <c r="F2901" t="s">
        <v>25</v>
      </c>
      <c r="O2901">
        <v>2041</v>
      </c>
    </row>
    <row r="2902" spans="1:16" x14ac:dyDescent="0.3">
      <c r="A2902" t="str">
        <f t="shared" si="45"/>
        <v>CN|NewCapacity|RE1|PWRHYDROR_NDC|2041</v>
      </c>
      <c r="B2902" t="s">
        <v>39</v>
      </c>
      <c r="C2902" t="s">
        <v>40</v>
      </c>
      <c r="D2902" t="s">
        <v>37</v>
      </c>
      <c r="E2902" t="s">
        <v>19</v>
      </c>
      <c r="F2902" t="s">
        <v>26</v>
      </c>
      <c r="O2902">
        <v>2041</v>
      </c>
      <c r="P2902">
        <v>27.646358233509481</v>
      </c>
    </row>
    <row r="2903" spans="1:16" x14ac:dyDescent="0.3">
      <c r="A2903" t="str">
        <f t="shared" si="45"/>
        <v>CN|NewCapacity|RE1|PWRJET|2041</v>
      </c>
      <c r="B2903" t="s">
        <v>39</v>
      </c>
      <c r="C2903" t="s">
        <v>40</v>
      </c>
      <c r="D2903" t="s">
        <v>37</v>
      </c>
      <c r="E2903" t="s">
        <v>19</v>
      </c>
      <c r="F2903" t="s">
        <v>27</v>
      </c>
      <c r="O2903">
        <v>2041</v>
      </c>
    </row>
    <row r="2904" spans="1:16" x14ac:dyDescent="0.3">
      <c r="A2904" t="str">
        <f t="shared" si="45"/>
        <v>CN|NewCapacity|RE1|PWRLPG|2041</v>
      </c>
      <c r="B2904" t="s">
        <v>39</v>
      </c>
      <c r="C2904" t="s">
        <v>40</v>
      </c>
      <c r="D2904" t="s">
        <v>37</v>
      </c>
      <c r="E2904" t="s">
        <v>19</v>
      </c>
      <c r="F2904" t="s">
        <v>28</v>
      </c>
      <c r="O2904">
        <v>2041</v>
      </c>
    </row>
    <row r="2905" spans="1:16" x14ac:dyDescent="0.3">
      <c r="A2905" t="str">
        <f t="shared" si="45"/>
        <v>CN|NewCapacity|RE1|PWRNGS_CC|2041</v>
      </c>
      <c r="B2905" t="s">
        <v>39</v>
      </c>
      <c r="C2905" t="s">
        <v>40</v>
      </c>
      <c r="D2905" t="s">
        <v>37</v>
      </c>
      <c r="E2905" t="s">
        <v>19</v>
      </c>
      <c r="F2905" t="s">
        <v>29</v>
      </c>
      <c r="O2905">
        <v>2041</v>
      </c>
    </row>
    <row r="2906" spans="1:16" x14ac:dyDescent="0.3">
      <c r="A2906" t="str">
        <f t="shared" si="45"/>
        <v>CN|NewCapacity|RE1|PWRNGS_CS|2041</v>
      </c>
      <c r="B2906" t="s">
        <v>39</v>
      </c>
      <c r="C2906" t="s">
        <v>40</v>
      </c>
      <c r="D2906" t="s">
        <v>37</v>
      </c>
      <c r="E2906" t="s">
        <v>19</v>
      </c>
      <c r="F2906" t="s">
        <v>30</v>
      </c>
      <c r="O2906">
        <v>2041</v>
      </c>
    </row>
    <row r="2907" spans="1:16" x14ac:dyDescent="0.3">
      <c r="A2907" t="str">
        <f t="shared" si="45"/>
        <v>CN|NewCapacity|RE1|PWRSOLRTP|2041</v>
      </c>
      <c r="B2907" t="s">
        <v>39</v>
      </c>
      <c r="C2907" t="s">
        <v>40</v>
      </c>
      <c r="D2907" t="s">
        <v>37</v>
      </c>
      <c r="E2907" t="s">
        <v>19</v>
      </c>
      <c r="F2907" t="s">
        <v>31</v>
      </c>
      <c r="O2907">
        <v>2041</v>
      </c>
      <c r="P2907">
        <v>4.12</v>
      </c>
    </row>
    <row r="2908" spans="1:16" x14ac:dyDescent="0.3">
      <c r="A2908" t="str">
        <f t="shared" si="45"/>
        <v>CN|NewCapacity|RE1|PWRSOLRTP_ZNI|2041</v>
      </c>
      <c r="B2908" t="s">
        <v>39</v>
      </c>
      <c r="C2908" t="s">
        <v>40</v>
      </c>
      <c r="D2908" t="s">
        <v>37</v>
      </c>
      <c r="E2908" t="s">
        <v>19</v>
      </c>
      <c r="F2908" t="s">
        <v>32</v>
      </c>
      <c r="O2908">
        <v>2041</v>
      </c>
      <c r="P2908">
        <v>4.439367037303809E-2</v>
      </c>
    </row>
    <row r="2909" spans="1:16" x14ac:dyDescent="0.3">
      <c r="A2909" t="str">
        <f t="shared" si="45"/>
        <v>CN|NewCapacity|RE1|PWRSOLUGE|2041</v>
      </c>
      <c r="B2909" t="s">
        <v>39</v>
      </c>
      <c r="C2909" t="s">
        <v>40</v>
      </c>
      <c r="D2909" t="s">
        <v>37</v>
      </c>
      <c r="E2909" t="s">
        <v>19</v>
      </c>
      <c r="F2909" t="s">
        <v>33</v>
      </c>
      <c r="O2909">
        <v>2041</v>
      </c>
      <c r="P2909">
        <v>47.31</v>
      </c>
    </row>
    <row r="2910" spans="1:16" x14ac:dyDescent="0.3">
      <c r="A2910" t="str">
        <f t="shared" si="45"/>
        <v>CN|NewCapacity|RE1|PWRSOLUGE_BAT|2041</v>
      </c>
      <c r="B2910" t="s">
        <v>39</v>
      </c>
      <c r="C2910" t="s">
        <v>40</v>
      </c>
      <c r="D2910" t="s">
        <v>37</v>
      </c>
      <c r="E2910" t="s">
        <v>19</v>
      </c>
      <c r="F2910" t="s">
        <v>41</v>
      </c>
      <c r="O2910">
        <v>2041</v>
      </c>
    </row>
    <row r="2911" spans="1:16" x14ac:dyDescent="0.3">
      <c r="A2911" t="str">
        <f t="shared" si="45"/>
        <v>CN|NewCapacity|RE1|PWRSOLUPE|2041</v>
      </c>
      <c r="B2911" t="s">
        <v>39</v>
      </c>
      <c r="C2911" t="s">
        <v>40</v>
      </c>
      <c r="D2911" t="s">
        <v>37</v>
      </c>
      <c r="E2911" t="s">
        <v>19</v>
      </c>
      <c r="F2911" t="s">
        <v>34</v>
      </c>
      <c r="O2911">
        <v>2041</v>
      </c>
    </row>
    <row r="2912" spans="1:16" x14ac:dyDescent="0.3">
      <c r="A2912" t="str">
        <f t="shared" si="45"/>
        <v>CN|NewCapacity|RE1|PWRSTD|2041</v>
      </c>
      <c r="B2912" t="s">
        <v>39</v>
      </c>
      <c r="C2912" t="s">
        <v>40</v>
      </c>
      <c r="D2912" t="s">
        <v>37</v>
      </c>
      <c r="E2912" t="s">
        <v>19</v>
      </c>
      <c r="F2912" t="s">
        <v>35</v>
      </c>
      <c r="O2912">
        <v>2041</v>
      </c>
    </row>
    <row r="2913" spans="1:16" x14ac:dyDescent="0.3">
      <c r="A2913" t="str">
        <f t="shared" si="45"/>
        <v>CN|NewCapacity|RE1|PWRWNDOFS_FIX|2041</v>
      </c>
      <c r="B2913" t="s">
        <v>39</v>
      </c>
      <c r="C2913" t="s">
        <v>40</v>
      </c>
      <c r="D2913" t="s">
        <v>37</v>
      </c>
      <c r="E2913" t="s">
        <v>19</v>
      </c>
      <c r="F2913" t="s">
        <v>42</v>
      </c>
      <c r="O2913">
        <v>2041</v>
      </c>
      <c r="P2913">
        <v>47.31</v>
      </c>
    </row>
    <row r="2914" spans="1:16" x14ac:dyDescent="0.3">
      <c r="A2914" t="str">
        <f t="shared" si="45"/>
        <v>CN|NewCapacity|RE1|PWRWNDOFS_FLO|2041</v>
      </c>
      <c r="B2914" t="s">
        <v>39</v>
      </c>
      <c r="C2914" t="s">
        <v>40</v>
      </c>
      <c r="D2914" t="s">
        <v>37</v>
      </c>
      <c r="E2914" t="s">
        <v>19</v>
      </c>
      <c r="F2914" t="s">
        <v>43</v>
      </c>
      <c r="O2914">
        <v>2041</v>
      </c>
    </row>
    <row r="2915" spans="1:16" x14ac:dyDescent="0.3">
      <c r="A2915" t="str">
        <f t="shared" si="45"/>
        <v>CN|NewCapacity|RE1|PWRWNDONS|2041</v>
      </c>
      <c r="B2915" t="s">
        <v>39</v>
      </c>
      <c r="C2915" t="s">
        <v>40</v>
      </c>
      <c r="D2915" t="s">
        <v>37</v>
      </c>
      <c r="E2915" t="s">
        <v>19</v>
      </c>
      <c r="F2915" t="s">
        <v>36</v>
      </c>
      <c r="O2915">
        <v>2041</v>
      </c>
      <c r="P2915">
        <v>47.31</v>
      </c>
    </row>
    <row r="2916" spans="1:16" x14ac:dyDescent="0.3">
      <c r="A2916" t="str">
        <f t="shared" si="45"/>
        <v>CN|TotalCapacityAnnual|RE1|PWRBGS|2041</v>
      </c>
      <c r="B2916" t="s">
        <v>39</v>
      </c>
      <c r="C2916" t="s">
        <v>40</v>
      </c>
      <c r="D2916" t="s">
        <v>38</v>
      </c>
      <c r="E2916" t="s">
        <v>19</v>
      </c>
      <c r="F2916" t="s">
        <v>20</v>
      </c>
      <c r="O2916">
        <v>2041</v>
      </c>
      <c r="P2916">
        <v>2.5488587520000001E-2</v>
      </c>
    </row>
    <row r="2917" spans="1:16" x14ac:dyDescent="0.3">
      <c r="A2917" t="str">
        <f t="shared" si="45"/>
        <v>CN|TotalCapacityAnnual|RE1|PWRCOA|2041</v>
      </c>
      <c r="B2917" t="s">
        <v>39</v>
      </c>
      <c r="C2917" t="s">
        <v>40</v>
      </c>
      <c r="D2917" t="s">
        <v>38</v>
      </c>
      <c r="E2917" t="s">
        <v>19</v>
      </c>
      <c r="F2917" t="s">
        <v>21</v>
      </c>
      <c r="O2917">
        <v>2041</v>
      </c>
    </row>
    <row r="2918" spans="1:16" x14ac:dyDescent="0.3">
      <c r="A2918" t="str">
        <f t="shared" si="45"/>
        <v>CN|TotalCapacityAnnual|RE1|PWRDSL|2041</v>
      </c>
      <c r="B2918" t="s">
        <v>39</v>
      </c>
      <c r="C2918" t="s">
        <v>40</v>
      </c>
      <c r="D2918" t="s">
        <v>38</v>
      </c>
      <c r="E2918" t="s">
        <v>19</v>
      </c>
      <c r="F2918" t="s">
        <v>22</v>
      </c>
      <c r="O2918">
        <v>2041</v>
      </c>
    </row>
    <row r="2919" spans="1:16" x14ac:dyDescent="0.3">
      <c r="A2919" t="str">
        <f t="shared" si="45"/>
        <v>CN|TotalCapacityAnnual|RE1|PWRFOL|2041</v>
      </c>
      <c r="B2919" t="s">
        <v>39</v>
      </c>
      <c r="C2919" t="s">
        <v>40</v>
      </c>
      <c r="D2919" t="s">
        <v>38</v>
      </c>
      <c r="E2919" t="s">
        <v>19</v>
      </c>
      <c r="F2919" t="s">
        <v>23</v>
      </c>
      <c r="O2919">
        <v>2041</v>
      </c>
      <c r="P2919">
        <v>8.3885759999999987</v>
      </c>
    </row>
    <row r="2920" spans="1:16" x14ac:dyDescent="0.3">
      <c r="A2920" t="str">
        <f t="shared" si="45"/>
        <v>CN|TotalCapacityAnnual|RE1|PWRHYDDAM|2041</v>
      </c>
      <c r="B2920" t="s">
        <v>39</v>
      </c>
      <c r="C2920" t="s">
        <v>40</v>
      </c>
      <c r="D2920" t="s">
        <v>38</v>
      </c>
      <c r="E2920" t="s">
        <v>19</v>
      </c>
      <c r="F2920" t="s">
        <v>24</v>
      </c>
      <c r="O2920">
        <v>2041</v>
      </c>
      <c r="P2920">
        <v>440.49164800000011</v>
      </c>
    </row>
    <row r="2921" spans="1:16" x14ac:dyDescent="0.3">
      <c r="A2921" t="str">
        <f t="shared" si="45"/>
        <v>CN|TotalCapacityAnnual|RE1|PWRHYDROR|2041</v>
      </c>
      <c r="B2921" t="s">
        <v>39</v>
      </c>
      <c r="C2921" t="s">
        <v>40</v>
      </c>
      <c r="D2921" t="s">
        <v>38</v>
      </c>
      <c r="E2921" t="s">
        <v>19</v>
      </c>
      <c r="F2921" t="s">
        <v>25</v>
      </c>
      <c r="O2921">
        <v>2041</v>
      </c>
      <c r="P2921">
        <v>21.097584000000001</v>
      </c>
    </row>
    <row r="2922" spans="1:16" x14ac:dyDescent="0.3">
      <c r="A2922" t="str">
        <f t="shared" si="45"/>
        <v>CN|TotalCapacityAnnual|RE1|PWRHYDROR_NDC|2041</v>
      </c>
      <c r="B2922" t="s">
        <v>39</v>
      </c>
      <c r="C2922" t="s">
        <v>40</v>
      </c>
      <c r="D2922" t="s">
        <v>38</v>
      </c>
      <c r="E2922" t="s">
        <v>19</v>
      </c>
      <c r="F2922" t="s">
        <v>26</v>
      </c>
      <c r="O2922">
        <v>2041</v>
      </c>
      <c r="P2922">
        <v>88.711466505509463</v>
      </c>
    </row>
    <row r="2923" spans="1:16" x14ac:dyDescent="0.3">
      <c r="A2923" t="str">
        <f t="shared" si="45"/>
        <v>CN|TotalCapacityAnnual|RE1|PWRJET|2041</v>
      </c>
      <c r="B2923" t="s">
        <v>39</v>
      </c>
      <c r="C2923" t="s">
        <v>40</v>
      </c>
      <c r="D2923" t="s">
        <v>38</v>
      </c>
      <c r="E2923" t="s">
        <v>19</v>
      </c>
      <c r="F2923" t="s">
        <v>27</v>
      </c>
      <c r="O2923">
        <v>2041</v>
      </c>
      <c r="P2923">
        <v>1.5768</v>
      </c>
    </row>
    <row r="2924" spans="1:16" x14ac:dyDescent="0.3">
      <c r="A2924" t="str">
        <f t="shared" si="45"/>
        <v>CN|TotalCapacityAnnual|RE1|PWRLPG|2041</v>
      </c>
      <c r="B2924" t="s">
        <v>39</v>
      </c>
      <c r="C2924" t="s">
        <v>40</v>
      </c>
      <c r="D2924" t="s">
        <v>38</v>
      </c>
      <c r="E2924" t="s">
        <v>19</v>
      </c>
      <c r="F2924" t="s">
        <v>28</v>
      </c>
      <c r="O2924">
        <v>2041</v>
      </c>
      <c r="P2924">
        <v>1.639872</v>
      </c>
    </row>
    <row r="2925" spans="1:16" x14ac:dyDescent="0.3">
      <c r="A2925" t="str">
        <f t="shared" si="45"/>
        <v>CN|TotalCapacityAnnual|RE1|PWRNGS_CC|2041</v>
      </c>
      <c r="B2925" t="s">
        <v>39</v>
      </c>
      <c r="C2925" t="s">
        <v>40</v>
      </c>
      <c r="D2925" t="s">
        <v>38</v>
      </c>
      <c r="E2925" t="s">
        <v>19</v>
      </c>
      <c r="F2925" t="s">
        <v>29</v>
      </c>
      <c r="O2925">
        <v>2041</v>
      </c>
      <c r="P2925">
        <v>70.104500000000002</v>
      </c>
    </row>
    <row r="2926" spans="1:16" x14ac:dyDescent="0.3">
      <c r="A2926" t="str">
        <f t="shared" si="45"/>
        <v>CN|TotalCapacityAnnual|RE1|PWRNGS_CS|2041</v>
      </c>
      <c r="B2926" t="s">
        <v>39</v>
      </c>
      <c r="C2926" t="s">
        <v>40</v>
      </c>
      <c r="D2926" t="s">
        <v>38</v>
      </c>
      <c r="E2926" t="s">
        <v>19</v>
      </c>
      <c r="F2926" t="s">
        <v>30</v>
      </c>
      <c r="O2926">
        <v>2041</v>
      </c>
      <c r="P2926">
        <v>48.03</v>
      </c>
    </row>
    <row r="2927" spans="1:16" x14ac:dyDescent="0.3">
      <c r="A2927" t="str">
        <f t="shared" si="45"/>
        <v>CN|TotalCapacityAnnual|RE1|PWRSOLRTP|2041</v>
      </c>
      <c r="B2927" t="s">
        <v>39</v>
      </c>
      <c r="C2927" t="s">
        <v>40</v>
      </c>
      <c r="D2927" t="s">
        <v>38</v>
      </c>
      <c r="E2927" t="s">
        <v>19</v>
      </c>
      <c r="F2927" t="s">
        <v>31</v>
      </c>
      <c r="O2927">
        <v>2041</v>
      </c>
      <c r="P2927">
        <v>220.10409999999999</v>
      </c>
    </row>
    <row r="2928" spans="1:16" x14ac:dyDescent="0.3">
      <c r="A2928" t="str">
        <f t="shared" si="45"/>
        <v>CN|TotalCapacityAnnual|RE1|PWRSOLRTP_ZNI|2041</v>
      </c>
      <c r="B2928" t="s">
        <v>39</v>
      </c>
      <c r="C2928" t="s">
        <v>40</v>
      </c>
      <c r="D2928" t="s">
        <v>38</v>
      </c>
      <c r="E2928" t="s">
        <v>19</v>
      </c>
      <c r="F2928" t="s">
        <v>32</v>
      </c>
      <c r="O2928">
        <v>2041</v>
      </c>
      <c r="P2928">
        <v>1.444804354996907</v>
      </c>
    </row>
    <row r="2929" spans="1:16" x14ac:dyDescent="0.3">
      <c r="A2929" t="str">
        <f t="shared" si="45"/>
        <v>CN|TotalCapacityAnnual|RE1|PWRSOLUGE|2041</v>
      </c>
      <c r="B2929" t="s">
        <v>39</v>
      </c>
      <c r="C2929" t="s">
        <v>40</v>
      </c>
      <c r="D2929" t="s">
        <v>38</v>
      </c>
      <c r="E2929" t="s">
        <v>19</v>
      </c>
      <c r="F2929" t="s">
        <v>33</v>
      </c>
      <c r="O2929">
        <v>2041</v>
      </c>
      <c r="P2929">
        <v>333.72186047999998</v>
      </c>
    </row>
    <row r="2930" spans="1:16" x14ac:dyDescent="0.3">
      <c r="A2930" t="str">
        <f t="shared" si="45"/>
        <v>CN|TotalCapacityAnnual|RE1|PWRSOLUGE_BAT|2041</v>
      </c>
      <c r="B2930" t="s">
        <v>39</v>
      </c>
      <c r="C2930" t="s">
        <v>40</v>
      </c>
      <c r="D2930" t="s">
        <v>38</v>
      </c>
      <c r="E2930" t="s">
        <v>19</v>
      </c>
      <c r="F2930" t="s">
        <v>41</v>
      </c>
      <c r="O2930">
        <v>2041</v>
      </c>
    </row>
    <row r="2931" spans="1:16" x14ac:dyDescent="0.3">
      <c r="A2931" t="str">
        <f t="shared" si="45"/>
        <v>CN|TotalCapacityAnnual|RE1|PWRSOLUPE|2041</v>
      </c>
      <c r="B2931" t="s">
        <v>39</v>
      </c>
      <c r="C2931" t="s">
        <v>40</v>
      </c>
      <c r="D2931" t="s">
        <v>38</v>
      </c>
      <c r="E2931" t="s">
        <v>19</v>
      </c>
      <c r="F2931" t="s">
        <v>34</v>
      </c>
      <c r="O2931">
        <v>2041</v>
      </c>
      <c r="P2931">
        <v>39.172600079999931</v>
      </c>
    </row>
    <row r="2932" spans="1:16" x14ac:dyDescent="0.3">
      <c r="A2932" t="str">
        <f t="shared" si="45"/>
        <v>CN|TotalCapacityAnnual|RE1|PWRSTD|2041</v>
      </c>
      <c r="B2932" t="s">
        <v>39</v>
      </c>
      <c r="C2932" t="s">
        <v>40</v>
      </c>
      <c r="D2932" t="s">
        <v>38</v>
      </c>
      <c r="E2932" t="s">
        <v>19</v>
      </c>
      <c r="F2932" t="s">
        <v>35</v>
      </c>
      <c r="O2932">
        <v>2041</v>
      </c>
      <c r="P2932">
        <v>8.163062064</v>
      </c>
    </row>
    <row r="2933" spans="1:16" x14ac:dyDescent="0.3">
      <c r="A2933" t="str">
        <f t="shared" si="45"/>
        <v>CN|TotalCapacityAnnual|RE1|PWRWNDOFS_FIX|2041</v>
      </c>
      <c r="B2933" t="s">
        <v>39</v>
      </c>
      <c r="C2933" t="s">
        <v>40</v>
      </c>
      <c r="D2933" t="s">
        <v>38</v>
      </c>
      <c r="E2933" t="s">
        <v>19</v>
      </c>
      <c r="F2933" t="s">
        <v>42</v>
      </c>
      <c r="O2933">
        <v>2041</v>
      </c>
      <c r="P2933">
        <v>225.42476658776209</v>
      </c>
    </row>
    <row r="2934" spans="1:16" x14ac:dyDescent="0.3">
      <c r="A2934" t="str">
        <f t="shared" si="45"/>
        <v>CN|TotalCapacityAnnual|RE1|PWRWNDOFS_FLO|2041</v>
      </c>
      <c r="B2934" t="s">
        <v>39</v>
      </c>
      <c r="C2934" t="s">
        <v>40</v>
      </c>
      <c r="D2934" t="s">
        <v>38</v>
      </c>
      <c r="E2934" t="s">
        <v>19</v>
      </c>
      <c r="F2934" t="s">
        <v>43</v>
      </c>
      <c r="O2934">
        <v>2041</v>
      </c>
    </row>
    <row r="2935" spans="1:16" x14ac:dyDescent="0.3">
      <c r="A2935" t="str">
        <f t="shared" si="45"/>
        <v>CN|TotalCapacityAnnual|RE1|PWRWNDONS|2041</v>
      </c>
      <c r="B2935" t="s">
        <v>39</v>
      </c>
      <c r="C2935" t="s">
        <v>40</v>
      </c>
      <c r="D2935" t="s">
        <v>38</v>
      </c>
      <c r="E2935" t="s">
        <v>19</v>
      </c>
      <c r="F2935" t="s">
        <v>36</v>
      </c>
      <c r="O2935">
        <v>2041</v>
      </c>
      <c r="P2935">
        <v>427.12810888443562</v>
      </c>
    </row>
    <row r="2936" spans="1:16" x14ac:dyDescent="0.3">
      <c r="A2936" t="str">
        <f t="shared" si="45"/>
        <v>CN|AccumulatedNewCapacity|RE1|PWRBGS|2042</v>
      </c>
      <c r="B2936" t="s">
        <v>39</v>
      </c>
      <c r="C2936" t="s">
        <v>40</v>
      </c>
      <c r="D2936" t="s">
        <v>18</v>
      </c>
      <c r="E2936" t="s">
        <v>19</v>
      </c>
      <c r="F2936" t="s">
        <v>20</v>
      </c>
      <c r="O2936">
        <v>2042</v>
      </c>
    </row>
    <row r="2937" spans="1:16" x14ac:dyDescent="0.3">
      <c r="A2937" t="str">
        <f t="shared" si="45"/>
        <v>CN|AccumulatedNewCapacity|RE1|PWRCOA|2042</v>
      </c>
      <c r="B2937" t="s">
        <v>39</v>
      </c>
      <c r="C2937" t="s">
        <v>40</v>
      </c>
      <c r="D2937" t="s">
        <v>18</v>
      </c>
      <c r="E2937" t="s">
        <v>19</v>
      </c>
      <c r="F2937" t="s">
        <v>21</v>
      </c>
      <c r="O2937">
        <v>2042</v>
      </c>
    </row>
    <row r="2938" spans="1:16" x14ac:dyDescent="0.3">
      <c r="A2938" t="str">
        <f t="shared" si="45"/>
        <v>CN|AccumulatedNewCapacity|RE1|PWRDSL|2042</v>
      </c>
      <c r="B2938" t="s">
        <v>39</v>
      </c>
      <c r="C2938" t="s">
        <v>40</v>
      </c>
      <c r="D2938" t="s">
        <v>18</v>
      </c>
      <c r="E2938" t="s">
        <v>19</v>
      </c>
      <c r="F2938" t="s">
        <v>22</v>
      </c>
      <c r="O2938">
        <v>2042</v>
      </c>
    </row>
    <row r="2939" spans="1:16" x14ac:dyDescent="0.3">
      <c r="A2939" t="str">
        <f t="shared" si="45"/>
        <v>CN|AccumulatedNewCapacity|RE1|PWRFOL|2042</v>
      </c>
      <c r="B2939" t="s">
        <v>39</v>
      </c>
      <c r="C2939" t="s">
        <v>40</v>
      </c>
      <c r="D2939" t="s">
        <v>18</v>
      </c>
      <c r="E2939" t="s">
        <v>19</v>
      </c>
      <c r="F2939" t="s">
        <v>23</v>
      </c>
      <c r="O2939">
        <v>2042</v>
      </c>
    </row>
    <row r="2940" spans="1:16" x14ac:dyDescent="0.3">
      <c r="A2940" t="str">
        <f t="shared" si="45"/>
        <v>CN|AccumulatedNewCapacity|RE1|PWRHYDDAM|2042</v>
      </c>
      <c r="B2940" t="s">
        <v>39</v>
      </c>
      <c r="C2940" t="s">
        <v>40</v>
      </c>
      <c r="D2940" t="s">
        <v>18</v>
      </c>
      <c r="E2940" t="s">
        <v>19</v>
      </c>
      <c r="F2940" t="s">
        <v>24</v>
      </c>
      <c r="O2940">
        <v>2042</v>
      </c>
      <c r="P2940">
        <v>37.840000000000003</v>
      </c>
    </row>
    <row r="2941" spans="1:16" x14ac:dyDescent="0.3">
      <c r="A2941" t="str">
        <f t="shared" si="45"/>
        <v>CN|AccumulatedNewCapacity|RE1|PWRHYDROR|2042</v>
      </c>
      <c r="B2941" t="s">
        <v>39</v>
      </c>
      <c r="C2941" t="s">
        <v>40</v>
      </c>
      <c r="D2941" t="s">
        <v>18</v>
      </c>
      <c r="E2941" t="s">
        <v>19</v>
      </c>
      <c r="F2941" t="s">
        <v>25</v>
      </c>
      <c r="O2941">
        <v>2042</v>
      </c>
    </row>
    <row r="2942" spans="1:16" x14ac:dyDescent="0.3">
      <c r="A2942" t="str">
        <f t="shared" si="45"/>
        <v>CN|AccumulatedNewCapacity|RE1|PWRHYDROR_NDC|2042</v>
      </c>
      <c r="B2942" t="s">
        <v>39</v>
      </c>
      <c r="C2942" t="s">
        <v>40</v>
      </c>
      <c r="D2942" t="s">
        <v>18</v>
      </c>
      <c r="E2942" t="s">
        <v>19</v>
      </c>
      <c r="F2942" t="s">
        <v>26</v>
      </c>
      <c r="O2942">
        <v>2042</v>
      </c>
      <c r="P2942">
        <v>58.986358233509478</v>
      </c>
    </row>
    <row r="2943" spans="1:16" x14ac:dyDescent="0.3">
      <c r="A2943" t="str">
        <f t="shared" si="45"/>
        <v>CN|AccumulatedNewCapacity|RE1|PWRJET|2042</v>
      </c>
      <c r="B2943" t="s">
        <v>39</v>
      </c>
      <c r="C2943" t="s">
        <v>40</v>
      </c>
      <c r="D2943" t="s">
        <v>18</v>
      </c>
      <c r="E2943" t="s">
        <v>19</v>
      </c>
      <c r="F2943" t="s">
        <v>27</v>
      </c>
      <c r="O2943">
        <v>2042</v>
      </c>
    </row>
    <row r="2944" spans="1:16" x14ac:dyDescent="0.3">
      <c r="A2944" t="str">
        <f t="shared" si="45"/>
        <v>CN|AccumulatedNewCapacity|RE1|PWRLPG|2042</v>
      </c>
      <c r="B2944" t="s">
        <v>39</v>
      </c>
      <c r="C2944" t="s">
        <v>40</v>
      </c>
      <c r="D2944" t="s">
        <v>18</v>
      </c>
      <c r="E2944" t="s">
        <v>19</v>
      </c>
      <c r="F2944" t="s">
        <v>28</v>
      </c>
      <c r="O2944">
        <v>2042</v>
      </c>
    </row>
    <row r="2945" spans="1:16" x14ac:dyDescent="0.3">
      <c r="A2945" t="str">
        <f t="shared" si="45"/>
        <v>CN|AccumulatedNewCapacity|RE1|PWRNGS_CC|2042</v>
      </c>
      <c r="B2945" t="s">
        <v>39</v>
      </c>
      <c r="C2945" t="s">
        <v>40</v>
      </c>
      <c r="D2945" t="s">
        <v>18</v>
      </c>
      <c r="E2945" t="s">
        <v>19</v>
      </c>
      <c r="F2945" t="s">
        <v>29</v>
      </c>
      <c r="O2945">
        <v>2042</v>
      </c>
    </row>
    <row r="2946" spans="1:16" x14ac:dyDescent="0.3">
      <c r="A2946" t="str">
        <f t="shared" ref="A2946:A3009" si="46">B2946&amp;"|"&amp;D2946&amp;"|"&amp;E2946&amp;"|"&amp;F2946&amp;"|"&amp;O2946</f>
        <v>CN|AccumulatedNewCapacity|RE1|PWRNGS_CS|2042</v>
      </c>
      <c r="B2946" t="s">
        <v>39</v>
      </c>
      <c r="C2946" t="s">
        <v>40</v>
      </c>
      <c r="D2946" t="s">
        <v>18</v>
      </c>
      <c r="E2946" t="s">
        <v>19</v>
      </c>
      <c r="F2946" t="s">
        <v>30</v>
      </c>
      <c r="O2946">
        <v>2042</v>
      </c>
    </row>
    <row r="2947" spans="1:16" x14ac:dyDescent="0.3">
      <c r="A2947" t="str">
        <f t="shared" si="46"/>
        <v>CN|AccumulatedNewCapacity|RE1|PWRSOLRTP|2042</v>
      </c>
      <c r="B2947" t="s">
        <v>39</v>
      </c>
      <c r="C2947" t="s">
        <v>40</v>
      </c>
      <c r="D2947" t="s">
        <v>18</v>
      </c>
      <c r="E2947" t="s">
        <v>19</v>
      </c>
      <c r="F2947" t="s">
        <v>31</v>
      </c>
      <c r="O2947">
        <v>2042</v>
      </c>
      <c r="P2947">
        <v>201.41345518622691</v>
      </c>
    </row>
    <row r="2948" spans="1:16" x14ac:dyDescent="0.3">
      <c r="A2948" t="str">
        <f t="shared" si="46"/>
        <v>CN|AccumulatedNewCapacity|RE1|PWRSOLRTP_ZNI|2042</v>
      </c>
      <c r="B2948" t="s">
        <v>39</v>
      </c>
      <c r="C2948" t="s">
        <v>40</v>
      </c>
      <c r="D2948" t="s">
        <v>18</v>
      </c>
      <c r="E2948" t="s">
        <v>19</v>
      </c>
      <c r="F2948" t="s">
        <v>32</v>
      </c>
      <c r="O2948">
        <v>2042</v>
      </c>
      <c r="P2948">
        <v>1.0292946666917571</v>
      </c>
    </row>
    <row r="2949" spans="1:16" x14ac:dyDescent="0.3">
      <c r="A2949" t="str">
        <f t="shared" si="46"/>
        <v>CN|AccumulatedNewCapacity|RE1|PWRSOLUGE|2042</v>
      </c>
      <c r="B2949" t="s">
        <v>39</v>
      </c>
      <c r="C2949" t="s">
        <v>40</v>
      </c>
      <c r="D2949" t="s">
        <v>18</v>
      </c>
      <c r="E2949" t="s">
        <v>19</v>
      </c>
      <c r="F2949" t="s">
        <v>33</v>
      </c>
      <c r="O2949">
        <v>2042</v>
      </c>
      <c r="P2949">
        <v>332.63419199999998</v>
      </c>
    </row>
    <row r="2950" spans="1:16" x14ac:dyDescent="0.3">
      <c r="A2950" t="str">
        <f t="shared" si="46"/>
        <v>CN|AccumulatedNewCapacity|RE1|PWRSOLUGE_BAT|2042</v>
      </c>
      <c r="B2950" t="s">
        <v>39</v>
      </c>
      <c r="C2950" t="s">
        <v>40</v>
      </c>
      <c r="D2950" t="s">
        <v>18</v>
      </c>
      <c r="E2950" t="s">
        <v>19</v>
      </c>
      <c r="F2950" t="s">
        <v>41</v>
      </c>
      <c r="O2950">
        <v>2042</v>
      </c>
    </row>
    <row r="2951" spans="1:16" x14ac:dyDescent="0.3">
      <c r="A2951" t="str">
        <f t="shared" si="46"/>
        <v>CN|AccumulatedNewCapacity|RE1|PWRSOLUPE|2042</v>
      </c>
      <c r="B2951" t="s">
        <v>39</v>
      </c>
      <c r="C2951" t="s">
        <v>40</v>
      </c>
      <c r="D2951" t="s">
        <v>18</v>
      </c>
      <c r="E2951" t="s">
        <v>19</v>
      </c>
      <c r="F2951" t="s">
        <v>34</v>
      </c>
      <c r="O2951">
        <v>2042</v>
      </c>
      <c r="P2951">
        <v>12.14419823999993</v>
      </c>
    </row>
    <row r="2952" spans="1:16" x14ac:dyDescent="0.3">
      <c r="A2952" t="str">
        <f t="shared" si="46"/>
        <v>CN|AccumulatedNewCapacity|RE1|PWRSTD|2042</v>
      </c>
      <c r="B2952" t="s">
        <v>39</v>
      </c>
      <c r="C2952" t="s">
        <v>40</v>
      </c>
      <c r="D2952" t="s">
        <v>18</v>
      </c>
      <c r="E2952" t="s">
        <v>19</v>
      </c>
      <c r="F2952" t="s">
        <v>35</v>
      </c>
      <c r="O2952">
        <v>2042</v>
      </c>
    </row>
    <row r="2953" spans="1:16" x14ac:dyDescent="0.3">
      <c r="A2953" t="str">
        <f t="shared" si="46"/>
        <v>CN|AccumulatedNewCapacity|RE1|PWRWNDOFS_FIX|2042</v>
      </c>
      <c r="B2953" t="s">
        <v>39</v>
      </c>
      <c r="C2953" t="s">
        <v>40</v>
      </c>
      <c r="D2953" t="s">
        <v>18</v>
      </c>
      <c r="E2953" t="s">
        <v>19</v>
      </c>
      <c r="F2953" t="s">
        <v>42</v>
      </c>
      <c r="O2953">
        <v>2042</v>
      </c>
      <c r="P2953">
        <v>272.73476658776212</v>
      </c>
    </row>
    <row r="2954" spans="1:16" x14ac:dyDescent="0.3">
      <c r="A2954" t="str">
        <f t="shared" si="46"/>
        <v>CN|AccumulatedNewCapacity|RE1|PWRWNDOFS_FLO|2042</v>
      </c>
      <c r="B2954" t="s">
        <v>39</v>
      </c>
      <c r="C2954" t="s">
        <v>40</v>
      </c>
      <c r="D2954" t="s">
        <v>18</v>
      </c>
      <c r="E2954" t="s">
        <v>19</v>
      </c>
      <c r="F2954" t="s">
        <v>43</v>
      </c>
      <c r="O2954">
        <v>2042</v>
      </c>
    </row>
    <row r="2955" spans="1:16" x14ac:dyDescent="0.3">
      <c r="A2955" t="str">
        <f t="shared" si="46"/>
        <v>CN|AccumulatedNewCapacity|RE1|PWRWNDONS|2042</v>
      </c>
      <c r="B2955" t="s">
        <v>39</v>
      </c>
      <c r="C2955" t="s">
        <v>40</v>
      </c>
      <c r="D2955" t="s">
        <v>18</v>
      </c>
      <c r="E2955" t="s">
        <v>19</v>
      </c>
      <c r="F2955" t="s">
        <v>36</v>
      </c>
      <c r="O2955">
        <v>2042</v>
      </c>
      <c r="P2955">
        <v>473.06944648443562</v>
      </c>
    </row>
    <row r="2956" spans="1:16" x14ac:dyDescent="0.3">
      <c r="A2956" t="str">
        <f t="shared" si="46"/>
        <v>CN|NewCapacity|RE1|PWRBGS|2042</v>
      </c>
      <c r="B2956" t="s">
        <v>39</v>
      </c>
      <c r="C2956" t="s">
        <v>40</v>
      </c>
      <c r="D2956" t="s">
        <v>37</v>
      </c>
      <c r="E2956" t="s">
        <v>19</v>
      </c>
      <c r="F2956" t="s">
        <v>20</v>
      </c>
      <c r="O2956">
        <v>2042</v>
      </c>
    </row>
    <row r="2957" spans="1:16" x14ac:dyDescent="0.3">
      <c r="A2957" t="str">
        <f t="shared" si="46"/>
        <v>CN|NewCapacity|RE1|PWRCOA|2042</v>
      </c>
      <c r="B2957" t="s">
        <v>39</v>
      </c>
      <c r="C2957" t="s">
        <v>40</v>
      </c>
      <c r="D2957" t="s">
        <v>37</v>
      </c>
      <c r="E2957" t="s">
        <v>19</v>
      </c>
      <c r="F2957" t="s">
        <v>21</v>
      </c>
      <c r="O2957">
        <v>2042</v>
      </c>
    </row>
    <row r="2958" spans="1:16" x14ac:dyDescent="0.3">
      <c r="A2958" t="str">
        <f t="shared" si="46"/>
        <v>CN|NewCapacity|RE1|PWRDSL|2042</v>
      </c>
      <c r="B2958" t="s">
        <v>39</v>
      </c>
      <c r="C2958" t="s">
        <v>40</v>
      </c>
      <c r="D2958" t="s">
        <v>37</v>
      </c>
      <c r="E2958" t="s">
        <v>19</v>
      </c>
      <c r="F2958" t="s">
        <v>22</v>
      </c>
      <c r="O2958">
        <v>2042</v>
      </c>
    </row>
    <row r="2959" spans="1:16" x14ac:dyDescent="0.3">
      <c r="A2959" t="str">
        <f t="shared" si="46"/>
        <v>CN|NewCapacity|RE1|PWRFOL|2042</v>
      </c>
      <c r="B2959" t="s">
        <v>39</v>
      </c>
      <c r="C2959" t="s">
        <v>40</v>
      </c>
      <c r="D2959" t="s">
        <v>37</v>
      </c>
      <c r="E2959" t="s">
        <v>19</v>
      </c>
      <c r="F2959" t="s">
        <v>23</v>
      </c>
      <c r="O2959">
        <v>2042</v>
      </c>
    </row>
    <row r="2960" spans="1:16" x14ac:dyDescent="0.3">
      <c r="A2960" t="str">
        <f t="shared" si="46"/>
        <v>CN|NewCapacity|RE1|PWRHYDDAM|2042</v>
      </c>
      <c r="B2960" t="s">
        <v>39</v>
      </c>
      <c r="C2960" t="s">
        <v>40</v>
      </c>
      <c r="D2960" t="s">
        <v>37</v>
      </c>
      <c r="E2960" t="s">
        <v>19</v>
      </c>
      <c r="F2960" t="s">
        <v>24</v>
      </c>
      <c r="O2960">
        <v>2042</v>
      </c>
    </row>
    <row r="2961" spans="1:16" x14ac:dyDescent="0.3">
      <c r="A2961" t="str">
        <f t="shared" si="46"/>
        <v>CN|NewCapacity|RE1|PWRHYDROR|2042</v>
      </c>
      <c r="B2961" t="s">
        <v>39</v>
      </c>
      <c r="C2961" t="s">
        <v>40</v>
      </c>
      <c r="D2961" t="s">
        <v>37</v>
      </c>
      <c r="E2961" t="s">
        <v>19</v>
      </c>
      <c r="F2961" t="s">
        <v>25</v>
      </c>
      <c r="O2961">
        <v>2042</v>
      </c>
    </row>
    <row r="2962" spans="1:16" x14ac:dyDescent="0.3">
      <c r="A2962" t="str">
        <f t="shared" si="46"/>
        <v>CN|NewCapacity|RE1|PWRHYDROR_NDC|2042</v>
      </c>
      <c r="B2962" t="s">
        <v>39</v>
      </c>
      <c r="C2962" t="s">
        <v>40</v>
      </c>
      <c r="D2962" t="s">
        <v>37</v>
      </c>
      <c r="E2962" t="s">
        <v>19</v>
      </c>
      <c r="F2962" t="s">
        <v>26</v>
      </c>
      <c r="O2962">
        <v>2042</v>
      </c>
    </row>
    <row r="2963" spans="1:16" x14ac:dyDescent="0.3">
      <c r="A2963" t="str">
        <f t="shared" si="46"/>
        <v>CN|NewCapacity|RE1|PWRJET|2042</v>
      </c>
      <c r="B2963" t="s">
        <v>39</v>
      </c>
      <c r="C2963" t="s">
        <v>40</v>
      </c>
      <c r="D2963" t="s">
        <v>37</v>
      </c>
      <c r="E2963" t="s">
        <v>19</v>
      </c>
      <c r="F2963" t="s">
        <v>27</v>
      </c>
      <c r="O2963">
        <v>2042</v>
      </c>
    </row>
    <row r="2964" spans="1:16" x14ac:dyDescent="0.3">
      <c r="A2964" t="str">
        <f t="shared" si="46"/>
        <v>CN|NewCapacity|RE1|PWRLPG|2042</v>
      </c>
      <c r="B2964" t="s">
        <v>39</v>
      </c>
      <c r="C2964" t="s">
        <v>40</v>
      </c>
      <c r="D2964" t="s">
        <v>37</v>
      </c>
      <c r="E2964" t="s">
        <v>19</v>
      </c>
      <c r="F2964" t="s">
        <v>28</v>
      </c>
      <c r="O2964">
        <v>2042</v>
      </c>
    </row>
    <row r="2965" spans="1:16" x14ac:dyDescent="0.3">
      <c r="A2965" t="str">
        <f t="shared" si="46"/>
        <v>CN|NewCapacity|RE1|PWRNGS_CC|2042</v>
      </c>
      <c r="B2965" t="s">
        <v>39</v>
      </c>
      <c r="C2965" t="s">
        <v>40</v>
      </c>
      <c r="D2965" t="s">
        <v>37</v>
      </c>
      <c r="E2965" t="s">
        <v>19</v>
      </c>
      <c r="F2965" t="s">
        <v>29</v>
      </c>
      <c r="O2965">
        <v>2042</v>
      </c>
    </row>
    <row r="2966" spans="1:16" x14ac:dyDescent="0.3">
      <c r="A2966" t="str">
        <f t="shared" si="46"/>
        <v>CN|NewCapacity|RE1|PWRNGS_CS|2042</v>
      </c>
      <c r="B2966" t="s">
        <v>39</v>
      </c>
      <c r="C2966" t="s">
        <v>40</v>
      </c>
      <c r="D2966" t="s">
        <v>37</v>
      </c>
      <c r="E2966" t="s">
        <v>19</v>
      </c>
      <c r="F2966" t="s">
        <v>30</v>
      </c>
      <c r="O2966">
        <v>2042</v>
      </c>
    </row>
    <row r="2967" spans="1:16" x14ac:dyDescent="0.3">
      <c r="A2967" t="str">
        <f t="shared" si="46"/>
        <v>CN|NewCapacity|RE1|PWRSOLRTP|2042</v>
      </c>
      <c r="B2967" t="s">
        <v>39</v>
      </c>
      <c r="C2967" t="s">
        <v>40</v>
      </c>
      <c r="D2967" t="s">
        <v>37</v>
      </c>
      <c r="E2967" t="s">
        <v>19</v>
      </c>
      <c r="F2967" t="s">
        <v>31</v>
      </c>
      <c r="O2967">
        <v>2042</v>
      </c>
      <c r="P2967">
        <v>4.5934551862268798</v>
      </c>
    </row>
    <row r="2968" spans="1:16" x14ac:dyDescent="0.3">
      <c r="A2968" t="str">
        <f t="shared" si="46"/>
        <v>CN|NewCapacity|RE1|PWRSOLRTP_ZNI|2042</v>
      </c>
      <c r="B2968" t="s">
        <v>39</v>
      </c>
      <c r="C2968" t="s">
        <v>40</v>
      </c>
      <c r="D2968" t="s">
        <v>37</v>
      </c>
      <c r="E2968" t="s">
        <v>19</v>
      </c>
      <c r="F2968" t="s">
        <v>32</v>
      </c>
      <c r="O2968">
        <v>2042</v>
      </c>
      <c r="P2968">
        <v>4.5231271694849133E-2</v>
      </c>
    </row>
    <row r="2969" spans="1:16" x14ac:dyDescent="0.3">
      <c r="A2969" t="str">
        <f t="shared" si="46"/>
        <v>CN|NewCapacity|RE1|PWRSOLUGE|2042</v>
      </c>
      <c r="B2969" t="s">
        <v>39</v>
      </c>
      <c r="C2969" t="s">
        <v>40</v>
      </c>
      <c r="D2969" t="s">
        <v>37</v>
      </c>
      <c r="E2969" t="s">
        <v>19</v>
      </c>
      <c r="F2969" t="s">
        <v>33</v>
      </c>
      <c r="O2969">
        <v>2042</v>
      </c>
      <c r="P2969">
        <v>47.31</v>
      </c>
    </row>
    <row r="2970" spans="1:16" x14ac:dyDescent="0.3">
      <c r="A2970" t="str">
        <f t="shared" si="46"/>
        <v>CN|NewCapacity|RE1|PWRSOLUGE_BAT|2042</v>
      </c>
      <c r="B2970" t="s">
        <v>39</v>
      </c>
      <c r="C2970" t="s">
        <v>40</v>
      </c>
      <c r="D2970" t="s">
        <v>37</v>
      </c>
      <c r="E2970" t="s">
        <v>19</v>
      </c>
      <c r="F2970" t="s">
        <v>41</v>
      </c>
      <c r="O2970">
        <v>2042</v>
      </c>
    </row>
    <row r="2971" spans="1:16" x14ac:dyDescent="0.3">
      <c r="A2971" t="str">
        <f t="shared" si="46"/>
        <v>CN|NewCapacity|RE1|PWRSOLUPE|2042</v>
      </c>
      <c r="B2971" t="s">
        <v>39</v>
      </c>
      <c r="C2971" t="s">
        <v>40</v>
      </c>
      <c r="D2971" t="s">
        <v>37</v>
      </c>
      <c r="E2971" t="s">
        <v>19</v>
      </c>
      <c r="F2971" t="s">
        <v>34</v>
      </c>
      <c r="O2971">
        <v>2042</v>
      </c>
    </row>
    <row r="2972" spans="1:16" x14ac:dyDescent="0.3">
      <c r="A2972" t="str">
        <f t="shared" si="46"/>
        <v>CN|NewCapacity|RE1|PWRSTD|2042</v>
      </c>
      <c r="B2972" t="s">
        <v>39</v>
      </c>
      <c r="C2972" t="s">
        <v>40</v>
      </c>
      <c r="D2972" t="s">
        <v>37</v>
      </c>
      <c r="E2972" t="s">
        <v>19</v>
      </c>
      <c r="F2972" t="s">
        <v>35</v>
      </c>
      <c r="O2972">
        <v>2042</v>
      </c>
    </row>
    <row r="2973" spans="1:16" x14ac:dyDescent="0.3">
      <c r="A2973" t="str">
        <f t="shared" si="46"/>
        <v>CN|NewCapacity|RE1|PWRWNDOFS_FIX|2042</v>
      </c>
      <c r="B2973" t="s">
        <v>39</v>
      </c>
      <c r="C2973" t="s">
        <v>40</v>
      </c>
      <c r="D2973" t="s">
        <v>37</v>
      </c>
      <c r="E2973" t="s">
        <v>19</v>
      </c>
      <c r="F2973" t="s">
        <v>42</v>
      </c>
      <c r="O2973">
        <v>2042</v>
      </c>
      <c r="P2973">
        <v>47.31</v>
      </c>
    </row>
    <row r="2974" spans="1:16" x14ac:dyDescent="0.3">
      <c r="A2974" t="str">
        <f t="shared" si="46"/>
        <v>CN|NewCapacity|RE1|PWRWNDOFS_FLO|2042</v>
      </c>
      <c r="B2974" t="s">
        <v>39</v>
      </c>
      <c r="C2974" t="s">
        <v>40</v>
      </c>
      <c r="D2974" t="s">
        <v>37</v>
      </c>
      <c r="E2974" t="s">
        <v>19</v>
      </c>
      <c r="F2974" t="s">
        <v>43</v>
      </c>
      <c r="O2974">
        <v>2042</v>
      </c>
    </row>
    <row r="2975" spans="1:16" x14ac:dyDescent="0.3">
      <c r="A2975" t="str">
        <f t="shared" si="46"/>
        <v>CN|NewCapacity|RE1|PWRWNDONS|2042</v>
      </c>
      <c r="B2975" t="s">
        <v>39</v>
      </c>
      <c r="C2975" t="s">
        <v>40</v>
      </c>
      <c r="D2975" t="s">
        <v>37</v>
      </c>
      <c r="E2975" t="s">
        <v>19</v>
      </c>
      <c r="F2975" t="s">
        <v>36</v>
      </c>
      <c r="O2975">
        <v>2042</v>
      </c>
      <c r="P2975">
        <v>47.31</v>
      </c>
    </row>
    <row r="2976" spans="1:16" x14ac:dyDescent="0.3">
      <c r="A2976" t="str">
        <f t="shared" si="46"/>
        <v>CN|TotalCapacityAnnual|RE1|PWRBGS|2042</v>
      </c>
      <c r="B2976" t="s">
        <v>39</v>
      </c>
      <c r="C2976" t="s">
        <v>40</v>
      </c>
      <c r="D2976" t="s">
        <v>38</v>
      </c>
      <c r="E2976" t="s">
        <v>19</v>
      </c>
      <c r="F2976" t="s">
        <v>20</v>
      </c>
      <c r="O2976">
        <v>2042</v>
      </c>
      <c r="P2976">
        <v>2.5488587520000001E-2</v>
      </c>
    </row>
    <row r="2977" spans="1:16" x14ac:dyDescent="0.3">
      <c r="A2977" t="str">
        <f t="shared" si="46"/>
        <v>CN|TotalCapacityAnnual|RE1|PWRCOA|2042</v>
      </c>
      <c r="B2977" t="s">
        <v>39</v>
      </c>
      <c r="C2977" t="s">
        <v>40</v>
      </c>
      <c r="D2977" t="s">
        <v>38</v>
      </c>
      <c r="E2977" t="s">
        <v>19</v>
      </c>
      <c r="F2977" t="s">
        <v>21</v>
      </c>
      <c r="O2977">
        <v>2042</v>
      </c>
    </row>
    <row r="2978" spans="1:16" x14ac:dyDescent="0.3">
      <c r="A2978" t="str">
        <f t="shared" si="46"/>
        <v>CN|TotalCapacityAnnual|RE1|PWRDSL|2042</v>
      </c>
      <c r="B2978" t="s">
        <v>39</v>
      </c>
      <c r="C2978" t="s">
        <v>40</v>
      </c>
      <c r="D2978" t="s">
        <v>38</v>
      </c>
      <c r="E2978" t="s">
        <v>19</v>
      </c>
      <c r="F2978" t="s">
        <v>22</v>
      </c>
      <c r="O2978">
        <v>2042</v>
      </c>
    </row>
    <row r="2979" spans="1:16" x14ac:dyDescent="0.3">
      <c r="A2979" t="str">
        <f t="shared" si="46"/>
        <v>CN|TotalCapacityAnnual|RE1|PWRFOL|2042</v>
      </c>
      <c r="B2979" t="s">
        <v>39</v>
      </c>
      <c r="C2979" t="s">
        <v>40</v>
      </c>
      <c r="D2979" t="s">
        <v>38</v>
      </c>
      <c r="E2979" t="s">
        <v>19</v>
      </c>
      <c r="F2979" t="s">
        <v>23</v>
      </c>
      <c r="O2979">
        <v>2042</v>
      </c>
      <c r="P2979">
        <v>8.3885759999999987</v>
      </c>
    </row>
    <row r="2980" spans="1:16" x14ac:dyDescent="0.3">
      <c r="A2980" t="str">
        <f t="shared" si="46"/>
        <v>CN|TotalCapacityAnnual|RE1|PWRHYDDAM|2042</v>
      </c>
      <c r="B2980" t="s">
        <v>39</v>
      </c>
      <c r="C2980" t="s">
        <v>40</v>
      </c>
      <c r="D2980" t="s">
        <v>38</v>
      </c>
      <c r="E2980" t="s">
        <v>19</v>
      </c>
      <c r="F2980" t="s">
        <v>24</v>
      </c>
      <c r="O2980">
        <v>2042</v>
      </c>
      <c r="P2980">
        <v>440.49164800000011</v>
      </c>
    </row>
    <row r="2981" spans="1:16" x14ac:dyDescent="0.3">
      <c r="A2981" t="str">
        <f t="shared" si="46"/>
        <v>CN|TotalCapacityAnnual|RE1|PWRHYDROR|2042</v>
      </c>
      <c r="B2981" t="s">
        <v>39</v>
      </c>
      <c r="C2981" t="s">
        <v>40</v>
      </c>
      <c r="D2981" t="s">
        <v>38</v>
      </c>
      <c r="E2981" t="s">
        <v>19</v>
      </c>
      <c r="F2981" t="s">
        <v>25</v>
      </c>
      <c r="O2981">
        <v>2042</v>
      </c>
      <c r="P2981">
        <v>21.097584000000001</v>
      </c>
    </row>
    <row r="2982" spans="1:16" x14ac:dyDescent="0.3">
      <c r="A2982" t="str">
        <f t="shared" si="46"/>
        <v>CN|TotalCapacityAnnual|RE1|PWRHYDROR_NDC|2042</v>
      </c>
      <c r="B2982" t="s">
        <v>39</v>
      </c>
      <c r="C2982" t="s">
        <v>40</v>
      </c>
      <c r="D2982" t="s">
        <v>38</v>
      </c>
      <c r="E2982" t="s">
        <v>19</v>
      </c>
      <c r="F2982" t="s">
        <v>26</v>
      </c>
      <c r="O2982">
        <v>2042</v>
      </c>
      <c r="P2982">
        <v>88.711466505509463</v>
      </c>
    </row>
    <row r="2983" spans="1:16" x14ac:dyDescent="0.3">
      <c r="A2983" t="str">
        <f t="shared" si="46"/>
        <v>CN|TotalCapacityAnnual|RE1|PWRJET|2042</v>
      </c>
      <c r="B2983" t="s">
        <v>39</v>
      </c>
      <c r="C2983" t="s">
        <v>40</v>
      </c>
      <c r="D2983" t="s">
        <v>38</v>
      </c>
      <c r="E2983" t="s">
        <v>19</v>
      </c>
      <c r="F2983" t="s">
        <v>27</v>
      </c>
      <c r="O2983">
        <v>2042</v>
      </c>
      <c r="P2983">
        <v>1.5768</v>
      </c>
    </row>
    <row r="2984" spans="1:16" x14ac:dyDescent="0.3">
      <c r="A2984" t="str">
        <f t="shared" si="46"/>
        <v>CN|TotalCapacityAnnual|RE1|PWRLPG|2042</v>
      </c>
      <c r="B2984" t="s">
        <v>39</v>
      </c>
      <c r="C2984" t="s">
        <v>40</v>
      </c>
      <c r="D2984" t="s">
        <v>38</v>
      </c>
      <c r="E2984" t="s">
        <v>19</v>
      </c>
      <c r="F2984" t="s">
        <v>28</v>
      </c>
      <c r="O2984">
        <v>2042</v>
      </c>
      <c r="P2984">
        <v>1.639872</v>
      </c>
    </row>
    <row r="2985" spans="1:16" x14ac:dyDescent="0.3">
      <c r="A2985" t="str">
        <f t="shared" si="46"/>
        <v>CN|TotalCapacityAnnual|RE1|PWRNGS_CC|2042</v>
      </c>
      <c r="B2985" t="s">
        <v>39</v>
      </c>
      <c r="C2985" t="s">
        <v>40</v>
      </c>
      <c r="D2985" t="s">
        <v>38</v>
      </c>
      <c r="E2985" t="s">
        <v>19</v>
      </c>
      <c r="F2985" t="s">
        <v>29</v>
      </c>
      <c r="O2985">
        <v>2042</v>
      </c>
      <c r="P2985">
        <v>70.104500000000002</v>
      </c>
    </row>
    <row r="2986" spans="1:16" x14ac:dyDescent="0.3">
      <c r="A2986" t="str">
        <f t="shared" si="46"/>
        <v>CN|TotalCapacityAnnual|RE1|PWRNGS_CS|2042</v>
      </c>
      <c r="B2986" t="s">
        <v>39</v>
      </c>
      <c r="C2986" t="s">
        <v>40</v>
      </c>
      <c r="D2986" t="s">
        <v>38</v>
      </c>
      <c r="E2986" t="s">
        <v>19</v>
      </c>
      <c r="F2986" t="s">
        <v>30</v>
      </c>
      <c r="O2986">
        <v>2042</v>
      </c>
      <c r="P2986">
        <v>48.03</v>
      </c>
    </row>
    <row r="2987" spans="1:16" x14ac:dyDescent="0.3">
      <c r="A2987" t="str">
        <f t="shared" si="46"/>
        <v>CN|TotalCapacityAnnual|RE1|PWRSOLRTP|2042</v>
      </c>
      <c r="B2987" t="s">
        <v>39</v>
      </c>
      <c r="C2987" t="s">
        <v>40</v>
      </c>
      <c r="D2987" t="s">
        <v>38</v>
      </c>
      <c r="E2987" t="s">
        <v>19</v>
      </c>
      <c r="F2987" t="s">
        <v>31</v>
      </c>
      <c r="O2987">
        <v>2042</v>
      </c>
      <c r="P2987">
        <v>224.69755518622691</v>
      </c>
    </row>
    <row r="2988" spans="1:16" x14ac:dyDescent="0.3">
      <c r="A2988" t="str">
        <f t="shared" si="46"/>
        <v>CN|TotalCapacityAnnual|RE1|PWRSOLRTP_ZNI|2042</v>
      </c>
      <c r="B2988" t="s">
        <v>39</v>
      </c>
      <c r="C2988" t="s">
        <v>40</v>
      </c>
      <c r="D2988" t="s">
        <v>38</v>
      </c>
      <c r="E2988" t="s">
        <v>19</v>
      </c>
      <c r="F2988" t="s">
        <v>32</v>
      </c>
      <c r="O2988">
        <v>2042</v>
      </c>
      <c r="P2988">
        <v>1.490035626691756</v>
      </c>
    </row>
    <row r="2989" spans="1:16" x14ac:dyDescent="0.3">
      <c r="A2989" t="str">
        <f t="shared" si="46"/>
        <v>CN|TotalCapacityAnnual|RE1|PWRSOLUGE|2042</v>
      </c>
      <c r="B2989" t="s">
        <v>39</v>
      </c>
      <c r="C2989" t="s">
        <v>40</v>
      </c>
      <c r="D2989" t="s">
        <v>38</v>
      </c>
      <c r="E2989" t="s">
        <v>19</v>
      </c>
      <c r="F2989" t="s">
        <v>33</v>
      </c>
      <c r="O2989">
        <v>2042</v>
      </c>
      <c r="P2989">
        <v>381.03186047999998</v>
      </c>
    </row>
    <row r="2990" spans="1:16" x14ac:dyDescent="0.3">
      <c r="A2990" t="str">
        <f t="shared" si="46"/>
        <v>CN|TotalCapacityAnnual|RE1|PWRSOLUGE_BAT|2042</v>
      </c>
      <c r="B2990" t="s">
        <v>39</v>
      </c>
      <c r="C2990" t="s">
        <v>40</v>
      </c>
      <c r="D2990" t="s">
        <v>38</v>
      </c>
      <c r="E2990" t="s">
        <v>19</v>
      </c>
      <c r="F2990" t="s">
        <v>41</v>
      </c>
      <c r="O2990">
        <v>2042</v>
      </c>
    </row>
    <row r="2991" spans="1:16" x14ac:dyDescent="0.3">
      <c r="A2991" t="str">
        <f t="shared" si="46"/>
        <v>CN|TotalCapacityAnnual|RE1|PWRSOLUPE|2042</v>
      </c>
      <c r="B2991" t="s">
        <v>39</v>
      </c>
      <c r="C2991" t="s">
        <v>40</v>
      </c>
      <c r="D2991" t="s">
        <v>38</v>
      </c>
      <c r="E2991" t="s">
        <v>19</v>
      </c>
      <c r="F2991" t="s">
        <v>34</v>
      </c>
      <c r="O2991">
        <v>2042</v>
      </c>
      <c r="P2991">
        <v>39.172600079999931</v>
      </c>
    </row>
    <row r="2992" spans="1:16" x14ac:dyDescent="0.3">
      <c r="A2992" t="str">
        <f t="shared" si="46"/>
        <v>CN|TotalCapacityAnnual|RE1|PWRSTD|2042</v>
      </c>
      <c r="B2992" t="s">
        <v>39</v>
      </c>
      <c r="C2992" t="s">
        <v>40</v>
      </c>
      <c r="D2992" t="s">
        <v>38</v>
      </c>
      <c r="E2992" t="s">
        <v>19</v>
      </c>
      <c r="F2992" t="s">
        <v>35</v>
      </c>
      <c r="O2992">
        <v>2042</v>
      </c>
      <c r="P2992">
        <v>8.163062064</v>
      </c>
    </row>
    <row r="2993" spans="1:16" x14ac:dyDescent="0.3">
      <c r="A2993" t="str">
        <f t="shared" si="46"/>
        <v>CN|TotalCapacityAnnual|RE1|PWRWNDOFS_FIX|2042</v>
      </c>
      <c r="B2993" t="s">
        <v>39</v>
      </c>
      <c r="C2993" t="s">
        <v>40</v>
      </c>
      <c r="D2993" t="s">
        <v>38</v>
      </c>
      <c r="E2993" t="s">
        <v>19</v>
      </c>
      <c r="F2993" t="s">
        <v>42</v>
      </c>
      <c r="O2993">
        <v>2042</v>
      </c>
      <c r="P2993">
        <v>272.73476658776212</v>
      </c>
    </row>
    <row r="2994" spans="1:16" x14ac:dyDescent="0.3">
      <c r="A2994" t="str">
        <f t="shared" si="46"/>
        <v>CN|TotalCapacityAnnual|RE1|PWRWNDOFS_FLO|2042</v>
      </c>
      <c r="B2994" t="s">
        <v>39</v>
      </c>
      <c r="C2994" t="s">
        <v>40</v>
      </c>
      <c r="D2994" t="s">
        <v>38</v>
      </c>
      <c r="E2994" t="s">
        <v>19</v>
      </c>
      <c r="F2994" t="s">
        <v>43</v>
      </c>
      <c r="O2994">
        <v>2042</v>
      </c>
    </row>
    <row r="2995" spans="1:16" x14ac:dyDescent="0.3">
      <c r="A2995" t="str">
        <f t="shared" si="46"/>
        <v>CN|TotalCapacityAnnual|RE1|PWRWNDONS|2042</v>
      </c>
      <c r="B2995" t="s">
        <v>39</v>
      </c>
      <c r="C2995" t="s">
        <v>40</v>
      </c>
      <c r="D2995" t="s">
        <v>38</v>
      </c>
      <c r="E2995" t="s">
        <v>19</v>
      </c>
      <c r="F2995" t="s">
        <v>36</v>
      </c>
      <c r="O2995">
        <v>2042</v>
      </c>
      <c r="P2995">
        <v>474.43810888443562</v>
      </c>
    </row>
    <row r="2996" spans="1:16" x14ac:dyDescent="0.3">
      <c r="A2996" t="str">
        <f t="shared" si="46"/>
        <v>CN|AccumulatedNewCapacity|RE1|PWRBGS|2043</v>
      </c>
      <c r="B2996" t="s">
        <v>39</v>
      </c>
      <c r="C2996" t="s">
        <v>40</v>
      </c>
      <c r="D2996" t="s">
        <v>18</v>
      </c>
      <c r="E2996" t="s">
        <v>19</v>
      </c>
      <c r="F2996" t="s">
        <v>20</v>
      </c>
      <c r="O2996">
        <v>2043</v>
      </c>
    </row>
    <row r="2997" spans="1:16" x14ac:dyDescent="0.3">
      <c r="A2997" t="str">
        <f t="shared" si="46"/>
        <v>CN|AccumulatedNewCapacity|RE1|PWRCOA|2043</v>
      </c>
      <c r="B2997" t="s">
        <v>39</v>
      </c>
      <c r="C2997" t="s">
        <v>40</v>
      </c>
      <c r="D2997" t="s">
        <v>18</v>
      </c>
      <c r="E2997" t="s">
        <v>19</v>
      </c>
      <c r="F2997" t="s">
        <v>21</v>
      </c>
      <c r="O2997">
        <v>2043</v>
      </c>
    </row>
    <row r="2998" spans="1:16" x14ac:dyDescent="0.3">
      <c r="A2998" t="str">
        <f t="shared" si="46"/>
        <v>CN|AccumulatedNewCapacity|RE1|PWRDSL|2043</v>
      </c>
      <c r="B2998" t="s">
        <v>39</v>
      </c>
      <c r="C2998" t="s">
        <v>40</v>
      </c>
      <c r="D2998" t="s">
        <v>18</v>
      </c>
      <c r="E2998" t="s">
        <v>19</v>
      </c>
      <c r="F2998" t="s">
        <v>22</v>
      </c>
      <c r="O2998">
        <v>2043</v>
      </c>
    </row>
    <row r="2999" spans="1:16" x14ac:dyDescent="0.3">
      <c r="A2999" t="str">
        <f t="shared" si="46"/>
        <v>CN|AccumulatedNewCapacity|RE1|PWRFOL|2043</v>
      </c>
      <c r="B2999" t="s">
        <v>39</v>
      </c>
      <c r="C2999" t="s">
        <v>40</v>
      </c>
      <c r="D2999" t="s">
        <v>18</v>
      </c>
      <c r="E2999" t="s">
        <v>19</v>
      </c>
      <c r="F2999" t="s">
        <v>23</v>
      </c>
      <c r="O2999">
        <v>2043</v>
      </c>
    </row>
    <row r="3000" spans="1:16" x14ac:dyDescent="0.3">
      <c r="A3000" t="str">
        <f t="shared" si="46"/>
        <v>CN|AccumulatedNewCapacity|RE1|PWRHYDDAM|2043</v>
      </c>
      <c r="B3000" t="s">
        <v>39</v>
      </c>
      <c r="C3000" t="s">
        <v>40</v>
      </c>
      <c r="D3000" t="s">
        <v>18</v>
      </c>
      <c r="E3000" t="s">
        <v>19</v>
      </c>
      <c r="F3000" t="s">
        <v>24</v>
      </c>
      <c r="O3000">
        <v>2043</v>
      </c>
      <c r="P3000">
        <v>37.840000000000003</v>
      </c>
    </row>
    <row r="3001" spans="1:16" x14ac:dyDescent="0.3">
      <c r="A3001" t="str">
        <f t="shared" si="46"/>
        <v>CN|AccumulatedNewCapacity|RE1|PWRHYDROR|2043</v>
      </c>
      <c r="B3001" t="s">
        <v>39</v>
      </c>
      <c r="C3001" t="s">
        <v>40</v>
      </c>
      <c r="D3001" t="s">
        <v>18</v>
      </c>
      <c r="E3001" t="s">
        <v>19</v>
      </c>
      <c r="F3001" t="s">
        <v>25</v>
      </c>
      <c r="O3001">
        <v>2043</v>
      </c>
    </row>
    <row r="3002" spans="1:16" x14ac:dyDescent="0.3">
      <c r="A3002" t="str">
        <f t="shared" si="46"/>
        <v>CN|AccumulatedNewCapacity|RE1|PWRHYDROR_NDC|2043</v>
      </c>
      <c r="B3002" t="s">
        <v>39</v>
      </c>
      <c r="C3002" t="s">
        <v>40</v>
      </c>
      <c r="D3002" t="s">
        <v>18</v>
      </c>
      <c r="E3002" t="s">
        <v>19</v>
      </c>
      <c r="F3002" t="s">
        <v>26</v>
      </c>
      <c r="O3002">
        <v>2043</v>
      </c>
      <c r="P3002">
        <v>58.986358233509478</v>
      </c>
    </row>
    <row r="3003" spans="1:16" x14ac:dyDescent="0.3">
      <c r="A3003" t="str">
        <f t="shared" si="46"/>
        <v>CN|AccumulatedNewCapacity|RE1|PWRJET|2043</v>
      </c>
      <c r="B3003" t="s">
        <v>39</v>
      </c>
      <c r="C3003" t="s">
        <v>40</v>
      </c>
      <c r="D3003" t="s">
        <v>18</v>
      </c>
      <c r="E3003" t="s">
        <v>19</v>
      </c>
      <c r="F3003" t="s">
        <v>27</v>
      </c>
      <c r="O3003">
        <v>2043</v>
      </c>
    </row>
    <row r="3004" spans="1:16" x14ac:dyDescent="0.3">
      <c r="A3004" t="str">
        <f t="shared" si="46"/>
        <v>CN|AccumulatedNewCapacity|RE1|PWRLPG|2043</v>
      </c>
      <c r="B3004" t="s">
        <v>39</v>
      </c>
      <c r="C3004" t="s">
        <v>40</v>
      </c>
      <c r="D3004" t="s">
        <v>18</v>
      </c>
      <c r="E3004" t="s">
        <v>19</v>
      </c>
      <c r="F3004" t="s">
        <v>28</v>
      </c>
      <c r="O3004">
        <v>2043</v>
      </c>
    </row>
    <row r="3005" spans="1:16" x14ac:dyDescent="0.3">
      <c r="A3005" t="str">
        <f t="shared" si="46"/>
        <v>CN|AccumulatedNewCapacity|RE1|PWRNGS_CC|2043</v>
      </c>
      <c r="B3005" t="s">
        <v>39</v>
      </c>
      <c r="C3005" t="s">
        <v>40</v>
      </c>
      <c r="D3005" t="s">
        <v>18</v>
      </c>
      <c r="E3005" t="s">
        <v>19</v>
      </c>
      <c r="F3005" t="s">
        <v>29</v>
      </c>
      <c r="O3005">
        <v>2043</v>
      </c>
    </row>
    <row r="3006" spans="1:16" x14ac:dyDescent="0.3">
      <c r="A3006" t="str">
        <f t="shared" si="46"/>
        <v>CN|AccumulatedNewCapacity|RE1|PWRNGS_CS|2043</v>
      </c>
      <c r="B3006" t="s">
        <v>39</v>
      </c>
      <c r="C3006" t="s">
        <v>40</v>
      </c>
      <c r="D3006" t="s">
        <v>18</v>
      </c>
      <c r="E3006" t="s">
        <v>19</v>
      </c>
      <c r="F3006" t="s">
        <v>30</v>
      </c>
      <c r="O3006">
        <v>2043</v>
      </c>
    </row>
    <row r="3007" spans="1:16" x14ac:dyDescent="0.3">
      <c r="A3007" t="str">
        <f t="shared" si="46"/>
        <v>CN|AccumulatedNewCapacity|RE1|PWRSOLRTP|2043</v>
      </c>
      <c r="B3007" t="s">
        <v>39</v>
      </c>
      <c r="C3007" t="s">
        <v>40</v>
      </c>
      <c r="D3007" t="s">
        <v>18</v>
      </c>
      <c r="E3007" t="s">
        <v>19</v>
      </c>
      <c r="F3007" t="s">
        <v>31</v>
      </c>
      <c r="O3007">
        <v>2043</v>
      </c>
      <c r="P3007">
        <v>204.4534551862269</v>
      </c>
    </row>
    <row r="3008" spans="1:16" x14ac:dyDescent="0.3">
      <c r="A3008" t="str">
        <f t="shared" si="46"/>
        <v>CN|AccumulatedNewCapacity|RE1|PWRSOLRTP_ZNI|2043</v>
      </c>
      <c r="B3008" t="s">
        <v>39</v>
      </c>
      <c r="C3008" t="s">
        <v>40</v>
      </c>
      <c r="D3008" t="s">
        <v>18</v>
      </c>
      <c r="E3008" t="s">
        <v>19</v>
      </c>
      <c r="F3008" t="s">
        <v>32</v>
      </c>
      <c r="O3008">
        <v>2043</v>
      </c>
      <c r="P3008">
        <v>1.07537328308369</v>
      </c>
    </row>
    <row r="3009" spans="1:16" x14ac:dyDescent="0.3">
      <c r="A3009" t="str">
        <f t="shared" si="46"/>
        <v>CN|AccumulatedNewCapacity|RE1|PWRSOLUGE|2043</v>
      </c>
      <c r="B3009" t="s">
        <v>39</v>
      </c>
      <c r="C3009" t="s">
        <v>40</v>
      </c>
      <c r="D3009" t="s">
        <v>18</v>
      </c>
      <c r="E3009" t="s">
        <v>19</v>
      </c>
      <c r="F3009" t="s">
        <v>33</v>
      </c>
      <c r="O3009">
        <v>2043</v>
      </c>
      <c r="P3009">
        <v>336.08134464124657</v>
      </c>
    </row>
    <row r="3010" spans="1:16" x14ac:dyDescent="0.3">
      <c r="A3010" t="str">
        <f t="shared" ref="A3010:A3073" si="47">B3010&amp;"|"&amp;D3010&amp;"|"&amp;E3010&amp;"|"&amp;F3010&amp;"|"&amp;O3010</f>
        <v>CN|AccumulatedNewCapacity|RE1|PWRSOLUGE_BAT|2043</v>
      </c>
      <c r="B3010" t="s">
        <v>39</v>
      </c>
      <c r="C3010" t="s">
        <v>40</v>
      </c>
      <c r="D3010" t="s">
        <v>18</v>
      </c>
      <c r="E3010" t="s">
        <v>19</v>
      </c>
      <c r="F3010" t="s">
        <v>41</v>
      </c>
      <c r="O3010">
        <v>2043</v>
      </c>
    </row>
    <row r="3011" spans="1:16" x14ac:dyDescent="0.3">
      <c r="A3011" t="str">
        <f t="shared" si="47"/>
        <v>CN|AccumulatedNewCapacity|RE1|PWRSOLUPE|2043</v>
      </c>
      <c r="B3011" t="s">
        <v>39</v>
      </c>
      <c r="C3011" t="s">
        <v>40</v>
      </c>
      <c r="D3011" t="s">
        <v>18</v>
      </c>
      <c r="E3011" t="s">
        <v>19</v>
      </c>
      <c r="F3011" t="s">
        <v>34</v>
      </c>
      <c r="O3011">
        <v>2043</v>
      </c>
      <c r="P3011">
        <v>12.14419823999993</v>
      </c>
    </row>
    <row r="3012" spans="1:16" x14ac:dyDescent="0.3">
      <c r="A3012" t="str">
        <f t="shared" si="47"/>
        <v>CN|AccumulatedNewCapacity|RE1|PWRSTD|2043</v>
      </c>
      <c r="B3012" t="s">
        <v>39</v>
      </c>
      <c r="C3012" t="s">
        <v>40</v>
      </c>
      <c r="D3012" t="s">
        <v>18</v>
      </c>
      <c r="E3012" t="s">
        <v>19</v>
      </c>
      <c r="F3012" t="s">
        <v>35</v>
      </c>
      <c r="O3012">
        <v>2043</v>
      </c>
    </row>
    <row r="3013" spans="1:16" x14ac:dyDescent="0.3">
      <c r="A3013" t="str">
        <f t="shared" si="47"/>
        <v>CN|AccumulatedNewCapacity|RE1|PWRWNDOFS_FIX|2043</v>
      </c>
      <c r="B3013" t="s">
        <v>39</v>
      </c>
      <c r="C3013" t="s">
        <v>40</v>
      </c>
      <c r="D3013" t="s">
        <v>18</v>
      </c>
      <c r="E3013" t="s">
        <v>19</v>
      </c>
      <c r="F3013" t="s">
        <v>42</v>
      </c>
      <c r="O3013">
        <v>2043</v>
      </c>
      <c r="P3013">
        <v>320.04476658776213</v>
      </c>
    </row>
    <row r="3014" spans="1:16" x14ac:dyDescent="0.3">
      <c r="A3014" t="str">
        <f t="shared" si="47"/>
        <v>CN|AccumulatedNewCapacity|RE1|PWRWNDOFS_FLO|2043</v>
      </c>
      <c r="B3014" t="s">
        <v>39</v>
      </c>
      <c r="C3014" t="s">
        <v>40</v>
      </c>
      <c r="D3014" t="s">
        <v>18</v>
      </c>
      <c r="E3014" t="s">
        <v>19</v>
      </c>
      <c r="F3014" t="s">
        <v>43</v>
      </c>
      <c r="O3014">
        <v>2043</v>
      </c>
    </row>
    <row r="3015" spans="1:16" x14ac:dyDescent="0.3">
      <c r="A3015" t="str">
        <f t="shared" si="47"/>
        <v>CN|AccumulatedNewCapacity|RE1|PWRWNDONS|2043</v>
      </c>
      <c r="B3015" t="s">
        <v>39</v>
      </c>
      <c r="C3015" t="s">
        <v>40</v>
      </c>
      <c r="D3015" t="s">
        <v>18</v>
      </c>
      <c r="E3015" t="s">
        <v>19</v>
      </c>
      <c r="F3015" t="s">
        <v>36</v>
      </c>
      <c r="O3015">
        <v>2043</v>
      </c>
      <c r="P3015">
        <v>520.37944648443568</v>
      </c>
    </row>
    <row r="3016" spans="1:16" x14ac:dyDescent="0.3">
      <c r="A3016" t="str">
        <f t="shared" si="47"/>
        <v>CN|NewCapacity|RE1|PWRBGS|2043</v>
      </c>
      <c r="B3016" t="s">
        <v>39</v>
      </c>
      <c r="C3016" t="s">
        <v>40</v>
      </c>
      <c r="D3016" t="s">
        <v>37</v>
      </c>
      <c r="E3016" t="s">
        <v>19</v>
      </c>
      <c r="F3016" t="s">
        <v>20</v>
      </c>
      <c r="O3016">
        <v>2043</v>
      </c>
    </row>
    <row r="3017" spans="1:16" x14ac:dyDescent="0.3">
      <c r="A3017" t="str">
        <f t="shared" si="47"/>
        <v>CN|NewCapacity|RE1|PWRCOA|2043</v>
      </c>
      <c r="B3017" t="s">
        <v>39</v>
      </c>
      <c r="C3017" t="s">
        <v>40</v>
      </c>
      <c r="D3017" t="s">
        <v>37</v>
      </c>
      <c r="E3017" t="s">
        <v>19</v>
      </c>
      <c r="F3017" t="s">
        <v>21</v>
      </c>
      <c r="O3017">
        <v>2043</v>
      </c>
    </row>
    <row r="3018" spans="1:16" x14ac:dyDescent="0.3">
      <c r="A3018" t="str">
        <f t="shared" si="47"/>
        <v>CN|NewCapacity|RE1|PWRDSL|2043</v>
      </c>
      <c r="B3018" t="s">
        <v>39</v>
      </c>
      <c r="C3018" t="s">
        <v>40</v>
      </c>
      <c r="D3018" t="s">
        <v>37</v>
      </c>
      <c r="E3018" t="s">
        <v>19</v>
      </c>
      <c r="F3018" t="s">
        <v>22</v>
      </c>
      <c r="O3018">
        <v>2043</v>
      </c>
    </row>
    <row r="3019" spans="1:16" x14ac:dyDescent="0.3">
      <c r="A3019" t="str">
        <f t="shared" si="47"/>
        <v>CN|NewCapacity|RE1|PWRFOL|2043</v>
      </c>
      <c r="B3019" t="s">
        <v>39</v>
      </c>
      <c r="C3019" t="s">
        <v>40</v>
      </c>
      <c r="D3019" t="s">
        <v>37</v>
      </c>
      <c r="E3019" t="s">
        <v>19</v>
      </c>
      <c r="F3019" t="s">
        <v>23</v>
      </c>
      <c r="O3019">
        <v>2043</v>
      </c>
    </row>
    <row r="3020" spans="1:16" x14ac:dyDescent="0.3">
      <c r="A3020" t="str">
        <f t="shared" si="47"/>
        <v>CN|NewCapacity|RE1|PWRHYDDAM|2043</v>
      </c>
      <c r="B3020" t="s">
        <v>39</v>
      </c>
      <c r="C3020" t="s">
        <v>40</v>
      </c>
      <c r="D3020" t="s">
        <v>37</v>
      </c>
      <c r="E3020" t="s">
        <v>19</v>
      </c>
      <c r="F3020" t="s">
        <v>24</v>
      </c>
      <c r="O3020">
        <v>2043</v>
      </c>
    </row>
    <row r="3021" spans="1:16" x14ac:dyDescent="0.3">
      <c r="A3021" t="str">
        <f t="shared" si="47"/>
        <v>CN|NewCapacity|RE1|PWRHYDROR|2043</v>
      </c>
      <c r="B3021" t="s">
        <v>39</v>
      </c>
      <c r="C3021" t="s">
        <v>40</v>
      </c>
      <c r="D3021" t="s">
        <v>37</v>
      </c>
      <c r="E3021" t="s">
        <v>19</v>
      </c>
      <c r="F3021" t="s">
        <v>25</v>
      </c>
      <c r="O3021">
        <v>2043</v>
      </c>
    </row>
    <row r="3022" spans="1:16" x14ac:dyDescent="0.3">
      <c r="A3022" t="str">
        <f t="shared" si="47"/>
        <v>CN|NewCapacity|RE1|PWRHYDROR_NDC|2043</v>
      </c>
      <c r="B3022" t="s">
        <v>39</v>
      </c>
      <c r="C3022" t="s">
        <v>40</v>
      </c>
      <c r="D3022" t="s">
        <v>37</v>
      </c>
      <c r="E3022" t="s">
        <v>19</v>
      </c>
      <c r="F3022" t="s">
        <v>26</v>
      </c>
      <c r="O3022">
        <v>2043</v>
      </c>
    </row>
    <row r="3023" spans="1:16" x14ac:dyDescent="0.3">
      <c r="A3023" t="str">
        <f t="shared" si="47"/>
        <v>CN|NewCapacity|RE1|PWRJET|2043</v>
      </c>
      <c r="B3023" t="s">
        <v>39</v>
      </c>
      <c r="C3023" t="s">
        <v>40</v>
      </c>
      <c r="D3023" t="s">
        <v>37</v>
      </c>
      <c r="E3023" t="s">
        <v>19</v>
      </c>
      <c r="F3023" t="s">
        <v>27</v>
      </c>
      <c r="O3023">
        <v>2043</v>
      </c>
    </row>
    <row r="3024" spans="1:16" x14ac:dyDescent="0.3">
      <c r="A3024" t="str">
        <f t="shared" si="47"/>
        <v>CN|NewCapacity|RE1|PWRLPG|2043</v>
      </c>
      <c r="B3024" t="s">
        <v>39</v>
      </c>
      <c r="C3024" t="s">
        <v>40</v>
      </c>
      <c r="D3024" t="s">
        <v>37</v>
      </c>
      <c r="E3024" t="s">
        <v>19</v>
      </c>
      <c r="F3024" t="s">
        <v>28</v>
      </c>
      <c r="O3024">
        <v>2043</v>
      </c>
    </row>
    <row r="3025" spans="1:16" x14ac:dyDescent="0.3">
      <c r="A3025" t="str">
        <f t="shared" si="47"/>
        <v>CN|NewCapacity|RE1|PWRNGS_CC|2043</v>
      </c>
      <c r="B3025" t="s">
        <v>39</v>
      </c>
      <c r="C3025" t="s">
        <v>40</v>
      </c>
      <c r="D3025" t="s">
        <v>37</v>
      </c>
      <c r="E3025" t="s">
        <v>19</v>
      </c>
      <c r="F3025" t="s">
        <v>29</v>
      </c>
      <c r="O3025">
        <v>2043</v>
      </c>
    </row>
    <row r="3026" spans="1:16" x14ac:dyDescent="0.3">
      <c r="A3026" t="str">
        <f t="shared" si="47"/>
        <v>CN|NewCapacity|RE1|PWRNGS_CS|2043</v>
      </c>
      <c r="B3026" t="s">
        <v>39</v>
      </c>
      <c r="C3026" t="s">
        <v>40</v>
      </c>
      <c r="D3026" t="s">
        <v>37</v>
      </c>
      <c r="E3026" t="s">
        <v>19</v>
      </c>
      <c r="F3026" t="s">
        <v>30</v>
      </c>
      <c r="O3026">
        <v>2043</v>
      </c>
    </row>
    <row r="3027" spans="1:16" x14ac:dyDescent="0.3">
      <c r="A3027" t="str">
        <f t="shared" si="47"/>
        <v>CN|NewCapacity|RE1|PWRSOLRTP|2043</v>
      </c>
      <c r="B3027" t="s">
        <v>39</v>
      </c>
      <c r="C3027" t="s">
        <v>40</v>
      </c>
      <c r="D3027" t="s">
        <v>37</v>
      </c>
      <c r="E3027" t="s">
        <v>19</v>
      </c>
      <c r="F3027" t="s">
        <v>31</v>
      </c>
      <c r="O3027">
        <v>2043</v>
      </c>
      <c r="P3027">
        <v>3.04</v>
      </c>
    </row>
    <row r="3028" spans="1:16" x14ac:dyDescent="0.3">
      <c r="A3028" t="str">
        <f t="shared" si="47"/>
        <v>CN|NewCapacity|RE1|PWRSOLRTP_ZNI|2043</v>
      </c>
      <c r="B3028" t="s">
        <v>39</v>
      </c>
      <c r="C3028" t="s">
        <v>40</v>
      </c>
      <c r="D3028" t="s">
        <v>37</v>
      </c>
      <c r="E3028" t="s">
        <v>19</v>
      </c>
      <c r="F3028" t="s">
        <v>32</v>
      </c>
      <c r="O3028">
        <v>2043</v>
      </c>
      <c r="P3028">
        <v>4.607861639193344E-2</v>
      </c>
    </row>
    <row r="3029" spans="1:16" x14ac:dyDescent="0.3">
      <c r="A3029" t="str">
        <f t="shared" si="47"/>
        <v>CN|NewCapacity|RE1|PWRSOLUGE|2043</v>
      </c>
      <c r="B3029" t="s">
        <v>39</v>
      </c>
      <c r="C3029" t="s">
        <v>40</v>
      </c>
      <c r="D3029" t="s">
        <v>37</v>
      </c>
      <c r="E3029" t="s">
        <v>19</v>
      </c>
      <c r="F3029" t="s">
        <v>33</v>
      </c>
      <c r="O3029">
        <v>2043</v>
      </c>
      <c r="P3029">
        <v>3.4471526412465892</v>
      </c>
    </row>
    <row r="3030" spans="1:16" x14ac:dyDescent="0.3">
      <c r="A3030" t="str">
        <f t="shared" si="47"/>
        <v>CN|NewCapacity|RE1|PWRSOLUGE_BAT|2043</v>
      </c>
      <c r="B3030" t="s">
        <v>39</v>
      </c>
      <c r="C3030" t="s">
        <v>40</v>
      </c>
      <c r="D3030" t="s">
        <v>37</v>
      </c>
      <c r="E3030" t="s">
        <v>19</v>
      </c>
      <c r="F3030" t="s">
        <v>41</v>
      </c>
      <c r="O3030">
        <v>2043</v>
      </c>
    </row>
    <row r="3031" spans="1:16" x14ac:dyDescent="0.3">
      <c r="A3031" t="str">
        <f t="shared" si="47"/>
        <v>CN|NewCapacity|RE1|PWRSOLUPE|2043</v>
      </c>
      <c r="B3031" t="s">
        <v>39</v>
      </c>
      <c r="C3031" t="s">
        <v>40</v>
      </c>
      <c r="D3031" t="s">
        <v>37</v>
      </c>
      <c r="E3031" t="s">
        <v>19</v>
      </c>
      <c r="F3031" t="s">
        <v>34</v>
      </c>
      <c r="O3031">
        <v>2043</v>
      </c>
    </row>
    <row r="3032" spans="1:16" x14ac:dyDescent="0.3">
      <c r="A3032" t="str">
        <f t="shared" si="47"/>
        <v>CN|NewCapacity|RE1|PWRSTD|2043</v>
      </c>
      <c r="B3032" t="s">
        <v>39</v>
      </c>
      <c r="C3032" t="s">
        <v>40</v>
      </c>
      <c r="D3032" t="s">
        <v>37</v>
      </c>
      <c r="E3032" t="s">
        <v>19</v>
      </c>
      <c r="F3032" t="s">
        <v>35</v>
      </c>
      <c r="O3032">
        <v>2043</v>
      </c>
    </row>
    <row r="3033" spans="1:16" x14ac:dyDescent="0.3">
      <c r="A3033" t="str">
        <f t="shared" si="47"/>
        <v>CN|NewCapacity|RE1|PWRWNDOFS_FIX|2043</v>
      </c>
      <c r="B3033" t="s">
        <v>39</v>
      </c>
      <c r="C3033" t="s">
        <v>40</v>
      </c>
      <c r="D3033" t="s">
        <v>37</v>
      </c>
      <c r="E3033" t="s">
        <v>19</v>
      </c>
      <c r="F3033" t="s">
        <v>42</v>
      </c>
      <c r="O3033">
        <v>2043</v>
      </c>
      <c r="P3033">
        <v>47.31</v>
      </c>
    </row>
    <row r="3034" spans="1:16" x14ac:dyDescent="0.3">
      <c r="A3034" t="str">
        <f t="shared" si="47"/>
        <v>CN|NewCapacity|RE1|PWRWNDOFS_FLO|2043</v>
      </c>
      <c r="B3034" t="s">
        <v>39</v>
      </c>
      <c r="C3034" t="s">
        <v>40</v>
      </c>
      <c r="D3034" t="s">
        <v>37</v>
      </c>
      <c r="E3034" t="s">
        <v>19</v>
      </c>
      <c r="F3034" t="s">
        <v>43</v>
      </c>
      <c r="O3034">
        <v>2043</v>
      </c>
    </row>
    <row r="3035" spans="1:16" x14ac:dyDescent="0.3">
      <c r="A3035" t="str">
        <f t="shared" si="47"/>
        <v>CN|NewCapacity|RE1|PWRWNDONS|2043</v>
      </c>
      <c r="B3035" t="s">
        <v>39</v>
      </c>
      <c r="C3035" t="s">
        <v>40</v>
      </c>
      <c r="D3035" t="s">
        <v>37</v>
      </c>
      <c r="E3035" t="s">
        <v>19</v>
      </c>
      <c r="F3035" t="s">
        <v>36</v>
      </c>
      <c r="O3035">
        <v>2043</v>
      </c>
      <c r="P3035">
        <v>47.31</v>
      </c>
    </row>
    <row r="3036" spans="1:16" x14ac:dyDescent="0.3">
      <c r="A3036" t="str">
        <f t="shared" si="47"/>
        <v>CN|TotalCapacityAnnual|RE1|PWRBGS|2043</v>
      </c>
      <c r="B3036" t="s">
        <v>39</v>
      </c>
      <c r="C3036" t="s">
        <v>40</v>
      </c>
      <c r="D3036" t="s">
        <v>38</v>
      </c>
      <c r="E3036" t="s">
        <v>19</v>
      </c>
      <c r="F3036" t="s">
        <v>20</v>
      </c>
      <c r="O3036">
        <v>2043</v>
      </c>
      <c r="P3036">
        <v>2.5488587520000001E-2</v>
      </c>
    </row>
    <row r="3037" spans="1:16" x14ac:dyDescent="0.3">
      <c r="A3037" t="str">
        <f t="shared" si="47"/>
        <v>CN|TotalCapacityAnnual|RE1|PWRCOA|2043</v>
      </c>
      <c r="B3037" t="s">
        <v>39</v>
      </c>
      <c r="C3037" t="s">
        <v>40</v>
      </c>
      <c r="D3037" t="s">
        <v>38</v>
      </c>
      <c r="E3037" t="s">
        <v>19</v>
      </c>
      <c r="F3037" t="s">
        <v>21</v>
      </c>
      <c r="O3037">
        <v>2043</v>
      </c>
    </row>
    <row r="3038" spans="1:16" x14ac:dyDescent="0.3">
      <c r="A3038" t="str">
        <f t="shared" si="47"/>
        <v>CN|TotalCapacityAnnual|RE1|PWRDSL|2043</v>
      </c>
      <c r="B3038" t="s">
        <v>39</v>
      </c>
      <c r="C3038" t="s">
        <v>40</v>
      </c>
      <c r="D3038" t="s">
        <v>38</v>
      </c>
      <c r="E3038" t="s">
        <v>19</v>
      </c>
      <c r="F3038" t="s">
        <v>22</v>
      </c>
      <c r="O3038">
        <v>2043</v>
      </c>
    </row>
    <row r="3039" spans="1:16" x14ac:dyDescent="0.3">
      <c r="A3039" t="str">
        <f t="shared" si="47"/>
        <v>CN|TotalCapacityAnnual|RE1|PWRFOL|2043</v>
      </c>
      <c r="B3039" t="s">
        <v>39</v>
      </c>
      <c r="C3039" t="s">
        <v>40</v>
      </c>
      <c r="D3039" t="s">
        <v>38</v>
      </c>
      <c r="E3039" t="s">
        <v>19</v>
      </c>
      <c r="F3039" t="s">
        <v>23</v>
      </c>
      <c r="O3039">
        <v>2043</v>
      </c>
      <c r="P3039">
        <v>8.3885759999999987</v>
      </c>
    </row>
    <row r="3040" spans="1:16" x14ac:dyDescent="0.3">
      <c r="A3040" t="str">
        <f t="shared" si="47"/>
        <v>CN|TotalCapacityAnnual|RE1|PWRHYDDAM|2043</v>
      </c>
      <c r="B3040" t="s">
        <v>39</v>
      </c>
      <c r="C3040" t="s">
        <v>40</v>
      </c>
      <c r="D3040" t="s">
        <v>38</v>
      </c>
      <c r="E3040" t="s">
        <v>19</v>
      </c>
      <c r="F3040" t="s">
        <v>24</v>
      </c>
      <c r="O3040">
        <v>2043</v>
      </c>
      <c r="P3040">
        <v>440.49164800000011</v>
      </c>
    </row>
    <row r="3041" spans="1:16" x14ac:dyDescent="0.3">
      <c r="A3041" t="str">
        <f t="shared" si="47"/>
        <v>CN|TotalCapacityAnnual|RE1|PWRHYDROR|2043</v>
      </c>
      <c r="B3041" t="s">
        <v>39</v>
      </c>
      <c r="C3041" t="s">
        <v>40</v>
      </c>
      <c r="D3041" t="s">
        <v>38</v>
      </c>
      <c r="E3041" t="s">
        <v>19</v>
      </c>
      <c r="F3041" t="s">
        <v>25</v>
      </c>
      <c r="O3041">
        <v>2043</v>
      </c>
      <c r="P3041">
        <v>21.097584000000001</v>
      </c>
    </row>
    <row r="3042" spans="1:16" x14ac:dyDescent="0.3">
      <c r="A3042" t="str">
        <f t="shared" si="47"/>
        <v>CN|TotalCapacityAnnual|RE1|PWRHYDROR_NDC|2043</v>
      </c>
      <c r="B3042" t="s">
        <v>39</v>
      </c>
      <c r="C3042" t="s">
        <v>40</v>
      </c>
      <c r="D3042" t="s">
        <v>38</v>
      </c>
      <c r="E3042" t="s">
        <v>19</v>
      </c>
      <c r="F3042" t="s">
        <v>26</v>
      </c>
      <c r="O3042">
        <v>2043</v>
      </c>
      <c r="P3042">
        <v>88.711466505509463</v>
      </c>
    </row>
    <row r="3043" spans="1:16" x14ac:dyDescent="0.3">
      <c r="A3043" t="str">
        <f t="shared" si="47"/>
        <v>CN|TotalCapacityAnnual|RE1|PWRJET|2043</v>
      </c>
      <c r="B3043" t="s">
        <v>39</v>
      </c>
      <c r="C3043" t="s">
        <v>40</v>
      </c>
      <c r="D3043" t="s">
        <v>38</v>
      </c>
      <c r="E3043" t="s">
        <v>19</v>
      </c>
      <c r="F3043" t="s">
        <v>27</v>
      </c>
      <c r="O3043">
        <v>2043</v>
      </c>
      <c r="P3043">
        <v>1.5768</v>
      </c>
    </row>
    <row r="3044" spans="1:16" x14ac:dyDescent="0.3">
      <c r="A3044" t="str">
        <f t="shared" si="47"/>
        <v>CN|TotalCapacityAnnual|RE1|PWRLPG|2043</v>
      </c>
      <c r="B3044" t="s">
        <v>39</v>
      </c>
      <c r="C3044" t="s">
        <v>40</v>
      </c>
      <c r="D3044" t="s">
        <v>38</v>
      </c>
      <c r="E3044" t="s">
        <v>19</v>
      </c>
      <c r="F3044" t="s">
        <v>28</v>
      </c>
      <c r="O3044">
        <v>2043</v>
      </c>
      <c r="P3044">
        <v>1.639872</v>
      </c>
    </row>
    <row r="3045" spans="1:16" x14ac:dyDescent="0.3">
      <c r="A3045" t="str">
        <f t="shared" si="47"/>
        <v>CN|TotalCapacityAnnual|RE1|PWRNGS_CC|2043</v>
      </c>
      <c r="B3045" t="s">
        <v>39</v>
      </c>
      <c r="C3045" t="s">
        <v>40</v>
      </c>
      <c r="D3045" t="s">
        <v>38</v>
      </c>
      <c r="E3045" t="s">
        <v>19</v>
      </c>
      <c r="F3045" t="s">
        <v>29</v>
      </c>
      <c r="O3045">
        <v>2043</v>
      </c>
      <c r="P3045">
        <v>70.104500000000002</v>
      </c>
    </row>
    <row r="3046" spans="1:16" x14ac:dyDescent="0.3">
      <c r="A3046" t="str">
        <f t="shared" si="47"/>
        <v>CN|TotalCapacityAnnual|RE1|PWRNGS_CS|2043</v>
      </c>
      <c r="B3046" t="s">
        <v>39</v>
      </c>
      <c r="C3046" t="s">
        <v>40</v>
      </c>
      <c r="D3046" t="s">
        <v>38</v>
      </c>
      <c r="E3046" t="s">
        <v>19</v>
      </c>
      <c r="F3046" t="s">
        <v>30</v>
      </c>
      <c r="O3046">
        <v>2043</v>
      </c>
      <c r="P3046">
        <v>48.03</v>
      </c>
    </row>
    <row r="3047" spans="1:16" x14ac:dyDescent="0.3">
      <c r="A3047" t="str">
        <f t="shared" si="47"/>
        <v>CN|TotalCapacityAnnual|RE1|PWRSOLRTP|2043</v>
      </c>
      <c r="B3047" t="s">
        <v>39</v>
      </c>
      <c r="C3047" t="s">
        <v>40</v>
      </c>
      <c r="D3047" t="s">
        <v>38</v>
      </c>
      <c r="E3047" t="s">
        <v>19</v>
      </c>
      <c r="F3047" t="s">
        <v>31</v>
      </c>
      <c r="O3047">
        <v>2043</v>
      </c>
      <c r="P3047">
        <v>227.66685518622691</v>
      </c>
    </row>
    <row r="3048" spans="1:16" x14ac:dyDescent="0.3">
      <c r="A3048" t="str">
        <f t="shared" si="47"/>
        <v>CN|TotalCapacityAnnual|RE1|PWRSOLRTP_ZNI|2043</v>
      </c>
      <c r="B3048" t="s">
        <v>39</v>
      </c>
      <c r="C3048" t="s">
        <v>40</v>
      </c>
      <c r="D3048" t="s">
        <v>38</v>
      </c>
      <c r="E3048" t="s">
        <v>19</v>
      </c>
      <c r="F3048" t="s">
        <v>32</v>
      </c>
      <c r="O3048">
        <v>2043</v>
      </c>
      <c r="P3048">
        <v>1.53611424308369</v>
      </c>
    </row>
    <row r="3049" spans="1:16" x14ac:dyDescent="0.3">
      <c r="A3049" t="str">
        <f t="shared" si="47"/>
        <v>CN|TotalCapacityAnnual|RE1|PWRSOLUGE|2043</v>
      </c>
      <c r="B3049" t="s">
        <v>39</v>
      </c>
      <c r="C3049" t="s">
        <v>40</v>
      </c>
      <c r="D3049" t="s">
        <v>38</v>
      </c>
      <c r="E3049" t="s">
        <v>19</v>
      </c>
      <c r="F3049" t="s">
        <v>33</v>
      </c>
      <c r="O3049">
        <v>2043</v>
      </c>
      <c r="P3049">
        <v>384.47901312124662</v>
      </c>
    </row>
    <row r="3050" spans="1:16" x14ac:dyDescent="0.3">
      <c r="A3050" t="str">
        <f t="shared" si="47"/>
        <v>CN|TotalCapacityAnnual|RE1|PWRSOLUGE_BAT|2043</v>
      </c>
      <c r="B3050" t="s">
        <v>39</v>
      </c>
      <c r="C3050" t="s">
        <v>40</v>
      </c>
      <c r="D3050" t="s">
        <v>38</v>
      </c>
      <c r="E3050" t="s">
        <v>19</v>
      </c>
      <c r="F3050" t="s">
        <v>41</v>
      </c>
      <c r="O3050">
        <v>2043</v>
      </c>
    </row>
    <row r="3051" spans="1:16" x14ac:dyDescent="0.3">
      <c r="A3051" t="str">
        <f t="shared" si="47"/>
        <v>CN|TotalCapacityAnnual|RE1|PWRSOLUPE|2043</v>
      </c>
      <c r="B3051" t="s">
        <v>39</v>
      </c>
      <c r="C3051" t="s">
        <v>40</v>
      </c>
      <c r="D3051" t="s">
        <v>38</v>
      </c>
      <c r="E3051" t="s">
        <v>19</v>
      </c>
      <c r="F3051" t="s">
        <v>34</v>
      </c>
      <c r="O3051">
        <v>2043</v>
      </c>
      <c r="P3051">
        <v>39.172600079999931</v>
      </c>
    </row>
    <row r="3052" spans="1:16" x14ac:dyDescent="0.3">
      <c r="A3052" t="str">
        <f t="shared" si="47"/>
        <v>CN|TotalCapacityAnnual|RE1|PWRSTD|2043</v>
      </c>
      <c r="B3052" t="s">
        <v>39</v>
      </c>
      <c r="C3052" t="s">
        <v>40</v>
      </c>
      <c r="D3052" t="s">
        <v>38</v>
      </c>
      <c r="E3052" t="s">
        <v>19</v>
      </c>
      <c r="F3052" t="s">
        <v>35</v>
      </c>
      <c r="O3052">
        <v>2043</v>
      </c>
      <c r="P3052">
        <v>8.163062064</v>
      </c>
    </row>
    <row r="3053" spans="1:16" x14ac:dyDescent="0.3">
      <c r="A3053" t="str">
        <f t="shared" si="47"/>
        <v>CN|TotalCapacityAnnual|RE1|PWRWNDOFS_FIX|2043</v>
      </c>
      <c r="B3053" t="s">
        <v>39</v>
      </c>
      <c r="C3053" t="s">
        <v>40</v>
      </c>
      <c r="D3053" t="s">
        <v>38</v>
      </c>
      <c r="E3053" t="s">
        <v>19</v>
      </c>
      <c r="F3053" t="s">
        <v>42</v>
      </c>
      <c r="O3053">
        <v>2043</v>
      </c>
      <c r="P3053">
        <v>320.04476658776213</v>
      </c>
    </row>
    <row r="3054" spans="1:16" x14ac:dyDescent="0.3">
      <c r="A3054" t="str">
        <f t="shared" si="47"/>
        <v>CN|TotalCapacityAnnual|RE1|PWRWNDOFS_FLO|2043</v>
      </c>
      <c r="B3054" t="s">
        <v>39</v>
      </c>
      <c r="C3054" t="s">
        <v>40</v>
      </c>
      <c r="D3054" t="s">
        <v>38</v>
      </c>
      <c r="E3054" t="s">
        <v>19</v>
      </c>
      <c r="F3054" t="s">
        <v>43</v>
      </c>
      <c r="O3054">
        <v>2043</v>
      </c>
    </row>
    <row r="3055" spans="1:16" x14ac:dyDescent="0.3">
      <c r="A3055" t="str">
        <f t="shared" si="47"/>
        <v>CN|TotalCapacityAnnual|RE1|PWRWNDONS|2043</v>
      </c>
      <c r="B3055" t="s">
        <v>39</v>
      </c>
      <c r="C3055" t="s">
        <v>40</v>
      </c>
      <c r="D3055" t="s">
        <v>38</v>
      </c>
      <c r="E3055" t="s">
        <v>19</v>
      </c>
      <c r="F3055" t="s">
        <v>36</v>
      </c>
      <c r="O3055">
        <v>2043</v>
      </c>
      <c r="P3055">
        <v>521.74810888443562</v>
      </c>
    </row>
    <row r="3056" spans="1:16" x14ac:dyDescent="0.3">
      <c r="A3056" t="str">
        <f t="shared" si="47"/>
        <v>CN|AccumulatedNewCapacity|RE1|PWRBGS|2044</v>
      </c>
      <c r="B3056" t="s">
        <v>39</v>
      </c>
      <c r="C3056" t="s">
        <v>40</v>
      </c>
      <c r="D3056" t="s">
        <v>18</v>
      </c>
      <c r="E3056" t="s">
        <v>19</v>
      </c>
      <c r="F3056" t="s">
        <v>20</v>
      </c>
      <c r="O3056">
        <v>2044</v>
      </c>
    </row>
    <row r="3057" spans="1:16" x14ac:dyDescent="0.3">
      <c r="A3057" t="str">
        <f t="shared" si="47"/>
        <v>CN|AccumulatedNewCapacity|RE1|PWRCOA|2044</v>
      </c>
      <c r="B3057" t="s">
        <v>39</v>
      </c>
      <c r="C3057" t="s">
        <v>40</v>
      </c>
      <c r="D3057" t="s">
        <v>18</v>
      </c>
      <c r="E3057" t="s">
        <v>19</v>
      </c>
      <c r="F3057" t="s">
        <v>21</v>
      </c>
      <c r="O3057">
        <v>2044</v>
      </c>
    </row>
    <row r="3058" spans="1:16" x14ac:dyDescent="0.3">
      <c r="A3058" t="str">
        <f t="shared" si="47"/>
        <v>CN|AccumulatedNewCapacity|RE1|PWRDSL|2044</v>
      </c>
      <c r="B3058" t="s">
        <v>39</v>
      </c>
      <c r="C3058" t="s">
        <v>40</v>
      </c>
      <c r="D3058" t="s">
        <v>18</v>
      </c>
      <c r="E3058" t="s">
        <v>19</v>
      </c>
      <c r="F3058" t="s">
        <v>22</v>
      </c>
      <c r="O3058">
        <v>2044</v>
      </c>
    </row>
    <row r="3059" spans="1:16" x14ac:dyDescent="0.3">
      <c r="A3059" t="str">
        <f t="shared" si="47"/>
        <v>CN|AccumulatedNewCapacity|RE1|PWRFOL|2044</v>
      </c>
      <c r="B3059" t="s">
        <v>39</v>
      </c>
      <c r="C3059" t="s">
        <v>40</v>
      </c>
      <c r="D3059" t="s">
        <v>18</v>
      </c>
      <c r="E3059" t="s">
        <v>19</v>
      </c>
      <c r="F3059" t="s">
        <v>23</v>
      </c>
      <c r="O3059">
        <v>2044</v>
      </c>
    </row>
    <row r="3060" spans="1:16" x14ac:dyDescent="0.3">
      <c r="A3060" t="str">
        <f t="shared" si="47"/>
        <v>CN|AccumulatedNewCapacity|RE1|PWRHYDDAM|2044</v>
      </c>
      <c r="B3060" t="s">
        <v>39</v>
      </c>
      <c r="C3060" t="s">
        <v>40</v>
      </c>
      <c r="D3060" t="s">
        <v>18</v>
      </c>
      <c r="E3060" t="s">
        <v>19</v>
      </c>
      <c r="F3060" t="s">
        <v>24</v>
      </c>
      <c r="O3060">
        <v>2044</v>
      </c>
      <c r="P3060">
        <v>37.840000000000003</v>
      </c>
    </row>
    <row r="3061" spans="1:16" x14ac:dyDescent="0.3">
      <c r="A3061" t="str">
        <f t="shared" si="47"/>
        <v>CN|AccumulatedNewCapacity|RE1|PWRHYDROR|2044</v>
      </c>
      <c r="B3061" t="s">
        <v>39</v>
      </c>
      <c r="C3061" t="s">
        <v>40</v>
      </c>
      <c r="D3061" t="s">
        <v>18</v>
      </c>
      <c r="E3061" t="s">
        <v>19</v>
      </c>
      <c r="F3061" t="s">
        <v>25</v>
      </c>
      <c r="O3061">
        <v>2044</v>
      </c>
    </row>
    <row r="3062" spans="1:16" x14ac:dyDescent="0.3">
      <c r="A3062" t="str">
        <f t="shared" si="47"/>
        <v>CN|AccumulatedNewCapacity|RE1|PWRHYDROR_NDC|2044</v>
      </c>
      <c r="B3062" t="s">
        <v>39</v>
      </c>
      <c r="C3062" t="s">
        <v>40</v>
      </c>
      <c r="D3062" t="s">
        <v>18</v>
      </c>
      <c r="E3062" t="s">
        <v>19</v>
      </c>
      <c r="F3062" t="s">
        <v>26</v>
      </c>
      <c r="O3062">
        <v>2044</v>
      </c>
      <c r="P3062">
        <v>58.986358233509478</v>
      </c>
    </row>
    <row r="3063" spans="1:16" x14ac:dyDescent="0.3">
      <c r="A3063" t="str">
        <f t="shared" si="47"/>
        <v>CN|AccumulatedNewCapacity|RE1|PWRJET|2044</v>
      </c>
      <c r="B3063" t="s">
        <v>39</v>
      </c>
      <c r="C3063" t="s">
        <v>40</v>
      </c>
      <c r="D3063" t="s">
        <v>18</v>
      </c>
      <c r="E3063" t="s">
        <v>19</v>
      </c>
      <c r="F3063" t="s">
        <v>27</v>
      </c>
      <c r="O3063">
        <v>2044</v>
      </c>
    </row>
    <row r="3064" spans="1:16" x14ac:dyDescent="0.3">
      <c r="A3064" t="str">
        <f t="shared" si="47"/>
        <v>CN|AccumulatedNewCapacity|RE1|PWRLPG|2044</v>
      </c>
      <c r="B3064" t="s">
        <v>39</v>
      </c>
      <c r="C3064" t="s">
        <v>40</v>
      </c>
      <c r="D3064" t="s">
        <v>18</v>
      </c>
      <c r="E3064" t="s">
        <v>19</v>
      </c>
      <c r="F3064" t="s">
        <v>28</v>
      </c>
      <c r="O3064">
        <v>2044</v>
      </c>
    </row>
    <row r="3065" spans="1:16" x14ac:dyDescent="0.3">
      <c r="A3065" t="str">
        <f t="shared" si="47"/>
        <v>CN|AccumulatedNewCapacity|RE1|PWRNGS_CC|2044</v>
      </c>
      <c r="B3065" t="s">
        <v>39</v>
      </c>
      <c r="C3065" t="s">
        <v>40</v>
      </c>
      <c r="D3065" t="s">
        <v>18</v>
      </c>
      <c r="E3065" t="s">
        <v>19</v>
      </c>
      <c r="F3065" t="s">
        <v>29</v>
      </c>
      <c r="O3065">
        <v>2044</v>
      </c>
    </row>
    <row r="3066" spans="1:16" x14ac:dyDescent="0.3">
      <c r="A3066" t="str">
        <f t="shared" si="47"/>
        <v>CN|AccumulatedNewCapacity|RE1|PWRNGS_CS|2044</v>
      </c>
      <c r="B3066" t="s">
        <v>39</v>
      </c>
      <c r="C3066" t="s">
        <v>40</v>
      </c>
      <c r="D3066" t="s">
        <v>18</v>
      </c>
      <c r="E3066" t="s">
        <v>19</v>
      </c>
      <c r="F3066" t="s">
        <v>30</v>
      </c>
      <c r="O3066">
        <v>2044</v>
      </c>
    </row>
    <row r="3067" spans="1:16" x14ac:dyDescent="0.3">
      <c r="A3067" t="str">
        <f t="shared" si="47"/>
        <v>CN|AccumulatedNewCapacity|RE1|PWRSOLRTP|2044</v>
      </c>
      <c r="B3067" t="s">
        <v>39</v>
      </c>
      <c r="C3067" t="s">
        <v>40</v>
      </c>
      <c r="D3067" t="s">
        <v>18</v>
      </c>
      <c r="E3067" t="s">
        <v>19</v>
      </c>
      <c r="F3067" t="s">
        <v>31</v>
      </c>
      <c r="O3067">
        <v>2044</v>
      </c>
      <c r="P3067">
        <v>207.2434551862269</v>
      </c>
    </row>
    <row r="3068" spans="1:16" x14ac:dyDescent="0.3">
      <c r="A3068" t="str">
        <f t="shared" si="47"/>
        <v>CN|AccumulatedNewCapacity|RE1|PWRSOLRTP_ZNI|2044</v>
      </c>
      <c r="B3068" t="s">
        <v>39</v>
      </c>
      <c r="C3068" t="s">
        <v>40</v>
      </c>
      <c r="D3068" t="s">
        <v>18</v>
      </c>
      <c r="E3068" t="s">
        <v>19</v>
      </c>
      <c r="F3068" t="s">
        <v>32</v>
      </c>
      <c r="O3068">
        <v>2044</v>
      </c>
      <c r="P3068">
        <v>1.12227933979498</v>
      </c>
    </row>
    <row r="3069" spans="1:16" x14ac:dyDescent="0.3">
      <c r="A3069" t="str">
        <f t="shared" si="47"/>
        <v>CN|AccumulatedNewCapacity|RE1|PWRSOLUGE|2044</v>
      </c>
      <c r="B3069" t="s">
        <v>39</v>
      </c>
      <c r="C3069" t="s">
        <v>40</v>
      </c>
      <c r="D3069" t="s">
        <v>18</v>
      </c>
      <c r="E3069" t="s">
        <v>19</v>
      </c>
      <c r="F3069" t="s">
        <v>33</v>
      </c>
      <c r="O3069">
        <v>2044</v>
      </c>
      <c r="P3069">
        <v>343.52751834540021</v>
      </c>
    </row>
    <row r="3070" spans="1:16" x14ac:dyDescent="0.3">
      <c r="A3070" t="str">
        <f t="shared" si="47"/>
        <v>CN|AccumulatedNewCapacity|RE1|PWRSOLUGE_BAT|2044</v>
      </c>
      <c r="B3070" t="s">
        <v>39</v>
      </c>
      <c r="C3070" t="s">
        <v>40</v>
      </c>
      <c r="D3070" t="s">
        <v>18</v>
      </c>
      <c r="E3070" t="s">
        <v>19</v>
      </c>
      <c r="F3070" t="s">
        <v>41</v>
      </c>
      <c r="O3070">
        <v>2044</v>
      </c>
    </row>
    <row r="3071" spans="1:16" x14ac:dyDescent="0.3">
      <c r="A3071" t="str">
        <f t="shared" si="47"/>
        <v>CN|AccumulatedNewCapacity|RE1|PWRSOLUPE|2044</v>
      </c>
      <c r="B3071" t="s">
        <v>39</v>
      </c>
      <c r="C3071" t="s">
        <v>40</v>
      </c>
      <c r="D3071" t="s">
        <v>18</v>
      </c>
      <c r="E3071" t="s">
        <v>19</v>
      </c>
      <c r="F3071" t="s">
        <v>34</v>
      </c>
      <c r="O3071">
        <v>2044</v>
      </c>
      <c r="P3071">
        <v>12.14419823999993</v>
      </c>
    </row>
    <row r="3072" spans="1:16" x14ac:dyDescent="0.3">
      <c r="A3072" t="str">
        <f t="shared" si="47"/>
        <v>CN|AccumulatedNewCapacity|RE1|PWRSTD|2044</v>
      </c>
      <c r="B3072" t="s">
        <v>39</v>
      </c>
      <c r="C3072" t="s">
        <v>40</v>
      </c>
      <c r="D3072" t="s">
        <v>18</v>
      </c>
      <c r="E3072" t="s">
        <v>19</v>
      </c>
      <c r="F3072" t="s">
        <v>35</v>
      </c>
      <c r="O3072">
        <v>2044</v>
      </c>
    </row>
    <row r="3073" spans="1:16" x14ac:dyDescent="0.3">
      <c r="A3073" t="str">
        <f t="shared" si="47"/>
        <v>CN|AccumulatedNewCapacity|RE1|PWRWNDOFS_FIX|2044</v>
      </c>
      <c r="B3073" t="s">
        <v>39</v>
      </c>
      <c r="C3073" t="s">
        <v>40</v>
      </c>
      <c r="D3073" t="s">
        <v>18</v>
      </c>
      <c r="E3073" t="s">
        <v>19</v>
      </c>
      <c r="F3073" t="s">
        <v>42</v>
      </c>
      <c r="O3073">
        <v>2044</v>
      </c>
      <c r="P3073">
        <v>328.96702457715821</v>
      </c>
    </row>
    <row r="3074" spans="1:16" x14ac:dyDescent="0.3">
      <c r="A3074" t="str">
        <f t="shared" ref="A3074:A3137" si="48">B3074&amp;"|"&amp;D3074&amp;"|"&amp;E3074&amp;"|"&amp;F3074&amp;"|"&amp;O3074</f>
        <v>CN|AccumulatedNewCapacity|RE1|PWRWNDOFS_FLO|2044</v>
      </c>
      <c r="B3074" t="s">
        <v>39</v>
      </c>
      <c r="C3074" t="s">
        <v>40</v>
      </c>
      <c r="D3074" t="s">
        <v>18</v>
      </c>
      <c r="E3074" t="s">
        <v>19</v>
      </c>
      <c r="F3074" t="s">
        <v>43</v>
      </c>
      <c r="O3074">
        <v>2044</v>
      </c>
    </row>
    <row r="3075" spans="1:16" x14ac:dyDescent="0.3">
      <c r="A3075" t="str">
        <f t="shared" si="48"/>
        <v>CN|AccumulatedNewCapacity|RE1|PWRWNDONS|2044</v>
      </c>
      <c r="B3075" t="s">
        <v>39</v>
      </c>
      <c r="C3075" t="s">
        <v>40</v>
      </c>
      <c r="D3075" t="s">
        <v>18</v>
      </c>
      <c r="E3075" t="s">
        <v>19</v>
      </c>
      <c r="F3075" t="s">
        <v>36</v>
      </c>
      <c r="O3075">
        <v>2044</v>
      </c>
      <c r="P3075">
        <v>567.68944648443562</v>
      </c>
    </row>
    <row r="3076" spans="1:16" x14ac:dyDescent="0.3">
      <c r="A3076" t="str">
        <f t="shared" si="48"/>
        <v>CN|NewCapacity|RE1|PWRBGS|2044</v>
      </c>
      <c r="B3076" t="s">
        <v>39</v>
      </c>
      <c r="C3076" t="s">
        <v>40</v>
      </c>
      <c r="D3076" t="s">
        <v>37</v>
      </c>
      <c r="E3076" t="s">
        <v>19</v>
      </c>
      <c r="F3076" t="s">
        <v>20</v>
      </c>
      <c r="O3076">
        <v>2044</v>
      </c>
    </row>
    <row r="3077" spans="1:16" x14ac:dyDescent="0.3">
      <c r="A3077" t="str">
        <f t="shared" si="48"/>
        <v>CN|NewCapacity|RE1|PWRCOA|2044</v>
      </c>
      <c r="B3077" t="s">
        <v>39</v>
      </c>
      <c r="C3077" t="s">
        <v>40</v>
      </c>
      <c r="D3077" t="s">
        <v>37</v>
      </c>
      <c r="E3077" t="s">
        <v>19</v>
      </c>
      <c r="F3077" t="s">
        <v>21</v>
      </c>
      <c r="O3077">
        <v>2044</v>
      </c>
    </row>
    <row r="3078" spans="1:16" x14ac:dyDescent="0.3">
      <c r="A3078" t="str">
        <f t="shared" si="48"/>
        <v>CN|NewCapacity|RE1|PWRDSL|2044</v>
      </c>
      <c r="B3078" t="s">
        <v>39</v>
      </c>
      <c r="C3078" t="s">
        <v>40</v>
      </c>
      <c r="D3078" t="s">
        <v>37</v>
      </c>
      <c r="E3078" t="s">
        <v>19</v>
      </c>
      <c r="F3078" t="s">
        <v>22</v>
      </c>
      <c r="O3078">
        <v>2044</v>
      </c>
    </row>
    <row r="3079" spans="1:16" x14ac:dyDescent="0.3">
      <c r="A3079" t="str">
        <f t="shared" si="48"/>
        <v>CN|NewCapacity|RE1|PWRFOL|2044</v>
      </c>
      <c r="B3079" t="s">
        <v>39</v>
      </c>
      <c r="C3079" t="s">
        <v>40</v>
      </c>
      <c r="D3079" t="s">
        <v>37</v>
      </c>
      <c r="E3079" t="s">
        <v>19</v>
      </c>
      <c r="F3079" t="s">
        <v>23</v>
      </c>
      <c r="O3079">
        <v>2044</v>
      </c>
    </row>
    <row r="3080" spans="1:16" x14ac:dyDescent="0.3">
      <c r="A3080" t="str">
        <f t="shared" si="48"/>
        <v>CN|NewCapacity|RE1|PWRHYDDAM|2044</v>
      </c>
      <c r="B3080" t="s">
        <v>39</v>
      </c>
      <c r="C3080" t="s">
        <v>40</v>
      </c>
      <c r="D3080" t="s">
        <v>37</v>
      </c>
      <c r="E3080" t="s">
        <v>19</v>
      </c>
      <c r="F3080" t="s">
        <v>24</v>
      </c>
      <c r="O3080">
        <v>2044</v>
      </c>
    </row>
    <row r="3081" spans="1:16" x14ac:dyDescent="0.3">
      <c r="A3081" t="str">
        <f t="shared" si="48"/>
        <v>CN|NewCapacity|RE1|PWRHYDROR|2044</v>
      </c>
      <c r="B3081" t="s">
        <v>39</v>
      </c>
      <c r="C3081" t="s">
        <v>40</v>
      </c>
      <c r="D3081" t="s">
        <v>37</v>
      </c>
      <c r="E3081" t="s">
        <v>19</v>
      </c>
      <c r="F3081" t="s">
        <v>25</v>
      </c>
      <c r="O3081">
        <v>2044</v>
      </c>
    </row>
    <row r="3082" spans="1:16" x14ac:dyDescent="0.3">
      <c r="A3082" t="str">
        <f t="shared" si="48"/>
        <v>CN|NewCapacity|RE1|PWRHYDROR_NDC|2044</v>
      </c>
      <c r="B3082" t="s">
        <v>39</v>
      </c>
      <c r="C3082" t="s">
        <v>40</v>
      </c>
      <c r="D3082" t="s">
        <v>37</v>
      </c>
      <c r="E3082" t="s">
        <v>19</v>
      </c>
      <c r="F3082" t="s">
        <v>26</v>
      </c>
      <c r="O3082">
        <v>2044</v>
      </c>
    </row>
    <row r="3083" spans="1:16" x14ac:dyDescent="0.3">
      <c r="A3083" t="str">
        <f t="shared" si="48"/>
        <v>CN|NewCapacity|RE1|PWRJET|2044</v>
      </c>
      <c r="B3083" t="s">
        <v>39</v>
      </c>
      <c r="C3083" t="s">
        <v>40</v>
      </c>
      <c r="D3083" t="s">
        <v>37</v>
      </c>
      <c r="E3083" t="s">
        <v>19</v>
      </c>
      <c r="F3083" t="s">
        <v>27</v>
      </c>
      <c r="O3083">
        <v>2044</v>
      </c>
    </row>
    <row r="3084" spans="1:16" x14ac:dyDescent="0.3">
      <c r="A3084" t="str">
        <f t="shared" si="48"/>
        <v>CN|NewCapacity|RE1|PWRLPG|2044</v>
      </c>
      <c r="B3084" t="s">
        <v>39</v>
      </c>
      <c r="C3084" t="s">
        <v>40</v>
      </c>
      <c r="D3084" t="s">
        <v>37</v>
      </c>
      <c r="E3084" t="s">
        <v>19</v>
      </c>
      <c r="F3084" t="s">
        <v>28</v>
      </c>
      <c r="O3084">
        <v>2044</v>
      </c>
    </row>
    <row r="3085" spans="1:16" x14ac:dyDescent="0.3">
      <c r="A3085" t="str">
        <f t="shared" si="48"/>
        <v>CN|NewCapacity|RE1|PWRNGS_CC|2044</v>
      </c>
      <c r="B3085" t="s">
        <v>39</v>
      </c>
      <c r="C3085" t="s">
        <v>40</v>
      </c>
      <c r="D3085" t="s">
        <v>37</v>
      </c>
      <c r="E3085" t="s">
        <v>19</v>
      </c>
      <c r="F3085" t="s">
        <v>29</v>
      </c>
      <c r="O3085">
        <v>2044</v>
      </c>
    </row>
    <row r="3086" spans="1:16" x14ac:dyDescent="0.3">
      <c r="A3086" t="str">
        <f t="shared" si="48"/>
        <v>CN|NewCapacity|RE1|PWRNGS_CS|2044</v>
      </c>
      <c r="B3086" t="s">
        <v>39</v>
      </c>
      <c r="C3086" t="s">
        <v>40</v>
      </c>
      <c r="D3086" t="s">
        <v>37</v>
      </c>
      <c r="E3086" t="s">
        <v>19</v>
      </c>
      <c r="F3086" t="s">
        <v>30</v>
      </c>
      <c r="O3086">
        <v>2044</v>
      </c>
    </row>
    <row r="3087" spans="1:16" x14ac:dyDescent="0.3">
      <c r="A3087" t="str">
        <f t="shared" si="48"/>
        <v>CN|NewCapacity|RE1|PWRSOLRTP|2044</v>
      </c>
      <c r="B3087" t="s">
        <v>39</v>
      </c>
      <c r="C3087" t="s">
        <v>40</v>
      </c>
      <c r="D3087" t="s">
        <v>37</v>
      </c>
      <c r="E3087" t="s">
        <v>19</v>
      </c>
      <c r="F3087" t="s">
        <v>31</v>
      </c>
      <c r="O3087">
        <v>2044</v>
      </c>
      <c r="P3087">
        <v>2.79</v>
      </c>
    </row>
    <row r="3088" spans="1:16" x14ac:dyDescent="0.3">
      <c r="A3088" t="str">
        <f t="shared" si="48"/>
        <v>CN|NewCapacity|RE1|PWRSOLRTP_ZNI|2044</v>
      </c>
      <c r="B3088" t="s">
        <v>39</v>
      </c>
      <c r="C3088" t="s">
        <v>40</v>
      </c>
      <c r="D3088" t="s">
        <v>37</v>
      </c>
      <c r="E3088" t="s">
        <v>19</v>
      </c>
      <c r="F3088" t="s">
        <v>32</v>
      </c>
      <c r="O3088">
        <v>2044</v>
      </c>
      <c r="P3088">
        <v>4.6906056711290028E-2</v>
      </c>
    </row>
    <row r="3089" spans="1:16" x14ac:dyDescent="0.3">
      <c r="A3089" t="str">
        <f t="shared" si="48"/>
        <v>CN|NewCapacity|RE1|PWRSOLUGE|2044</v>
      </c>
      <c r="B3089" t="s">
        <v>39</v>
      </c>
      <c r="C3089" t="s">
        <v>40</v>
      </c>
      <c r="D3089" t="s">
        <v>37</v>
      </c>
      <c r="E3089" t="s">
        <v>19</v>
      </c>
      <c r="F3089" t="s">
        <v>33</v>
      </c>
      <c r="O3089">
        <v>2044</v>
      </c>
      <c r="P3089">
        <v>7.446173704153507</v>
      </c>
    </row>
    <row r="3090" spans="1:16" x14ac:dyDescent="0.3">
      <c r="A3090" t="str">
        <f t="shared" si="48"/>
        <v>CN|NewCapacity|RE1|PWRSOLUGE_BAT|2044</v>
      </c>
      <c r="B3090" t="s">
        <v>39</v>
      </c>
      <c r="C3090" t="s">
        <v>40</v>
      </c>
      <c r="D3090" t="s">
        <v>37</v>
      </c>
      <c r="E3090" t="s">
        <v>19</v>
      </c>
      <c r="F3090" t="s">
        <v>41</v>
      </c>
      <c r="O3090">
        <v>2044</v>
      </c>
    </row>
    <row r="3091" spans="1:16" x14ac:dyDescent="0.3">
      <c r="A3091" t="str">
        <f t="shared" si="48"/>
        <v>CN|NewCapacity|RE1|PWRSOLUPE|2044</v>
      </c>
      <c r="B3091" t="s">
        <v>39</v>
      </c>
      <c r="C3091" t="s">
        <v>40</v>
      </c>
      <c r="D3091" t="s">
        <v>37</v>
      </c>
      <c r="E3091" t="s">
        <v>19</v>
      </c>
      <c r="F3091" t="s">
        <v>34</v>
      </c>
      <c r="O3091">
        <v>2044</v>
      </c>
    </row>
    <row r="3092" spans="1:16" x14ac:dyDescent="0.3">
      <c r="A3092" t="str">
        <f t="shared" si="48"/>
        <v>CN|NewCapacity|RE1|PWRSTD|2044</v>
      </c>
      <c r="B3092" t="s">
        <v>39</v>
      </c>
      <c r="C3092" t="s">
        <v>40</v>
      </c>
      <c r="D3092" t="s">
        <v>37</v>
      </c>
      <c r="E3092" t="s">
        <v>19</v>
      </c>
      <c r="F3092" t="s">
        <v>35</v>
      </c>
      <c r="O3092">
        <v>2044</v>
      </c>
    </row>
    <row r="3093" spans="1:16" x14ac:dyDescent="0.3">
      <c r="A3093" t="str">
        <f t="shared" si="48"/>
        <v>CN|NewCapacity|RE1|PWRWNDOFS_FIX|2044</v>
      </c>
      <c r="B3093" t="s">
        <v>39</v>
      </c>
      <c r="C3093" t="s">
        <v>40</v>
      </c>
      <c r="D3093" t="s">
        <v>37</v>
      </c>
      <c r="E3093" t="s">
        <v>19</v>
      </c>
      <c r="F3093" t="s">
        <v>42</v>
      </c>
      <c r="O3093">
        <v>2044</v>
      </c>
      <c r="P3093">
        <v>8.9222579893960887</v>
      </c>
    </row>
    <row r="3094" spans="1:16" x14ac:dyDescent="0.3">
      <c r="A3094" t="str">
        <f t="shared" si="48"/>
        <v>CN|NewCapacity|RE1|PWRWNDOFS_FLO|2044</v>
      </c>
      <c r="B3094" t="s">
        <v>39</v>
      </c>
      <c r="C3094" t="s">
        <v>40</v>
      </c>
      <c r="D3094" t="s">
        <v>37</v>
      </c>
      <c r="E3094" t="s">
        <v>19</v>
      </c>
      <c r="F3094" t="s">
        <v>43</v>
      </c>
      <c r="O3094">
        <v>2044</v>
      </c>
    </row>
    <row r="3095" spans="1:16" x14ac:dyDescent="0.3">
      <c r="A3095" t="str">
        <f t="shared" si="48"/>
        <v>CN|NewCapacity|RE1|PWRWNDONS|2044</v>
      </c>
      <c r="B3095" t="s">
        <v>39</v>
      </c>
      <c r="C3095" t="s">
        <v>40</v>
      </c>
      <c r="D3095" t="s">
        <v>37</v>
      </c>
      <c r="E3095" t="s">
        <v>19</v>
      </c>
      <c r="F3095" t="s">
        <v>36</v>
      </c>
      <c r="O3095">
        <v>2044</v>
      </c>
      <c r="P3095">
        <v>47.31</v>
      </c>
    </row>
    <row r="3096" spans="1:16" x14ac:dyDescent="0.3">
      <c r="A3096" t="str">
        <f t="shared" si="48"/>
        <v>CN|TotalCapacityAnnual|RE1|PWRBGS|2044</v>
      </c>
      <c r="B3096" t="s">
        <v>39</v>
      </c>
      <c r="C3096" t="s">
        <v>40</v>
      </c>
      <c r="D3096" t="s">
        <v>38</v>
      </c>
      <c r="E3096" t="s">
        <v>19</v>
      </c>
      <c r="F3096" t="s">
        <v>20</v>
      </c>
      <c r="O3096">
        <v>2044</v>
      </c>
      <c r="P3096">
        <v>2.5488587520000001E-2</v>
      </c>
    </row>
    <row r="3097" spans="1:16" x14ac:dyDescent="0.3">
      <c r="A3097" t="str">
        <f t="shared" si="48"/>
        <v>CN|TotalCapacityAnnual|RE1|PWRCOA|2044</v>
      </c>
      <c r="B3097" t="s">
        <v>39</v>
      </c>
      <c r="C3097" t="s">
        <v>40</v>
      </c>
      <c r="D3097" t="s">
        <v>38</v>
      </c>
      <c r="E3097" t="s">
        <v>19</v>
      </c>
      <c r="F3097" t="s">
        <v>21</v>
      </c>
      <c r="O3097">
        <v>2044</v>
      </c>
    </row>
    <row r="3098" spans="1:16" x14ac:dyDescent="0.3">
      <c r="A3098" t="str">
        <f t="shared" si="48"/>
        <v>CN|TotalCapacityAnnual|RE1|PWRDSL|2044</v>
      </c>
      <c r="B3098" t="s">
        <v>39</v>
      </c>
      <c r="C3098" t="s">
        <v>40</v>
      </c>
      <c r="D3098" t="s">
        <v>38</v>
      </c>
      <c r="E3098" t="s">
        <v>19</v>
      </c>
      <c r="F3098" t="s">
        <v>22</v>
      </c>
      <c r="O3098">
        <v>2044</v>
      </c>
    </row>
    <row r="3099" spans="1:16" x14ac:dyDescent="0.3">
      <c r="A3099" t="str">
        <f t="shared" si="48"/>
        <v>CN|TotalCapacityAnnual|RE1|PWRFOL|2044</v>
      </c>
      <c r="B3099" t="s">
        <v>39</v>
      </c>
      <c r="C3099" t="s">
        <v>40</v>
      </c>
      <c r="D3099" t="s">
        <v>38</v>
      </c>
      <c r="E3099" t="s">
        <v>19</v>
      </c>
      <c r="F3099" t="s">
        <v>23</v>
      </c>
      <c r="O3099">
        <v>2044</v>
      </c>
      <c r="P3099">
        <v>8.3885759999999987</v>
      </c>
    </row>
    <row r="3100" spans="1:16" x14ac:dyDescent="0.3">
      <c r="A3100" t="str">
        <f t="shared" si="48"/>
        <v>CN|TotalCapacityAnnual|RE1|PWRHYDDAM|2044</v>
      </c>
      <c r="B3100" t="s">
        <v>39</v>
      </c>
      <c r="C3100" t="s">
        <v>40</v>
      </c>
      <c r="D3100" t="s">
        <v>38</v>
      </c>
      <c r="E3100" t="s">
        <v>19</v>
      </c>
      <c r="F3100" t="s">
        <v>24</v>
      </c>
      <c r="O3100">
        <v>2044</v>
      </c>
      <c r="P3100">
        <v>440.49164800000011</v>
      </c>
    </row>
    <row r="3101" spans="1:16" x14ac:dyDescent="0.3">
      <c r="A3101" t="str">
        <f t="shared" si="48"/>
        <v>CN|TotalCapacityAnnual|RE1|PWRHYDROR|2044</v>
      </c>
      <c r="B3101" t="s">
        <v>39</v>
      </c>
      <c r="C3101" t="s">
        <v>40</v>
      </c>
      <c r="D3101" t="s">
        <v>38</v>
      </c>
      <c r="E3101" t="s">
        <v>19</v>
      </c>
      <c r="F3101" t="s">
        <v>25</v>
      </c>
      <c r="O3101">
        <v>2044</v>
      </c>
      <c r="P3101">
        <v>21.097584000000001</v>
      </c>
    </row>
    <row r="3102" spans="1:16" x14ac:dyDescent="0.3">
      <c r="A3102" t="str">
        <f t="shared" si="48"/>
        <v>CN|TotalCapacityAnnual|RE1|PWRHYDROR_NDC|2044</v>
      </c>
      <c r="B3102" t="s">
        <v>39</v>
      </c>
      <c r="C3102" t="s">
        <v>40</v>
      </c>
      <c r="D3102" t="s">
        <v>38</v>
      </c>
      <c r="E3102" t="s">
        <v>19</v>
      </c>
      <c r="F3102" t="s">
        <v>26</v>
      </c>
      <c r="O3102">
        <v>2044</v>
      </c>
      <c r="P3102">
        <v>88.711466505509463</v>
      </c>
    </row>
    <row r="3103" spans="1:16" x14ac:dyDescent="0.3">
      <c r="A3103" t="str">
        <f t="shared" si="48"/>
        <v>CN|TotalCapacityAnnual|RE1|PWRJET|2044</v>
      </c>
      <c r="B3103" t="s">
        <v>39</v>
      </c>
      <c r="C3103" t="s">
        <v>40</v>
      </c>
      <c r="D3103" t="s">
        <v>38</v>
      </c>
      <c r="E3103" t="s">
        <v>19</v>
      </c>
      <c r="F3103" t="s">
        <v>27</v>
      </c>
      <c r="O3103">
        <v>2044</v>
      </c>
      <c r="P3103">
        <v>1.5768</v>
      </c>
    </row>
    <row r="3104" spans="1:16" x14ac:dyDescent="0.3">
      <c r="A3104" t="str">
        <f t="shared" si="48"/>
        <v>CN|TotalCapacityAnnual|RE1|PWRLPG|2044</v>
      </c>
      <c r="B3104" t="s">
        <v>39</v>
      </c>
      <c r="C3104" t="s">
        <v>40</v>
      </c>
      <c r="D3104" t="s">
        <v>38</v>
      </c>
      <c r="E3104" t="s">
        <v>19</v>
      </c>
      <c r="F3104" t="s">
        <v>28</v>
      </c>
      <c r="O3104">
        <v>2044</v>
      </c>
      <c r="P3104">
        <v>1.639872</v>
      </c>
    </row>
    <row r="3105" spans="1:16" x14ac:dyDescent="0.3">
      <c r="A3105" t="str">
        <f t="shared" si="48"/>
        <v>CN|TotalCapacityAnnual|RE1|PWRNGS_CC|2044</v>
      </c>
      <c r="B3105" t="s">
        <v>39</v>
      </c>
      <c r="C3105" t="s">
        <v>40</v>
      </c>
      <c r="D3105" t="s">
        <v>38</v>
      </c>
      <c r="E3105" t="s">
        <v>19</v>
      </c>
      <c r="F3105" t="s">
        <v>29</v>
      </c>
      <c r="O3105">
        <v>2044</v>
      </c>
      <c r="P3105">
        <v>70.104500000000002</v>
      </c>
    </row>
    <row r="3106" spans="1:16" x14ac:dyDescent="0.3">
      <c r="A3106" t="str">
        <f t="shared" si="48"/>
        <v>CN|TotalCapacityAnnual|RE1|PWRNGS_CS|2044</v>
      </c>
      <c r="B3106" t="s">
        <v>39</v>
      </c>
      <c r="C3106" t="s">
        <v>40</v>
      </c>
      <c r="D3106" t="s">
        <v>38</v>
      </c>
      <c r="E3106" t="s">
        <v>19</v>
      </c>
      <c r="F3106" t="s">
        <v>30</v>
      </c>
      <c r="O3106">
        <v>2044</v>
      </c>
      <c r="P3106">
        <v>48.03</v>
      </c>
    </row>
    <row r="3107" spans="1:16" x14ac:dyDescent="0.3">
      <c r="A3107" t="str">
        <f t="shared" si="48"/>
        <v>CN|TotalCapacityAnnual|RE1|PWRSOLRTP|2044</v>
      </c>
      <c r="B3107" t="s">
        <v>39</v>
      </c>
      <c r="C3107" t="s">
        <v>40</v>
      </c>
      <c r="D3107" t="s">
        <v>38</v>
      </c>
      <c r="E3107" t="s">
        <v>19</v>
      </c>
      <c r="F3107" t="s">
        <v>31</v>
      </c>
      <c r="O3107">
        <v>2044</v>
      </c>
      <c r="P3107">
        <v>230.10295518622689</v>
      </c>
    </row>
    <row r="3108" spans="1:16" x14ac:dyDescent="0.3">
      <c r="A3108" t="str">
        <f t="shared" si="48"/>
        <v>CN|TotalCapacityAnnual|RE1|PWRSOLRTP_ZNI|2044</v>
      </c>
      <c r="B3108" t="s">
        <v>39</v>
      </c>
      <c r="C3108" t="s">
        <v>40</v>
      </c>
      <c r="D3108" t="s">
        <v>38</v>
      </c>
      <c r="E3108" t="s">
        <v>19</v>
      </c>
      <c r="F3108" t="s">
        <v>32</v>
      </c>
      <c r="O3108">
        <v>2044</v>
      </c>
      <c r="P3108">
        <v>1.58302029979498</v>
      </c>
    </row>
    <row r="3109" spans="1:16" x14ac:dyDescent="0.3">
      <c r="A3109" t="str">
        <f t="shared" si="48"/>
        <v>CN|TotalCapacityAnnual|RE1|PWRSOLUGE|2044</v>
      </c>
      <c r="B3109" t="s">
        <v>39</v>
      </c>
      <c r="C3109" t="s">
        <v>40</v>
      </c>
      <c r="D3109" t="s">
        <v>38</v>
      </c>
      <c r="E3109" t="s">
        <v>19</v>
      </c>
      <c r="F3109" t="s">
        <v>33</v>
      </c>
      <c r="O3109">
        <v>2044</v>
      </c>
      <c r="P3109">
        <v>391.92518682540009</v>
      </c>
    </row>
    <row r="3110" spans="1:16" x14ac:dyDescent="0.3">
      <c r="A3110" t="str">
        <f t="shared" si="48"/>
        <v>CN|TotalCapacityAnnual|RE1|PWRSOLUGE_BAT|2044</v>
      </c>
      <c r="B3110" t="s">
        <v>39</v>
      </c>
      <c r="C3110" t="s">
        <v>40</v>
      </c>
      <c r="D3110" t="s">
        <v>38</v>
      </c>
      <c r="E3110" t="s">
        <v>19</v>
      </c>
      <c r="F3110" t="s">
        <v>41</v>
      </c>
      <c r="O3110">
        <v>2044</v>
      </c>
    </row>
    <row r="3111" spans="1:16" x14ac:dyDescent="0.3">
      <c r="A3111" t="str">
        <f t="shared" si="48"/>
        <v>CN|TotalCapacityAnnual|RE1|PWRSOLUPE|2044</v>
      </c>
      <c r="B3111" t="s">
        <v>39</v>
      </c>
      <c r="C3111" t="s">
        <v>40</v>
      </c>
      <c r="D3111" t="s">
        <v>38</v>
      </c>
      <c r="E3111" t="s">
        <v>19</v>
      </c>
      <c r="F3111" t="s">
        <v>34</v>
      </c>
      <c r="O3111">
        <v>2044</v>
      </c>
      <c r="P3111">
        <v>39.172600079999931</v>
      </c>
    </row>
    <row r="3112" spans="1:16" x14ac:dyDescent="0.3">
      <c r="A3112" t="str">
        <f t="shared" si="48"/>
        <v>CN|TotalCapacityAnnual|RE1|PWRSTD|2044</v>
      </c>
      <c r="B3112" t="s">
        <v>39</v>
      </c>
      <c r="C3112" t="s">
        <v>40</v>
      </c>
      <c r="D3112" t="s">
        <v>38</v>
      </c>
      <c r="E3112" t="s">
        <v>19</v>
      </c>
      <c r="F3112" t="s">
        <v>35</v>
      </c>
      <c r="O3112">
        <v>2044</v>
      </c>
      <c r="P3112">
        <v>8.163062064</v>
      </c>
    </row>
    <row r="3113" spans="1:16" x14ac:dyDescent="0.3">
      <c r="A3113" t="str">
        <f t="shared" si="48"/>
        <v>CN|TotalCapacityAnnual|RE1|PWRWNDOFS_FIX|2044</v>
      </c>
      <c r="B3113" t="s">
        <v>39</v>
      </c>
      <c r="C3113" t="s">
        <v>40</v>
      </c>
      <c r="D3113" t="s">
        <v>38</v>
      </c>
      <c r="E3113" t="s">
        <v>19</v>
      </c>
      <c r="F3113" t="s">
        <v>42</v>
      </c>
      <c r="O3113">
        <v>2044</v>
      </c>
      <c r="P3113">
        <v>328.96702457715821</v>
      </c>
    </row>
    <row r="3114" spans="1:16" x14ac:dyDescent="0.3">
      <c r="A3114" t="str">
        <f t="shared" si="48"/>
        <v>CN|TotalCapacityAnnual|RE1|PWRWNDOFS_FLO|2044</v>
      </c>
      <c r="B3114" t="s">
        <v>39</v>
      </c>
      <c r="C3114" t="s">
        <v>40</v>
      </c>
      <c r="D3114" t="s">
        <v>38</v>
      </c>
      <c r="E3114" t="s">
        <v>19</v>
      </c>
      <c r="F3114" t="s">
        <v>43</v>
      </c>
      <c r="O3114">
        <v>2044</v>
      </c>
    </row>
    <row r="3115" spans="1:16" x14ac:dyDescent="0.3">
      <c r="A3115" t="str">
        <f t="shared" si="48"/>
        <v>CN|TotalCapacityAnnual|RE1|PWRWNDONS|2044</v>
      </c>
      <c r="B3115" t="s">
        <v>39</v>
      </c>
      <c r="C3115" t="s">
        <v>40</v>
      </c>
      <c r="D3115" t="s">
        <v>38</v>
      </c>
      <c r="E3115" t="s">
        <v>19</v>
      </c>
      <c r="F3115" t="s">
        <v>36</v>
      </c>
      <c r="O3115">
        <v>2044</v>
      </c>
      <c r="P3115">
        <v>569.05810888443557</v>
      </c>
    </row>
    <row r="3116" spans="1:16" x14ac:dyDescent="0.3">
      <c r="A3116" t="str">
        <f t="shared" si="48"/>
        <v>CN|AccumulatedNewCapacity|RE1|PWRBGS|2045</v>
      </c>
      <c r="B3116" t="s">
        <v>39</v>
      </c>
      <c r="C3116" t="s">
        <v>40</v>
      </c>
      <c r="D3116" t="s">
        <v>18</v>
      </c>
      <c r="E3116" t="s">
        <v>19</v>
      </c>
      <c r="F3116" t="s">
        <v>20</v>
      </c>
      <c r="O3116">
        <v>2045</v>
      </c>
    </row>
    <row r="3117" spans="1:16" x14ac:dyDescent="0.3">
      <c r="A3117" t="str">
        <f t="shared" si="48"/>
        <v>CN|AccumulatedNewCapacity|RE1|PWRCOA|2045</v>
      </c>
      <c r="B3117" t="s">
        <v>39</v>
      </c>
      <c r="C3117" t="s">
        <v>40</v>
      </c>
      <c r="D3117" t="s">
        <v>18</v>
      </c>
      <c r="E3117" t="s">
        <v>19</v>
      </c>
      <c r="F3117" t="s">
        <v>21</v>
      </c>
      <c r="O3117">
        <v>2045</v>
      </c>
    </row>
    <row r="3118" spans="1:16" x14ac:dyDescent="0.3">
      <c r="A3118" t="str">
        <f t="shared" si="48"/>
        <v>CN|AccumulatedNewCapacity|RE1|PWRDSL|2045</v>
      </c>
      <c r="B3118" t="s">
        <v>39</v>
      </c>
      <c r="C3118" t="s">
        <v>40</v>
      </c>
      <c r="D3118" t="s">
        <v>18</v>
      </c>
      <c r="E3118" t="s">
        <v>19</v>
      </c>
      <c r="F3118" t="s">
        <v>22</v>
      </c>
      <c r="O3118">
        <v>2045</v>
      </c>
    </row>
    <row r="3119" spans="1:16" x14ac:dyDescent="0.3">
      <c r="A3119" t="str">
        <f t="shared" si="48"/>
        <v>CN|AccumulatedNewCapacity|RE1|PWRFOL|2045</v>
      </c>
      <c r="B3119" t="s">
        <v>39</v>
      </c>
      <c r="C3119" t="s">
        <v>40</v>
      </c>
      <c r="D3119" t="s">
        <v>18</v>
      </c>
      <c r="E3119" t="s">
        <v>19</v>
      </c>
      <c r="F3119" t="s">
        <v>23</v>
      </c>
      <c r="O3119">
        <v>2045</v>
      </c>
    </row>
    <row r="3120" spans="1:16" x14ac:dyDescent="0.3">
      <c r="A3120" t="str">
        <f t="shared" si="48"/>
        <v>CN|AccumulatedNewCapacity|RE1|PWRHYDDAM|2045</v>
      </c>
      <c r="B3120" t="s">
        <v>39</v>
      </c>
      <c r="C3120" t="s">
        <v>40</v>
      </c>
      <c r="D3120" t="s">
        <v>18</v>
      </c>
      <c r="E3120" t="s">
        <v>19</v>
      </c>
      <c r="F3120" t="s">
        <v>24</v>
      </c>
      <c r="O3120">
        <v>2045</v>
      </c>
      <c r="P3120">
        <v>37.840000000000003</v>
      </c>
    </row>
    <row r="3121" spans="1:16" x14ac:dyDescent="0.3">
      <c r="A3121" t="str">
        <f t="shared" si="48"/>
        <v>CN|AccumulatedNewCapacity|RE1|PWRHYDROR|2045</v>
      </c>
      <c r="B3121" t="s">
        <v>39</v>
      </c>
      <c r="C3121" t="s">
        <v>40</v>
      </c>
      <c r="D3121" t="s">
        <v>18</v>
      </c>
      <c r="E3121" t="s">
        <v>19</v>
      </c>
      <c r="F3121" t="s">
        <v>25</v>
      </c>
      <c r="O3121">
        <v>2045</v>
      </c>
    </row>
    <row r="3122" spans="1:16" x14ac:dyDescent="0.3">
      <c r="A3122" t="str">
        <f t="shared" si="48"/>
        <v>CN|AccumulatedNewCapacity|RE1|PWRHYDROR_NDC|2045</v>
      </c>
      <c r="B3122" t="s">
        <v>39</v>
      </c>
      <c r="C3122" t="s">
        <v>40</v>
      </c>
      <c r="D3122" t="s">
        <v>18</v>
      </c>
      <c r="E3122" t="s">
        <v>19</v>
      </c>
      <c r="F3122" t="s">
        <v>26</v>
      </c>
      <c r="O3122">
        <v>2045</v>
      </c>
      <c r="P3122">
        <v>58.986358233509478</v>
      </c>
    </row>
    <row r="3123" spans="1:16" x14ac:dyDescent="0.3">
      <c r="A3123" t="str">
        <f t="shared" si="48"/>
        <v>CN|AccumulatedNewCapacity|RE1|PWRJET|2045</v>
      </c>
      <c r="B3123" t="s">
        <v>39</v>
      </c>
      <c r="C3123" t="s">
        <v>40</v>
      </c>
      <c r="D3123" t="s">
        <v>18</v>
      </c>
      <c r="E3123" t="s">
        <v>19</v>
      </c>
      <c r="F3123" t="s">
        <v>27</v>
      </c>
      <c r="O3123">
        <v>2045</v>
      </c>
    </row>
    <row r="3124" spans="1:16" x14ac:dyDescent="0.3">
      <c r="A3124" t="str">
        <f t="shared" si="48"/>
        <v>CN|AccumulatedNewCapacity|RE1|PWRLPG|2045</v>
      </c>
      <c r="B3124" t="s">
        <v>39</v>
      </c>
      <c r="C3124" t="s">
        <v>40</v>
      </c>
      <c r="D3124" t="s">
        <v>18</v>
      </c>
      <c r="E3124" t="s">
        <v>19</v>
      </c>
      <c r="F3124" t="s">
        <v>28</v>
      </c>
      <c r="O3124">
        <v>2045</v>
      </c>
    </row>
    <row r="3125" spans="1:16" x14ac:dyDescent="0.3">
      <c r="A3125" t="str">
        <f t="shared" si="48"/>
        <v>CN|AccumulatedNewCapacity|RE1|PWRNGS_CC|2045</v>
      </c>
      <c r="B3125" t="s">
        <v>39</v>
      </c>
      <c r="C3125" t="s">
        <v>40</v>
      </c>
      <c r="D3125" t="s">
        <v>18</v>
      </c>
      <c r="E3125" t="s">
        <v>19</v>
      </c>
      <c r="F3125" t="s">
        <v>29</v>
      </c>
      <c r="O3125">
        <v>2045</v>
      </c>
    </row>
    <row r="3126" spans="1:16" x14ac:dyDescent="0.3">
      <c r="A3126" t="str">
        <f t="shared" si="48"/>
        <v>CN|AccumulatedNewCapacity|RE1|PWRNGS_CS|2045</v>
      </c>
      <c r="B3126" t="s">
        <v>39</v>
      </c>
      <c r="C3126" t="s">
        <v>40</v>
      </c>
      <c r="D3126" t="s">
        <v>18</v>
      </c>
      <c r="E3126" t="s">
        <v>19</v>
      </c>
      <c r="F3126" t="s">
        <v>30</v>
      </c>
      <c r="O3126">
        <v>2045</v>
      </c>
    </row>
    <row r="3127" spans="1:16" x14ac:dyDescent="0.3">
      <c r="A3127" t="str">
        <f t="shared" si="48"/>
        <v>CN|AccumulatedNewCapacity|RE1|PWRSOLRTP|2045</v>
      </c>
      <c r="B3127" t="s">
        <v>39</v>
      </c>
      <c r="C3127" t="s">
        <v>40</v>
      </c>
      <c r="D3127" t="s">
        <v>18</v>
      </c>
      <c r="E3127" t="s">
        <v>19</v>
      </c>
      <c r="F3127" t="s">
        <v>31</v>
      </c>
      <c r="O3127">
        <v>2045</v>
      </c>
      <c r="P3127">
        <v>209.87345518622689</v>
      </c>
    </row>
    <row r="3128" spans="1:16" x14ac:dyDescent="0.3">
      <c r="A3128" t="str">
        <f t="shared" si="48"/>
        <v>CN|AccumulatedNewCapacity|RE1|PWRSOLRTP_ZNI|2045</v>
      </c>
      <c r="B3128" t="s">
        <v>39</v>
      </c>
      <c r="C3128" t="s">
        <v>40</v>
      </c>
      <c r="D3128" t="s">
        <v>18</v>
      </c>
      <c r="E3128" t="s">
        <v>19</v>
      </c>
      <c r="F3128" t="s">
        <v>32</v>
      </c>
      <c r="O3128">
        <v>2045</v>
      </c>
      <c r="P3128">
        <v>1.1786975283658561</v>
      </c>
    </row>
    <row r="3129" spans="1:16" x14ac:dyDescent="0.3">
      <c r="A3129" t="str">
        <f t="shared" si="48"/>
        <v>CN|AccumulatedNewCapacity|RE1|PWRSOLUGE|2045</v>
      </c>
      <c r="B3129" t="s">
        <v>39</v>
      </c>
      <c r="C3129" t="s">
        <v>40</v>
      </c>
      <c r="D3129" t="s">
        <v>18</v>
      </c>
      <c r="E3129" t="s">
        <v>19</v>
      </c>
      <c r="F3129" t="s">
        <v>33</v>
      </c>
      <c r="O3129">
        <v>2045</v>
      </c>
      <c r="P3129">
        <v>380.89204486843852</v>
      </c>
    </row>
    <row r="3130" spans="1:16" x14ac:dyDescent="0.3">
      <c r="A3130" t="str">
        <f t="shared" si="48"/>
        <v>CN|AccumulatedNewCapacity|RE1|PWRSOLUGE_BAT|2045</v>
      </c>
      <c r="B3130" t="s">
        <v>39</v>
      </c>
      <c r="C3130" t="s">
        <v>40</v>
      </c>
      <c r="D3130" t="s">
        <v>18</v>
      </c>
      <c r="E3130" t="s">
        <v>19</v>
      </c>
      <c r="F3130" t="s">
        <v>41</v>
      </c>
      <c r="O3130">
        <v>2045</v>
      </c>
    </row>
    <row r="3131" spans="1:16" x14ac:dyDescent="0.3">
      <c r="A3131" t="str">
        <f t="shared" si="48"/>
        <v>CN|AccumulatedNewCapacity|RE1|PWRSOLUPE|2045</v>
      </c>
      <c r="B3131" t="s">
        <v>39</v>
      </c>
      <c r="C3131" t="s">
        <v>40</v>
      </c>
      <c r="D3131" t="s">
        <v>18</v>
      </c>
      <c r="E3131" t="s">
        <v>19</v>
      </c>
      <c r="F3131" t="s">
        <v>34</v>
      </c>
      <c r="O3131">
        <v>2045</v>
      </c>
      <c r="P3131">
        <v>12.14419823999993</v>
      </c>
    </row>
    <row r="3132" spans="1:16" x14ac:dyDescent="0.3">
      <c r="A3132" t="str">
        <f t="shared" si="48"/>
        <v>CN|AccumulatedNewCapacity|RE1|PWRSTD|2045</v>
      </c>
      <c r="B3132" t="s">
        <v>39</v>
      </c>
      <c r="C3132" t="s">
        <v>40</v>
      </c>
      <c r="D3132" t="s">
        <v>18</v>
      </c>
      <c r="E3132" t="s">
        <v>19</v>
      </c>
      <c r="F3132" t="s">
        <v>35</v>
      </c>
      <c r="O3132">
        <v>2045</v>
      </c>
    </row>
    <row r="3133" spans="1:16" x14ac:dyDescent="0.3">
      <c r="A3133" t="str">
        <f t="shared" si="48"/>
        <v>CN|AccumulatedNewCapacity|RE1|PWRWNDOFS_FIX|2045</v>
      </c>
      <c r="B3133" t="s">
        <v>39</v>
      </c>
      <c r="C3133" t="s">
        <v>40</v>
      </c>
      <c r="D3133" t="s">
        <v>18</v>
      </c>
      <c r="E3133" t="s">
        <v>19</v>
      </c>
      <c r="F3133" t="s">
        <v>42</v>
      </c>
      <c r="O3133">
        <v>2045</v>
      </c>
      <c r="P3133">
        <v>376.27702457715822</v>
      </c>
    </row>
    <row r="3134" spans="1:16" x14ac:dyDescent="0.3">
      <c r="A3134" t="str">
        <f t="shared" si="48"/>
        <v>CN|AccumulatedNewCapacity|RE1|PWRWNDOFS_FLO|2045</v>
      </c>
      <c r="B3134" t="s">
        <v>39</v>
      </c>
      <c r="C3134" t="s">
        <v>40</v>
      </c>
      <c r="D3134" t="s">
        <v>18</v>
      </c>
      <c r="E3134" t="s">
        <v>19</v>
      </c>
      <c r="F3134" t="s">
        <v>43</v>
      </c>
      <c r="O3134">
        <v>2045</v>
      </c>
    </row>
    <row r="3135" spans="1:16" x14ac:dyDescent="0.3">
      <c r="A3135" t="str">
        <f t="shared" si="48"/>
        <v>CN|AccumulatedNewCapacity|RE1|PWRWNDONS|2045</v>
      </c>
      <c r="B3135" t="s">
        <v>39</v>
      </c>
      <c r="C3135" t="s">
        <v>40</v>
      </c>
      <c r="D3135" t="s">
        <v>18</v>
      </c>
      <c r="E3135" t="s">
        <v>19</v>
      </c>
      <c r="F3135" t="s">
        <v>36</v>
      </c>
      <c r="O3135">
        <v>2045</v>
      </c>
      <c r="P3135">
        <v>614.99944648443557</v>
      </c>
    </row>
    <row r="3136" spans="1:16" x14ac:dyDescent="0.3">
      <c r="A3136" t="str">
        <f t="shared" si="48"/>
        <v>CN|NewCapacity|RE1|PWRBGS|2045</v>
      </c>
      <c r="B3136" t="s">
        <v>39</v>
      </c>
      <c r="C3136" t="s">
        <v>40</v>
      </c>
      <c r="D3136" t="s">
        <v>37</v>
      </c>
      <c r="E3136" t="s">
        <v>19</v>
      </c>
      <c r="F3136" t="s">
        <v>20</v>
      </c>
      <c r="O3136">
        <v>2045</v>
      </c>
    </row>
    <row r="3137" spans="1:16" x14ac:dyDescent="0.3">
      <c r="A3137" t="str">
        <f t="shared" si="48"/>
        <v>CN|NewCapacity|RE1|PWRCOA|2045</v>
      </c>
      <c r="B3137" t="s">
        <v>39</v>
      </c>
      <c r="C3137" t="s">
        <v>40</v>
      </c>
      <c r="D3137" t="s">
        <v>37</v>
      </c>
      <c r="E3137" t="s">
        <v>19</v>
      </c>
      <c r="F3137" t="s">
        <v>21</v>
      </c>
      <c r="O3137">
        <v>2045</v>
      </c>
    </row>
    <row r="3138" spans="1:16" x14ac:dyDescent="0.3">
      <c r="A3138" t="str">
        <f t="shared" ref="A3138:A3201" si="49">B3138&amp;"|"&amp;D3138&amp;"|"&amp;E3138&amp;"|"&amp;F3138&amp;"|"&amp;O3138</f>
        <v>CN|NewCapacity|RE1|PWRDSL|2045</v>
      </c>
      <c r="B3138" t="s">
        <v>39</v>
      </c>
      <c r="C3138" t="s">
        <v>40</v>
      </c>
      <c r="D3138" t="s">
        <v>37</v>
      </c>
      <c r="E3138" t="s">
        <v>19</v>
      </c>
      <c r="F3138" t="s">
        <v>22</v>
      </c>
      <c r="O3138">
        <v>2045</v>
      </c>
    </row>
    <row r="3139" spans="1:16" x14ac:dyDescent="0.3">
      <c r="A3139" t="str">
        <f t="shared" si="49"/>
        <v>CN|NewCapacity|RE1|PWRFOL|2045</v>
      </c>
      <c r="B3139" t="s">
        <v>39</v>
      </c>
      <c r="C3139" t="s">
        <v>40</v>
      </c>
      <c r="D3139" t="s">
        <v>37</v>
      </c>
      <c r="E3139" t="s">
        <v>19</v>
      </c>
      <c r="F3139" t="s">
        <v>23</v>
      </c>
      <c r="O3139">
        <v>2045</v>
      </c>
    </row>
    <row r="3140" spans="1:16" x14ac:dyDescent="0.3">
      <c r="A3140" t="str">
        <f t="shared" si="49"/>
        <v>CN|NewCapacity|RE1|PWRHYDDAM|2045</v>
      </c>
      <c r="B3140" t="s">
        <v>39</v>
      </c>
      <c r="C3140" t="s">
        <v>40</v>
      </c>
      <c r="D3140" t="s">
        <v>37</v>
      </c>
      <c r="E3140" t="s">
        <v>19</v>
      </c>
      <c r="F3140" t="s">
        <v>24</v>
      </c>
      <c r="O3140">
        <v>2045</v>
      </c>
    </row>
    <row r="3141" spans="1:16" x14ac:dyDescent="0.3">
      <c r="A3141" t="str">
        <f t="shared" si="49"/>
        <v>CN|NewCapacity|RE1|PWRHYDROR|2045</v>
      </c>
      <c r="B3141" t="s">
        <v>39</v>
      </c>
      <c r="C3141" t="s">
        <v>40</v>
      </c>
      <c r="D3141" t="s">
        <v>37</v>
      </c>
      <c r="E3141" t="s">
        <v>19</v>
      </c>
      <c r="F3141" t="s">
        <v>25</v>
      </c>
      <c r="O3141">
        <v>2045</v>
      </c>
    </row>
    <row r="3142" spans="1:16" x14ac:dyDescent="0.3">
      <c r="A3142" t="str">
        <f t="shared" si="49"/>
        <v>CN|NewCapacity|RE1|PWRHYDROR_NDC|2045</v>
      </c>
      <c r="B3142" t="s">
        <v>39</v>
      </c>
      <c r="C3142" t="s">
        <v>40</v>
      </c>
      <c r="D3142" t="s">
        <v>37</v>
      </c>
      <c r="E3142" t="s">
        <v>19</v>
      </c>
      <c r="F3142" t="s">
        <v>26</v>
      </c>
      <c r="O3142">
        <v>2045</v>
      </c>
    </row>
    <row r="3143" spans="1:16" x14ac:dyDescent="0.3">
      <c r="A3143" t="str">
        <f t="shared" si="49"/>
        <v>CN|NewCapacity|RE1|PWRJET|2045</v>
      </c>
      <c r="B3143" t="s">
        <v>39</v>
      </c>
      <c r="C3143" t="s">
        <v>40</v>
      </c>
      <c r="D3143" t="s">
        <v>37</v>
      </c>
      <c r="E3143" t="s">
        <v>19</v>
      </c>
      <c r="F3143" t="s">
        <v>27</v>
      </c>
      <c r="O3143">
        <v>2045</v>
      </c>
    </row>
    <row r="3144" spans="1:16" x14ac:dyDescent="0.3">
      <c r="A3144" t="str">
        <f t="shared" si="49"/>
        <v>CN|NewCapacity|RE1|PWRLPG|2045</v>
      </c>
      <c r="B3144" t="s">
        <v>39</v>
      </c>
      <c r="C3144" t="s">
        <v>40</v>
      </c>
      <c r="D3144" t="s">
        <v>37</v>
      </c>
      <c r="E3144" t="s">
        <v>19</v>
      </c>
      <c r="F3144" t="s">
        <v>28</v>
      </c>
      <c r="O3144">
        <v>2045</v>
      </c>
    </row>
    <row r="3145" spans="1:16" x14ac:dyDescent="0.3">
      <c r="A3145" t="str">
        <f t="shared" si="49"/>
        <v>CN|NewCapacity|RE1|PWRNGS_CC|2045</v>
      </c>
      <c r="B3145" t="s">
        <v>39</v>
      </c>
      <c r="C3145" t="s">
        <v>40</v>
      </c>
      <c r="D3145" t="s">
        <v>37</v>
      </c>
      <c r="E3145" t="s">
        <v>19</v>
      </c>
      <c r="F3145" t="s">
        <v>29</v>
      </c>
      <c r="O3145">
        <v>2045</v>
      </c>
    </row>
    <row r="3146" spans="1:16" x14ac:dyDescent="0.3">
      <c r="A3146" t="str">
        <f t="shared" si="49"/>
        <v>CN|NewCapacity|RE1|PWRNGS_CS|2045</v>
      </c>
      <c r="B3146" t="s">
        <v>39</v>
      </c>
      <c r="C3146" t="s">
        <v>40</v>
      </c>
      <c r="D3146" t="s">
        <v>37</v>
      </c>
      <c r="E3146" t="s">
        <v>19</v>
      </c>
      <c r="F3146" t="s">
        <v>30</v>
      </c>
      <c r="O3146">
        <v>2045</v>
      </c>
    </row>
    <row r="3147" spans="1:16" x14ac:dyDescent="0.3">
      <c r="A3147" t="str">
        <f t="shared" si="49"/>
        <v>CN|NewCapacity|RE1|PWRSOLRTP|2045</v>
      </c>
      <c r="B3147" t="s">
        <v>39</v>
      </c>
      <c r="C3147" t="s">
        <v>40</v>
      </c>
      <c r="D3147" t="s">
        <v>37</v>
      </c>
      <c r="E3147" t="s">
        <v>19</v>
      </c>
      <c r="F3147" t="s">
        <v>31</v>
      </c>
      <c r="O3147">
        <v>2045</v>
      </c>
      <c r="P3147">
        <v>2.63</v>
      </c>
    </row>
    <row r="3148" spans="1:16" x14ac:dyDescent="0.3">
      <c r="A3148" t="str">
        <f t="shared" si="49"/>
        <v>CN|NewCapacity|RE1|PWRSOLRTP_ZNI|2045</v>
      </c>
      <c r="B3148" t="s">
        <v>39</v>
      </c>
      <c r="C3148" t="s">
        <v>40</v>
      </c>
      <c r="D3148" t="s">
        <v>37</v>
      </c>
      <c r="E3148" t="s">
        <v>19</v>
      </c>
      <c r="F3148" t="s">
        <v>32</v>
      </c>
      <c r="O3148">
        <v>2045</v>
      </c>
      <c r="P3148">
        <v>5.6418188570875563E-2</v>
      </c>
    </row>
    <row r="3149" spans="1:16" x14ac:dyDescent="0.3">
      <c r="A3149" t="str">
        <f t="shared" si="49"/>
        <v>CN|NewCapacity|RE1|PWRSOLUGE|2045</v>
      </c>
      <c r="B3149" t="s">
        <v>39</v>
      </c>
      <c r="C3149" t="s">
        <v>40</v>
      </c>
      <c r="D3149" t="s">
        <v>37</v>
      </c>
      <c r="E3149" t="s">
        <v>19</v>
      </c>
      <c r="F3149" t="s">
        <v>33</v>
      </c>
      <c r="O3149">
        <v>2045</v>
      </c>
      <c r="P3149">
        <v>37.364526523038357</v>
      </c>
    </row>
    <row r="3150" spans="1:16" x14ac:dyDescent="0.3">
      <c r="A3150" t="str">
        <f t="shared" si="49"/>
        <v>CN|NewCapacity|RE1|PWRSOLUGE_BAT|2045</v>
      </c>
      <c r="B3150" t="s">
        <v>39</v>
      </c>
      <c r="C3150" t="s">
        <v>40</v>
      </c>
      <c r="D3150" t="s">
        <v>37</v>
      </c>
      <c r="E3150" t="s">
        <v>19</v>
      </c>
      <c r="F3150" t="s">
        <v>41</v>
      </c>
      <c r="O3150">
        <v>2045</v>
      </c>
    </row>
    <row r="3151" spans="1:16" x14ac:dyDescent="0.3">
      <c r="A3151" t="str">
        <f t="shared" si="49"/>
        <v>CN|NewCapacity|RE1|PWRSOLUPE|2045</v>
      </c>
      <c r="B3151" t="s">
        <v>39</v>
      </c>
      <c r="C3151" t="s">
        <v>40</v>
      </c>
      <c r="D3151" t="s">
        <v>37</v>
      </c>
      <c r="E3151" t="s">
        <v>19</v>
      </c>
      <c r="F3151" t="s">
        <v>34</v>
      </c>
      <c r="O3151">
        <v>2045</v>
      </c>
    </row>
    <row r="3152" spans="1:16" x14ac:dyDescent="0.3">
      <c r="A3152" t="str">
        <f t="shared" si="49"/>
        <v>CN|NewCapacity|RE1|PWRSTD|2045</v>
      </c>
      <c r="B3152" t="s">
        <v>39</v>
      </c>
      <c r="C3152" t="s">
        <v>40</v>
      </c>
      <c r="D3152" t="s">
        <v>37</v>
      </c>
      <c r="E3152" t="s">
        <v>19</v>
      </c>
      <c r="F3152" t="s">
        <v>35</v>
      </c>
      <c r="O3152">
        <v>2045</v>
      </c>
    </row>
    <row r="3153" spans="1:16" x14ac:dyDescent="0.3">
      <c r="A3153" t="str">
        <f t="shared" si="49"/>
        <v>CN|NewCapacity|RE1|PWRWNDOFS_FIX|2045</v>
      </c>
      <c r="B3153" t="s">
        <v>39</v>
      </c>
      <c r="C3153" t="s">
        <v>40</v>
      </c>
      <c r="D3153" t="s">
        <v>37</v>
      </c>
      <c r="E3153" t="s">
        <v>19</v>
      </c>
      <c r="F3153" t="s">
        <v>42</v>
      </c>
      <c r="O3153">
        <v>2045</v>
      </c>
      <c r="P3153">
        <v>47.31</v>
      </c>
    </row>
    <row r="3154" spans="1:16" x14ac:dyDescent="0.3">
      <c r="A3154" t="str">
        <f t="shared" si="49"/>
        <v>CN|NewCapacity|RE1|PWRWNDOFS_FLO|2045</v>
      </c>
      <c r="B3154" t="s">
        <v>39</v>
      </c>
      <c r="C3154" t="s">
        <v>40</v>
      </c>
      <c r="D3154" t="s">
        <v>37</v>
      </c>
      <c r="E3154" t="s">
        <v>19</v>
      </c>
      <c r="F3154" t="s">
        <v>43</v>
      </c>
      <c r="O3154">
        <v>2045</v>
      </c>
    </row>
    <row r="3155" spans="1:16" x14ac:dyDescent="0.3">
      <c r="A3155" t="str">
        <f t="shared" si="49"/>
        <v>CN|NewCapacity|RE1|PWRWNDONS|2045</v>
      </c>
      <c r="B3155" t="s">
        <v>39</v>
      </c>
      <c r="C3155" t="s">
        <v>40</v>
      </c>
      <c r="D3155" t="s">
        <v>37</v>
      </c>
      <c r="E3155" t="s">
        <v>19</v>
      </c>
      <c r="F3155" t="s">
        <v>36</v>
      </c>
      <c r="O3155">
        <v>2045</v>
      </c>
      <c r="P3155">
        <v>47.31</v>
      </c>
    </row>
    <row r="3156" spans="1:16" x14ac:dyDescent="0.3">
      <c r="A3156" t="str">
        <f t="shared" si="49"/>
        <v>CN|TotalCapacityAnnual|RE1|PWRBGS|2045</v>
      </c>
      <c r="B3156" t="s">
        <v>39</v>
      </c>
      <c r="C3156" t="s">
        <v>40</v>
      </c>
      <c r="D3156" t="s">
        <v>38</v>
      </c>
      <c r="E3156" t="s">
        <v>19</v>
      </c>
      <c r="F3156" t="s">
        <v>20</v>
      </c>
      <c r="O3156">
        <v>2045</v>
      </c>
      <c r="P3156">
        <v>2.5488587520000001E-2</v>
      </c>
    </row>
    <row r="3157" spans="1:16" x14ac:dyDescent="0.3">
      <c r="A3157" t="str">
        <f t="shared" si="49"/>
        <v>CN|TotalCapacityAnnual|RE1|PWRCOA|2045</v>
      </c>
      <c r="B3157" t="s">
        <v>39</v>
      </c>
      <c r="C3157" t="s">
        <v>40</v>
      </c>
      <c r="D3157" t="s">
        <v>38</v>
      </c>
      <c r="E3157" t="s">
        <v>19</v>
      </c>
      <c r="F3157" t="s">
        <v>21</v>
      </c>
      <c r="O3157">
        <v>2045</v>
      </c>
    </row>
    <row r="3158" spans="1:16" x14ac:dyDescent="0.3">
      <c r="A3158" t="str">
        <f t="shared" si="49"/>
        <v>CN|TotalCapacityAnnual|RE1|PWRDSL|2045</v>
      </c>
      <c r="B3158" t="s">
        <v>39</v>
      </c>
      <c r="C3158" t="s">
        <v>40</v>
      </c>
      <c r="D3158" t="s">
        <v>38</v>
      </c>
      <c r="E3158" t="s">
        <v>19</v>
      </c>
      <c r="F3158" t="s">
        <v>22</v>
      </c>
      <c r="O3158">
        <v>2045</v>
      </c>
    </row>
    <row r="3159" spans="1:16" x14ac:dyDescent="0.3">
      <c r="A3159" t="str">
        <f t="shared" si="49"/>
        <v>CN|TotalCapacityAnnual|RE1|PWRFOL|2045</v>
      </c>
      <c r="B3159" t="s">
        <v>39</v>
      </c>
      <c r="C3159" t="s">
        <v>40</v>
      </c>
      <c r="D3159" t="s">
        <v>38</v>
      </c>
      <c r="E3159" t="s">
        <v>19</v>
      </c>
      <c r="F3159" t="s">
        <v>23</v>
      </c>
      <c r="O3159">
        <v>2045</v>
      </c>
      <c r="P3159">
        <v>8.3885759999999987</v>
      </c>
    </row>
    <row r="3160" spans="1:16" x14ac:dyDescent="0.3">
      <c r="A3160" t="str">
        <f t="shared" si="49"/>
        <v>CN|TotalCapacityAnnual|RE1|PWRHYDDAM|2045</v>
      </c>
      <c r="B3160" t="s">
        <v>39</v>
      </c>
      <c r="C3160" t="s">
        <v>40</v>
      </c>
      <c r="D3160" t="s">
        <v>38</v>
      </c>
      <c r="E3160" t="s">
        <v>19</v>
      </c>
      <c r="F3160" t="s">
        <v>24</v>
      </c>
      <c r="O3160">
        <v>2045</v>
      </c>
      <c r="P3160">
        <v>440.49164800000011</v>
      </c>
    </row>
    <row r="3161" spans="1:16" x14ac:dyDescent="0.3">
      <c r="A3161" t="str">
        <f t="shared" si="49"/>
        <v>CN|TotalCapacityAnnual|RE1|PWRHYDROR|2045</v>
      </c>
      <c r="B3161" t="s">
        <v>39</v>
      </c>
      <c r="C3161" t="s">
        <v>40</v>
      </c>
      <c r="D3161" t="s">
        <v>38</v>
      </c>
      <c r="E3161" t="s">
        <v>19</v>
      </c>
      <c r="F3161" t="s">
        <v>25</v>
      </c>
      <c r="O3161">
        <v>2045</v>
      </c>
      <c r="P3161">
        <v>21.097584000000001</v>
      </c>
    </row>
    <row r="3162" spans="1:16" x14ac:dyDescent="0.3">
      <c r="A3162" t="str">
        <f t="shared" si="49"/>
        <v>CN|TotalCapacityAnnual|RE1|PWRHYDROR_NDC|2045</v>
      </c>
      <c r="B3162" t="s">
        <v>39</v>
      </c>
      <c r="C3162" t="s">
        <v>40</v>
      </c>
      <c r="D3162" t="s">
        <v>38</v>
      </c>
      <c r="E3162" t="s">
        <v>19</v>
      </c>
      <c r="F3162" t="s">
        <v>26</v>
      </c>
      <c r="O3162">
        <v>2045</v>
      </c>
      <c r="P3162">
        <v>88.711466505509463</v>
      </c>
    </row>
    <row r="3163" spans="1:16" x14ac:dyDescent="0.3">
      <c r="A3163" t="str">
        <f t="shared" si="49"/>
        <v>CN|TotalCapacityAnnual|RE1|PWRJET|2045</v>
      </c>
      <c r="B3163" t="s">
        <v>39</v>
      </c>
      <c r="C3163" t="s">
        <v>40</v>
      </c>
      <c r="D3163" t="s">
        <v>38</v>
      </c>
      <c r="E3163" t="s">
        <v>19</v>
      </c>
      <c r="F3163" t="s">
        <v>27</v>
      </c>
      <c r="O3163">
        <v>2045</v>
      </c>
      <c r="P3163">
        <v>1.5768</v>
      </c>
    </row>
    <row r="3164" spans="1:16" x14ac:dyDescent="0.3">
      <c r="A3164" t="str">
        <f t="shared" si="49"/>
        <v>CN|TotalCapacityAnnual|RE1|PWRLPG|2045</v>
      </c>
      <c r="B3164" t="s">
        <v>39</v>
      </c>
      <c r="C3164" t="s">
        <v>40</v>
      </c>
      <c r="D3164" t="s">
        <v>38</v>
      </c>
      <c r="E3164" t="s">
        <v>19</v>
      </c>
      <c r="F3164" t="s">
        <v>28</v>
      </c>
      <c r="O3164">
        <v>2045</v>
      </c>
      <c r="P3164">
        <v>1.639872</v>
      </c>
    </row>
    <row r="3165" spans="1:16" x14ac:dyDescent="0.3">
      <c r="A3165" t="str">
        <f t="shared" si="49"/>
        <v>CN|TotalCapacityAnnual|RE1|PWRNGS_CC|2045</v>
      </c>
      <c r="B3165" t="s">
        <v>39</v>
      </c>
      <c r="C3165" t="s">
        <v>40</v>
      </c>
      <c r="D3165" t="s">
        <v>38</v>
      </c>
      <c r="E3165" t="s">
        <v>19</v>
      </c>
      <c r="F3165" t="s">
        <v>29</v>
      </c>
      <c r="O3165">
        <v>2045</v>
      </c>
      <c r="P3165">
        <v>70.104500000000002</v>
      </c>
    </row>
    <row r="3166" spans="1:16" x14ac:dyDescent="0.3">
      <c r="A3166" t="str">
        <f t="shared" si="49"/>
        <v>CN|TotalCapacityAnnual|RE1|PWRNGS_CS|2045</v>
      </c>
      <c r="B3166" t="s">
        <v>39</v>
      </c>
      <c r="C3166" t="s">
        <v>40</v>
      </c>
      <c r="D3166" t="s">
        <v>38</v>
      </c>
      <c r="E3166" t="s">
        <v>19</v>
      </c>
      <c r="F3166" t="s">
        <v>30</v>
      </c>
      <c r="O3166">
        <v>2045</v>
      </c>
      <c r="P3166">
        <v>48.03</v>
      </c>
    </row>
    <row r="3167" spans="1:16" x14ac:dyDescent="0.3">
      <c r="A3167" t="str">
        <f t="shared" si="49"/>
        <v>CN|TotalCapacityAnnual|RE1|PWRSOLRTP|2045</v>
      </c>
      <c r="B3167" t="s">
        <v>39</v>
      </c>
      <c r="C3167" t="s">
        <v>40</v>
      </c>
      <c r="D3167" t="s">
        <v>38</v>
      </c>
      <c r="E3167" t="s">
        <v>19</v>
      </c>
      <c r="F3167" t="s">
        <v>31</v>
      </c>
      <c r="O3167">
        <v>2045</v>
      </c>
      <c r="P3167">
        <v>232.19245518622691</v>
      </c>
    </row>
    <row r="3168" spans="1:16" x14ac:dyDescent="0.3">
      <c r="A3168" t="str">
        <f t="shared" si="49"/>
        <v>CN|TotalCapacityAnnual|RE1|PWRSOLRTP_ZNI|2045</v>
      </c>
      <c r="B3168" t="s">
        <v>39</v>
      </c>
      <c r="C3168" t="s">
        <v>40</v>
      </c>
      <c r="D3168" t="s">
        <v>38</v>
      </c>
      <c r="E3168" t="s">
        <v>19</v>
      </c>
      <c r="F3168" t="s">
        <v>32</v>
      </c>
      <c r="O3168">
        <v>2045</v>
      </c>
      <c r="P3168">
        <v>1.639438488365855</v>
      </c>
    </row>
    <row r="3169" spans="1:16" x14ac:dyDescent="0.3">
      <c r="A3169" t="str">
        <f t="shared" si="49"/>
        <v>CN|TotalCapacityAnnual|RE1|PWRSOLUGE|2045</v>
      </c>
      <c r="B3169" t="s">
        <v>39</v>
      </c>
      <c r="C3169" t="s">
        <v>40</v>
      </c>
      <c r="D3169" t="s">
        <v>38</v>
      </c>
      <c r="E3169" t="s">
        <v>19</v>
      </c>
      <c r="F3169" t="s">
        <v>33</v>
      </c>
      <c r="O3169">
        <v>2045</v>
      </c>
      <c r="P3169">
        <v>429.2897448684385</v>
      </c>
    </row>
    <row r="3170" spans="1:16" x14ac:dyDescent="0.3">
      <c r="A3170" t="str">
        <f t="shared" si="49"/>
        <v>CN|TotalCapacityAnnual|RE1|PWRSOLUGE_BAT|2045</v>
      </c>
      <c r="B3170" t="s">
        <v>39</v>
      </c>
      <c r="C3170" t="s">
        <v>40</v>
      </c>
      <c r="D3170" t="s">
        <v>38</v>
      </c>
      <c r="E3170" t="s">
        <v>19</v>
      </c>
      <c r="F3170" t="s">
        <v>41</v>
      </c>
      <c r="O3170">
        <v>2045</v>
      </c>
    </row>
    <row r="3171" spans="1:16" x14ac:dyDescent="0.3">
      <c r="A3171" t="str">
        <f t="shared" si="49"/>
        <v>CN|TotalCapacityAnnual|RE1|PWRSOLUPE|2045</v>
      </c>
      <c r="B3171" t="s">
        <v>39</v>
      </c>
      <c r="C3171" t="s">
        <v>40</v>
      </c>
      <c r="D3171" t="s">
        <v>38</v>
      </c>
      <c r="E3171" t="s">
        <v>19</v>
      </c>
      <c r="F3171" t="s">
        <v>34</v>
      </c>
      <c r="O3171">
        <v>2045</v>
      </c>
      <c r="P3171">
        <v>12.14419823999993</v>
      </c>
    </row>
    <row r="3172" spans="1:16" x14ac:dyDescent="0.3">
      <c r="A3172" t="str">
        <f t="shared" si="49"/>
        <v>CN|TotalCapacityAnnual|RE1|PWRSTD|2045</v>
      </c>
      <c r="B3172" t="s">
        <v>39</v>
      </c>
      <c r="C3172" t="s">
        <v>40</v>
      </c>
      <c r="D3172" t="s">
        <v>38</v>
      </c>
      <c r="E3172" t="s">
        <v>19</v>
      </c>
      <c r="F3172" t="s">
        <v>35</v>
      </c>
      <c r="O3172">
        <v>2045</v>
      </c>
      <c r="P3172">
        <v>8.163062064</v>
      </c>
    </row>
    <row r="3173" spans="1:16" x14ac:dyDescent="0.3">
      <c r="A3173" t="str">
        <f t="shared" si="49"/>
        <v>CN|TotalCapacityAnnual|RE1|PWRWNDOFS_FIX|2045</v>
      </c>
      <c r="B3173" t="s">
        <v>39</v>
      </c>
      <c r="C3173" t="s">
        <v>40</v>
      </c>
      <c r="D3173" t="s">
        <v>38</v>
      </c>
      <c r="E3173" t="s">
        <v>19</v>
      </c>
      <c r="F3173" t="s">
        <v>42</v>
      </c>
      <c r="O3173">
        <v>2045</v>
      </c>
      <c r="P3173">
        <v>376.27702457715822</v>
      </c>
    </row>
    <row r="3174" spans="1:16" x14ac:dyDescent="0.3">
      <c r="A3174" t="str">
        <f t="shared" si="49"/>
        <v>CN|TotalCapacityAnnual|RE1|PWRWNDOFS_FLO|2045</v>
      </c>
      <c r="B3174" t="s">
        <v>39</v>
      </c>
      <c r="C3174" t="s">
        <v>40</v>
      </c>
      <c r="D3174" t="s">
        <v>38</v>
      </c>
      <c r="E3174" t="s">
        <v>19</v>
      </c>
      <c r="F3174" t="s">
        <v>43</v>
      </c>
      <c r="O3174">
        <v>2045</v>
      </c>
    </row>
    <row r="3175" spans="1:16" x14ac:dyDescent="0.3">
      <c r="A3175" t="str">
        <f t="shared" si="49"/>
        <v>CN|TotalCapacityAnnual|RE1|PWRWNDONS|2045</v>
      </c>
      <c r="B3175" t="s">
        <v>39</v>
      </c>
      <c r="C3175" t="s">
        <v>40</v>
      </c>
      <c r="D3175" t="s">
        <v>38</v>
      </c>
      <c r="E3175" t="s">
        <v>19</v>
      </c>
      <c r="F3175" t="s">
        <v>36</v>
      </c>
      <c r="O3175">
        <v>2045</v>
      </c>
      <c r="P3175">
        <v>616.36810888443551</v>
      </c>
    </row>
    <row r="3176" spans="1:16" x14ac:dyDescent="0.3">
      <c r="A3176" t="str">
        <f t="shared" si="49"/>
        <v>CN|AccumulatedNewCapacity|RE1|PWRBGS|2046</v>
      </c>
      <c r="B3176" t="s">
        <v>39</v>
      </c>
      <c r="C3176" t="s">
        <v>40</v>
      </c>
      <c r="D3176" t="s">
        <v>18</v>
      </c>
      <c r="E3176" t="s">
        <v>19</v>
      </c>
      <c r="F3176" t="s">
        <v>20</v>
      </c>
      <c r="O3176">
        <v>2046</v>
      </c>
    </row>
    <row r="3177" spans="1:16" x14ac:dyDescent="0.3">
      <c r="A3177" t="str">
        <f t="shared" si="49"/>
        <v>CN|AccumulatedNewCapacity|RE1|PWRCOA|2046</v>
      </c>
      <c r="B3177" t="s">
        <v>39</v>
      </c>
      <c r="C3177" t="s">
        <v>40</v>
      </c>
      <c r="D3177" t="s">
        <v>18</v>
      </c>
      <c r="E3177" t="s">
        <v>19</v>
      </c>
      <c r="F3177" t="s">
        <v>21</v>
      </c>
      <c r="O3177">
        <v>2046</v>
      </c>
    </row>
    <row r="3178" spans="1:16" x14ac:dyDescent="0.3">
      <c r="A3178" t="str">
        <f t="shared" si="49"/>
        <v>CN|AccumulatedNewCapacity|RE1|PWRDSL|2046</v>
      </c>
      <c r="B3178" t="s">
        <v>39</v>
      </c>
      <c r="C3178" t="s">
        <v>40</v>
      </c>
      <c r="D3178" t="s">
        <v>18</v>
      </c>
      <c r="E3178" t="s">
        <v>19</v>
      </c>
      <c r="F3178" t="s">
        <v>22</v>
      </c>
      <c r="O3178">
        <v>2046</v>
      </c>
    </row>
    <row r="3179" spans="1:16" x14ac:dyDescent="0.3">
      <c r="A3179" t="str">
        <f t="shared" si="49"/>
        <v>CN|AccumulatedNewCapacity|RE1|PWRFOL|2046</v>
      </c>
      <c r="B3179" t="s">
        <v>39</v>
      </c>
      <c r="C3179" t="s">
        <v>40</v>
      </c>
      <c r="D3179" t="s">
        <v>18</v>
      </c>
      <c r="E3179" t="s">
        <v>19</v>
      </c>
      <c r="F3179" t="s">
        <v>23</v>
      </c>
      <c r="O3179">
        <v>2046</v>
      </c>
    </row>
    <row r="3180" spans="1:16" x14ac:dyDescent="0.3">
      <c r="A3180" t="str">
        <f t="shared" si="49"/>
        <v>CN|AccumulatedNewCapacity|RE1|PWRHYDDAM|2046</v>
      </c>
      <c r="B3180" t="s">
        <v>39</v>
      </c>
      <c r="C3180" t="s">
        <v>40</v>
      </c>
      <c r="D3180" t="s">
        <v>18</v>
      </c>
      <c r="E3180" t="s">
        <v>19</v>
      </c>
      <c r="F3180" t="s">
        <v>24</v>
      </c>
      <c r="O3180">
        <v>2046</v>
      </c>
      <c r="P3180">
        <v>37.840000000000003</v>
      </c>
    </row>
    <row r="3181" spans="1:16" x14ac:dyDescent="0.3">
      <c r="A3181" t="str">
        <f t="shared" si="49"/>
        <v>CN|AccumulatedNewCapacity|RE1|PWRHYDROR|2046</v>
      </c>
      <c r="B3181" t="s">
        <v>39</v>
      </c>
      <c r="C3181" t="s">
        <v>40</v>
      </c>
      <c r="D3181" t="s">
        <v>18</v>
      </c>
      <c r="E3181" t="s">
        <v>19</v>
      </c>
      <c r="F3181" t="s">
        <v>25</v>
      </c>
      <c r="O3181">
        <v>2046</v>
      </c>
    </row>
    <row r="3182" spans="1:16" x14ac:dyDescent="0.3">
      <c r="A3182" t="str">
        <f t="shared" si="49"/>
        <v>CN|AccumulatedNewCapacity|RE1|PWRHYDROR_NDC|2046</v>
      </c>
      <c r="B3182" t="s">
        <v>39</v>
      </c>
      <c r="C3182" t="s">
        <v>40</v>
      </c>
      <c r="D3182" t="s">
        <v>18</v>
      </c>
      <c r="E3182" t="s">
        <v>19</v>
      </c>
      <c r="F3182" t="s">
        <v>26</v>
      </c>
      <c r="O3182">
        <v>2046</v>
      </c>
      <c r="P3182">
        <v>58.986358233509478</v>
      </c>
    </row>
    <row r="3183" spans="1:16" x14ac:dyDescent="0.3">
      <c r="A3183" t="str">
        <f t="shared" si="49"/>
        <v>CN|AccumulatedNewCapacity|RE1|PWRJET|2046</v>
      </c>
      <c r="B3183" t="s">
        <v>39</v>
      </c>
      <c r="C3183" t="s">
        <v>40</v>
      </c>
      <c r="D3183" t="s">
        <v>18</v>
      </c>
      <c r="E3183" t="s">
        <v>19</v>
      </c>
      <c r="F3183" t="s">
        <v>27</v>
      </c>
      <c r="O3183">
        <v>2046</v>
      </c>
    </row>
    <row r="3184" spans="1:16" x14ac:dyDescent="0.3">
      <c r="A3184" t="str">
        <f t="shared" si="49"/>
        <v>CN|AccumulatedNewCapacity|RE1|PWRLPG|2046</v>
      </c>
      <c r="B3184" t="s">
        <v>39</v>
      </c>
      <c r="C3184" t="s">
        <v>40</v>
      </c>
      <c r="D3184" t="s">
        <v>18</v>
      </c>
      <c r="E3184" t="s">
        <v>19</v>
      </c>
      <c r="F3184" t="s">
        <v>28</v>
      </c>
      <c r="O3184">
        <v>2046</v>
      </c>
    </row>
    <row r="3185" spans="1:16" x14ac:dyDescent="0.3">
      <c r="A3185" t="str">
        <f t="shared" si="49"/>
        <v>CN|AccumulatedNewCapacity|RE1|PWRNGS_CC|2046</v>
      </c>
      <c r="B3185" t="s">
        <v>39</v>
      </c>
      <c r="C3185" t="s">
        <v>40</v>
      </c>
      <c r="D3185" t="s">
        <v>18</v>
      </c>
      <c r="E3185" t="s">
        <v>19</v>
      </c>
      <c r="F3185" t="s">
        <v>29</v>
      </c>
      <c r="O3185">
        <v>2046</v>
      </c>
    </row>
    <row r="3186" spans="1:16" x14ac:dyDescent="0.3">
      <c r="A3186" t="str">
        <f t="shared" si="49"/>
        <v>CN|AccumulatedNewCapacity|RE1|PWRNGS_CS|2046</v>
      </c>
      <c r="B3186" t="s">
        <v>39</v>
      </c>
      <c r="C3186" t="s">
        <v>40</v>
      </c>
      <c r="D3186" t="s">
        <v>18</v>
      </c>
      <c r="E3186" t="s">
        <v>19</v>
      </c>
      <c r="F3186" t="s">
        <v>30</v>
      </c>
      <c r="O3186">
        <v>2046</v>
      </c>
    </row>
    <row r="3187" spans="1:16" x14ac:dyDescent="0.3">
      <c r="A3187" t="str">
        <f t="shared" si="49"/>
        <v>CN|AccumulatedNewCapacity|RE1|PWRSOLRTP|2046</v>
      </c>
      <c r="B3187" t="s">
        <v>39</v>
      </c>
      <c r="C3187" t="s">
        <v>40</v>
      </c>
      <c r="D3187" t="s">
        <v>18</v>
      </c>
      <c r="E3187" t="s">
        <v>19</v>
      </c>
      <c r="F3187" t="s">
        <v>31</v>
      </c>
      <c r="O3187">
        <v>2046</v>
      </c>
      <c r="P3187">
        <v>212.41345518622691</v>
      </c>
    </row>
    <row r="3188" spans="1:16" x14ac:dyDescent="0.3">
      <c r="A3188" t="str">
        <f t="shared" si="49"/>
        <v>CN|AccumulatedNewCapacity|RE1|PWRSOLRTP_ZNI|2046</v>
      </c>
      <c r="B3188" t="s">
        <v>39</v>
      </c>
      <c r="C3188" t="s">
        <v>40</v>
      </c>
      <c r="D3188" t="s">
        <v>18</v>
      </c>
      <c r="E3188" t="s">
        <v>19</v>
      </c>
      <c r="F3188" t="s">
        <v>32</v>
      </c>
      <c r="O3188">
        <v>2046</v>
      </c>
      <c r="P3188">
        <v>1.226419505172696</v>
      </c>
    </row>
    <row r="3189" spans="1:16" x14ac:dyDescent="0.3">
      <c r="A3189" t="str">
        <f t="shared" si="49"/>
        <v>CN|AccumulatedNewCapacity|RE1|PWRSOLUGE|2046</v>
      </c>
      <c r="B3189" t="s">
        <v>39</v>
      </c>
      <c r="C3189" t="s">
        <v>40</v>
      </c>
      <c r="D3189" t="s">
        <v>18</v>
      </c>
      <c r="E3189" t="s">
        <v>19</v>
      </c>
      <c r="F3189" t="s">
        <v>33</v>
      </c>
      <c r="O3189">
        <v>2046</v>
      </c>
      <c r="P3189">
        <v>428.20204486843852</v>
      </c>
    </row>
    <row r="3190" spans="1:16" x14ac:dyDescent="0.3">
      <c r="A3190" t="str">
        <f t="shared" si="49"/>
        <v>CN|AccumulatedNewCapacity|RE1|PWRSOLUGE_BAT|2046</v>
      </c>
      <c r="B3190" t="s">
        <v>39</v>
      </c>
      <c r="C3190" t="s">
        <v>40</v>
      </c>
      <c r="D3190" t="s">
        <v>18</v>
      </c>
      <c r="E3190" t="s">
        <v>19</v>
      </c>
      <c r="F3190" t="s">
        <v>41</v>
      </c>
      <c r="O3190">
        <v>2046</v>
      </c>
    </row>
    <row r="3191" spans="1:16" x14ac:dyDescent="0.3">
      <c r="A3191" t="str">
        <f t="shared" si="49"/>
        <v>CN|AccumulatedNewCapacity|RE1|PWRSOLUPE|2046</v>
      </c>
      <c r="B3191" t="s">
        <v>39</v>
      </c>
      <c r="C3191" t="s">
        <v>40</v>
      </c>
      <c r="D3191" t="s">
        <v>18</v>
      </c>
      <c r="E3191" t="s">
        <v>19</v>
      </c>
      <c r="F3191" t="s">
        <v>34</v>
      </c>
      <c r="O3191">
        <v>2046</v>
      </c>
      <c r="P3191">
        <v>12.14419823999993</v>
      </c>
    </row>
    <row r="3192" spans="1:16" x14ac:dyDescent="0.3">
      <c r="A3192" t="str">
        <f t="shared" si="49"/>
        <v>CN|AccumulatedNewCapacity|RE1|PWRSTD|2046</v>
      </c>
      <c r="B3192" t="s">
        <v>39</v>
      </c>
      <c r="C3192" t="s">
        <v>40</v>
      </c>
      <c r="D3192" t="s">
        <v>18</v>
      </c>
      <c r="E3192" t="s">
        <v>19</v>
      </c>
      <c r="F3192" t="s">
        <v>35</v>
      </c>
      <c r="O3192">
        <v>2046</v>
      </c>
    </row>
    <row r="3193" spans="1:16" x14ac:dyDescent="0.3">
      <c r="A3193" t="str">
        <f t="shared" si="49"/>
        <v>CN|AccumulatedNewCapacity|RE1|PWRWNDOFS_FIX|2046</v>
      </c>
      <c r="B3193" t="s">
        <v>39</v>
      </c>
      <c r="C3193" t="s">
        <v>40</v>
      </c>
      <c r="D3193" t="s">
        <v>18</v>
      </c>
      <c r="E3193" t="s">
        <v>19</v>
      </c>
      <c r="F3193" t="s">
        <v>42</v>
      </c>
      <c r="O3193">
        <v>2046</v>
      </c>
      <c r="P3193">
        <v>423.58702457715822</v>
      </c>
    </row>
    <row r="3194" spans="1:16" x14ac:dyDescent="0.3">
      <c r="A3194" t="str">
        <f t="shared" si="49"/>
        <v>CN|AccumulatedNewCapacity|RE1|PWRWNDOFS_FLO|2046</v>
      </c>
      <c r="B3194" t="s">
        <v>39</v>
      </c>
      <c r="C3194" t="s">
        <v>40</v>
      </c>
      <c r="D3194" t="s">
        <v>18</v>
      </c>
      <c r="E3194" t="s">
        <v>19</v>
      </c>
      <c r="F3194" t="s">
        <v>43</v>
      </c>
      <c r="O3194">
        <v>2046</v>
      </c>
    </row>
    <row r="3195" spans="1:16" x14ac:dyDescent="0.3">
      <c r="A3195" t="str">
        <f t="shared" si="49"/>
        <v>CN|AccumulatedNewCapacity|RE1|PWRWNDONS|2046</v>
      </c>
      <c r="B3195" t="s">
        <v>39</v>
      </c>
      <c r="C3195" t="s">
        <v>40</v>
      </c>
      <c r="D3195" t="s">
        <v>18</v>
      </c>
      <c r="E3195" t="s">
        <v>19</v>
      </c>
      <c r="F3195" t="s">
        <v>36</v>
      </c>
      <c r="O3195">
        <v>2046</v>
      </c>
      <c r="P3195">
        <v>662.30944648443551</v>
      </c>
    </row>
    <row r="3196" spans="1:16" x14ac:dyDescent="0.3">
      <c r="A3196" t="str">
        <f t="shared" si="49"/>
        <v>CN|NewCapacity|RE1|PWRBGS|2046</v>
      </c>
      <c r="B3196" t="s">
        <v>39</v>
      </c>
      <c r="C3196" t="s">
        <v>40</v>
      </c>
      <c r="D3196" t="s">
        <v>37</v>
      </c>
      <c r="E3196" t="s">
        <v>19</v>
      </c>
      <c r="F3196" t="s">
        <v>20</v>
      </c>
      <c r="O3196">
        <v>2046</v>
      </c>
    </row>
    <row r="3197" spans="1:16" x14ac:dyDescent="0.3">
      <c r="A3197" t="str">
        <f t="shared" si="49"/>
        <v>CN|NewCapacity|RE1|PWRCOA|2046</v>
      </c>
      <c r="B3197" t="s">
        <v>39</v>
      </c>
      <c r="C3197" t="s">
        <v>40</v>
      </c>
      <c r="D3197" t="s">
        <v>37</v>
      </c>
      <c r="E3197" t="s">
        <v>19</v>
      </c>
      <c r="F3197" t="s">
        <v>21</v>
      </c>
      <c r="O3197">
        <v>2046</v>
      </c>
    </row>
    <row r="3198" spans="1:16" x14ac:dyDescent="0.3">
      <c r="A3198" t="str">
        <f t="shared" si="49"/>
        <v>CN|NewCapacity|RE1|PWRDSL|2046</v>
      </c>
      <c r="B3198" t="s">
        <v>39</v>
      </c>
      <c r="C3198" t="s">
        <v>40</v>
      </c>
      <c r="D3198" t="s">
        <v>37</v>
      </c>
      <c r="E3198" t="s">
        <v>19</v>
      </c>
      <c r="F3198" t="s">
        <v>22</v>
      </c>
      <c r="O3198">
        <v>2046</v>
      </c>
    </row>
    <row r="3199" spans="1:16" x14ac:dyDescent="0.3">
      <c r="A3199" t="str">
        <f t="shared" si="49"/>
        <v>CN|NewCapacity|RE1|PWRFOL|2046</v>
      </c>
      <c r="B3199" t="s">
        <v>39</v>
      </c>
      <c r="C3199" t="s">
        <v>40</v>
      </c>
      <c r="D3199" t="s">
        <v>37</v>
      </c>
      <c r="E3199" t="s">
        <v>19</v>
      </c>
      <c r="F3199" t="s">
        <v>23</v>
      </c>
      <c r="O3199">
        <v>2046</v>
      </c>
    </row>
    <row r="3200" spans="1:16" x14ac:dyDescent="0.3">
      <c r="A3200" t="str">
        <f t="shared" si="49"/>
        <v>CN|NewCapacity|RE1|PWRHYDDAM|2046</v>
      </c>
      <c r="B3200" t="s">
        <v>39</v>
      </c>
      <c r="C3200" t="s">
        <v>40</v>
      </c>
      <c r="D3200" t="s">
        <v>37</v>
      </c>
      <c r="E3200" t="s">
        <v>19</v>
      </c>
      <c r="F3200" t="s">
        <v>24</v>
      </c>
      <c r="O3200">
        <v>2046</v>
      </c>
    </row>
    <row r="3201" spans="1:16" x14ac:dyDescent="0.3">
      <c r="A3201" t="str">
        <f t="shared" si="49"/>
        <v>CN|NewCapacity|RE1|PWRHYDROR|2046</v>
      </c>
      <c r="B3201" t="s">
        <v>39</v>
      </c>
      <c r="C3201" t="s">
        <v>40</v>
      </c>
      <c r="D3201" t="s">
        <v>37</v>
      </c>
      <c r="E3201" t="s">
        <v>19</v>
      </c>
      <c r="F3201" t="s">
        <v>25</v>
      </c>
      <c r="O3201">
        <v>2046</v>
      </c>
    </row>
    <row r="3202" spans="1:16" x14ac:dyDescent="0.3">
      <c r="A3202" t="str">
        <f t="shared" ref="A3202:A3265" si="50">B3202&amp;"|"&amp;D3202&amp;"|"&amp;E3202&amp;"|"&amp;F3202&amp;"|"&amp;O3202</f>
        <v>CN|NewCapacity|RE1|PWRHYDROR_NDC|2046</v>
      </c>
      <c r="B3202" t="s">
        <v>39</v>
      </c>
      <c r="C3202" t="s">
        <v>40</v>
      </c>
      <c r="D3202" t="s">
        <v>37</v>
      </c>
      <c r="E3202" t="s">
        <v>19</v>
      </c>
      <c r="F3202" t="s">
        <v>26</v>
      </c>
      <c r="O3202">
        <v>2046</v>
      </c>
    </row>
    <row r="3203" spans="1:16" x14ac:dyDescent="0.3">
      <c r="A3203" t="str">
        <f t="shared" si="50"/>
        <v>CN|NewCapacity|RE1|PWRJET|2046</v>
      </c>
      <c r="B3203" t="s">
        <v>39</v>
      </c>
      <c r="C3203" t="s">
        <v>40</v>
      </c>
      <c r="D3203" t="s">
        <v>37</v>
      </c>
      <c r="E3203" t="s">
        <v>19</v>
      </c>
      <c r="F3203" t="s">
        <v>27</v>
      </c>
      <c r="O3203">
        <v>2046</v>
      </c>
    </row>
    <row r="3204" spans="1:16" x14ac:dyDescent="0.3">
      <c r="A3204" t="str">
        <f t="shared" si="50"/>
        <v>CN|NewCapacity|RE1|PWRLPG|2046</v>
      </c>
      <c r="B3204" t="s">
        <v>39</v>
      </c>
      <c r="C3204" t="s">
        <v>40</v>
      </c>
      <c r="D3204" t="s">
        <v>37</v>
      </c>
      <c r="E3204" t="s">
        <v>19</v>
      </c>
      <c r="F3204" t="s">
        <v>28</v>
      </c>
      <c r="O3204">
        <v>2046</v>
      </c>
    </row>
    <row r="3205" spans="1:16" x14ac:dyDescent="0.3">
      <c r="A3205" t="str">
        <f t="shared" si="50"/>
        <v>CN|NewCapacity|RE1|PWRNGS_CC|2046</v>
      </c>
      <c r="B3205" t="s">
        <v>39</v>
      </c>
      <c r="C3205" t="s">
        <v>40</v>
      </c>
      <c r="D3205" t="s">
        <v>37</v>
      </c>
      <c r="E3205" t="s">
        <v>19</v>
      </c>
      <c r="F3205" t="s">
        <v>29</v>
      </c>
      <c r="O3205">
        <v>2046</v>
      </c>
    </row>
    <row r="3206" spans="1:16" x14ac:dyDescent="0.3">
      <c r="A3206" t="str">
        <f t="shared" si="50"/>
        <v>CN|NewCapacity|RE1|PWRNGS_CS|2046</v>
      </c>
      <c r="B3206" t="s">
        <v>39</v>
      </c>
      <c r="C3206" t="s">
        <v>40</v>
      </c>
      <c r="D3206" t="s">
        <v>37</v>
      </c>
      <c r="E3206" t="s">
        <v>19</v>
      </c>
      <c r="F3206" t="s">
        <v>30</v>
      </c>
      <c r="O3206">
        <v>2046</v>
      </c>
    </row>
    <row r="3207" spans="1:16" x14ac:dyDescent="0.3">
      <c r="A3207" t="str">
        <f t="shared" si="50"/>
        <v>CN|NewCapacity|RE1|PWRSOLRTP|2046</v>
      </c>
      <c r="B3207" t="s">
        <v>39</v>
      </c>
      <c r="C3207" t="s">
        <v>40</v>
      </c>
      <c r="D3207" t="s">
        <v>37</v>
      </c>
      <c r="E3207" t="s">
        <v>19</v>
      </c>
      <c r="F3207" t="s">
        <v>31</v>
      </c>
      <c r="O3207">
        <v>2046</v>
      </c>
      <c r="P3207">
        <v>2.54</v>
      </c>
    </row>
    <row r="3208" spans="1:16" x14ac:dyDescent="0.3">
      <c r="A3208" t="str">
        <f t="shared" si="50"/>
        <v>CN|NewCapacity|RE1|PWRSOLRTP_ZNI|2046</v>
      </c>
      <c r="B3208" t="s">
        <v>39</v>
      </c>
      <c r="C3208" t="s">
        <v>40</v>
      </c>
      <c r="D3208" t="s">
        <v>37</v>
      </c>
      <c r="E3208" t="s">
        <v>19</v>
      </c>
      <c r="F3208" t="s">
        <v>32</v>
      </c>
      <c r="O3208">
        <v>2046</v>
      </c>
      <c r="P3208">
        <v>4.7721976806840177E-2</v>
      </c>
    </row>
    <row r="3209" spans="1:16" x14ac:dyDescent="0.3">
      <c r="A3209" t="str">
        <f t="shared" si="50"/>
        <v>CN|NewCapacity|RE1|PWRSOLUGE|2046</v>
      </c>
      <c r="B3209" t="s">
        <v>39</v>
      </c>
      <c r="C3209" t="s">
        <v>40</v>
      </c>
      <c r="D3209" t="s">
        <v>37</v>
      </c>
      <c r="E3209" t="s">
        <v>19</v>
      </c>
      <c r="F3209" t="s">
        <v>33</v>
      </c>
      <c r="O3209">
        <v>2046</v>
      </c>
      <c r="P3209">
        <v>47.31</v>
      </c>
    </row>
    <row r="3210" spans="1:16" x14ac:dyDescent="0.3">
      <c r="A3210" t="str">
        <f t="shared" si="50"/>
        <v>CN|NewCapacity|RE1|PWRSOLUGE_BAT|2046</v>
      </c>
      <c r="B3210" t="s">
        <v>39</v>
      </c>
      <c r="C3210" t="s">
        <v>40</v>
      </c>
      <c r="D3210" t="s">
        <v>37</v>
      </c>
      <c r="E3210" t="s">
        <v>19</v>
      </c>
      <c r="F3210" t="s">
        <v>41</v>
      </c>
      <c r="O3210">
        <v>2046</v>
      </c>
    </row>
    <row r="3211" spans="1:16" x14ac:dyDescent="0.3">
      <c r="A3211" t="str">
        <f t="shared" si="50"/>
        <v>CN|NewCapacity|RE1|PWRSOLUPE|2046</v>
      </c>
      <c r="B3211" t="s">
        <v>39</v>
      </c>
      <c r="C3211" t="s">
        <v>40</v>
      </c>
      <c r="D3211" t="s">
        <v>37</v>
      </c>
      <c r="E3211" t="s">
        <v>19</v>
      </c>
      <c r="F3211" t="s">
        <v>34</v>
      </c>
      <c r="O3211">
        <v>2046</v>
      </c>
    </row>
    <row r="3212" spans="1:16" x14ac:dyDescent="0.3">
      <c r="A3212" t="str">
        <f t="shared" si="50"/>
        <v>CN|NewCapacity|RE1|PWRSTD|2046</v>
      </c>
      <c r="B3212" t="s">
        <v>39</v>
      </c>
      <c r="C3212" t="s">
        <v>40</v>
      </c>
      <c r="D3212" t="s">
        <v>37</v>
      </c>
      <c r="E3212" t="s">
        <v>19</v>
      </c>
      <c r="F3212" t="s">
        <v>35</v>
      </c>
      <c r="O3212">
        <v>2046</v>
      </c>
    </row>
    <row r="3213" spans="1:16" x14ac:dyDescent="0.3">
      <c r="A3213" t="str">
        <f t="shared" si="50"/>
        <v>CN|NewCapacity|RE1|PWRWNDOFS_FIX|2046</v>
      </c>
      <c r="B3213" t="s">
        <v>39</v>
      </c>
      <c r="C3213" t="s">
        <v>40</v>
      </c>
      <c r="D3213" t="s">
        <v>37</v>
      </c>
      <c r="E3213" t="s">
        <v>19</v>
      </c>
      <c r="F3213" t="s">
        <v>42</v>
      </c>
      <c r="O3213">
        <v>2046</v>
      </c>
      <c r="P3213">
        <v>47.31</v>
      </c>
    </row>
    <row r="3214" spans="1:16" x14ac:dyDescent="0.3">
      <c r="A3214" t="str">
        <f t="shared" si="50"/>
        <v>CN|NewCapacity|RE1|PWRWNDOFS_FLO|2046</v>
      </c>
      <c r="B3214" t="s">
        <v>39</v>
      </c>
      <c r="C3214" t="s">
        <v>40</v>
      </c>
      <c r="D3214" t="s">
        <v>37</v>
      </c>
      <c r="E3214" t="s">
        <v>19</v>
      </c>
      <c r="F3214" t="s">
        <v>43</v>
      </c>
      <c r="O3214">
        <v>2046</v>
      </c>
    </row>
    <row r="3215" spans="1:16" x14ac:dyDescent="0.3">
      <c r="A3215" t="str">
        <f t="shared" si="50"/>
        <v>CN|NewCapacity|RE1|PWRWNDONS|2046</v>
      </c>
      <c r="B3215" t="s">
        <v>39</v>
      </c>
      <c r="C3215" t="s">
        <v>40</v>
      </c>
      <c r="D3215" t="s">
        <v>37</v>
      </c>
      <c r="E3215" t="s">
        <v>19</v>
      </c>
      <c r="F3215" t="s">
        <v>36</v>
      </c>
      <c r="O3215">
        <v>2046</v>
      </c>
      <c r="P3215">
        <v>47.31</v>
      </c>
    </row>
    <row r="3216" spans="1:16" x14ac:dyDescent="0.3">
      <c r="A3216" t="str">
        <f t="shared" si="50"/>
        <v>CN|TotalCapacityAnnual|RE1|PWRBGS|2046</v>
      </c>
      <c r="B3216" t="s">
        <v>39</v>
      </c>
      <c r="C3216" t="s">
        <v>40</v>
      </c>
      <c r="D3216" t="s">
        <v>38</v>
      </c>
      <c r="E3216" t="s">
        <v>19</v>
      </c>
      <c r="F3216" t="s">
        <v>20</v>
      </c>
      <c r="O3216">
        <v>2046</v>
      </c>
      <c r="P3216">
        <v>2.5488587520000001E-2</v>
      </c>
    </row>
    <row r="3217" spans="1:16" x14ac:dyDescent="0.3">
      <c r="A3217" t="str">
        <f t="shared" si="50"/>
        <v>CN|TotalCapacityAnnual|RE1|PWRCOA|2046</v>
      </c>
      <c r="B3217" t="s">
        <v>39</v>
      </c>
      <c r="C3217" t="s">
        <v>40</v>
      </c>
      <c r="D3217" t="s">
        <v>38</v>
      </c>
      <c r="E3217" t="s">
        <v>19</v>
      </c>
      <c r="F3217" t="s">
        <v>21</v>
      </c>
      <c r="O3217">
        <v>2046</v>
      </c>
    </row>
    <row r="3218" spans="1:16" x14ac:dyDescent="0.3">
      <c r="A3218" t="str">
        <f t="shared" si="50"/>
        <v>CN|TotalCapacityAnnual|RE1|PWRDSL|2046</v>
      </c>
      <c r="B3218" t="s">
        <v>39</v>
      </c>
      <c r="C3218" t="s">
        <v>40</v>
      </c>
      <c r="D3218" t="s">
        <v>38</v>
      </c>
      <c r="E3218" t="s">
        <v>19</v>
      </c>
      <c r="F3218" t="s">
        <v>22</v>
      </c>
      <c r="O3218">
        <v>2046</v>
      </c>
    </row>
    <row r="3219" spans="1:16" x14ac:dyDescent="0.3">
      <c r="A3219" t="str">
        <f t="shared" si="50"/>
        <v>CN|TotalCapacityAnnual|RE1|PWRFOL|2046</v>
      </c>
      <c r="B3219" t="s">
        <v>39</v>
      </c>
      <c r="C3219" t="s">
        <v>40</v>
      </c>
      <c r="D3219" t="s">
        <v>38</v>
      </c>
      <c r="E3219" t="s">
        <v>19</v>
      </c>
      <c r="F3219" t="s">
        <v>23</v>
      </c>
      <c r="O3219">
        <v>2046</v>
      </c>
      <c r="P3219">
        <v>8.3885759999999987</v>
      </c>
    </row>
    <row r="3220" spans="1:16" x14ac:dyDescent="0.3">
      <c r="A3220" t="str">
        <f t="shared" si="50"/>
        <v>CN|TotalCapacityAnnual|RE1|PWRHYDDAM|2046</v>
      </c>
      <c r="B3220" t="s">
        <v>39</v>
      </c>
      <c r="C3220" t="s">
        <v>40</v>
      </c>
      <c r="D3220" t="s">
        <v>38</v>
      </c>
      <c r="E3220" t="s">
        <v>19</v>
      </c>
      <c r="F3220" t="s">
        <v>24</v>
      </c>
      <c r="O3220">
        <v>2046</v>
      </c>
      <c r="P3220">
        <v>440.49164800000011</v>
      </c>
    </row>
    <row r="3221" spans="1:16" x14ac:dyDescent="0.3">
      <c r="A3221" t="str">
        <f t="shared" si="50"/>
        <v>CN|TotalCapacityAnnual|RE1|PWRHYDROR|2046</v>
      </c>
      <c r="B3221" t="s">
        <v>39</v>
      </c>
      <c r="C3221" t="s">
        <v>40</v>
      </c>
      <c r="D3221" t="s">
        <v>38</v>
      </c>
      <c r="E3221" t="s">
        <v>19</v>
      </c>
      <c r="F3221" t="s">
        <v>25</v>
      </c>
      <c r="O3221">
        <v>2046</v>
      </c>
      <c r="P3221">
        <v>21.097584000000001</v>
      </c>
    </row>
    <row r="3222" spans="1:16" x14ac:dyDescent="0.3">
      <c r="A3222" t="str">
        <f t="shared" si="50"/>
        <v>CN|TotalCapacityAnnual|RE1|PWRHYDROR_NDC|2046</v>
      </c>
      <c r="B3222" t="s">
        <v>39</v>
      </c>
      <c r="C3222" t="s">
        <v>40</v>
      </c>
      <c r="D3222" t="s">
        <v>38</v>
      </c>
      <c r="E3222" t="s">
        <v>19</v>
      </c>
      <c r="F3222" t="s">
        <v>26</v>
      </c>
      <c r="O3222">
        <v>2046</v>
      </c>
      <c r="P3222">
        <v>88.711466505509463</v>
      </c>
    </row>
    <row r="3223" spans="1:16" x14ac:dyDescent="0.3">
      <c r="A3223" t="str">
        <f t="shared" si="50"/>
        <v>CN|TotalCapacityAnnual|RE1|PWRJET|2046</v>
      </c>
      <c r="B3223" t="s">
        <v>39</v>
      </c>
      <c r="C3223" t="s">
        <v>40</v>
      </c>
      <c r="D3223" t="s">
        <v>38</v>
      </c>
      <c r="E3223" t="s">
        <v>19</v>
      </c>
      <c r="F3223" t="s">
        <v>27</v>
      </c>
      <c r="O3223">
        <v>2046</v>
      </c>
      <c r="P3223">
        <v>1.5768</v>
      </c>
    </row>
    <row r="3224" spans="1:16" x14ac:dyDescent="0.3">
      <c r="A3224" t="str">
        <f t="shared" si="50"/>
        <v>CN|TotalCapacityAnnual|RE1|PWRLPG|2046</v>
      </c>
      <c r="B3224" t="s">
        <v>39</v>
      </c>
      <c r="C3224" t="s">
        <v>40</v>
      </c>
      <c r="D3224" t="s">
        <v>38</v>
      </c>
      <c r="E3224" t="s">
        <v>19</v>
      </c>
      <c r="F3224" t="s">
        <v>28</v>
      </c>
      <c r="O3224">
        <v>2046</v>
      </c>
      <c r="P3224">
        <v>1.639872</v>
      </c>
    </row>
    <row r="3225" spans="1:16" x14ac:dyDescent="0.3">
      <c r="A3225" t="str">
        <f t="shared" si="50"/>
        <v>CN|TotalCapacityAnnual|RE1|PWRNGS_CC|2046</v>
      </c>
      <c r="B3225" t="s">
        <v>39</v>
      </c>
      <c r="C3225" t="s">
        <v>40</v>
      </c>
      <c r="D3225" t="s">
        <v>38</v>
      </c>
      <c r="E3225" t="s">
        <v>19</v>
      </c>
      <c r="F3225" t="s">
        <v>29</v>
      </c>
      <c r="O3225">
        <v>2046</v>
      </c>
      <c r="P3225">
        <v>70.104500000000002</v>
      </c>
    </row>
    <row r="3226" spans="1:16" x14ac:dyDescent="0.3">
      <c r="A3226" t="str">
        <f t="shared" si="50"/>
        <v>CN|TotalCapacityAnnual|RE1|PWRNGS_CS|2046</v>
      </c>
      <c r="B3226" t="s">
        <v>39</v>
      </c>
      <c r="C3226" t="s">
        <v>40</v>
      </c>
      <c r="D3226" t="s">
        <v>38</v>
      </c>
      <c r="E3226" t="s">
        <v>19</v>
      </c>
      <c r="F3226" t="s">
        <v>30</v>
      </c>
      <c r="O3226">
        <v>2046</v>
      </c>
      <c r="P3226">
        <v>48.03</v>
      </c>
    </row>
    <row r="3227" spans="1:16" x14ac:dyDescent="0.3">
      <c r="A3227" t="str">
        <f t="shared" si="50"/>
        <v>CN|TotalCapacityAnnual|RE1|PWRSOLRTP|2046</v>
      </c>
      <c r="B3227" t="s">
        <v>39</v>
      </c>
      <c r="C3227" t="s">
        <v>40</v>
      </c>
      <c r="D3227" t="s">
        <v>38</v>
      </c>
      <c r="E3227" t="s">
        <v>19</v>
      </c>
      <c r="F3227" t="s">
        <v>31</v>
      </c>
      <c r="O3227">
        <v>2046</v>
      </c>
      <c r="P3227">
        <v>233.44335518622691</v>
      </c>
    </row>
    <row r="3228" spans="1:16" x14ac:dyDescent="0.3">
      <c r="A3228" t="str">
        <f t="shared" si="50"/>
        <v>CN|TotalCapacityAnnual|RE1|PWRSOLRTP_ZNI|2046</v>
      </c>
      <c r="B3228" t="s">
        <v>39</v>
      </c>
      <c r="C3228" t="s">
        <v>40</v>
      </c>
      <c r="D3228" t="s">
        <v>38</v>
      </c>
      <c r="E3228" t="s">
        <v>19</v>
      </c>
      <c r="F3228" t="s">
        <v>32</v>
      </c>
      <c r="O3228">
        <v>2046</v>
      </c>
      <c r="P3228">
        <v>1.6871604651726959</v>
      </c>
    </row>
    <row r="3229" spans="1:16" x14ac:dyDescent="0.3">
      <c r="A3229" t="str">
        <f t="shared" si="50"/>
        <v>CN|TotalCapacityAnnual|RE1|PWRSOLUGE|2046</v>
      </c>
      <c r="B3229" t="s">
        <v>39</v>
      </c>
      <c r="C3229" t="s">
        <v>40</v>
      </c>
      <c r="D3229" t="s">
        <v>38</v>
      </c>
      <c r="E3229" t="s">
        <v>19</v>
      </c>
      <c r="F3229" t="s">
        <v>33</v>
      </c>
      <c r="O3229">
        <v>2046</v>
      </c>
      <c r="P3229">
        <v>476.59974486843851</v>
      </c>
    </row>
    <row r="3230" spans="1:16" x14ac:dyDescent="0.3">
      <c r="A3230" t="str">
        <f t="shared" si="50"/>
        <v>CN|TotalCapacityAnnual|RE1|PWRSOLUGE_BAT|2046</v>
      </c>
      <c r="B3230" t="s">
        <v>39</v>
      </c>
      <c r="C3230" t="s">
        <v>40</v>
      </c>
      <c r="D3230" t="s">
        <v>38</v>
      </c>
      <c r="E3230" t="s">
        <v>19</v>
      </c>
      <c r="F3230" t="s">
        <v>41</v>
      </c>
      <c r="O3230">
        <v>2046</v>
      </c>
    </row>
    <row r="3231" spans="1:16" x14ac:dyDescent="0.3">
      <c r="A3231" t="str">
        <f t="shared" si="50"/>
        <v>CN|TotalCapacityAnnual|RE1|PWRSOLUPE|2046</v>
      </c>
      <c r="B3231" t="s">
        <v>39</v>
      </c>
      <c r="C3231" t="s">
        <v>40</v>
      </c>
      <c r="D3231" t="s">
        <v>38</v>
      </c>
      <c r="E3231" t="s">
        <v>19</v>
      </c>
      <c r="F3231" t="s">
        <v>34</v>
      </c>
      <c r="O3231">
        <v>2046</v>
      </c>
      <c r="P3231">
        <v>12.14419823999993</v>
      </c>
    </row>
    <row r="3232" spans="1:16" x14ac:dyDescent="0.3">
      <c r="A3232" t="str">
        <f t="shared" si="50"/>
        <v>CN|TotalCapacityAnnual|RE1|PWRSTD|2046</v>
      </c>
      <c r="B3232" t="s">
        <v>39</v>
      </c>
      <c r="C3232" t="s">
        <v>40</v>
      </c>
      <c r="D3232" t="s">
        <v>38</v>
      </c>
      <c r="E3232" t="s">
        <v>19</v>
      </c>
      <c r="F3232" t="s">
        <v>35</v>
      </c>
      <c r="O3232">
        <v>2046</v>
      </c>
      <c r="P3232">
        <v>8.163062064</v>
      </c>
    </row>
    <row r="3233" spans="1:16" x14ac:dyDescent="0.3">
      <c r="A3233" t="str">
        <f t="shared" si="50"/>
        <v>CN|TotalCapacityAnnual|RE1|PWRWNDOFS_FIX|2046</v>
      </c>
      <c r="B3233" t="s">
        <v>39</v>
      </c>
      <c r="C3233" t="s">
        <v>40</v>
      </c>
      <c r="D3233" t="s">
        <v>38</v>
      </c>
      <c r="E3233" t="s">
        <v>19</v>
      </c>
      <c r="F3233" t="s">
        <v>42</v>
      </c>
      <c r="O3233">
        <v>2046</v>
      </c>
      <c r="P3233">
        <v>423.58702457715822</v>
      </c>
    </row>
    <row r="3234" spans="1:16" x14ac:dyDescent="0.3">
      <c r="A3234" t="str">
        <f t="shared" si="50"/>
        <v>CN|TotalCapacityAnnual|RE1|PWRWNDOFS_FLO|2046</v>
      </c>
      <c r="B3234" t="s">
        <v>39</v>
      </c>
      <c r="C3234" t="s">
        <v>40</v>
      </c>
      <c r="D3234" t="s">
        <v>38</v>
      </c>
      <c r="E3234" t="s">
        <v>19</v>
      </c>
      <c r="F3234" t="s">
        <v>43</v>
      </c>
      <c r="O3234">
        <v>2046</v>
      </c>
    </row>
    <row r="3235" spans="1:16" x14ac:dyDescent="0.3">
      <c r="A3235" t="str">
        <f t="shared" si="50"/>
        <v>CN|TotalCapacityAnnual|RE1|PWRWNDONS|2046</v>
      </c>
      <c r="B3235" t="s">
        <v>39</v>
      </c>
      <c r="C3235" t="s">
        <v>40</v>
      </c>
      <c r="D3235" t="s">
        <v>38</v>
      </c>
      <c r="E3235" t="s">
        <v>19</v>
      </c>
      <c r="F3235" t="s">
        <v>36</v>
      </c>
      <c r="O3235">
        <v>2046</v>
      </c>
      <c r="P3235">
        <v>663.67810888443546</v>
      </c>
    </row>
    <row r="3236" spans="1:16" x14ac:dyDescent="0.3">
      <c r="A3236" t="str">
        <f t="shared" si="50"/>
        <v>CN|AccumulatedNewCapacity|RE1|PWRBGS|2047</v>
      </c>
      <c r="B3236" t="s">
        <v>39</v>
      </c>
      <c r="C3236" t="s">
        <v>40</v>
      </c>
      <c r="D3236" t="s">
        <v>18</v>
      </c>
      <c r="E3236" t="s">
        <v>19</v>
      </c>
      <c r="F3236" t="s">
        <v>20</v>
      </c>
      <c r="O3236">
        <v>2047</v>
      </c>
    </row>
    <row r="3237" spans="1:16" x14ac:dyDescent="0.3">
      <c r="A3237" t="str">
        <f t="shared" si="50"/>
        <v>CN|AccumulatedNewCapacity|RE1|PWRCOA|2047</v>
      </c>
      <c r="B3237" t="s">
        <v>39</v>
      </c>
      <c r="C3237" t="s">
        <v>40</v>
      </c>
      <c r="D3237" t="s">
        <v>18</v>
      </c>
      <c r="E3237" t="s">
        <v>19</v>
      </c>
      <c r="F3237" t="s">
        <v>21</v>
      </c>
      <c r="O3237">
        <v>2047</v>
      </c>
    </row>
    <row r="3238" spans="1:16" x14ac:dyDescent="0.3">
      <c r="A3238" t="str">
        <f t="shared" si="50"/>
        <v>CN|AccumulatedNewCapacity|RE1|PWRDSL|2047</v>
      </c>
      <c r="B3238" t="s">
        <v>39</v>
      </c>
      <c r="C3238" t="s">
        <v>40</v>
      </c>
      <c r="D3238" t="s">
        <v>18</v>
      </c>
      <c r="E3238" t="s">
        <v>19</v>
      </c>
      <c r="F3238" t="s">
        <v>22</v>
      </c>
      <c r="O3238">
        <v>2047</v>
      </c>
    </row>
    <row r="3239" spans="1:16" x14ac:dyDescent="0.3">
      <c r="A3239" t="str">
        <f t="shared" si="50"/>
        <v>CN|AccumulatedNewCapacity|RE1|PWRFOL|2047</v>
      </c>
      <c r="B3239" t="s">
        <v>39</v>
      </c>
      <c r="C3239" t="s">
        <v>40</v>
      </c>
      <c r="D3239" t="s">
        <v>18</v>
      </c>
      <c r="E3239" t="s">
        <v>19</v>
      </c>
      <c r="F3239" t="s">
        <v>23</v>
      </c>
      <c r="O3239">
        <v>2047</v>
      </c>
    </row>
    <row r="3240" spans="1:16" x14ac:dyDescent="0.3">
      <c r="A3240" t="str">
        <f t="shared" si="50"/>
        <v>CN|AccumulatedNewCapacity|RE1|PWRHYDDAM|2047</v>
      </c>
      <c r="B3240" t="s">
        <v>39</v>
      </c>
      <c r="C3240" t="s">
        <v>40</v>
      </c>
      <c r="D3240" t="s">
        <v>18</v>
      </c>
      <c r="E3240" t="s">
        <v>19</v>
      </c>
      <c r="F3240" t="s">
        <v>24</v>
      </c>
      <c r="O3240">
        <v>2047</v>
      </c>
      <c r="P3240">
        <v>37.840000000000003</v>
      </c>
    </row>
    <row r="3241" spans="1:16" x14ac:dyDescent="0.3">
      <c r="A3241" t="str">
        <f t="shared" si="50"/>
        <v>CN|AccumulatedNewCapacity|RE1|PWRHYDROR|2047</v>
      </c>
      <c r="B3241" t="s">
        <v>39</v>
      </c>
      <c r="C3241" t="s">
        <v>40</v>
      </c>
      <c r="D3241" t="s">
        <v>18</v>
      </c>
      <c r="E3241" t="s">
        <v>19</v>
      </c>
      <c r="F3241" t="s">
        <v>25</v>
      </c>
      <c r="O3241">
        <v>2047</v>
      </c>
    </row>
    <row r="3242" spans="1:16" x14ac:dyDescent="0.3">
      <c r="A3242" t="str">
        <f t="shared" si="50"/>
        <v>CN|AccumulatedNewCapacity|RE1|PWRHYDROR_NDC|2047</v>
      </c>
      <c r="B3242" t="s">
        <v>39</v>
      </c>
      <c r="C3242" t="s">
        <v>40</v>
      </c>
      <c r="D3242" t="s">
        <v>18</v>
      </c>
      <c r="E3242" t="s">
        <v>19</v>
      </c>
      <c r="F3242" t="s">
        <v>26</v>
      </c>
      <c r="O3242">
        <v>2047</v>
      </c>
      <c r="P3242">
        <v>90.326358233509481</v>
      </c>
    </row>
    <row r="3243" spans="1:16" x14ac:dyDescent="0.3">
      <c r="A3243" t="str">
        <f t="shared" si="50"/>
        <v>CN|AccumulatedNewCapacity|RE1|PWRJET|2047</v>
      </c>
      <c r="B3243" t="s">
        <v>39</v>
      </c>
      <c r="C3243" t="s">
        <v>40</v>
      </c>
      <c r="D3243" t="s">
        <v>18</v>
      </c>
      <c r="E3243" t="s">
        <v>19</v>
      </c>
      <c r="F3243" t="s">
        <v>27</v>
      </c>
      <c r="O3243">
        <v>2047</v>
      </c>
    </row>
    <row r="3244" spans="1:16" x14ac:dyDescent="0.3">
      <c r="A3244" t="str">
        <f t="shared" si="50"/>
        <v>CN|AccumulatedNewCapacity|RE1|PWRLPG|2047</v>
      </c>
      <c r="B3244" t="s">
        <v>39</v>
      </c>
      <c r="C3244" t="s">
        <v>40</v>
      </c>
      <c r="D3244" t="s">
        <v>18</v>
      </c>
      <c r="E3244" t="s">
        <v>19</v>
      </c>
      <c r="F3244" t="s">
        <v>28</v>
      </c>
      <c r="O3244">
        <v>2047</v>
      </c>
    </row>
    <row r="3245" spans="1:16" x14ac:dyDescent="0.3">
      <c r="A3245" t="str">
        <f t="shared" si="50"/>
        <v>CN|AccumulatedNewCapacity|RE1|PWRNGS_CC|2047</v>
      </c>
      <c r="B3245" t="s">
        <v>39</v>
      </c>
      <c r="C3245" t="s">
        <v>40</v>
      </c>
      <c r="D3245" t="s">
        <v>18</v>
      </c>
      <c r="E3245" t="s">
        <v>19</v>
      </c>
      <c r="F3245" t="s">
        <v>29</v>
      </c>
      <c r="O3245">
        <v>2047</v>
      </c>
    </row>
    <row r="3246" spans="1:16" x14ac:dyDescent="0.3">
      <c r="A3246" t="str">
        <f t="shared" si="50"/>
        <v>CN|AccumulatedNewCapacity|RE1|PWRNGS_CS|2047</v>
      </c>
      <c r="B3246" t="s">
        <v>39</v>
      </c>
      <c r="C3246" t="s">
        <v>40</v>
      </c>
      <c r="D3246" t="s">
        <v>18</v>
      </c>
      <c r="E3246" t="s">
        <v>19</v>
      </c>
      <c r="F3246" t="s">
        <v>30</v>
      </c>
      <c r="O3246">
        <v>2047</v>
      </c>
    </row>
    <row r="3247" spans="1:16" x14ac:dyDescent="0.3">
      <c r="A3247" t="str">
        <f t="shared" si="50"/>
        <v>CN|AccumulatedNewCapacity|RE1|PWRSOLRTP|2047</v>
      </c>
      <c r="B3247" t="s">
        <v>39</v>
      </c>
      <c r="C3247" t="s">
        <v>40</v>
      </c>
      <c r="D3247" t="s">
        <v>18</v>
      </c>
      <c r="E3247" t="s">
        <v>19</v>
      </c>
      <c r="F3247" t="s">
        <v>31</v>
      </c>
      <c r="O3247">
        <v>2047</v>
      </c>
      <c r="P3247">
        <v>214.95345518622679</v>
      </c>
    </row>
    <row r="3248" spans="1:16" x14ac:dyDescent="0.3">
      <c r="A3248" t="str">
        <f t="shared" si="50"/>
        <v>CN|AccumulatedNewCapacity|RE1|PWRSOLRTP_ZNI|2047</v>
      </c>
      <c r="B3248" t="s">
        <v>39</v>
      </c>
      <c r="C3248" t="s">
        <v>40</v>
      </c>
      <c r="D3248" t="s">
        <v>18</v>
      </c>
      <c r="E3248" t="s">
        <v>19</v>
      </c>
      <c r="F3248" t="s">
        <v>32</v>
      </c>
      <c r="O3248">
        <v>2047</v>
      </c>
      <c r="P3248">
        <v>1.26825165396024</v>
      </c>
    </row>
    <row r="3249" spans="1:16" x14ac:dyDescent="0.3">
      <c r="A3249" t="str">
        <f t="shared" si="50"/>
        <v>CN|AccumulatedNewCapacity|RE1|PWRSOLUGE|2047</v>
      </c>
      <c r="B3249" t="s">
        <v>39</v>
      </c>
      <c r="C3249" t="s">
        <v>40</v>
      </c>
      <c r="D3249" t="s">
        <v>18</v>
      </c>
      <c r="E3249" t="s">
        <v>19</v>
      </c>
      <c r="F3249" t="s">
        <v>33</v>
      </c>
      <c r="O3249">
        <v>2047</v>
      </c>
      <c r="P3249">
        <v>475.51204486843852</v>
      </c>
    </row>
    <row r="3250" spans="1:16" x14ac:dyDescent="0.3">
      <c r="A3250" t="str">
        <f t="shared" si="50"/>
        <v>CN|AccumulatedNewCapacity|RE1|PWRSOLUGE_BAT|2047</v>
      </c>
      <c r="B3250" t="s">
        <v>39</v>
      </c>
      <c r="C3250" t="s">
        <v>40</v>
      </c>
      <c r="D3250" t="s">
        <v>18</v>
      </c>
      <c r="E3250" t="s">
        <v>19</v>
      </c>
      <c r="F3250" t="s">
        <v>41</v>
      </c>
      <c r="O3250">
        <v>2047</v>
      </c>
      <c r="P3250">
        <v>30.670102189502511</v>
      </c>
    </row>
    <row r="3251" spans="1:16" x14ac:dyDescent="0.3">
      <c r="A3251" t="str">
        <f t="shared" si="50"/>
        <v>CN|AccumulatedNewCapacity|RE1|PWRSOLUPE|2047</v>
      </c>
      <c r="B3251" t="s">
        <v>39</v>
      </c>
      <c r="C3251" t="s">
        <v>40</v>
      </c>
      <c r="D3251" t="s">
        <v>18</v>
      </c>
      <c r="E3251" t="s">
        <v>19</v>
      </c>
      <c r="F3251" t="s">
        <v>34</v>
      </c>
      <c r="O3251">
        <v>2047</v>
      </c>
      <c r="P3251">
        <v>12.14419823999993</v>
      </c>
    </row>
    <row r="3252" spans="1:16" x14ac:dyDescent="0.3">
      <c r="A3252" t="str">
        <f t="shared" si="50"/>
        <v>CN|AccumulatedNewCapacity|RE1|PWRSTD|2047</v>
      </c>
      <c r="B3252" t="s">
        <v>39</v>
      </c>
      <c r="C3252" t="s">
        <v>40</v>
      </c>
      <c r="D3252" t="s">
        <v>18</v>
      </c>
      <c r="E3252" t="s">
        <v>19</v>
      </c>
      <c r="F3252" t="s">
        <v>35</v>
      </c>
      <c r="O3252">
        <v>2047</v>
      </c>
    </row>
    <row r="3253" spans="1:16" x14ac:dyDescent="0.3">
      <c r="A3253" t="str">
        <f t="shared" si="50"/>
        <v>CN|AccumulatedNewCapacity|RE1|PWRWNDOFS_FIX|2047</v>
      </c>
      <c r="B3253" t="s">
        <v>39</v>
      </c>
      <c r="C3253" t="s">
        <v>40</v>
      </c>
      <c r="D3253" t="s">
        <v>18</v>
      </c>
      <c r="E3253" t="s">
        <v>19</v>
      </c>
      <c r="F3253" t="s">
        <v>42</v>
      </c>
      <c r="O3253">
        <v>2047</v>
      </c>
      <c r="P3253">
        <v>470.89702457715822</v>
      </c>
    </row>
    <row r="3254" spans="1:16" x14ac:dyDescent="0.3">
      <c r="A3254" t="str">
        <f t="shared" si="50"/>
        <v>CN|AccumulatedNewCapacity|RE1|PWRWNDOFS_FLO|2047</v>
      </c>
      <c r="B3254" t="s">
        <v>39</v>
      </c>
      <c r="C3254" t="s">
        <v>40</v>
      </c>
      <c r="D3254" t="s">
        <v>18</v>
      </c>
      <c r="E3254" t="s">
        <v>19</v>
      </c>
      <c r="F3254" t="s">
        <v>43</v>
      </c>
      <c r="O3254">
        <v>2047</v>
      </c>
      <c r="P3254">
        <v>2.3209769134012128</v>
      </c>
    </row>
    <row r="3255" spans="1:16" x14ac:dyDescent="0.3">
      <c r="A3255" t="str">
        <f t="shared" si="50"/>
        <v>CN|AccumulatedNewCapacity|RE1|PWRWNDONS|2047</v>
      </c>
      <c r="B3255" t="s">
        <v>39</v>
      </c>
      <c r="C3255" t="s">
        <v>40</v>
      </c>
      <c r="D3255" t="s">
        <v>18</v>
      </c>
      <c r="E3255" t="s">
        <v>19</v>
      </c>
      <c r="F3255" t="s">
        <v>36</v>
      </c>
      <c r="O3255">
        <v>2047</v>
      </c>
      <c r="P3255">
        <v>709.61944648443546</v>
      </c>
    </row>
    <row r="3256" spans="1:16" x14ac:dyDescent="0.3">
      <c r="A3256" t="str">
        <f t="shared" si="50"/>
        <v>CN|NewCapacity|RE1|PWRBGS|2047</v>
      </c>
      <c r="B3256" t="s">
        <v>39</v>
      </c>
      <c r="C3256" t="s">
        <v>40</v>
      </c>
      <c r="D3256" t="s">
        <v>37</v>
      </c>
      <c r="E3256" t="s">
        <v>19</v>
      </c>
      <c r="F3256" t="s">
        <v>20</v>
      </c>
      <c r="O3256">
        <v>2047</v>
      </c>
    </row>
    <row r="3257" spans="1:16" x14ac:dyDescent="0.3">
      <c r="A3257" t="str">
        <f t="shared" si="50"/>
        <v>CN|NewCapacity|RE1|PWRCOA|2047</v>
      </c>
      <c r="B3257" t="s">
        <v>39</v>
      </c>
      <c r="C3257" t="s">
        <v>40</v>
      </c>
      <c r="D3257" t="s">
        <v>37</v>
      </c>
      <c r="E3257" t="s">
        <v>19</v>
      </c>
      <c r="F3257" t="s">
        <v>21</v>
      </c>
      <c r="O3257">
        <v>2047</v>
      </c>
    </row>
    <row r="3258" spans="1:16" x14ac:dyDescent="0.3">
      <c r="A3258" t="str">
        <f t="shared" si="50"/>
        <v>CN|NewCapacity|RE1|PWRDSL|2047</v>
      </c>
      <c r="B3258" t="s">
        <v>39</v>
      </c>
      <c r="C3258" t="s">
        <v>40</v>
      </c>
      <c r="D3258" t="s">
        <v>37</v>
      </c>
      <c r="E3258" t="s">
        <v>19</v>
      </c>
      <c r="F3258" t="s">
        <v>22</v>
      </c>
      <c r="O3258">
        <v>2047</v>
      </c>
    </row>
    <row r="3259" spans="1:16" x14ac:dyDescent="0.3">
      <c r="A3259" t="str">
        <f t="shared" si="50"/>
        <v>CN|NewCapacity|RE1|PWRFOL|2047</v>
      </c>
      <c r="B3259" t="s">
        <v>39</v>
      </c>
      <c r="C3259" t="s">
        <v>40</v>
      </c>
      <c r="D3259" t="s">
        <v>37</v>
      </c>
      <c r="E3259" t="s">
        <v>19</v>
      </c>
      <c r="F3259" t="s">
        <v>23</v>
      </c>
      <c r="O3259">
        <v>2047</v>
      </c>
    </row>
    <row r="3260" spans="1:16" x14ac:dyDescent="0.3">
      <c r="A3260" t="str">
        <f t="shared" si="50"/>
        <v>CN|NewCapacity|RE1|PWRHYDDAM|2047</v>
      </c>
      <c r="B3260" t="s">
        <v>39</v>
      </c>
      <c r="C3260" t="s">
        <v>40</v>
      </c>
      <c r="D3260" t="s">
        <v>37</v>
      </c>
      <c r="E3260" t="s">
        <v>19</v>
      </c>
      <c r="F3260" t="s">
        <v>24</v>
      </c>
      <c r="O3260">
        <v>2047</v>
      </c>
    </row>
    <row r="3261" spans="1:16" x14ac:dyDescent="0.3">
      <c r="A3261" t="str">
        <f t="shared" si="50"/>
        <v>CN|NewCapacity|RE1|PWRHYDROR|2047</v>
      </c>
      <c r="B3261" t="s">
        <v>39</v>
      </c>
      <c r="C3261" t="s">
        <v>40</v>
      </c>
      <c r="D3261" t="s">
        <v>37</v>
      </c>
      <c r="E3261" t="s">
        <v>19</v>
      </c>
      <c r="F3261" t="s">
        <v>25</v>
      </c>
      <c r="O3261">
        <v>2047</v>
      </c>
    </row>
    <row r="3262" spans="1:16" x14ac:dyDescent="0.3">
      <c r="A3262" t="str">
        <f t="shared" si="50"/>
        <v>CN|NewCapacity|RE1|PWRHYDROR_NDC|2047</v>
      </c>
      <c r="B3262" t="s">
        <v>39</v>
      </c>
      <c r="C3262" t="s">
        <v>40</v>
      </c>
      <c r="D3262" t="s">
        <v>37</v>
      </c>
      <c r="E3262" t="s">
        <v>19</v>
      </c>
      <c r="F3262" t="s">
        <v>26</v>
      </c>
      <c r="O3262">
        <v>2047</v>
      </c>
      <c r="P3262">
        <v>31.34</v>
      </c>
    </row>
    <row r="3263" spans="1:16" x14ac:dyDescent="0.3">
      <c r="A3263" t="str">
        <f t="shared" si="50"/>
        <v>CN|NewCapacity|RE1|PWRJET|2047</v>
      </c>
      <c r="B3263" t="s">
        <v>39</v>
      </c>
      <c r="C3263" t="s">
        <v>40</v>
      </c>
      <c r="D3263" t="s">
        <v>37</v>
      </c>
      <c r="E3263" t="s">
        <v>19</v>
      </c>
      <c r="F3263" t="s">
        <v>27</v>
      </c>
      <c r="O3263">
        <v>2047</v>
      </c>
    </row>
    <row r="3264" spans="1:16" x14ac:dyDescent="0.3">
      <c r="A3264" t="str">
        <f t="shared" si="50"/>
        <v>CN|NewCapacity|RE1|PWRLPG|2047</v>
      </c>
      <c r="B3264" t="s">
        <v>39</v>
      </c>
      <c r="C3264" t="s">
        <v>40</v>
      </c>
      <c r="D3264" t="s">
        <v>37</v>
      </c>
      <c r="E3264" t="s">
        <v>19</v>
      </c>
      <c r="F3264" t="s">
        <v>28</v>
      </c>
      <c r="O3264">
        <v>2047</v>
      </c>
    </row>
    <row r="3265" spans="1:16" x14ac:dyDescent="0.3">
      <c r="A3265" t="str">
        <f t="shared" si="50"/>
        <v>CN|NewCapacity|RE1|PWRNGS_CC|2047</v>
      </c>
      <c r="B3265" t="s">
        <v>39</v>
      </c>
      <c r="C3265" t="s">
        <v>40</v>
      </c>
      <c r="D3265" t="s">
        <v>37</v>
      </c>
      <c r="E3265" t="s">
        <v>19</v>
      </c>
      <c r="F3265" t="s">
        <v>29</v>
      </c>
      <c r="O3265">
        <v>2047</v>
      </c>
    </row>
    <row r="3266" spans="1:16" x14ac:dyDescent="0.3">
      <c r="A3266" t="str">
        <f t="shared" ref="A3266:A3329" si="51">B3266&amp;"|"&amp;D3266&amp;"|"&amp;E3266&amp;"|"&amp;F3266&amp;"|"&amp;O3266</f>
        <v>CN|NewCapacity|RE1|PWRNGS_CS|2047</v>
      </c>
      <c r="B3266" t="s">
        <v>39</v>
      </c>
      <c r="C3266" t="s">
        <v>40</v>
      </c>
      <c r="D3266" t="s">
        <v>37</v>
      </c>
      <c r="E3266" t="s">
        <v>19</v>
      </c>
      <c r="F3266" t="s">
        <v>30</v>
      </c>
      <c r="O3266">
        <v>2047</v>
      </c>
    </row>
    <row r="3267" spans="1:16" x14ac:dyDescent="0.3">
      <c r="A3267" t="str">
        <f t="shared" si="51"/>
        <v>CN|NewCapacity|RE1|PWRSOLRTP|2047</v>
      </c>
      <c r="B3267" t="s">
        <v>39</v>
      </c>
      <c r="C3267" t="s">
        <v>40</v>
      </c>
      <c r="D3267" t="s">
        <v>37</v>
      </c>
      <c r="E3267" t="s">
        <v>19</v>
      </c>
      <c r="F3267" t="s">
        <v>31</v>
      </c>
      <c r="O3267">
        <v>2047</v>
      </c>
      <c r="P3267">
        <v>2.54</v>
      </c>
    </row>
    <row r="3268" spans="1:16" x14ac:dyDescent="0.3">
      <c r="A3268" t="str">
        <f t="shared" si="51"/>
        <v>CN|NewCapacity|RE1|PWRSOLRTP_ZNI|2047</v>
      </c>
      <c r="B3268" t="s">
        <v>39</v>
      </c>
      <c r="C3268" t="s">
        <v>40</v>
      </c>
      <c r="D3268" t="s">
        <v>37</v>
      </c>
      <c r="E3268" t="s">
        <v>19</v>
      </c>
      <c r="F3268" t="s">
        <v>32</v>
      </c>
      <c r="O3268">
        <v>2047</v>
      </c>
      <c r="P3268">
        <v>4.1832148787544647E-2</v>
      </c>
    </row>
    <row r="3269" spans="1:16" x14ac:dyDescent="0.3">
      <c r="A3269" t="str">
        <f t="shared" si="51"/>
        <v>CN|NewCapacity|RE1|PWRSOLUGE|2047</v>
      </c>
      <c r="B3269" t="s">
        <v>39</v>
      </c>
      <c r="C3269" t="s">
        <v>40</v>
      </c>
      <c r="D3269" t="s">
        <v>37</v>
      </c>
      <c r="E3269" t="s">
        <v>19</v>
      </c>
      <c r="F3269" t="s">
        <v>33</v>
      </c>
      <c r="O3269">
        <v>2047</v>
      </c>
      <c r="P3269">
        <v>47.31</v>
      </c>
    </row>
    <row r="3270" spans="1:16" x14ac:dyDescent="0.3">
      <c r="A3270" t="str">
        <f t="shared" si="51"/>
        <v>CN|NewCapacity|RE1|PWRSOLUGE_BAT|2047</v>
      </c>
      <c r="B3270" t="s">
        <v>39</v>
      </c>
      <c r="C3270" t="s">
        <v>40</v>
      </c>
      <c r="D3270" t="s">
        <v>37</v>
      </c>
      <c r="E3270" t="s">
        <v>19</v>
      </c>
      <c r="F3270" t="s">
        <v>41</v>
      </c>
      <c r="O3270">
        <v>2047</v>
      </c>
      <c r="P3270">
        <v>30.670102189502511</v>
      </c>
    </row>
    <row r="3271" spans="1:16" x14ac:dyDescent="0.3">
      <c r="A3271" t="str">
        <f t="shared" si="51"/>
        <v>CN|NewCapacity|RE1|PWRSOLUPE|2047</v>
      </c>
      <c r="B3271" t="s">
        <v>39</v>
      </c>
      <c r="C3271" t="s">
        <v>40</v>
      </c>
      <c r="D3271" t="s">
        <v>37</v>
      </c>
      <c r="E3271" t="s">
        <v>19</v>
      </c>
      <c r="F3271" t="s">
        <v>34</v>
      </c>
      <c r="O3271">
        <v>2047</v>
      </c>
    </row>
    <row r="3272" spans="1:16" x14ac:dyDescent="0.3">
      <c r="A3272" t="str">
        <f t="shared" si="51"/>
        <v>CN|NewCapacity|RE1|PWRSTD|2047</v>
      </c>
      <c r="B3272" t="s">
        <v>39</v>
      </c>
      <c r="C3272" t="s">
        <v>40</v>
      </c>
      <c r="D3272" t="s">
        <v>37</v>
      </c>
      <c r="E3272" t="s">
        <v>19</v>
      </c>
      <c r="F3272" t="s">
        <v>35</v>
      </c>
      <c r="O3272">
        <v>2047</v>
      </c>
    </row>
    <row r="3273" spans="1:16" x14ac:dyDescent="0.3">
      <c r="A3273" t="str">
        <f t="shared" si="51"/>
        <v>CN|NewCapacity|RE1|PWRWNDOFS_FIX|2047</v>
      </c>
      <c r="B3273" t="s">
        <v>39</v>
      </c>
      <c r="C3273" t="s">
        <v>40</v>
      </c>
      <c r="D3273" t="s">
        <v>37</v>
      </c>
      <c r="E3273" t="s">
        <v>19</v>
      </c>
      <c r="F3273" t="s">
        <v>42</v>
      </c>
      <c r="O3273">
        <v>2047</v>
      </c>
      <c r="P3273">
        <v>47.31</v>
      </c>
    </row>
    <row r="3274" spans="1:16" x14ac:dyDescent="0.3">
      <c r="A3274" t="str">
        <f t="shared" si="51"/>
        <v>CN|NewCapacity|RE1|PWRWNDOFS_FLO|2047</v>
      </c>
      <c r="B3274" t="s">
        <v>39</v>
      </c>
      <c r="C3274" t="s">
        <v>40</v>
      </c>
      <c r="D3274" t="s">
        <v>37</v>
      </c>
      <c r="E3274" t="s">
        <v>19</v>
      </c>
      <c r="F3274" t="s">
        <v>43</v>
      </c>
      <c r="O3274">
        <v>2047</v>
      </c>
      <c r="P3274">
        <v>2.3209769134012128</v>
      </c>
    </row>
    <row r="3275" spans="1:16" x14ac:dyDescent="0.3">
      <c r="A3275" t="str">
        <f t="shared" si="51"/>
        <v>CN|NewCapacity|RE1|PWRWNDONS|2047</v>
      </c>
      <c r="B3275" t="s">
        <v>39</v>
      </c>
      <c r="C3275" t="s">
        <v>40</v>
      </c>
      <c r="D3275" t="s">
        <v>37</v>
      </c>
      <c r="E3275" t="s">
        <v>19</v>
      </c>
      <c r="F3275" t="s">
        <v>36</v>
      </c>
      <c r="O3275">
        <v>2047</v>
      </c>
      <c r="P3275">
        <v>47.31</v>
      </c>
    </row>
    <row r="3276" spans="1:16" x14ac:dyDescent="0.3">
      <c r="A3276" t="str">
        <f t="shared" si="51"/>
        <v>CN|TotalCapacityAnnual|RE1|PWRBGS|2047</v>
      </c>
      <c r="B3276" t="s">
        <v>39</v>
      </c>
      <c r="C3276" t="s">
        <v>40</v>
      </c>
      <c r="D3276" t="s">
        <v>38</v>
      </c>
      <c r="E3276" t="s">
        <v>19</v>
      </c>
      <c r="F3276" t="s">
        <v>20</v>
      </c>
      <c r="O3276">
        <v>2047</v>
      </c>
      <c r="P3276">
        <v>2.5488587520000001E-2</v>
      </c>
    </row>
    <row r="3277" spans="1:16" x14ac:dyDescent="0.3">
      <c r="A3277" t="str">
        <f t="shared" si="51"/>
        <v>CN|TotalCapacityAnnual|RE1|PWRCOA|2047</v>
      </c>
      <c r="B3277" t="s">
        <v>39</v>
      </c>
      <c r="C3277" t="s">
        <v>40</v>
      </c>
      <c r="D3277" t="s">
        <v>38</v>
      </c>
      <c r="E3277" t="s">
        <v>19</v>
      </c>
      <c r="F3277" t="s">
        <v>21</v>
      </c>
      <c r="O3277">
        <v>2047</v>
      </c>
    </row>
    <row r="3278" spans="1:16" x14ac:dyDescent="0.3">
      <c r="A3278" t="str">
        <f t="shared" si="51"/>
        <v>CN|TotalCapacityAnnual|RE1|PWRDSL|2047</v>
      </c>
      <c r="B3278" t="s">
        <v>39</v>
      </c>
      <c r="C3278" t="s">
        <v>40</v>
      </c>
      <c r="D3278" t="s">
        <v>38</v>
      </c>
      <c r="E3278" t="s">
        <v>19</v>
      </c>
      <c r="F3278" t="s">
        <v>22</v>
      </c>
      <c r="O3278">
        <v>2047</v>
      </c>
    </row>
    <row r="3279" spans="1:16" x14ac:dyDescent="0.3">
      <c r="A3279" t="str">
        <f t="shared" si="51"/>
        <v>CN|TotalCapacityAnnual|RE1|PWRFOL|2047</v>
      </c>
      <c r="B3279" t="s">
        <v>39</v>
      </c>
      <c r="C3279" t="s">
        <v>40</v>
      </c>
      <c r="D3279" t="s">
        <v>38</v>
      </c>
      <c r="E3279" t="s">
        <v>19</v>
      </c>
      <c r="F3279" t="s">
        <v>23</v>
      </c>
      <c r="O3279">
        <v>2047</v>
      </c>
      <c r="P3279">
        <v>8.3885759999999987</v>
      </c>
    </row>
    <row r="3280" spans="1:16" x14ac:dyDescent="0.3">
      <c r="A3280" t="str">
        <f t="shared" si="51"/>
        <v>CN|TotalCapacityAnnual|RE1|PWRHYDDAM|2047</v>
      </c>
      <c r="B3280" t="s">
        <v>39</v>
      </c>
      <c r="C3280" t="s">
        <v>40</v>
      </c>
      <c r="D3280" t="s">
        <v>38</v>
      </c>
      <c r="E3280" t="s">
        <v>19</v>
      </c>
      <c r="F3280" t="s">
        <v>24</v>
      </c>
      <c r="O3280">
        <v>2047</v>
      </c>
      <c r="P3280">
        <v>440.49164800000011</v>
      </c>
    </row>
    <row r="3281" spans="1:16" x14ac:dyDescent="0.3">
      <c r="A3281" t="str">
        <f t="shared" si="51"/>
        <v>CN|TotalCapacityAnnual|RE1|PWRHYDROR|2047</v>
      </c>
      <c r="B3281" t="s">
        <v>39</v>
      </c>
      <c r="C3281" t="s">
        <v>40</v>
      </c>
      <c r="D3281" t="s">
        <v>38</v>
      </c>
      <c r="E3281" t="s">
        <v>19</v>
      </c>
      <c r="F3281" t="s">
        <v>25</v>
      </c>
      <c r="O3281">
        <v>2047</v>
      </c>
      <c r="P3281">
        <v>21.097584000000001</v>
      </c>
    </row>
    <row r="3282" spans="1:16" x14ac:dyDescent="0.3">
      <c r="A3282" t="str">
        <f t="shared" si="51"/>
        <v>CN|TotalCapacityAnnual|RE1|PWRHYDROR_NDC|2047</v>
      </c>
      <c r="B3282" t="s">
        <v>39</v>
      </c>
      <c r="C3282" t="s">
        <v>40</v>
      </c>
      <c r="D3282" t="s">
        <v>38</v>
      </c>
      <c r="E3282" t="s">
        <v>19</v>
      </c>
      <c r="F3282" t="s">
        <v>26</v>
      </c>
      <c r="O3282">
        <v>2047</v>
      </c>
      <c r="P3282">
        <v>120.0514665055095</v>
      </c>
    </row>
    <row r="3283" spans="1:16" x14ac:dyDescent="0.3">
      <c r="A3283" t="str">
        <f t="shared" si="51"/>
        <v>CN|TotalCapacityAnnual|RE1|PWRJET|2047</v>
      </c>
      <c r="B3283" t="s">
        <v>39</v>
      </c>
      <c r="C3283" t="s">
        <v>40</v>
      </c>
      <c r="D3283" t="s">
        <v>38</v>
      </c>
      <c r="E3283" t="s">
        <v>19</v>
      </c>
      <c r="F3283" t="s">
        <v>27</v>
      </c>
      <c r="O3283">
        <v>2047</v>
      </c>
      <c r="P3283">
        <v>1.5768</v>
      </c>
    </row>
    <row r="3284" spans="1:16" x14ac:dyDescent="0.3">
      <c r="A3284" t="str">
        <f t="shared" si="51"/>
        <v>CN|TotalCapacityAnnual|RE1|PWRLPG|2047</v>
      </c>
      <c r="B3284" t="s">
        <v>39</v>
      </c>
      <c r="C3284" t="s">
        <v>40</v>
      </c>
      <c r="D3284" t="s">
        <v>38</v>
      </c>
      <c r="E3284" t="s">
        <v>19</v>
      </c>
      <c r="F3284" t="s">
        <v>28</v>
      </c>
      <c r="O3284">
        <v>2047</v>
      </c>
      <c r="P3284">
        <v>1.639872</v>
      </c>
    </row>
    <row r="3285" spans="1:16" x14ac:dyDescent="0.3">
      <c r="A3285" t="str">
        <f t="shared" si="51"/>
        <v>CN|TotalCapacityAnnual|RE1|PWRNGS_CC|2047</v>
      </c>
      <c r="B3285" t="s">
        <v>39</v>
      </c>
      <c r="C3285" t="s">
        <v>40</v>
      </c>
      <c r="D3285" t="s">
        <v>38</v>
      </c>
      <c r="E3285" t="s">
        <v>19</v>
      </c>
      <c r="F3285" t="s">
        <v>29</v>
      </c>
      <c r="O3285">
        <v>2047</v>
      </c>
      <c r="P3285">
        <v>70.104500000000002</v>
      </c>
    </row>
    <row r="3286" spans="1:16" x14ac:dyDescent="0.3">
      <c r="A3286" t="str">
        <f t="shared" si="51"/>
        <v>CN|TotalCapacityAnnual|RE1|PWRNGS_CS|2047</v>
      </c>
      <c r="B3286" t="s">
        <v>39</v>
      </c>
      <c r="C3286" t="s">
        <v>40</v>
      </c>
      <c r="D3286" t="s">
        <v>38</v>
      </c>
      <c r="E3286" t="s">
        <v>19</v>
      </c>
      <c r="F3286" t="s">
        <v>30</v>
      </c>
      <c r="O3286">
        <v>2047</v>
      </c>
      <c r="P3286">
        <v>48.03</v>
      </c>
    </row>
    <row r="3287" spans="1:16" x14ac:dyDescent="0.3">
      <c r="A3287" t="str">
        <f t="shared" si="51"/>
        <v>CN|TotalCapacityAnnual|RE1|PWRSOLRTP|2047</v>
      </c>
      <c r="B3287" t="s">
        <v>39</v>
      </c>
      <c r="C3287" t="s">
        <v>40</v>
      </c>
      <c r="D3287" t="s">
        <v>38</v>
      </c>
      <c r="E3287" t="s">
        <v>19</v>
      </c>
      <c r="F3287" t="s">
        <v>31</v>
      </c>
      <c r="O3287">
        <v>2047</v>
      </c>
      <c r="P3287">
        <v>234.28955518622681</v>
      </c>
    </row>
    <row r="3288" spans="1:16" x14ac:dyDescent="0.3">
      <c r="A3288" t="str">
        <f t="shared" si="51"/>
        <v>CN|TotalCapacityAnnual|RE1|PWRSOLRTP_ZNI|2047</v>
      </c>
      <c r="B3288" t="s">
        <v>39</v>
      </c>
      <c r="C3288" t="s">
        <v>40</v>
      </c>
      <c r="D3288" t="s">
        <v>38</v>
      </c>
      <c r="E3288" t="s">
        <v>19</v>
      </c>
      <c r="F3288" t="s">
        <v>32</v>
      </c>
      <c r="O3288">
        <v>2047</v>
      </c>
      <c r="P3288">
        <v>1.7289926139602401</v>
      </c>
    </row>
    <row r="3289" spans="1:16" x14ac:dyDescent="0.3">
      <c r="A3289" t="str">
        <f t="shared" si="51"/>
        <v>CN|TotalCapacityAnnual|RE1|PWRSOLUGE|2047</v>
      </c>
      <c r="B3289" t="s">
        <v>39</v>
      </c>
      <c r="C3289" t="s">
        <v>40</v>
      </c>
      <c r="D3289" t="s">
        <v>38</v>
      </c>
      <c r="E3289" t="s">
        <v>19</v>
      </c>
      <c r="F3289" t="s">
        <v>33</v>
      </c>
      <c r="O3289">
        <v>2047</v>
      </c>
      <c r="P3289">
        <v>523.90974486843857</v>
      </c>
    </row>
    <row r="3290" spans="1:16" x14ac:dyDescent="0.3">
      <c r="A3290" t="str">
        <f t="shared" si="51"/>
        <v>CN|TotalCapacityAnnual|RE1|PWRSOLUGE_BAT|2047</v>
      </c>
      <c r="B3290" t="s">
        <v>39</v>
      </c>
      <c r="C3290" t="s">
        <v>40</v>
      </c>
      <c r="D3290" t="s">
        <v>38</v>
      </c>
      <c r="E3290" t="s">
        <v>19</v>
      </c>
      <c r="F3290" t="s">
        <v>41</v>
      </c>
      <c r="O3290">
        <v>2047</v>
      </c>
      <c r="P3290">
        <v>30.670102189502511</v>
      </c>
    </row>
    <row r="3291" spans="1:16" x14ac:dyDescent="0.3">
      <c r="A3291" t="str">
        <f t="shared" si="51"/>
        <v>CN|TotalCapacityAnnual|RE1|PWRSOLUPE|2047</v>
      </c>
      <c r="B3291" t="s">
        <v>39</v>
      </c>
      <c r="C3291" t="s">
        <v>40</v>
      </c>
      <c r="D3291" t="s">
        <v>38</v>
      </c>
      <c r="E3291" t="s">
        <v>19</v>
      </c>
      <c r="F3291" t="s">
        <v>34</v>
      </c>
      <c r="O3291">
        <v>2047</v>
      </c>
      <c r="P3291">
        <v>12.14419823999993</v>
      </c>
    </row>
    <row r="3292" spans="1:16" x14ac:dyDescent="0.3">
      <c r="A3292" t="str">
        <f t="shared" si="51"/>
        <v>CN|TotalCapacityAnnual|RE1|PWRSTD|2047</v>
      </c>
      <c r="B3292" t="s">
        <v>39</v>
      </c>
      <c r="C3292" t="s">
        <v>40</v>
      </c>
      <c r="D3292" t="s">
        <v>38</v>
      </c>
      <c r="E3292" t="s">
        <v>19</v>
      </c>
      <c r="F3292" t="s">
        <v>35</v>
      </c>
      <c r="O3292">
        <v>2047</v>
      </c>
      <c r="P3292">
        <v>8.163062064</v>
      </c>
    </row>
    <row r="3293" spans="1:16" x14ac:dyDescent="0.3">
      <c r="A3293" t="str">
        <f t="shared" si="51"/>
        <v>CN|TotalCapacityAnnual|RE1|PWRWNDOFS_FIX|2047</v>
      </c>
      <c r="B3293" t="s">
        <v>39</v>
      </c>
      <c r="C3293" t="s">
        <v>40</v>
      </c>
      <c r="D3293" t="s">
        <v>38</v>
      </c>
      <c r="E3293" t="s">
        <v>19</v>
      </c>
      <c r="F3293" t="s">
        <v>42</v>
      </c>
      <c r="O3293">
        <v>2047</v>
      </c>
      <c r="P3293">
        <v>470.89702457715822</v>
      </c>
    </row>
    <row r="3294" spans="1:16" x14ac:dyDescent="0.3">
      <c r="A3294" t="str">
        <f t="shared" si="51"/>
        <v>CN|TotalCapacityAnnual|RE1|PWRWNDOFS_FLO|2047</v>
      </c>
      <c r="B3294" t="s">
        <v>39</v>
      </c>
      <c r="C3294" t="s">
        <v>40</v>
      </c>
      <c r="D3294" t="s">
        <v>38</v>
      </c>
      <c r="E3294" t="s">
        <v>19</v>
      </c>
      <c r="F3294" t="s">
        <v>43</v>
      </c>
      <c r="O3294">
        <v>2047</v>
      </c>
      <c r="P3294">
        <v>2.3209769134012128</v>
      </c>
    </row>
    <row r="3295" spans="1:16" x14ac:dyDescent="0.3">
      <c r="A3295" t="str">
        <f t="shared" si="51"/>
        <v>CN|TotalCapacityAnnual|RE1|PWRWNDONS|2047</v>
      </c>
      <c r="B3295" t="s">
        <v>39</v>
      </c>
      <c r="C3295" t="s">
        <v>40</v>
      </c>
      <c r="D3295" t="s">
        <v>38</v>
      </c>
      <c r="E3295" t="s">
        <v>19</v>
      </c>
      <c r="F3295" t="s">
        <v>36</v>
      </c>
      <c r="O3295">
        <v>2047</v>
      </c>
      <c r="P3295">
        <v>710.98810888443541</v>
      </c>
    </row>
    <row r="3296" spans="1:16" x14ac:dyDescent="0.3">
      <c r="A3296" t="str">
        <f t="shared" si="51"/>
        <v>CN|AccumulatedNewCapacity|RE1|PWRBGS|2048</v>
      </c>
      <c r="B3296" t="s">
        <v>39</v>
      </c>
      <c r="C3296" t="s">
        <v>40</v>
      </c>
      <c r="D3296" t="s">
        <v>18</v>
      </c>
      <c r="E3296" t="s">
        <v>19</v>
      </c>
      <c r="F3296" t="s">
        <v>20</v>
      </c>
      <c r="O3296">
        <v>2048</v>
      </c>
    </row>
    <row r="3297" spans="1:16" x14ac:dyDescent="0.3">
      <c r="A3297" t="str">
        <f t="shared" si="51"/>
        <v>CN|AccumulatedNewCapacity|RE1|PWRCOA|2048</v>
      </c>
      <c r="B3297" t="s">
        <v>39</v>
      </c>
      <c r="C3297" t="s">
        <v>40</v>
      </c>
      <c r="D3297" t="s">
        <v>18</v>
      </c>
      <c r="E3297" t="s">
        <v>19</v>
      </c>
      <c r="F3297" t="s">
        <v>21</v>
      </c>
      <c r="O3297">
        <v>2048</v>
      </c>
    </row>
    <row r="3298" spans="1:16" x14ac:dyDescent="0.3">
      <c r="A3298" t="str">
        <f t="shared" si="51"/>
        <v>CN|AccumulatedNewCapacity|RE1|PWRDSL|2048</v>
      </c>
      <c r="B3298" t="s">
        <v>39</v>
      </c>
      <c r="C3298" t="s">
        <v>40</v>
      </c>
      <c r="D3298" t="s">
        <v>18</v>
      </c>
      <c r="E3298" t="s">
        <v>19</v>
      </c>
      <c r="F3298" t="s">
        <v>22</v>
      </c>
      <c r="O3298">
        <v>2048</v>
      </c>
    </row>
    <row r="3299" spans="1:16" x14ac:dyDescent="0.3">
      <c r="A3299" t="str">
        <f t="shared" si="51"/>
        <v>CN|AccumulatedNewCapacity|RE1|PWRFOL|2048</v>
      </c>
      <c r="B3299" t="s">
        <v>39</v>
      </c>
      <c r="C3299" t="s">
        <v>40</v>
      </c>
      <c r="D3299" t="s">
        <v>18</v>
      </c>
      <c r="E3299" t="s">
        <v>19</v>
      </c>
      <c r="F3299" t="s">
        <v>23</v>
      </c>
      <c r="O3299">
        <v>2048</v>
      </c>
    </row>
    <row r="3300" spans="1:16" x14ac:dyDescent="0.3">
      <c r="A3300" t="str">
        <f t="shared" si="51"/>
        <v>CN|AccumulatedNewCapacity|RE1|PWRHYDDAM|2048</v>
      </c>
      <c r="B3300" t="s">
        <v>39</v>
      </c>
      <c r="C3300" t="s">
        <v>40</v>
      </c>
      <c r="D3300" t="s">
        <v>18</v>
      </c>
      <c r="E3300" t="s">
        <v>19</v>
      </c>
      <c r="F3300" t="s">
        <v>24</v>
      </c>
      <c r="O3300">
        <v>2048</v>
      </c>
      <c r="P3300">
        <v>37.840000000000003</v>
      </c>
    </row>
    <row r="3301" spans="1:16" x14ac:dyDescent="0.3">
      <c r="A3301" t="str">
        <f t="shared" si="51"/>
        <v>CN|AccumulatedNewCapacity|RE1|PWRHYDROR|2048</v>
      </c>
      <c r="B3301" t="s">
        <v>39</v>
      </c>
      <c r="C3301" t="s">
        <v>40</v>
      </c>
      <c r="D3301" t="s">
        <v>18</v>
      </c>
      <c r="E3301" t="s">
        <v>19</v>
      </c>
      <c r="F3301" t="s">
        <v>25</v>
      </c>
      <c r="O3301">
        <v>2048</v>
      </c>
    </row>
    <row r="3302" spans="1:16" x14ac:dyDescent="0.3">
      <c r="A3302" t="str">
        <f t="shared" si="51"/>
        <v>CN|AccumulatedNewCapacity|RE1|PWRHYDROR_NDC|2048</v>
      </c>
      <c r="B3302" t="s">
        <v>39</v>
      </c>
      <c r="C3302" t="s">
        <v>40</v>
      </c>
      <c r="D3302" t="s">
        <v>18</v>
      </c>
      <c r="E3302" t="s">
        <v>19</v>
      </c>
      <c r="F3302" t="s">
        <v>26</v>
      </c>
      <c r="O3302">
        <v>2048</v>
      </c>
      <c r="P3302">
        <v>121.6663582335095</v>
      </c>
    </row>
    <row r="3303" spans="1:16" x14ac:dyDescent="0.3">
      <c r="A3303" t="str">
        <f t="shared" si="51"/>
        <v>CN|AccumulatedNewCapacity|RE1|PWRJET|2048</v>
      </c>
      <c r="B3303" t="s">
        <v>39</v>
      </c>
      <c r="C3303" t="s">
        <v>40</v>
      </c>
      <c r="D3303" t="s">
        <v>18</v>
      </c>
      <c r="E3303" t="s">
        <v>19</v>
      </c>
      <c r="F3303" t="s">
        <v>27</v>
      </c>
      <c r="O3303">
        <v>2048</v>
      </c>
    </row>
    <row r="3304" spans="1:16" x14ac:dyDescent="0.3">
      <c r="A3304" t="str">
        <f t="shared" si="51"/>
        <v>CN|AccumulatedNewCapacity|RE1|PWRLPG|2048</v>
      </c>
      <c r="B3304" t="s">
        <v>39</v>
      </c>
      <c r="C3304" t="s">
        <v>40</v>
      </c>
      <c r="D3304" t="s">
        <v>18</v>
      </c>
      <c r="E3304" t="s">
        <v>19</v>
      </c>
      <c r="F3304" t="s">
        <v>28</v>
      </c>
      <c r="O3304">
        <v>2048</v>
      </c>
    </row>
    <row r="3305" spans="1:16" x14ac:dyDescent="0.3">
      <c r="A3305" t="str">
        <f t="shared" si="51"/>
        <v>CN|AccumulatedNewCapacity|RE1|PWRNGS_CC|2048</v>
      </c>
      <c r="B3305" t="s">
        <v>39</v>
      </c>
      <c r="C3305" t="s">
        <v>40</v>
      </c>
      <c r="D3305" t="s">
        <v>18</v>
      </c>
      <c r="E3305" t="s">
        <v>19</v>
      </c>
      <c r="F3305" t="s">
        <v>29</v>
      </c>
      <c r="O3305">
        <v>2048</v>
      </c>
    </row>
    <row r="3306" spans="1:16" x14ac:dyDescent="0.3">
      <c r="A3306" t="str">
        <f t="shared" si="51"/>
        <v>CN|AccumulatedNewCapacity|RE1|PWRNGS_CS|2048</v>
      </c>
      <c r="B3306" t="s">
        <v>39</v>
      </c>
      <c r="C3306" t="s">
        <v>40</v>
      </c>
      <c r="D3306" t="s">
        <v>18</v>
      </c>
      <c r="E3306" t="s">
        <v>19</v>
      </c>
      <c r="F3306" t="s">
        <v>30</v>
      </c>
      <c r="O3306">
        <v>2048</v>
      </c>
    </row>
    <row r="3307" spans="1:16" x14ac:dyDescent="0.3">
      <c r="A3307" t="str">
        <f t="shared" si="51"/>
        <v>CN|AccumulatedNewCapacity|RE1|PWRSOLRTP|2048</v>
      </c>
      <c r="B3307" t="s">
        <v>39</v>
      </c>
      <c r="C3307" t="s">
        <v>40</v>
      </c>
      <c r="D3307" t="s">
        <v>18</v>
      </c>
      <c r="E3307" t="s">
        <v>19</v>
      </c>
      <c r="F3307" t="s">
        <v>31</v>
      </c>
      <c r="O3307">
        <v>2048</v>
      </c>
      <c r="P3307">
        <v>216.22345518622689</v>
      </c>
    </row>
    <row r="3308" spans="1:16" x14ac:dyDescent="0.3">
      <c r="A3308" t="str">
        <f t="shared" si="51"/>
        <v>CN|AccumulatedNewCapacity|RE1|PWRSOLRTP_ZNI|2048</v>
      </c>
      <c r="B3308" t="s">
        <v>39</v>
      </c>
      <c r="C3308" t="s">
        <v>40</v>
      </c>
      <c r="D3308" t="s">
        <v>18</v>
      </c>
      <c r="E3308" t="s">
        <v>19</v>
      </c>
      <c r="F3308" t="s">
        <v>32</v>
      </c>
      <c r="O3308">
        <v>2048</v>
      </c>
      <c r="P3308">
        <v>1.324706857770813</v>
      </c>
    </row>
    <row r="3309" spans="1:16" x14ac:dyDescent="0.3">
      <c r="A3309" t="str">
        <f t="shared" si="51"/>
        <v>CN|AccumulatedNewCapacity|RE1|PWRSOLUGE|2048</v>
      </c>
      <c r="B3309" t="s">
        <v>39</v>
      </c>
      <c r="C3309" t="s">
        <v>40</v>
      </c>
      <c r="D3309" t="s">
        <v>18</v>
      </c>
      <c r="E3309" t="s">
        <v>19</v>
      </c>
      <c r="F3309" t="s">
        <v>33</v>
      </c>
      <c r="O3309">
        <v>2048</v>
      </c>
      <c r="P3309">
        <v>522.82204486843852</v>
      </c>
    </row>
    <row r="3310" spans="1:16" x14ac:dyDescent="0.3">
      <c r="A3310" t="str">
        <f t="shared" si="51"/>
        <v>CN|AccumulatedNewCapacity|RE1|PWRSOLUGE_BAT|2048</v>
      </c>
      <c r="B3310" t="s">
        <v>39</v>
      </c>
      <c r="C3310" t="s">
        <v>40</v>
      </c>
      <c r="D3310" t="s">
        <v>18</v>
      </c>
      <c r="E3310" t="s">
        <v>19</v>
      </c>
      <c r="F3310" t="s">
        <v>41</v>
      </c>
      <c r="O3310">
        <v>2048</v>
      </c>
      <c r="P3310">
        <v>30.670102189502511</v>
      </c>
    </row>
    <row r="3311" spans="1:16" x14ac:dyDescent="0.3">
      <c r="A3311" t="str">
        <f t="shared" si="51"/>
        <v>CN|AccumulatedNewCapacity|RE1|PWRSOLUPE|2048</v>
      </c>
      <c r="B3311" t="s">
        <v>39</v>
      </c>
      <c r="C3311" t="s">
        <v>40</v>
      </c>
      <c r="D3311" t="s">
        <v>18</v>
      </c>
      <c r="E3311" t="s">
        <v>19</v>
      </c>
      <c r="F3311" t="s">
        <v>34</v>
      </c>
      <c r="O3311">
        <v>2048</v>
      </c>
      <c r="P3311">
        <v>12.14419823999993</v>
      </c>
    </row>
    <row r="3312" spans="1:16" x14ac:dyDescent="0.3">
      <c r="A3312" t="str">
        <f t="shared" si="51"/>
        <v>CN|AccumulatedNewCapacity|RE1|PWRSTD|2048</v>
      </c>
      <c r="B3312" t="s">
        <v>39</v>
      </c>
      <c r="C3312" t="s">
        <v>40</v>
      </c>
      <c r="D3312" t="s">
        <v>18</v>
      </c>
      <c r="E3312" t="s">
        <v>19</v>
      </c>
      <c r="F3312" t="s">
        <v>35</v>
      </c>
      <c r="O3312">
        <v>2048</v>
      </c>
    </row>
    <row r="3313" spans="1:16" x14ac:dyDescent="0.3">
      <c r="A3313" t="str">
        <f t="shared" si="51"/>
        <v>CN|AccumulatedNewCapacity|RE1|PWRWNDOFS_FIX|2048</v>
      </c>
      <c r="B3313" t="s">
        <v>39</v>
      </c>
      <c r="C3313" t="s">
        <v>40</v>
      </c>
      <c r="D3313" t="s">
        <v>18</v>
      </c>
      <c r="E3313" t="s">
        <v>19</v>
      </c>
      <c r="F3313" t="s">
        <v>42</v>
      </c>
      <c r="O3313">
        <v>2048</v>
      </c>
      <c r="P3313">
        <v>518.20702457715811</v>
      </c>
    </row>
    <row r="3314" spans="1:16" x14ac:dyDescent="0.3">
      <c r="A3314" t="str">
        <f t="shared" si="51"/>
        <v>CN|AccumulatedNewCapacity|RE1|PWRWNDOFS_FLO|2048</v>
      </c>
      <c r="B3314" t="s">
        <v>39</v>
      </c>
      <c r="C3314" t="s">
        <v>40</v>
      </c>
      <c r="D3314" t="s">
        <v>18</v>
      </c>
      <c r="E3314" t="s">
        <v>19</v>
      </c>
      <c r="F3314" t="s">
        <v>43</v>
      </c>
      <c r="O3314">
        <v>2048</v>
      </c>
      <c r="P3314">
        <v>7.2734896835090179</v>
      </c>
    </row>
    <row r="3315" spans="1:16" x14ac:dyDescent="0.3">
      <c r="A3315" t="str">
        <f t="shared" si="51"/>
        <v>CN|AccumulatedNewCapacity|RE1|PWRWNDONS|2048</v>
      </c>
      <c r="B3315" t="s">
        <v>39</v>
      </c>
      <c r="C3315" t="s">
        <v>40</v>
      </c>
      <c r="D3315" t="s">
        <v>18</v>
      </c>
      <c r="E3315" t="s">
        <v>19</v>
      </c>
      <c r="F3315" t="s">
        <v>36</v>
      </c>
      <c r="O3315">
        <v>2048</v>
      </c>
      <c r="P3315">
        <v>756.9294464844354</v>
      </c>
    </row>
    <row r="3316" spans="1:16" x14ac:dyDescent="0.3">
      <c r="A3316" t="str">
        <f t="shared" si="51"/>
        <v>CN|NewCapacity|RE1|PWRBGS|2048</v>
      </c>
      <c r="B3316" t="s">
        <v>39</v>
      </c>
      <c r="C3316" t="s">
        <v>40</v>
      </c>
      <c r="D3316" t="s">
        <v>37</v>
      </c>
      <c r="E3316" t="s">
        <v>19</v>
      </c>
      <c r="F3316" t="s">
        <v>20</v>
      </c>
      <c r="O3316">
        <v>2048</v>
      </c>
    </row>
    <row r="3317" spans="1:16" x14ac:dyDescent="0.3">
      <c r="A3317" t="str">
        <f t="shared" si="51"/>
        <v>CN|NewCapacity|RE1|PWRCOA|2048</v>
      </c>
      <c r="B3317" t="s">
        <v>39</v>
      </c>
      <c r="C3317" t="s">
        <v>40</v>
      </c>
      <c r="D3317" t="s">
        <v>37</v>
      </c>
      <c r="E3317" t="s">
        <v>19</v>
      </c>
      <c r="F3317" t="s">
        <v>21</v>
      </c>
      <c r="O3317">
        <v>2048</v>
      </c>
    </row>
    <row r="3318" spans="1:16" x14ac:dyDescent="0.3">
      <c r="A3318" t="str">
        <f t="shared" si="51"/>
        <v>CN|NewCapacity|RE1|PWRDSL|2048</v>
      </c>
      <c r="B3318" t="s">
        <v>39</v>
      </c>
      <c r="C3318" t="s">
        <v>40</v>
      </c>
      <c r="D3318" t="s">
        <v>37</v>
      </c>
      <c r="E3318" t="s">
        <v>19</v>
      </c>
      <c r="F3318" t="s">
        <v>22</v>
      </c>
      <c r="O3318">
        <v>2048</v>
      </c>
    </row>
    <row r="3319" spans="1:16" x14ac:dyDescent="0.3">
      <c r="A3319" t="str">
        <f t="shared" si="51"/>
        <v>CN|NewCapacity|RE1|PWRFOL|2048</v>
      </c>
      <c r="B3319" t="s">
        <v>39</v>
      </c>
      <c r="C3319" t="s">
        <v>40</v>
      </c>
      <c r="D3319" t="s">
        <v>37</v>
      </c>
      <c r="E3319" t="s">
        <v>19</v>
      </c>
      <c r="F3319" t="s">
        <v>23</v>
      </c>
      <c r="O3319">
        <v>2048</v>
      </c>
    </row>
    <row r="3320" spans="1:16" x14ac:dyDescent="0.3">
      <c r="A3320" t="str">
        <f t="shared" si="51"/>
        <v>CN|NewCapacity|RE1|PWRHYDDAM|2048</v>
      </c>
      <c r="B3320" t="s">
        <v>39</v>
      </c>
      <c r="C3320" t="s">
        <v>40</v>
      </c>
      <c r="D3320" t="s">
        <v>37</v>
      </c>
      <c r="E3320" t="s">
        <v>19</v>
      </c>
      <c r="F3320" t="s">
        <v>24</v>
      </c>
      <c r="O3320">
        <v>2048</v>
      </c>
    </row>
    <row r="3321" spans="1:16" x14ac:dyDescent="0.3">
      <c r="A3321" t="str">
        <f t="shared" si="51"/>
        <v>CN|NewCapacity|RE1|PWRHYDROR|2048</v>
      </c>
      <c r="B3321" t="s">
        <v>39</v>
      </c>
      <c r="C3321" t="s">
        <v>40</v>
      </c>
      <c r="D3321" t="s">
        <v>37</v>
      </c>
      <c r="E3321" t="s">
        <v>19</v>
      </c>
      <c r="F3321" t="s">
        <v>25</v>
      </c>
      <c r="O3321">
        <v>2048</v>
      </c>
    </row>
    <row r="3322" spans="1:16" x14ac:dyDescent="0.3">
      <c r="A3322" t="str">
        <f t="shared" si="51"/>
        <v>CN|NewCapacity|RE1|PWRHYDROR_NDC|2048</v>
      </c>
      <c r="B3322" t="s">
        <v>39</v>
      </c>
      <c r="C3322" t="s">
        <v>40</v>
      </c>
      <c r="D3322" t="s">
        <v>37</v>
      </c>
      <c r="E3322" t="s">
        <v>19</v>
      </c>
      <c r="F3322" t="s">
        <v>26</v>
      </c>
      <c r="O3322">
        <v>2048</v>
      </c>
      <c r="P3322">
        <v>31.34</v>
      </c>
    </row>
    <row r="3323" spans="1:16" x14ac:dyDescent="0.3">
      <c r="A3323" t="str">
        <f t="shared" si="51"/>
        <v>CN|NewCapacity|RE1|PWRJET|2048</v>
      </c>
      <c r="B3323" t="s">
        <v>39</v>
      </c>
      <c r="C3323" t="s">
        <v>40</v>
      </c>
      <c r="D3323" t="s">
        <v>37</v>
      </c>
      <c r="E3323" t="s">
        <v>19</v>
      </c>
      <c r="F3323" t="s">
        <v>27</v>
      </c>
      <c r="O3323">
        <v>2048</v>
      </c>
    </row>
    <row r="3324" spans="1:16" x14ac:dyDescent="0.3">
      <c r="A3324" t="str">
        <f t="shared" si="51"/>
        <v>CN|NewCapacity|RE1|PWRLPG|2048</v>
      </c>
      <c r="B3324" t="s">
        <v>39</v>
      </c>
      <c r="C3324" t="s">
        <v>40</v>
      </c>
      <c r="D3324" t="s">
        <v>37</v>
      </c>
      <c r="E3324" t="s">
        <v>19</v>
      </c>
      <c r="F3324" t="s">
        <v>28</v>
      </c>
      <c r="O3324">
        <v>2048</v>
      </c>
    </row>
    <row r="3325" spans="1:16" x14ac:dyDescent="0.3">
      <c r="A3325" t="str">
        <f t="shared" si="51"/>
        <v>CN|NewCapacity|RE1|PWRNGS_CC|2048</v>
      </c>
      <c r="B3325" t="s">
        <v>39</v>
      </c>
      <c r="C3325" t="s">
        <v>40</v>
      </c>
      <c r="D3325" t="s">
        <v>37</v>
      </c>
      <c r="E3325" t="s">
        <v>19</v>
      </c>
      <c r="F3325" t="s">
        <v>29</v>
      </c>
      <c r="O3325">
        <v>2048</v>
      </c>
    </row>
    <row r="3326" spans="1:16" x14ac:dyDescent="0.3">
      <c r="A3326" t="str">
        <f t="shared" si="51"/>
        <v>CN|NewCapacity|RE1|PWRNGS_CS|2048</v>
      </c>
      <c r="B3326" t="s">
        <v>39</v>
      </c>
      <c r="C3326" t="s">
        <v>40</v>
      </c>
      <c r="D3326" t="s">
        <v>37</v>
      </c>
      <c r="E3326" t="s">
        <v>19</v>
      </c>
      <c r="F3326" t="s">
        <v>30</v>
      </c>
      <c r="O3326">
        <v>2048</v>
      </c>
    </row>
    <row r="3327" spans="1:16" x14ac:dyDescent="0.3">
      <c r="A3327" t="str">
        <f t="shared" si="51"/>
        <v>CN|NewCapacity|RE1|PWRSOLRTP|2048</v>
      </c>
      <c r="B3327" t="s">
        <v>39</v>
      </c>
      <c r="C3327" t="s">
        <v>40</v>
      </c>
      <c r="D3327" t="s">
        <v>37</v>
      </c>
      <c r="E3327" t="s">
        <v>19</v>
      </c>
      <c r="F3327" t="s">
        <v>31</v>
      </c>
      <c r="O3327">
        <v>2048</v>
      </c>
      <c r="P3327">
        <v>1.27</v>
      </c>
    </row>
    <row r="3328" spans="1:16" x14ac:dyDescent="0.3">
      <c r="A3328" t="str">
        <f t="shared" si="51"/>
        <v>CN|NewCapacity|RE1|PWRSOLRTP_ZNI|2048</v>
      </c>
      <c r="B3328" t="s">
        <v>39</v>
      </c>
      <c r="C3328" t="s">
        <v>40</v>
      </c>
      <c r="D3328" t="s">
        <v>37</v>
      </c>
      <c r="E3328" t="s">
        <v>19</v>
      </c>
      <c r="F3328" t="s">
        <v>32</v>
      </c>
      <c r="O3328">
        <v>2048</v>
      </c>
      <c r="P3328">
        <v>5.6455203810572632E-2</v>
      </c>
    </row>
    <row r="3329" spans="1:16" x14ac:dyDescent="0.3">
      <c r="A3329" t="str">
        <f t="shared" si="51"/>
        <v>CN|NewCapacity|RE1|PWRSOLUGE|2048</v>
      </c>
      <c r="B3329" t="s">
        <v>39</v>
      </c>
      <c r="C3329" t="s">
        <v>40</v>
      </c>
      <c r="D3329" t="s">
        <v>37</v>
      </c>
      <c r="E3329" t="s">
        <v>19</v>
      </c>
      <c r="F3329" t="s">
        <v>33</v>
      </c>
      <c r="O3329">
        <v>2048</v>
      </c>
      <c r="P3329">
        <v>47.31</v>
      </c>
    </row>
    <row r="3330" spans="1:16" x14ac:dyDescent="0.3">
      <c r="A3330" t="str">
        <f t="shared" ref="A3330:A3393" si="52">B3330&amp;"|"&amp;D3330&amp;"|"&amp;E3330&amp;"|"&amp;F3330&amp;"|"&amp;O3330</f>
        <v>CN|NewCapacity|RE1|PWRSOLUGE_BAT|2048</v>
      </c>
      <c r="B3330" t="s">
        <v>39</v>
      </c>
      <c r="C3330" t="s">
        <v>40</v>
      </c>
      <c r="D3330" t="s">
        <v>37</v>
      </c>
      <c r="E3330" t="s">
        <v>19</v>
      </c>
      <c r="F3330" t="s">
        <v>41</v>
      </c>
      <c r="O3330">
        <v>2048</v>
      </c>
    </row>
    <row r="3331" spans="1:16" x14ac:dyDescent="0.3">
      <c r="A3331" t="str">
        <f t="shared" si="52"/>
        <v>CN|NewCapacity|RE1|PWRSOLUPE|2048</v>
      </c>
      <c r="B3331" t="s">
        <v>39</v>
      </c>
      <c r="C3331" t="s">
        <v>40</v>
      </c>
      <c r="D3331" t="s">
        <v>37</v>
      </c>
      <c r="E3331" t="s">
        <v>19</v>
      </c>
      <c r="F3331" t="s">
        <v>34</v>
      </c>
      <c r="O3331">
        <v>2048</v>
      </c>
    </row>
    <row r="3332" spans="1:16" x14ac:dyDescent="0.3">
      <c r="A3332" t="str">
        <f t="shared" si="52"/>
        <v>CN|NewCapacity|RE1|PWRSTD|2048</v>
      </c>
      <c r="B3332" t="s">
        <v>39</v>
      </c>
      <c r="C3332" t="s">
        <v>40</v>
      </c>
      <c r="D3332" t="s">
        <v>37</v>
      </c>
      <c r="E3332" t="s">
        <v>19</v>
      </c>
      <c r="F3332" t="s">
        <v>35</v>
      </c>
      <c r="O3332">
        <v>2048</v>
      </c>
    </row>
    <row r="3333" spans="1:16" x14ac:dyDescent="0.3">
      <c r="A3333" t="str">
        <f t="shared" si="52"/>
        <v>CN|NewCapacity|RE1|PWRWNDOFS_FIX|2048</v>
      </c>
      <c r="B3333" t="s">
        <v>39</v>
      </c>
      <c r="C3333" t="s">
        <v>40</v>
      </c>
      <c r="D3333" t="s">
        <v>37</v>
      </c>
      <c r="E3333" t="s">
        <v>19</v>
      </c>
      <c r="F3333" t="s">
        <v>42</v>
      </c>
      <c r="O3333">
        <v>2048</v>
      </c>
      <c r="P3333">
        <v>47.31</v>
      </c>
    </row>
    <row r="3334" spans="1:16" x14ac:dyDescent="0.3">
      <c r="A3334" t="str">
        <f t="shared" si="52"/>
        <v>CN|NewCapacity|RE1|PWRWNDOFS_FLO|2048</v>
      </c>
      <c r="B3334" t="s">
        <v>39</v>
      </c>
      <c r="C3334" t="s">
        <v>40</v>
      </c>
      <c r="D3334" t="s">
        <v>37</v>
      </c>
      <c r="E3334" t="s">
        <v>19</v>
      </c>
      <c r="F3334" t="s">
        <v>43</v>
      </c>
      <c r="O3334">
        <v>2048</v>
      </c>
      <c r="P3334">
        <v>4.9525127701078064</v>
      </c>
    </row>
    <row r="3335" spans="1:16" x14ac:dyDescent="0.3">
      <c r="A3335" t="str">
        <f t="shared" si="52"/>
        <v>CN|NewCapacity|RE1|PWRWNDONS|2048</v>
      </c>
      <c r="B3335" t="s">
        <v>39</v>
      </c>
      <c r="C3335" t="s">
        <v>40</v>
      </c>
      <c r="D3335" t="s">
        <v>37</v>
      </c>
      <c r="E3335" t="s">
        <v>19</v>
      </c>
      <c r="F3335" t="s">
        <v>36</v>
      </c>
      <c r="O3335">
        <v>2048</v>
      </c>
      <c r="P3335">
        <v>47.31</v>
      </c>
    </row>
    <row r="3336" spans="1:16" x14ac:dyDescent="0.3">
      <c r="A3336" t="str">
        <f t="shared" si="52"/>
        <v>CN|TotalCapacityAnnual|RE1|PWRBGS|2048</v>
      </c>
      <c r="B3336" t="s">
        <v>39</v>
      </c>
      <c r="C3336" t="s">
        <v>40</v>
      </c>
      <c r="D3336" t="s">
        <v>38</v>
      </c>
      <c r="E3336" t="s">
        <v>19</v>
      </c>
      <c r="F3336" t="s">
        <v>20</v>
      </c>
      <c r="O3336">
        <v>2048</v>
      </c>
      <c r="P3336">
        <v>2.5488587520000001E-2</v>
      </c>
    </row>
    <row r="3337" spans="1:16" x14ac:dyDescent="0.3">
      <c r="A3337" t="str">
        <f t="shared" si="52"/>
        <v>CN|TotalCapacityAnnual|RE1|PWRCOA|2048</v>
      </c>
      <c r="B3337" t="s">
        <v>39</v>
      </c>
      <c r="C3337" t="s">
        <v>40</v>
      </c>
      <c r="D3337" t="s">
        <v>38</v>
      </c>
      <c r="E3337" t="s">
        <v>19</v>
      </c>
      <c r="F3337" t="s">
        <v>21</v>
      </c>
      <c r="O3337">
        <v>2048</v>
      </c>
    </row>
    <row r="3338" spans="1:16" x14ac:dyDescent="0.3">
      <c r="A3338" t="str">
        <f t="shared" si="52"/>
        <v>CN|TotalCapacityAnnual|RE1|PWRDSL|2048</v>
      </c>
      <c r="B3338" t="s">
        <v>39</v>
      </c>
      <c r="C3338" t="s">
        <v>40</v>
      </c>
      <c r="D3338" t="s">
        <v>38</v>
      </c>
      <c r="E3338" t="s">
        <v>19</v>
      </c>
      <c r="F3338" t="s">
        <v>22</v>
      </c>
      <c r="O3338">
        <v>2048</v>
      </c>
    </row>
    <row r="3339" spans="1:16" x14ac:dyDescent="0.3">
      <c r="A3339" t="str">
        <f t="shared" si="52"/>
        <v>CN|TotalCapacityAnnual|RE1|PWRFOL|2048</v>
      </c>
      <c r="B3339" t="s">
        <v>39</v>
      </c>
      <c r="C3339" t="s">
        <v>40</v>
      </c>
      <c r="D3339" t="s">
        <v>38</v>
      </c>
      <c r="E3339" t="s">
        <v>19</v>
      </c>
      <c r="F3339" t="s">
        <v>23</v>
      </c>
      <c r="O3339">
        <v>2048</v>
      </c>
      <c r="P3339">
        <v>8.3885759999999987</v>
      </c>
    </row>
    <row r="3340" spans="1:16" x14ac:dyDescent="0.3">
      <c r="A3340" t="str">
        <f t="shared" si="52"/>
        <v>CN|TotalCapacityAnnual|RE1|PWRHYDDAM|2048</v>
      </c>
      <c r="B3340" t="s">
        <v>39</v>
      </c>
      <c r="C3340" t="s">
        <v>40</v>
      </c>
      <c r="D3340" t="s">
        <v>38</v>
      </c>
      <c r="E3340" t="s">
        <v>19</v>
      </c>
      <c r="F3340" t="s">
        <v>24</v>
      </c>
      <c r="O3340">
        <v>2048</v>
      </c>
      <c r="P3340">
        <v>440.49164800000011</v>
      </c>
    </row>
    <row r="3341" spans="1:16" x14ac:dyDescent="0.3">
      <c r="A3341" t="str">
        <f t="shared" si="52"/>
        <v>CN|TotalCapacityAnnual|RE1|PWRHYDROR|2048</v>
      </c>
      <c r="B3341" t="s">
        <v>39</v>
      </c>
      <c r="C3341" t="s">
        <v>40</v>
      </c>
      <c r="D3341" t="s">
        <v>38</v>
      </c>
      <c r="E3341" t="s">
        <v>19</v>
      </c>
      <c r="F3341" t="s">
        <v>25</v>
      </c>
      <c r="O3341">
        <v>2048</v>
      </c>
      <c r="P3341">
        <v>21.097584000000001</v>
      </c>
    </row>
    <row r="3342" spans="1:16" x14ac:dyDescent="0.3">
      <c r="A3342" t="str">
        <f t="shared" si="52"/>
        <v>CN|TotalCapacityAnnual|RE1|PWRHYDROR_NDC|2048</v>
      </c>
      <c r="B3342" t="s">
        <v>39</v>
      </c>
      <c r="C3342" t="s">
        <v>40</v>
      </c>
      <c r="D3342" t="s">
        <v>38</v>
      </c>
      <c r="E3342" t="s">
        <v>19</v>
      </c>
      <c r="F3342" t="s">
        <v>26</v>
      </c>
      <c r="O3342">
        <v>2048</v>
      </c>
      <c r="P3342">
        <v>151.3914665055095</v>
      </c>
    </row>
    <row r="3343" spans="1:16" x14ac:dyDescent="0.3">
      <c r="A3343" t="str">
        <f t="shared" si="52"/>
        <v>CN|TotalCapacityAnnual|RE1|PWRJET|2048</v>
      </c>
      <c r="B3343" t="s">
        <v>39</v>
      </c>
      <c r="C3343" t="s">
        <v>40</v>
      </c>
      <c r="D3343" t="s">
        <v>38</v>
      </c>
      <c r="E3343" t="s">
        <v>19</v>
      </c>
      <c r="F3343" t="s">
        <v>27</v>
      </c>
      <c r="O3343">
        <v>2048</v>
      </c>
      <c r="P3343">
        <v>1.5768</v>
      </c>
    </row>
    <row r="3344" spans="1:16" x14ac:dyDescent="0.3">
      <c r="A3344" t="str">
        <f t="shared" si="52"/>
        <v>CN|TotalCapacityAnnual|RE1|PWRLPG|2048</v>
      </c>
      <c r="B3344" t="s">
        <v>39</v>
      </c>
      <c r="C3344" t="s">
        <v>40</v>
      </c>
      <c r="D3344" t="s">
        <v>38</v>
      </c>
      <c r="E3344" t="s">
        <v>19</v>
      </c>
      <c r="F3344" t="s">
        <v>28</v>
      </c>
      <c r="O3344">
        <v>2048</v>
      </c>
      <c r="P3344">
        <v>1.639872</v>
      </c>
    </row>
    <row r="3345" spans="1:16" x14ac:dyDescent="0.3">
      <c r="A3345" t="str">
        <f t="shared" si="52"/>
        <v>CN|TotalCapacityAnnual|RE1|PWRNGS_CC|2048</v>
      </c>
      <c r="B3345" t="s">
        <v>39</v>
      </c>
      <c r="C3345" t="s">
        <v>40</v>
      </c>
      <c r="D3345" t="s">
        <v>38</v>
      </c>
      <c r="E3345" t="s">
        <v>19</v>
      </c>
      <c r="F3345" t="s">
        <v>29</v>
      </c>
      <c r="O3345">
        <v>2048</v>
      </c>
      <c r="P3345">
        <v>70.104500000000002</v>
      </c>
    </row>
    <row r="3346" spans="1:16" x14ac:dyDescent="0.3">
      <c r="A3346" t="str">
        <f t="shared" si="52"/>
        <v>CN|TotalCapacityAnnual|RE1|PWRNGS_CS|2048</v>
      </c>
      <c r="B3346" t="s">
        <v>39</v>
      </c>
      <c r="C3346" t="s">
        <v>40</v>
      </c>
      <c r="D3346" t="s">
        <v>38</v>
      </c>
      <c r="E3346" t="s">
        <v>19</v>
      </c>
      <c r="F3346" t="s">
        <v>30</v>
      </c>
      <c r="O3346">
        <v>2048</v>
      </c>
      <c r="P3346">
        <v>48.03</v>
      </c>
    </row>
    <row r="3347" spans="1:16" x14ac:dyDescent="0.3">
      <c r="A3347" t="str">
        <f t="shared" si="52"/>
        <v>CN|TotalCapacityAnnual|RE1|PWRSOLRTP|2048</v>
      </c>
      <c r="B3347" t="s">
        <v>39</v>
      </c>
      <c r="C3347" t="s">
        <v>40</v>
      </c>
      <c r="D3347" t="s">
        <v>38</v>
      </c>
      <c r="E3347" t="s">
        <v>19</v>
      </c>
      <c r="F3347" t="s">
        <v>31</v>
      </c>
      <c r="O3347">
        <v>2048</v>
      </c>
      <c r="P3347">
        <v>232.56385518622679</v>
      </c>
    </row>
    <row r="3348" spans="1:16" x14ac:dyDescent="0.3">
      <c r="A3348" t="str">
        <f t="shared" si="52"/>
        <v>CN|TotalCapacityAnnual|RE1|PWRSOLRTP_ZNI|2048</v>
      </c>
      <c r="B3348" t="s">
        <v>39</v>
      </c>
      <c r="C3348" t="s">
        <v>40</v>
      </c>
      <c r="D3348" t="s">
        <v>38</v>
      </c>
      <c r="E3348" t="s">
        <v>19</v>
      </c>
      <c r="F3348" t="s">
        <v>32</v>
      </c>
      <c r="O3348">
        <v>2048</v>
      </c>
      <c r="P3348">
        <v>1.7854478177708131</v>
      </c>
    </row>
    <row r="3349" spans="1:16" x14ac:dyDescent="0.3">
      <c r="A3349" t="str">
        <f t="shared" si="52"/>
        <v>CN|TotalCapacityAnnual|RE1|PWRSOLUGE|2048</v>
      </c>
      <c r="B3349" t="s">
        <v>39</v>
      </c>
      <c r="C3349" t="s">
        <v>40</v>
      </c>
      <c r="D3349" t="s">
        <v>38</v>
      </c>
      <c r="E3349" t="s">
        <v>19</v>
      </c>
      <c r="F3349" t="s">
        <v>33</v>
      </c>
      <c r="O3349">
        <v>2048</v>
      </c>
      <c r="P3349">
        <v>571.21974486843851</v>
      </c>
    </row>
    <row r="3350" spans="1:16" x14ac:dyDescent="0.3">
      <c r="A3350" t="str">
        <f t="shared" si="52"/>
        <v>CN|TotalCapacityAnnual|RE1|PWRSOLUGE_BAT|2048</v>
      </c>
      <c r="B3350" t="s">
        <v>39</v>
      </c>
      <c r="C3350" t="s">
        <v>40</v>
      </c>
      <c r="D3350" t="s">
        <v>38</v>
      </c>
      <c r="E3350" t="s">
        <v>19</v>
      </c>
      <c r="F3350" t="s">
        <v>41</v>
      </c>
      <c r="O3350">
        <v>2048</v>
      </c>
      <c r="P3350">
        <v>30.670102189502511</v>
      </c>
    </row>
    <row r="3351" spans="1:16" x14ac:dyDescent="0.3">
      <c r="A3351" t="str">
        <f t="shared" si="52"/>
        <v>CN|TotalCapacityAnnual|RE1|PWRSOLUPE|2048</v>
      </c>
      <c r="B3351" t="s">
        <v>39</v>
      </c>
      <c r="C3351" t="s">
        <v>40</v>
      </c>
      <c r="D3351" t="s">
        <v>38</v>
      </c>
      <c r="E3351" t="s">
        <v>19</v>
      </c>
      <c r="F3351" t="s">
        <v>34</v>
      </c>
      <c r="O3351">
        <v>2048</v>
      </c>
      <c r="P3351">
        <v>12.14419823999993</v>
      </c>
    </row>
    <row r="3352" spans="1:16" x14ac:dyDescent="0.3">
      <c r="A3352" t="str">
        <f t="shared" si="52"/>
        <v>CN|TotalCapacityAnnual|RE1|PWRSTD|2048</v>
      </c>
      <c r="B3352" t="s">
        <v>39</v>
      </c>
      <c r="C3352" t="s">
        <v>40</v>
      </c>
      <c r="D3352" t="s">
        <v>38</v>
      </c>
      <c r="E3352" t="s">
        <v>19</v>
      </c>
      <c r="F3352" t="s">
        <v>35</v>
      </c>
      <c r="O3352">
        <v>2048</v>
      </c>
      <c r="P3352">
        <v>8.163062064</v>
      </c>
    </row>
    <row r="3353" spans="1:16" x14ac:dyDescent="0.3">
      <c r="A3353" t="str">
        <f t="shared" si="52"/>
        <v>CN|TotalCapacityAnnual|RE1|PWRWNDOFS_FIX|2048</v>
      </c>
      <c r="B3353" t="s">
        <v>39</v>
      </c>
      <c r="C3353" t="s">
        <v>40</v>
      </c>
      <c r="D3353" t="s">
        <v>38</v>
      </c>
      <c r="E3353" t="s">
        <v>19</v>
      </c>
      <c r="F3353" t="s">
        <v>42</v>
      </c>
      <c r="O3353">
        <v>2048</v>
      </c>
      <c r="P3353">
        <v>518.20702457715811</v>
      </c>
    </row>
    <row r="3354" spans="1:16" x14ac:dyDescent="0.3">
      <c r="A3354" t="str">
        <f t="shared" si="52"/>
        <v>CN|TotalCapacityAnnual|RE1|PWRWNDOFS_FLO|2048</v>
      </c>
      <c r="B3354" t="s">
        <v>39</v>
      </c>
      <c r="C3354" t="s">
        <v>40</v>
      </c>
      <c r="D3354" t="s">
        <v>38</v>
      </c>
      <c r="E3354" t="s">
        <v>19</v>
      </c>
      <c r="F3354" t="s">
        <v>43</v>
      </c>
      <c r="O3354">
        <v>2048</v>
      </c>
      <c r="P3354">
        <v>7.2734896835090179</v>
      </c>
    </row>
    <row r="3355" spans="1:16" x14ac:dyDescent="0.3">
      <c r="A3355" t="str">
        <f t="shared" si="52"/>
        <v>CN|TotalCapacityAnnual|RE1|PWRWNDONS|2048</v>
      </c>
      <c r="B3355" t="s">
        <v>39</v>
      </c>
      <c r="C3355" t="s">
        <v>40</v>
      </c>
      <c r="D3355" t="s">
        <v>38</v>
      </c>
      <c r="E3355" t="s">
        <v>19</v>
      </c>
      <c r="F3355" t="s">
        <v>36</v>
      </c>
      <c r="O3355">
        <v>2048</v>
      </c>
      <c r="P3355">
        <v>758.29810888443535</v>
      </c>
    </row>
    <row r="3356" spans="1:16" x14ac:dyDescent="0.3">
      <c r="A3356" t="str">
        <f t="shared" si="52"/>
        <v>CN|AccumulatedNewCapacity|RE1|PWRBGS|2049</v>
      </c>
      <c r="B3356" t="s">
        <v>39</v>
      </c>
      <c r="C3356" t="s">
        <v>40</v>
      </c>
      <c r="D3356" t="s">
        <v>18</v>
      </c>
      <c r="E3356" t="s">
        <v>19</v>
      </c>
      <c r="F3356" t="s">
        <v>20</v>
      </c>
      <c r="O3356">
        <v>2049</v>
      </c>
    </row>
    <row r="3357" spans="1:16" x14ac:dyDescent="0.3">
      <c r="A3357" t="str">
        <f t="shared" si="52"/>
        <v>CN|AccumulatedNewCapacity|RE1|PWRCOA|2049</v>
      </c>
      <c r="B3357" t="s">
        <v>39</v>
      </c>
      <c r="C3357" t="s">
        <v>40</v>
      </c>
      <c r="D3357" t="s">
        <v>18</v>
      </c>
      <c r="E3357" t="s">
        <v>19</v>
      </c>
      <c r="F3357" t="s">
        <v>21</v>
      </c>
      <c r="O3357">
        <v>2049</v>
      </c>
    </row>
    <row r="3358" spans="1:16" x14ac:dyDescent="0.3">
      <c r="A3358" t="str">
        <f t="shared" si="52"/>
        <v>CN|AccumulatedNewCapacity|RE1|PWRDSL|2049</v>
      </c>
      <c r="B3358" t="s">
        <v>39</v>
      </c>
      <c r="C3358" t="s">
        <v>40</v>
      </c>
      <c r="D3358" t="s">
        <v>18</v>
      </c>
      <c r="E3358" t="s">
        <v>19</v>
      </c>
      <c r="F3358" t="s">
        <v>22</v>
      </c>
      <c r="O3358">
        <v>2049</v>
      </c>
    </row>
    <row r="3359" spans="1:16" x14ac:dyDescent="0.3">
      <c r="A3359" t="str">
        <f t="shared" si="52"/>
        <v>CN|AccumulatedNewCapacity|RE1|PWRFOL|2049</v>
      </c>
      <c r="B3359" t="s">
        <v>39</v>
      </c>
      <c r="C3359" t="s">
        <v>40</v>
      </c>
      <c r="D3359" t="s">
        <v>18</v>
      </c>
      <c r="E3359" t="s">
        <v>19</v>
      </c>
      <c r="F3359" t="s">
        <v>23</v>
      </c>
      <c r="O3359">
        <v>2049</v>
      </c>
    </row>
    <row r="3360" spans="1:16" x14ac:dyDescent="0.3">
      <c r="A3360" t="str">
        <f t="shared" si="52"/>
        <v>CN|AccumulatedNewCapacity|RE1|PWRHYDDAM|2049</v>
      </c>
      <c r="B3360" t="s">
        <v>39</v>
      </c>
      <c r="C3360" t="s">
        <v>40</v>
      </c>
      <c r="D3360" t="s">
        <v>18</v>
      </c>
      <c r="E3360" t="s">
        <v>19</v>
      </c>
      <c r="F3360" t="s">
        <v>24</v>
      </c>
      <c r="O3360">
        <v>2049</v>
      </c>
      <c r="P3360">
        <v>37.840000000000003</v>
      </c>
    </row>
    <row r="3361" spans="1:16" x14ac:dyDescent="0.3">
      <c r="A3361" t="str">
        <f t="shared" si="52"/>
        <v>CN|AccumulatedNewCapacity|RE1|PWRHYDROR|2049</v>
      </c>
      <c r="B3361" t="s">
        <v>39</v>
      </c>
      <c r="C3361" t="s">
        <v>40</v>
      </c>
      <c r="D3361" t="s">
        <v>18</v>
      </c>
      <c r="E3361" t="s">
        <v>19</v>
      </c>
      <c r="F3361" t="s">
        <v>25</v>
      </c>
      <c r="O3361">
        <v>2049</v>
      </c>
    </row>
    <row r="3362" spans="1:16" x14ac:dyDescent="0.3">
      <c r="A3362" t="str">
        <f t="shared" si="52"/>
        <v>CN|AccumulatedNewCapacity|RE1|PWRHYDROR_NDC|2049</v>
      </c>
      <c r="B3362" t="s">
        <v>39</v>
      </c>
      <c r="C3362" t="s">
        <v>40</v>
      </c>
      <c r="D3362" t="s">
        <v>18</v>
      </c>
      <c r="E3362" t="s">
        <v>19</v>
      </c>
      <c r="F3362" t="s">
        <v>26</v>
      </c>
      <c r="O3362">
        <v>2049</v>
      </c>
      <c r="P3362">
        <v>121.6663582335095</v>
      </c>
    </row>
    <row r="3363" spans="1:16" x14ac:dyDescent="0.3">
      <c r="A3363" t="str">
        <f t="shared" si="52"/>
        <v>CN|AccumulatedNewCapacity|RE1|PWRJET|2049</v>
      </c>
      <c r="B3363" t="s">
        <v>39</v>
      </c>
      <c r="C3363" t="s">
        <v>40</v>
      </c>
      <c r="D3363" t="s">
        <v>18</v>
      </c>
      <c r="E3363" t="s">
        <v>19</v>
      </c>
      <c r="F3363" t="s">
        <v>27</v>
      </c>
      <c r="O3363">
        <v>2049</v>
      </c>
    </row>
    <row r="3364" spans="1:16" x14ac:dyDescent="0.3">
      <c r="A3364" t="str">
        <f t="shared" si="52"/>
        <v>CN|AccumulatedNewCapacity|RE1|PWRLPG|2049</v>
      </c>
      <c r="B3364" t="s">
        <v>39</v>
      </c>
      <c r="C3364" t="s">
        <v>40</v>
      </c>
      <c r="D3364" t="s">
        <v>18</v>
      </c>
      <c r="E3364" t="s">
        <v>19</v>
      </c>
      <c r="F3364" t="s">
        <v>28</v>
      </c>
      <c r="O3364">
        <v>2049</v>
      </c>
    </row>
    <row r="3365" spans="1:16" x14ac:dyDescent="0.3">
      <c r="A3365" t="str">
        <f t="shared" si="52"/>
        <v>CN|AccumulatedNewCapacity|RE1|PWRNGS_CC|2049</v>
      </c>
      <c r="B3365" t="s">
        <v>39</v>
      </c>
      <c r="C3365" t="s">
        <v>40</v>
      </c>
      <c r="D3365" t="s">
        <v>18</v>
      </c>
      <c r="E3365" t="s">
        <v>19</v>
      </c>
      <c r="F3365" t="s">
        <v>29</v>
      </c>
      <c r="O3365">
        <v>2049</v>
      </c>
    </row>
    <row r="3366" spans="1:16" x14ac:dyDescent="0.3">
      <c r="A3366" t="str">
        <f t="shared" si="52"/>
        <v>CN|AccumulatedNewCapacity|RE1|PWRNGS_CS|2049</v>
      </c>
      <c r="B3366" t="s">
        <v>39</v>
      </c>
      <c r="C3366" t="s">
        <v>40</v>
      </c>
      <c r="D3366" t="s">
        <v>18</v>
      </c>
      <c r="E3366" t="s">
        <v>19</v>
      </c>
      <c r="F3366" t="s">
        <v>30</v>
      </c>
      <c r="O3366">
        <v>2049</v>
      </c>
    </row>
    <row r="3367" spans="1:16" x14ac:dyDescent="0.3">
      <c r="A3367" t="str">
        <f t="shared" si="52"/>
        <v>CN|AccumulatedNewCapacity|RE1|PWRSOLRTP|2049</v>
      </c>
      <c r="B3367" t="s">
        <v>39</v>
      </c>
      <c r="C3367" t="s">
        <v>40</v>
      </c>
      <c r="D3367" t="s">
        <v>18</v>
      </c>
      <c r="E3367" t="s">
        <v>19</v>
      </c>
      <c r="F3367" t="s">
        <v>31</v>
      </c>
      <c r="O3367">
        <v>2049</v>
      </c>
      <c r="P3367">
        <v>217.4934551862269</v>
      </c>
    </row>
    <row r="3368" spans="1:16" x14ac:dyDescent="0.3">
      <c r="A3368" t="str">
        <f t="shared" si="52"/>
        <v>CN|AccumulatedNewCapacity|RE1|PWRSOLRTP_ZNI|2049</v>
      </c>
      <c r="B3368" t="s">
        <v>39</v>
      </c>
      <c r="C3368" t="s">
        <v>40</v>
      </c>
      <c r="D3368" t="s">
        <v>18</v>
      </c>
      <c r="E3368" t="s">
        <v>19</v>
      </c>
      <c r="F3368" t="s">
        <v>32</v>
      </c>
      <c r="O3368">
        <v>2049</v>
      </c>
      <c r="P3368">
        <v>1.3696294318356339</v>
      </c>
    </row>
    <row r="3369" spans="1:16" x14ac:dyDescent="0.3">
      <c r="A3369" t="str">
        <f t="shared" si="52"/>
        <v>CN|AccumulatedNewCapacity|RE1|PWRSOLUGE|2049</v>
      </c>
      <c r="B3369" t="s">
        <v>39</v>
      </c>
      <c r="C3369" t="s">
        <v>40</v>
      </c>
      <c r="D3369" t="s">
        <v>18</v>
      </c>
      <c r="E3369" t="s">
        <v>19</v>
      </c>
      <c r="F3369" t="s">
        <v>33</v>
      </c>
      <c r="O3369">
        <v>2049</v>
      </c>
      <c r="P3369">
        <v>522.82204486843852</v>
      </c>
    </row>
    <row r="3370" spans="1:16" x14ac:dyDescent="0.3">
      <c r="A3370" t="str">
        <f t="shared" si="52"/>
        <v>CN|AccumulatedNewCapacity|RE1|PWRSOLUGE_BAT|2049</v>
      </c>
      <c r="B3370" t="s">
        <v>39</v>
      </c>
      <c r="C3370" t="s">
        <v>40</v>
      </c>
      <c r="D3370" t="s">
        <v>18</v>
      </c>
      <c r="E3370" t="s">
        <v>19</v>
      </c>
      <c r="F3370" t="s">
        <v>41</v>
      </c>
      <c r="O3370">
        <v>2049</v>
      </c>
      <c r="P3370">
        <v>30.670102189502511</v>
      </c>
    </row>
    <row r="3371" spans="1:16" x14ac:dyDescent="0.3">
      <c r="A3371" t="str">
        <f t="shared" si="52"/>
        <v>CN|AccumulatedNewCapacity|RE1|PWRSOLUPE|2049</v>
      </c>
      <c r="B3371" t="s">
        <v>39</v>
      </c>
      <c r="C3371" t="s">
        <v>40</v>
      </c>
      <c r="D3371" t="s">
        <v>18</v>
      </c>
      <c r="E3371" t="s">
        <v>19</v>
      </c>
      <c r="F3371" t="s">
        <v>34</v>
      </c>
      <c r="O3371">
        <v>2049</v>
      </c>
      <c r="P3371">
        <v>12.14419823999993</v>
      </c>
    </row>
    <row r="3372" spans="1:16" x14ac:dyDescent="0.3">
      <c r="A3372" t="str">
        <f t="shared" si="52"/>
        <v>CN|AccumulatedNewCapacity|RE1|PWRSTD|2049</v>
      </c>
      <c r="B3372" t="s">
        <v>39</v>
      </c>
      <c r="C3372" t="s">
        <v>40</v>
      </c>
      <c r="D3372" t="s">
        <v>18</v>
      </c>
      <c r="E3372" t="s">
        <v>19</v>
      </c>
      <c r="F3372" t="s">
        <v>35</v>
      </c>
      <c r="O3372">
        <v>2049</v>
      </c>
    </row>
    <row r="3373" spans="1:16" x14ac:dyDescent="0.3">
      <c r="A3373" t="str">
        <f t="shared" si="52"/>
        <v>CN|AccumulatedNewCapacity|RE1|PWRWNDOFS_FIX|2049</v>
      </c>
      <c r="B3373" t="s">
        <v>39</v>
      </c>
      <c r="C3373" t="s">
        <v>40</v>
      </c>
      <c r="D3373" t="s">
        <v>18</v>
      </c>
      <c r="E3373" t="s">
        <v>19</v>
      </c>
      <c r="F3373" t="s">
        <v>42</v>
      </c>
      <c r="O3373">
        <v>2049</v>
      </c>
      <c r="P3373">
        <v>553.85030883313163</v>
      </c>
    </row>
    <row r="3374" spans="1:16" x14ac:dyDescent="0.3">
      <c r="A3374" t="str">
        <f t="shared" si="52"/>
        <v>CN|AccumulatedNewCapacity|RE1|PWRWNDOFS_FLO|2049</v>
      </c>
      <c r="B3374" t="s">
        <v>39</v>
      </c>
      <c r="C3374" t="s">
        <v>40</v>
      </c>
      <c r="D3374" t="s">
        <v>18</v>
      </c>
      <c r="E3374" t="s">
        <v>19</v>
      </c>
      <c r="F3374" t="s">
        <v>43</v>
      </c>
      <c r="O3374">
        <v>2049</v>
      </c>
      <c r="P3374">
        <v>7.2734896835090179</v>
      </c>
    </row>
    <row r="3375" spans="1:16" x14ac:dyDescent="0.3">
      <c r="A3375" t="str">
        <f t="shared" si="52"/>
        <v>CN|AccumulatedNewCapacity|RE1|PWRWNDONS|2049</v>
      </c>
      <c r="B3375" t="s">
        <v>39</v>
      </c>
      <c r="C3375" t="s">
        <v>40</v>
      </c>
      <c r="D3375" t="s">
        <v>18</v>
      </c>
      <c r="E3375" t="s">
        <v>19</v>
      </c>
      <c r="F3375" t="s">
        <v>36</v>
      </c>
      <c r="O3375">
        <v>2049</v>
      </c>
      <c r="P3375">
        <v>804.23944648443535</v>
      </c>
    </row>
    <row r="3376" spans="1:16" x14ac:dyDescent="0.3">
      <c r="A3376" t="str">
        <f t="shared" si="52"/>
        <v>CN|NewCapacity|RE1|PWRBGS|2049</v>
      </c>
      <c r="B3376" t="s">
        <v>39</v>
      </c>
      <c r="C3376" t="s">
        <v>40</v>
      </c>
      <c r="D3376" t="s">
        <v>37</v>
      </c>
      <c r="E3376" t="s">
        <v>19</v>
      </c>
      <c r="F3376" t="s">
        <v>20</v>
      </c>
      <c r="O3376">
        <v>2049</v>
      </c>
    </row>
    <row r="3377" spans="1:16" x14ac:dyDescent="0.3">
      <c r="A3377" t="str">
        <f t="shared" si="52"/>
        <v>CN|NewCapacity|RE1|PWRCOA|2049</v>
      </c>
      <c r="B3377" t="s">
        <v>39</v>
      </c>
      <c r="C3377" t="s">
        <v>40</v>
      </c>
      <c r="D3377" t="s">
        <v>37</v>
      </c>
      <c r="E3377" t="s">
        <v>19</v>
      </c>
      <c r="F3377" t="s">
        <v>21</v>
      </c>
      <c r="O3377">
        <v>2049</v>
      </c>
    </row>
    <row r="3378" spans="1:16" x14ac:dyDescent="0.3">
      <c r="A3378" t="str">
        <f t="shared" si="52"/>
        <v>CN|NewCapacity|RE1|PWRDSL|2049</v>
      </c>
      <c r="B3378" t="s">
        <v>39</v>
      </c>
      <c r="C3378" t="s">
        <v>40</v>
      </c>
      <c r="D3378" t="s">
        <v>37</v>
      </c>
      <c r="E3378" t="s">
        <v>19</v>
      </c>
      <c r="F3378" t="s">
        <v>22</v>
      </c>
      <c r="O3378">
        <v>2049</v>
      </c>
    </row>
    <row r="3379" spans="1:16" x14ac:dyDescent="0.3">
      <c r="A3379" t="str">
        <f t="shared" si="52"/>
        <v>CN|NewCapacity|RE1|PWRFOL|2049</v>
      </c>
      <c r="B3379" t="s">
        <v>39</v>
      </c>
      <c r="C3379" t="s">
        <v>40</v>
      </c>
      <c r="D3379" t="s">
        <v>37</v>
      </c>
      <c r="E3379" t="s">
        <v>19</v>
      </c>
      <c r="F3379" t="s">
        <v>23</v>
      </c>
      <c r="O3379">
        <v>2049</v>
      </c>
    </row>
    <row r="3380" spans="1:16" x14ac:dyDescent="0.3">
      <c r="A3380" t="str">
        <f t="shared" si="52"/>
        <v>CN|NewCapacity|RE1|PWRHYDDAM|2049</v>
      </c>
      <c r="B3380" t="s">
        <v>39</v>
      </c>
      <c r="C3380" t="s">
        <v>40</v>
      </c>
      <c r="D3380" t="s">
        <v>37</v>
      </c>
      <c r="E3380" t="s">
        <v>19</v>
      </c>
      <c r="F3380" t="s">
        <v>24</v>
      </c>
      <c r="O3380">
        <v>2049</v>
      </c>
    </row>
    <row r="3381" spans="1:16" x14ac:dyDescent="0.3">
      <c r="A3381" t="str">
        <f t="shared" si="52"/>
        <v>CN|NewCapacity|RE1|PWRHYDROR|2049</v>
      </c>
      <c r="B3381" t="s">
        <v>39</v>
      </c>
      <c r="C3381" t="s">
        <v>40</v>
      </c>
      <c r="D3381" t="s">
        <v>37</v>
      </c>
      <c r="E3381" t="s">
        <v>19</v>
      </c>
      <c r="F3381" t="s">
        <v>25</v>
      </c>
      <c r="O3381">
        <v>2049</v>
      </c>
    </row>
    <row r="3382" spans="1:16" x14ac:dyDescent="0.3">
      <c r="A3382" t="str">
        <f t="shared" si="52"/>
        <v>CN|NewCapacity|RE1|PWRHYDROR_NDC|2049</v>
      </c>
      <c r="B3382" t="s">
        <v>39</v>
      </c>
      <c r="C3382" t="s">
        <v>40</v>
      </c>
      <c r="D3382" t="s">
        <v>37</v>
      </c>
      <c r="E3382" t="s">
        <v>19</v>
      </c>
      <c r="F3382" t="s">
        <v>26</v>
      </c>
      <c r="O3382">
        <v>2049</v>
      </c>
    </row>
    <row r="3383" spans="1:16" x14ac:dyDescent="0.3">
      <c r="A3383" t="str">
        <f t="shared" si="52"/>
        <v>CN|NewCapacity|RE1|PWRJET|2049</v>
      </c>
      <c r="B3383" t="s">
        <v>39</v>
      </c>
      <c r="C3383" t="s">
        <v>40</v>
      </c>
      <c r="D3383" t="s">
        <v>37</v>
      </c>
      <c r="E3383" t="s">
        <v>19</v>
      </c>
      <c r="F3383" t="s">
        <v>27</v>
      </c>
      <c r="O3383">
        <v>2049</v>
      </c>
    </row>
    <row r="3384" spans="1:16" x14ac:dyDescent="0.3">
      <c r="A3384" t="str">
        <f t="shared" si="52"/>
        <v>CN|NewCapacity|RE1|PWRLPG|2049</v>
      </c>
      <c r="B3384" t="s">
        <v>39</v>
      </c>
      <c r="C3384" t="s">
        <v>40</v>
      </c>
      <c r="D3384" t="s">
        <v>37</v>
      </c>
      <c r="E3384" t="s">
        <v>19</v>
      </c>
      <c r="F3384" t="s">
        <v>28</v>
      </c>
      <c r="O3384">
        <v>2049</v>
      </c>
    </row>
    <row r="3385" spans="1:16" x14ac:dyDescent="0.3">
      <c r="A3385" t="str">
        <f t="shared" si="52"/>
        <v>CN|NewCapacity|RE1|PWRNGS_CC|2049</v>
      </c>
      <c r="B3385" t="s">
        <v>39</v>
      </c>
      <c r="C3385" t="s">
        <v>40</v>
      </c>
      <c r="D3385" t="s">
        <v>37</v>
      </c>
      <c r="E3385" t="s">
        <v>19</v>
      </c>
      <c r="F3385" t="s">
        <v>29</v>
      </c>
      <c r="O3385">
        <v>2049</v>
      </c>
    </row>
    <row r="3386" spans="1:16" x14ac:dyDescent="0.3">
      <c r="A3386" t="str">
        <f t="shared" si="52"/>
        <v>CN|NewCapacity|RE1|PWRNGS_CS|2049</v>
      </c>
      <c r="B3386" t="s">
        <v>39</v>
      </c>
      <c r="C3386" t="s">
        <v>40</v>
      </c>
      <c r="D3386" t="s">
        <v>37</v>
      </c>
      <c r="E3386" t="s">
        <v>19</v>
      </c>
      <c r="F3386" t="s">
        <v>30</v>
      </c>
      <c r="O3386">
        <v>2049</v>
      </c>
    </row>
    <row r="3387" spans="1:16" x14ac:dyDescent="0.3">
      <c r="A3387" t="str">
        <f t="shared" si="52"/>
        <v>CN|NewCapacity|RE1|PWRSOLRTP|2049</v>
      </c>
      <c r="B3387" t="s">
        <v>39</v>
      </c>
      <c r="C3387" t="s">
        <v>40</v>
      </c>
      <c r="D3387" t="s">
        <v>37</v>
      </c>
      <c r="E3387" t="s">
        <v>19</v>
      </c>
      <c r="F3387" t="s">
        <v>31</v>
      </c>
      <c r="O3387">
        <v>2049</v>
      </c>
      <c r="P3387">
        <v>1.27</v>
      </c>
    </row>
    <row r="3388" spans="1:16" x14ac:dyDescent="0.3">
      <c r="A3388" t="str">
        <f t="shared" si="52"/>
        <v>CN|NewCapacity|RE1|PWRSOLRTP_ZNI|2049</v>
      </c>
      <c r="B3388" t="s">
        <v>39</v>
      </c>
      <c r="C3388" t="s">
        <v>40</v>
      </c>
      <c r="D3388" t="s">
        <v>37</v>
      </c>
      <c r="E3388" t="s">
        <v>19</v>
      </c>
      <c r="F3388" t="s">
        <v>32</v>
      </c>
      <c r="O3388">
        <v>2049</v>
      </c>
      <c r="P3388">
        <v>4.4922574064820697E-2</v>
      </c>
    </row>
    <row r="3389" spans="1:16" x14ac:dyDescent="0.3">
      <c r="A3389" t="str">
        <f t="shared" si="52"/>
        <v>CN|NewCapacity|RE1|PWRSOLUGE|2049</v>
      </c>
      <c r="B3389" t="s">
        <v>39</v>
      </c>
      <c r="C3389" t="s">
        <v>40</v>
      </c>
      <c r="D3389" t="s">
        <v>37</v>
      </c>
      <c r="E3389" t="s">
        <v>19</v>
      </c>
      <c r="F3389" t="s">
        <v>33</v>
      </c>
      <c r="O3389">
        <v>2049</v>
      </c>
    </row>
    <row r="3390" spans="1:16" x14ac:dyDescent="0.3">
      <c r="A3390" t="str">
        <f t="shared" si="52"/>
        <v>CN|NewCapacity|RE1|PWRSOLUGE_BAT|2049</v>
      </c>
      <c r="B3390" t="s">
        <v>39</v>
      </c>
      <c r="C3390" t="s">
        <v>40</v>
      </c>
      <c r="D3390" t="s">
        <v>37</v>
      </c>
      <c r="E3390" t="s">
        <v>19</v>
      </c>
      <c r="F3390" t="s">
        <v>41</v>
      </c>
      <c r="O3390">
        <v>2049</v>
      </c>
    </row>
    <row r="3391" spans="1:16" x14ac:dyDescent="0.3">
      <c r="A3391" t="str">
        <f t="shared" si="52"/>
        <v>CN|NewCapacity|RE1|PWRSOLUPE|2049</v>
      </c>
      <c r="B3391" t="s">
        <v>39</v>
      </c>
      <c r="C3391" t="s">
        <v>40</v>
      </c>
      <c r="D3391" t="s">
        <v>37</v>
      </c>
      <c r="E3391" t="s">
        <v>19</v>
      </c>
      <c r="F3391" t="s">
        <v>34</v>
      </c>
      <c r="O3391">
        <v>2049</v>
      </c>
    </row>
    <row r="3392" spans="1:16" x14ac:dyDescent="0.3">
      <c r="A3392" t="str">
        <f t="shared" si="52"/>
        <v>CN|NewCapacity|RE1|PWRSTD|2049</v>
      </c>
      <c r="B3392" t="s">
        <v>39</v>
      </c>
      <c r="C3392" t="s">
        <v>40</v>
      </c>
      <c r="D3392" t="s">
        <v>37</v>
      </c>
      <c r="E3392" t="s">
        <v>19</v>
      </c>
      <c r="F3392" t="s">
        <v>35</v>
      </c>
      <c r="O3392">
        <v>2049</v>
      </c>
    </row>
    <row r="3393" spans="1:16" x14ac:dyDescent="0.3">
      <c r="A3393" t="str">
        <f t="shared" si="52"/>
        <v>CN|NewCapacity|RE1|PWRWNDOFS_FIX|2049</v>
      </c>
      <c r="B3393" t="s">
        <v>39</v>
      </c>
      <c r="C3393" t="s">
        <v>40</v>
      </c>
      <c r="D3393" t="s">
        <v>37</v>
      </c>
      <c r="E3393" t="s">
        <v>19</v>
      </c>
      <c r="F3393" t="s">
        <v>42</v>
      </c>
      <c r="O3393">
        <v>2049</v>
      </c>
      <c r="P3393">
        <v>35.643284255973491</v>
      </c>
    </row>
    <row r="3394" spans="1:16" x14ac:dyDescent="0.3">
      <c r="A3394" t="str">
        <f t="shared" ref="A3394:A3457" si="53">B3394&amp;"|"&amp;D3394&amp;"|"&amp;E3394&amp;"|"&amp;F3394&amp;"|"&amp;O3394</f>
        <v>CN|NewCapacity|RE1|PWRWNDOFS_FLO|2049</v>
      </c>
      <c r="B3394" t="s">
        <v>39</v>
      </c>
      <c r="C3394" t="s">
        <v>40</v>
      </c>
      <c r="D3394" t="s">
        <v>37</v>
      </c>
      <c r="E3394" t="s">
        <v>19</v>
      </c>
      <c r="F3394" t="s">
        <v>43</v>
      </c>
      <c r="O3394">
        <v>2049</v>
      </c>
    </row>
    <row r="3395" spans="1:16" x14ac:dyDescent="0.3">
      <c r="A3395" t="str">
        <f t="shared" si="53"/>
        <v>CN|NewCapacity|RE1|PWRWNDONS|2049</v>
      </c>
      <c r="B3395" t="s">
        <v>39</v>
      </c>
      <c r="C3395" t="s">
        <v>40</v>
      </c>
      <c r="D3395" t="s">
        <v>37</v>
      </c>
      <c r="E3395" t="s">
        <v>19</v>
      </c>
      <c r="F3395" t="s">
        <v>36</v>
      </c>
      <c r="O3395">
        <v>2049</v>
      </c>
      <c r="P3395">
        <v>47.31</v>
      </c>
    </row>
    <row r="3396" spans="1:16" x14ac:dyDescent="0.3">
      <c r="A3396" t="str">
        <f t="shared" si="53"/>
        <v>CN|TotalCapacityAnnual|RE1|PWRBGS|2049</v>
      </c>
      <c r="B3396" t="s">
        <v>39</v>
      </c>
      <c r="C3396" t="s">
        <v>40</v>
      </c>
      <c r="D3396" t="s">
        <v>38</v>
      </c>
      <c r="E3396" t="s">
        <v>19</v>
      </c>
      <c r="F3396" t="s">
        <v>20</v>
      </c>
      <c r="O3396">
        <v>2049</v>
      </c>
      <c r="P3396">
        <v>2.5488587520000001E-2</v>
      </c>
    </row>
    <row r="3397" spans="1:16" x14ac:dyDescent="0.3">
      <c r="A3397" t="str">
        <f t="shared" si="53"/>
        <v>CN|TotalCapacityAnnual|RE1|PWRCOA|2049</v>
      </c>
      <c r="B3397" t="s">
        <v>39</v>
      </c>
      <c r="C3397" t="s">
        <v>40</v>
      </c>
      <c r="D3397" t="s">
        <v>38</v>
      </c>
      <c r="E3397" t="s">
        <v>19</v>
      </c>
      <c r="F3397" t="s">
        <v>21</v>
      </c>
      <c r="O3397">
        <v>2049</v>
      </c>
    </row>
    <row r="3398" spans="1:16" x14ac:dyDescent="0.3">
      <c r="A3398" t="str">
        <f t="shared" si="53"/>
        <v>CN|TotalCapacityAnnual|RE1|PWRDSL|2049</v>
      </c>
      <c r="B3398" t="s">
        <v>39</v>
      </c>
      <c r="C3398" t="s">
        <v>40</v>
      </c>
      <c r="D3398" t="s">
        <v>38</v>
      </c>
      <c r="E3398" t="s">
        <v>19</v>
      </c>
      <c r="F3398" t="s">
        <v>22</v>
      </c>
      <c r="O3398">
        <v>2049</v>
      </c>
    </row>
    <row r="3399" spans="1:16" x14ac:dyDescent="0.3">
      <c r="A3399" t="str">
        <f t="shared" si="53"/>
        <v>CN|TotalCapacityAnnual|RE1|PWRFOL|2049</v>
      </c>
      <c r="B3399" t="s">
        <v>39</v>
      </c>
      <c r="C3399" t="s">
        <v>40</v>
      </c>
      <c r="D3399" t="s">
        <v>38</v>
      </c>
      <c r="E3399" t="s">
        <v>19</v>
      </c>
      <c r="F3399" t="s">
        <v>23</v>
      </c>
      <c r="O3399">
        <v>2049</v>
      </c>
      <c r="P3399">
        <v>8.3885759999999987</v>
      </c>
    </row>
    <row r="3400" spans="1:16" x14ac:dyDescent="0.3">
      <c r="A3400" t="str">
        <f t="shared" si="53"/>
        <v>CN|TotalCapacityAnnual|RE1|PWRHYDDAM|2049</v>
      </c>
      <c r="B3400" t="s">
        <v>39</v>
      </c>
      <c r="C3400" t="s">
        <v>40</v>
      </c>
      <c r="D3400" t="s">
        <v>38</v>
      </c>
      <c r="E3400" t="s">
        <v>19</v>
      </c>
      <c r="F3400" t="s">
        <v>24</v>
      </c>
      <c r="O3400">
        <v>2049</v>
      </c>
      <c r="P3400">
        <v>440.49164800000011</v>
      </c>
    </row>
    <row r="3401" spans="1:16" x14ac:dyDescent="0.3">
      <c r="A3401" t="str">
        <f t="shared" si="53"/>
        <v>CN|TotalCapacityAnnual|RE1|PWRHYDROR|2049</v>
      </c>
      <c r="B3401" t="s">
        <v>39</v>
      </c>
      <c r="C3401" t="s">
        <v>40</v>
      </c>
      <c r="D3401" t="s">
        <v>38</v>
      </c>
      <c r="E3401" t="s">
        <v>19</v>
      </c>
      <c r="F3401" t="s">
        <v>25</v>
      </c>
      <c r="O3401">
        <v>2049</v>
      </c>
      <c r="P3401">
        <v>21.097584000000001</v>
      </c>
    </row>
    <row r="3402" spans="1:16" x14ac:dyDescent="0.3">
      <c r="A3402" t="str">
        <f t="shared" si="53"/>
        <v>CN|TotalCapacityAnnual|RE1|PWRHYDROR_NDC|2049</v>
      </c>
      <c r="B3402" t="s">
        <v>39</v>
      </c>
      <c r="C3402" t="s">
        <v>40</v>
      </c>
      <c r="D3402" t="s">
        <v>38</v>
      </c>
      <c r="E3402" t="s">
        <v>19</v>
      </c>
      <c r="F3402" t="s">
        <v>26</v>
      </c>
      <c r="O3402">
        <v>2049</v>
      </c>
      <c r="P3402">
        <v>151.3914665055095</v>
      </c>
    </row>
    <row r="3403" spans="1:16" x14ac:dyDescent="0.3">
      <c r="A3403" t="str">
        <f t="shared" si="53"/>
        <v>CN|TotalCapacityAnnual|RE1|PWRJET|2049</v>
      </c>
      <c r="B3403" t="s">
        <v>39</v>
      </c>
      <c r="C3403" t="s">
        <v>40</v>
      </c>
      <c r="D3403" t="s">
        <v>38</v>
      </c>
      <c r="E3403" t="s">
        <v>19</v>
      </c>
      <c r="F3403" t="s">
        <v>27</v>
      </c>
      <c r="O3403">
        <v>2049</v>
      </c>
      <c r="P3403">
        <v>1.5768</v>
      </c>
    </row>
    <row r="3404" spans="1:16" x14ac:dyDescent="0.3">
      <c r="A3404" t="str">
        <f t="shared" si="53"/>
        <v>CN|TotalCapacityAnnual|RE1|PWRLPG|2049</v>
      </c>
      <c r="B3404" t="s">
        <v>39</v>
      </c>
      <c r="C3404" t="s">
        <v>40</v>
      </c>
      <c r="D3404" t="s">
        <v>38</v>
      </c>
      <c r="E3404" t="s">
        <v>19</v>
      </c>
      <c r="F3404" t="s">
        <v>28</v>
      </c>
      <c r="O3404">
        <v>2049</v>
      </c>
      <c r="P3404">
        <v>1.639872</v>
      </c>
    </row>
    <row r="3405" spans="1:16" x14ac:dyDescent="0.3">
      <c r="A3405" t="str">
        <f t="shared" si="53"/>
        <v>CN|TotalCapacityAnnual|RE1|PWRNGS_CC|2049</v>
      </c>
      <c r="B3405" t="s">
        <v>39</v>
      </c>
      <c r="C3405" t="s">
        <v>40</v>
      </c>
      <c r="D3405" t="s">
        <v>38</v>
      </c>
      <c r="E3405" t="s">
        <v>19</v>
      </c>
      <c r="F3405" t="s">
        <v>29</v>
      </c>
      <c r="O3405">
        <v>2049</v>
      </c>
      <c r="P3405">
        <v>70.104500000000002</v>
      </c>
    </row>
    <row r="3406" spans="1:16" x14ac:dyDescent="0.3">
      <c r="A3406" t="str">
        <f t="shared" si="53"/>
        <v>CN|TotalCapacityAnnual|RE1|PWRNGS_CS|2049</v>
      </c>
      <c r="B3406" t="s">
        <v>39</v>
      </c>
      <c r="C3406" t="s">
        <v>40</v>
      </c>
      <c r="D3406" t="s">
        <v>38</v>
      </c>
      <c r="E3406" t="s">
        <v>19</v>
      </c>
      <c r="F3406" t="s">
        <v>30</v>
      </c>
      <c r="O3406">
        <v>2049</v>
      </c>
      <c r="P3406">
        <v>48.03</v>
      </c>
    </row>
    <row r="3407" spans="1:16" x14ac:dyDescent="0.3">
      <c r="A3407" t="str">
        <f t="shared" si="53"/>
        <v>CN|TotalCapacityAnnual|RE1|PWRSOLRTP|2049</v>
      </c>
      <c r="B3407" t="s">
        <v>39</v>
      </c>
      <c r="C3407" t="s">
        <v>40</v>
      </c>
      <c r="D3407" t="s">
        <v>38</v>
      </c>
      <c r="E3407" t="s">
        <v>19</v>
      </c>
      <c r="F3407" t="s">
        <v>31</v>
      </c>
      <c r="O3407">
        <v>2049</v>
      </c>
      <c r="P3407">
        <v>228.47775518622689</v>
      </c>
    </row>
    <row r="3408" spans="1:16" x14ac:dyDescent="0.3">
      <c r="A3408" t="str">
        <f t="shared" si="53"/>
        <v>CN|TotalCapacityAnnual|RE1|PWRSOLRTP_ZNI|2049</v>
      </c>
      <c r="B3408" t="s">
        <v>39</v>
      </c>
      <c r="C3408" t="s">
        <v>40</v>
      </c>
      <c r="D3408" t="s">
        <v>38</v>
      </c>
      <c r="E3408" t="s">
        <v>19</v>
      </c>
      <c r="F3408" t="s">
        <v>32</v>
      </c>
      <c r="O3408">
        <v>2049</v>
      </c>
      <c r="P3408">
        <v>1.830370391835634</v>
      </c>
    </row>
    <row r="3409" spans="1:16" x14ac:dyDescent="0.3">
      <c r="A3409" t="str">
        <f t="shared" si="53"/>
        <v>CN|TotalCapacityAnnual|RE1|PWRSOLUGE|2049</v>
      </c>
      <c r="B3409" t="s">
        <v>39</v>
      </c>
      <c r="C3409" t="s">
        <v>40</v>
      </c>
      <c r="D3409" t="s">
        <v>38</v>
      </c>
      <c r="E3409" t="s">
        <v>19</v>
      </c>
      <c r="F3409" t="s">
        <v>33</v>
      </c>
      <c r="O3409">
        <v>2049</v>
      </c>
      <c r="P3409">
        <v>571.21974486843851</v>
      </c>
    </row>
    <row r="3410" spans="1:16" x14ac:dyDescent="0.3">
      <c r="A3410" t="str">
        <f t="shared" si="53"/>
        <v>CN|TotalCapacityAnnual|RE1|PWRSOLUGE_BAT|2049</v>
      </c>
      <c r="B3410" t="s">
        <v>39</v>
      </c>
      <c r="C3410" t="s">
        <v>40</v>
      </c>
      <c r="D3410" t="s">
        <v>38</v>
      </c>
      <c r="E3410" t="s">
        <v>19</v>
      </c>
      <c r="F3410" t="s">
        <v>41</v>
      </c>
      <c r="O3410">
        <v>2049</v>
      </c>
      <c r="P3410">
        <v>30.670102189502511</v>
      </c>
    </row>
    <row r="3411" spans="1:16" x14ac:dyDescent="0.3">
      <c r="A3411" t="str">
        <f t="shared" si="53"/>
        <v>CN|TotalCapacityAnnual|RE1|PWRSOLUPE|2049</v>
      </c>
      <c r="B3411" t="s">
        <v>39</v>
      </c>
      <c r="C3411" t="s">
        <v>40</v>
      </c>
      <c r="D3411" t="s">
        <v>38</v>
      </c>
      <c r="E3411" t="s">
        <v>19</v>
      </c>
      <c r="F3411" t="s">
        <v>34</v>
      </c>
      <c r="O3411">
        <v>2049</v>
      </c>
      <c r="P3411">
        <v>12.14419823999993</v>
      </c>
    </row>
    <row r="3412" spans="1:16" x14ac:dyDescent="0.3">
      <c r="A3412" t="str">
        <f t="shared" si="53"/>
        <v>CN|TotalCapacityAnnual|RE1|PWRSTD|2049</v>
      </c>
      <c r="B3412" t="s">
        <v>39</v>
      </c>
      <c r="C3412" t="s">
        <v>40</v>
      </c>
      <c r="D3412" t="s">
        <v>38</v>
      </c>
      <c r="E3412" t="s">
        <v>19</v>
      </c>
      <c r="F3412" t="s">
        <v>35</v>
      </c>
      <c r="O3412">
        <v>2049</v>
      </c>
      <c r="P3412">
        <v>8.163062064</v>
      </c>
    </row>
    <row r="3413" spans="1:16" x14ac:dyDescent="0.3">
      <c r="A3413" t="str">
        <f t="shared" si="53"/>
        <v>CN|TotalCapacityAnnual|RE1|PWRWNDOFS_FIX|2049</v>
      </c>
      <c r="B3413" t="s">
        <v>39</v>
      </c>
      <c r="C3413" t="s">
        <v>40</v>
      </c>
      <c r="D3413" t="s">
        <v>38</v>
      </c>
      <c r="E3413" t="s">
        <v>19</v>
      </c>
      <c r="F3413" t="s">
        <v>42</v>
      </c>
      <c r="O3413">
        <v>2049</v>
      </c>
      <c r="P3413">
        <v>553.85030883313163</v>
      </c>
    </row>
    <row r="3414" spans="1:16" x14ac:dyDescent="0.3">
      <c r="A3414" t="str">
        <f t="shared" si="53"/>
        <v>CN|TotalCapacityAnnual|RE1|PWRWNDOFS_FLO|2049</v>
      </c>
      <c r="B3414" t="s">
        <v>39</v>
      </c>
      <c r="C3414" t="s">
        <v>40</v>
      </c>
      <c r="D3414" t="s">
        <v>38</v>
      </c>
      <c r="E3414" t="s">
        <v>19</v>
      </c>
      <c r="F3414" t="s">
        <v>43</v>
      </c>
      <c r="O3414">
        <v>2049</v>
      </c>
      <c r="P3414">
        <v>7.2734896835090179</v>
      </c>
    </row>
    <row r="3415" spans="1:16" x14ac:dyDescent="0.3">
      <c r="A3415" t="str">
        <f t="shared" si="53"/>
        <v>CN|TotalCapacityAnnual|RE1|PWRWNDONS|2049</v>
      </c>
      <c r="B3415" t="s">
        <v>39</v>
      </c>
      <c r="C3415" t="s">
        <v>40</v>
      </c>
      <c r="D3415" t="s">
        <v>38</v>
      </c>
      <c r="E3415" t="s">
        <v>19</v>
      </c>
      <c r="F3415" t="s">
        <v>36</v>
      </c>
      <c r="O3415">
        <v>2049</v>
      </c>
      <c r="P3415">
        <v>805.6081088844353</v>
      </c>
    </row>
    <row r="3416" spans="1:16" x14ac:dyDescent="0.3">
      <c r="A3416" t="str">
        <f t="shared" si="53"/>
        <v>CN|AccumulatedNewCapacity|RE1|PWRBGS|2050</v>
      </c>
      <c r="B3416" t="s">
        <v>39</v>
      </c>
      <c r="C3416" t="s">
        <v>40</v>
      </c>
      <c r="D3416" t="s">
        <v>18</v>
      </c>
      <c r="E3416" t="s">
        <v>19</v>
      </c>
      <c r="F3416" t="s">
        <v>20</v>
      </c>
      <c r="O3416">
        <v>2050</v>
      </c>
    </row>
    <row r="3417" spans="1:16" x14ac:dyDescent="0.3">
      <c r="A3417" t="str">
        <f t="shared" si="53"/>
        <v>CN|AccumulatedNewCapacity|RE1|PWRCOA|2050</v>
      </c>
      <c r="B3417" t="s">
        <v>39</v>
      </c>
      <c r="C3417" t="s">
        <v>40</v>
      </c>
      <c r="D3417" t="s">
        <v>18</v>
      </c>
      <c r="E3417" t="s">
        <v>19</v>
      </c>
      <c r="F3417" t="s">
        <v>21</v>
      </c>
      <c r="O3417">
        <v>2050</v>
      </c>
    </row>
    <row r="3418" spans="1:16" x14ac:dyDescent="0.3">
      <c r="A3418" t="str">
        <f t="shared" si="53"/>
        <v>CN|AccumulatedNewCapacity|RE1|PWRDSL|2050</v>
      </c>
      <c r="B3418" t="s">
        <v>39</v>
      </c>
      <c r="C3418" t="s">
        <v>40</v>
      </c>
      <c r="D3418" t="s">
        <v>18</v>
      </c>
      <c r="E3418" t="s">
        <v>19</v>
      </c>
      <c r="F3418" t="s">
        <v>22</v>
      </c>
      <c r="O3418">
        <v>2050</v>
      </c>
    </row>
    <row r="3419" spans="1:16" x14ac:dyDescent="0.3">
      <c r="A3419" t="str">
        <f t="shared" si="53"/>
        <v>CN|AccumulatedNewCapacity|RE1|PWRFOL|2050</v>
      </c>
      <c r="B3419" t="s">
        <v>39</v>
      </c>
      <c r="C3419" t="s">
        <v>40</v>
      </c>
      <c r="D3419" t="s">
        <v>18</v>
      </c>
      <c r="E3419" t="s">
        <v>19</v>
      </c>
      <c r="F3419" t="s">
        <v>23</v>
      </c>
      <c r="O3419">
        <v>2050</v>
      </c>
    </row>
    <row r="3420" spans="1:16" x14ac:dyDescent="0.3">
      <c r="A3420" t="str">
        <f t="shared" si="53"/>
        <v>CN|AccumulatedNewCapacity|RE1|PWRHYDDAM|2050</v>
      </c>
      <c r="B3420" t="s">
        <v>39</v>
      </c>
      <c r="C3420" t="s">
        <v>40</v>
      </c>
      <c r="D3420" t="s">
        <v>18</v>
      </c>
      <c r="E3420" t="s">
        <v>19</v>
      </c>
      <c r="F3420" t="s">
        <v>24</v>
      </c>
      <c r="O3420">
        <v>2050</v>
      </c>
      <c r="P3420">
        <v>37.840000000000003</v>
      </c>
    </row>
    <row r="3421" spans="1:16" x14ac:dyDescent="0.3">
      <c r="A3421" t="str">
        <f t="shared" si="53"/>
        <v>CN|AccumulatedNewCapacity|RE1|PWRHYDROR|2050</v>
      </c>
      <c r="B3421" t="s">
        <v>39</v>
      </c>
      <c r="C3421" t="s">
        <v>40</v>
      </c>
      <c r="D3421" t="s">
        <v>18</v>
      </c>
      <c r="E3421" t="s">
        <v>19</v>
      </c>
      <c r="F3421" t="s">
        <v>25</v>
      </c>
      <c r="O3421">
        <v>2050</v>
      </c>
    </row>
    <row r="3422" spans="1:16" x14ac:dyDescent="0.3">
      <c r="A3422" t="str">
        <f t="shared" si="53"/>
        <v>CN|AccumulatedNewCapacity|RE1|PWRHYDROR_NDC|2050</v>
      </c>
      <c r="B3422" t="s">
        <v>39</v>
      </c>
      <c r="C3422" t="s">
        <v>40</v>
      </c>
      <c r="D3422" t="s">
        <v>18</v>
      </c>
      <c r="E3422" t="s">
        <v>19</v>
      </c>
      <c r="F3422" t="s">
        <v>26</v>
      </c>
      <c r="O3422">
        <v>2050</v>
      </c>
      <c r="P3422">
        <v>121.6663582335095</v>
      </c>
    </row>
    <row r="3423" spans="1:16" x14ac:dyDescent="0.3">
      <c r="A3423" t="str">
        <f t="shared" si="53"/>
        <v>CN|AccumulatedNewCapacity|RE1|PWRJET|2050</v>
      </c>
      <c r="B3423" t="s">
        <v>39</v>
      </c>
      <c r="C3423" t="s">
        <v>40</v>
      </c>
      <c r="D3423" t="s">
        <v>18</v>
      </c>
      <c r="E3423" t="s">
        <v>19</v>
      </c>
      <c r="F3423" t="s">
        <v>27</v>
      </c>
      <c r="O3423">
        <v>2050</v>
      </c>
    </row>
    <row r="3424" spans="1:16" x14ac:dyDescent="0.3">
      <c r="A3424" t="str">
        <f t="shared" si="53"/>
        <v>CN|AccumulatedNewCapacity|RE1|PWRLPG|2050</v>
      </c>
      <c r="B3424" t="s">
        <v>39</v>
      </c>
      <c r="C3424" t="s">
        <v>40</v>
      </c>
      <c r="D3424" t="s">
        <v>18</v>
      </c>
      <c r="E3424" t="s">
        <v>19</v>
      </c>
      <c r="F3424" t="s">
        <v>28</v>
      </c>
      <c r="O3424">
        <v>2050</v>
      </c>
    </row>
    <row r="3425" spans="1:16" x14ac:dyDescent="0.3">
      <c r="A3425" t="str">
        <f t="shared" si="53"/>
        <v>CN|AccumulatedNewCapacity|RE1|PWRNGS_CC|2050</v>
      </c>
      <c r="B3425" t="s">
        <v>39</v>
      </c>
      <c r="C3425" t="s">
        <v>40</v>
      </c>
      <c r="D3425" t="s">
        <v>18</v>
      </c>
      <c r="E3425" t="s">
        <v>19</v>
      </c>
      <c r="F3425" t="s">
        <v>29</v>
      </c>
      <c r="O3425">
        <v>2050</v>
      </c>
    </row>
    <row r="3426" spans="1:16" x14ac:dyDescent="0.3">
      <c r="A3426" t="str">
        <f t="shared" si="53"/>
        <v>CN|AccumulatedNewCapacity|RE1|PWRNGS_CS|2050</v>
      </c>
      <c r="B3426" t="s">
        <v>39</v>
      </c>
      <c r="C3426" t="s">
        <v>40</v>
      </c>
      <c r="D3426" t="s">
        <v>18</v>
      </c>
      <c r="E3426" t="s">
        <v>19</v>
      </c>
      <c r="F3426" t="s">
        <v>30</v>
      </c>
      <c r="O3426">
        <v>2050</v>
      </c>
    </row>
    <row r="3427" spans="1:16" x14ac:dyDescent="0.3">
      <c r="A3427" t="str">
        <f t="shared" si="53"/>
        <v>CN|AccumulatedNewCapacity|RE1|PWRSOLRTP|2050</v>
      </c>
      <c r="B3427" t="s">
        <v>39</v>
      </c>
      <c r="C3427" t="s">
        <v>40</v>
      </c>
      <c r="D3427" t="s">
        <v>18</v>
      </c>
      <c r="E3427" t="s">
        <v>19</v>
      </c>
      <c r="F3427" t="s">
        <v>31</v>
      </c>
      <c r="O3427">
        <v>2050</v>
      </c>
      <c r="P3427">
        <v>218.76345518622691</v>
      </c>
    </row>
    <row r="3428" spans="1:16" x14ac:dyDescent="0.3">
      <c r="A3428" t="str">
        <f t="shared" si="53"/>
        <v>CN|AccumulatedNewCapacity|RE1|PWRSOLRTP_ZNI|2050</v>
      </c>
      <c r="B3428" t="s">
        <v>39</v>
      </c>
      <c r="C3428" t="s">
        <v>40</v>
      </c>
      <c r="D3428" t="s">
        <v>18</v>
      </c>
      <c r="E3428" t="s">
        <v>19</v>
      </c>
      <c r="F3428" t="s">
        <v>32</v>
      </c>
      <c r="O3428">
        <v>2050</v>
      </c>
      <c r="P3428">
        <v>1.3696294318356339</v>
      </c>
    </row>
    <row r="3429" spans="1:16" x14ac:dyDescent="0.3">
      <c r="A3429" t="str">
        <f t="shared" si="53"/>
        <v>CN|AccumulatedNewCapacity|RE1|PWRSOLUGE|2050</v>
      </c>
      <c r="B3429" t="s">
        <v>39</v>
      </c>
      <c r="C3429" t="s">
        <v>40</v>
      </c>
      <c r="D3429" t="s">
        <v>18</v>
      </c>
      <c r="E3429" t="s">
        <v>19</v>
      </c>
      <c r="F3429" t="s">
        <v>33</v>
      </c>
      <c r="O3429">
        <v>2050</v>
      </c>
      <c r="P3429">
        <v>516.10487686843851</v>
      </c>
    </row>
    <row r="3430" spans="1:16" x14ac:dyDescent="0.3">
      <c r="A3430" t="str">
        <f t="shared" si="53"/>
        <v>CN|AccumulatedNewCapacity|RE1|PWRSOLUGE_BAT|2050</v>
      </c>
      <c r="B3430" t="s">
        <v>39</v>
      </c>
      <c r="C3430" t="s">
        <v>40</v>
      </c>
      <c r="D3430" t="s">
        <v>18</v>
      </c>
      <c r="E3430" t="s">
        <v>19</v>
      </c>
      <c r="F3430" t="s">
        <v>41</v>
      </c>
      <c r="O3430">
        <v>2050</v>
      </c>
      <c r="P3430">
        <v>30.670102189502511</v>
      </c>
    </row>
    <row r="3431" spans="1:16" x14ac:dyDescent="0.3">
      <c r="A3431" t="str">
        <f t="shared" si="53"/>
        <v>CN|AccumulatedNewCapacity|RE1|PWRSOLUPE|2050</v>
      </c>
      <c r="B3431" t="s">
        <v>39</v>
      </c>
      <c r="C3431" t="s">
        <v>40</v>
      </c>
      <c r="D3431" t="s">
        <v>18</v>
      </c>
      <c r="E3431" t="s">
        <v>19</v>
      </c>
      <c r="F3431" t="s">
        <v>34</v>
      </c>
      <c r="O3431">
        <v>2050</v>
      </c>
      <c r="P3431">
        <v>6.833535839999973</v>
      </c>
    </row>
    <row r="3432" spans="1:16" x14ac:dyDescent="0.3">
      <c r="A3432" t="str">
        <f t="shared" si="53"/>
        <v>CN|AccumulatedNewCapacity|RE1|PWRSTD|2050</v>
      </c>
      <c r="B3432" t="s">
        <v>39</v>
      </c>
      <c r="C3432" t="s">
        <v>40</v>
      </c>
      <c r="D3432" t="s">
        <v>18</v>
      </c>
      <c r="E3432" t="s">
        <v>19</v>
      </c>
      <c r="F3432" t="s">
        <v>35</v>
      </c>
      <c r="O3432">
        <v>2050</v>
      </c>
    </row>
    <row r="3433" spans="1:16" x14ac:dyDescent="0.3">
      <c r="A3433" t="str">
        <f t="shared" si="53"/>
        <v>CN|AccumulatedNewCapacity|RE1|PWRWNDOFS_FIX|2050</v>
      </c>
      <c r="B3433" t="s">
        <v>39</v>
      </c>
      <c r="C3433" t="s">
        <v>40</v>
      </c>
      <c r="D3433" t="s">
        <v>18</v>
      </c>
      <c r="E3433" t="s">
        <v>19</v>
      </c>
      <c r="F3433" t="s">
        <v>42</v>
      </c>
      <c r="O3433">
        <v>2050</v>
      </c>
      <c r="P3433">
        <v>553.85030883313163</v>
      </c>
    </row>
    <row r="3434" spans="1:16" x14ac:dyDescent="0.3">
      <c r="A3434" t="str">
        <f t="shared" si="53"/>
        <v>CN|AccumulatedNewCapacity|RE1|PWRWNDOFS_FLO|2050</v>
      </c>
      <c r="B3434" t="s">
        <v>39</v>
      </c>
      <c r="C3434" t="s">
        <v>40</v>
      </c>
      <c r="D3434" t="s">
        <v>18</v>
      </c>
      <c r="E3434" t="s">
        <v>19</v>
      </c>
      <c r="F3434" t="s">
        <v>43</v>
      </c>
      <c r="O3434">
        <v>2050</v>
      </c>
      <c r="P3434">
        <v>7.2734896835090179</v>
      </c>
    </row>
    <row r="3435" spans="1:16" x14ac:dyDescent="0.3">
      <c r="A3435" t="str">
        <f t="shared" si="53"/>
        <v>CN|AccumulatedNewCapacity|RE1|PWRWNDONS|2050</v>
      </c>
      <c r="B3435" t="s">
        <v>39</v>
      </c>
      <c r="C3435" t="s">
        <v>40</v>
      </c>
      <c r="D3435" t="s">
        <v>18</v>
      </c>
      <c r="E3435" t="s">
        <v>19</v>
      </c>
      <c r="F3435" t="s">
        <v>36</v>
      </c>
      <c r="O3435">
        <v>2050</v>
      </c>
      <c r="P3435">
        <v>804.23944648443535</v>
      </c>
    </row>
    <row r="3436" spans="1:16" x14ac:dyDescent="0.3">
      <c r="A3436" t="str">
        <f t="shared" si="53"/>
        <v>CN|NewCapacity|RE1|PWRBGS|2050</v>
      </c>
      <c r="B3436" t="s">
        <v>39</v>
      </c>
      <c r="C3436" t="s">
        <v>40</v>
      </c>
      <c r="D3436" t="s">
        <v>37</v>
      </c>
      <c r="E3436" t="s">
        <v>19</v>
      </c>
      <c r="F3436" t="s">
        <v>20</v>
      </c>
      <c r="O3436">
        <v>2050</v>
      </c>
    </row>
    <row r="3437" spans="1:16" x14ac:dyDescent="0.3">
      <c r="A3437" t="str">
        <f t="shared" si="53"/>
        <v>CN|NewCapacity|RE1|PWRCOA|2050</v>
      </c>
      <c r="B3437" t="s">
        <v>39</v>
      </c>
      <c r="C3437" t="s">
        <v>40</v>
      </c>
      <c r="D3437" t="s">
        <v>37</v>
      </c>
      <c r="E3437" t="s">
        <v>19</v>
      </c>
      <c r="F3437" t="s">
        <v>21</v>
      </c>
      <c r="O3437">
        <v>2050</v>
      </c>
    </row>
    <row r="3438" spans="1:16" x14ac:dyDescent="0.3">
      <c r="A3438" t="str">
        <f t="shared" si="53"/>
        <v>CN|NewCapacity|RE1|PWRDSL|2050</v>
      </c>
      <c r="B3438" t="s">
        <v>39</v>
      </c>
      <c r="C3438" t="s">
        <v>40</v>
      </c>
      <c r="D3438" t="s">
        <v>37</v>
      </c>
      <c r="E3438" t="s">
        <v>19</v>
      </c>
      <c r="F3438" t="s">
        <v>22</v>
      </c>
      <c r="O3438">
        <v>2050</v>
      </c>
    </row>
    <row r="3439" spans="1:16" x14ac:dyDescent="0.3">
      <c r="A3439" t="str">
        <f t="shared" si="53"/>
        <v>CN|NewCapacity|RE1|PWRFOL|2050</v>
      </c>
      <c r="B3439" t="s">
        <v>39</v>
      </c>
      <c r="C3439" t="s">
        <v>40</v>
      </c>
      <c r="D3439" t="s">
        <v>37</v>
      </c>
      <c r="E3439" t="s">
        <v>19</v>
      </c>
      <c r="F3439" t="s">
        <v>23</v>
      </c>
      <c r="O3439">
        <v>2050</v>
      </c>
    </row>
    <row r="3440" spans="1:16" x14ac:dyDescent="0.3">
      <c r="A3440" t="str">
        <f t="shared" si="53"/>
        <v>CN|NewCapacity|RE1|PWRHYDDAM|2050</v>
      </c>
      <c r="B3440" t="s">
        <v>39</v>
      </c>
      <c r="C3440" t="s">
        <v>40</v>
      </c>
      <c r="D3440" t="s">
        <v>37</v>
      </c>
      <c r="E3440" t="s">
        <v>19</v>
      </c>
      <c r="F3440" t="s">
        <v>24</v>
      </c>
      <c r="O3440">
        <v>2050</v>
      </c>
    </row>
    <row r="3441" spans="1:16" x14ac:dyDescent="0.3">
      <c r="A3441" t="str">
        <f t="shared" si="53"/>
        <v>CN|NewCapacity|RE1|PWRHYDROR|2050</v>
      </c>
      <c r="B3441" t="s">
        <v>39</v>
      </c>
      <c r="C3441" t="s">
        <v>40</v>
      </c>
      <c r="D3441" t="s">
        <v>37</v>
      </c>
      <c r="E3441" t="s">
        <v>19</v>
      </c>
      <c r="F3441" t="s">
        <v>25</v>
      </c>
      <c r="O3441">
        <v>2050</v>
      </c>
    </row>
    <row r="3442" spans="1:16" x14ac:dyDescent="0.3">
      <c r="A3442" t="str">
        <f t="shared" si="53"/>
        <v>CN|NewCapacity|RE1|PWRHYDROR_NDC|2050</v>
      </c>
      <c r="B3442" t="s">
        <v>39</v>
      </c>
      <c r="C3442" t="s">
        <v>40</v>
      </c>
      <c r="D3442" t="s">
        <v>37</v>
      </c>
      <c r="E3442" t="s">
        <v>19</v>
      </c>
      <c r="F3442" t="s">
        <v>26</v>
      </c>
      <c r="O3442">
        <v>2050</v>
      </c>
    </row>
    <row r="3443" spans="1:16" x14ac:dyDescent="0.3">
      <c r="A3443" t="str">
        <f t="shared" si="53"/>
        <v>CN|NewCapacity|RE1|PWRJET|2050</v>
      </c>
      <c r="B3443" t="s">
        <v>39</v>
      </c>
      <c r="C3443" t="s">
        <v>40</v>
      </c>
      <c r="D3443" t="s">
        <v>37</v>
      </c>
      <c r="E3443" t="s">
        <v>19</v>
      </c>
      <c r="F3443" t="s">
        <v>27</v>
      </c>
      <c r="O3443">
        <v>2050</v>
      </c>
    </row>
    <row r="3444" spans="1:16" x14ac:dyDescent="0.3">
      <c r="A3444" t="str">
        <f t="shared" si="53"/>
        <v>CN|NewCapacity|RE1|PWRLPG|2050</v>
      </c>
      <c r="B3444" t="s">
        <v>39</v>
      </c>
      <c r="C3444" t="s">
        <v>40</v>
      </c>
      <c r="D3444" t="s">
        <v>37</v>
      </c>
      <c r="E3444" t="s">
        <v>19</v>
      </c>
      <c r="F3444" t="s">
        <v>28</v>
      </c>
      <c r="O3444">
        <v>2050</v>
      </c>
    </row>
    <row r="3445" spans="1:16" x14ac:dyDescent="0.3">
      <c r="A3445" t="str">
        <f t="shared" si="53"/>
        <v>CN|NewCapacity|RE1|PWRNGS_CC|2050</v>
      </c>
      <c r="B3445" t="s">
        <v>39</v>
      </c>
      <c r="C3445" t="s">
        <v>40</v>
      </c>
      <c r="D3445" t="s">
        <v>37</v>
      </c>
      <c r="E3445" t="s">
        <v>19</v>
      </c>
      <c r="F3445" t="s">
        <v>29</v>
      </c>
      <c r="O3445">
        <v>2050</v>
      </c>
    </row>
    <row r="3446" spans="1:16" x14ac:dyDescent="0.3">
      <c r="A3446" t="str">
        <f t="shared" si="53"/>
        <v>CN|NewCapacity|RE1|PWRNGS_CS|2050</v>
      </c>
      <c r="B3446" t="s">
        <v>39</v>
      </c>
      <c r="C3446" t="s">
        <v>40</v>
      </c>
      <c r="D3446" t="s">
        <v>37</v>
      </c>
      <c r="E3446" t="s">
        <v>19</v>
      </c>
      <c r="F3446" t="s">
        <v>30</v>
      </c>
      <c r="O3446">
        <v>2050</v>
      </c>
    </row>
    <row r="3447" spans="1:16" x14ac:dyDescent="0.3">
      <c r="A3447" t="str">
        <f t="shared" si="53"/>
        <v>CN|NewCapacity|RE1|PWRSOLRTP|2050</v>
      </c>
      <c r="B3447" t="s">
        <v>39</v>
      </c>
      <c r="C3447" t="s">
        <v>40</v>
      </c>
      <c r="D3447" t="s">
        <v>37</v>
      </c>
      <c r="E3447" t="s">
        <v>19</v>
      </c>
      <c r="F3447" t="s">
        <v>31</v>
      </c>
      <c r="O3447">
        <v>2050</v>
      </c>
      <c r="P3447">
        <v>1.27</v>
      </c>
    </row>
    <row r="3448" spans="1:16" x14ac:dyDescent="0.3">
      <c r="A3448" t="str">
        <f t="shared" si="53"/>
        <v>CN|NewCapacity|RE1|PWRSOLRTP_ZNI|2050</v>
      </c>
      <c r="B3448" t="s">
        <v>39</v>
      </c>
      <c r="C3448" t="s">
        <v>40</v>
      </c>
      <c r="D3448" t="s">
        <v>37</v>
      </c>
      <c r="E3448" t="s">
        <v>19</v>
      </c>
      <c r="F3448" t="s">
        <v>32</v>
      </c>
      <c r="O3448">
        <v>2050</v>
      </c>
    </row>
    <row r="3449" spans="1:16" x14ac:dyDescent="0.3">
      <c r="A3449" t="str">
        <f t="shared" si="53"/>
        <v>CN|NewCapacity|RE1|PWRSOLUGE|2050</v>
      </c>
      <c r="B3449" t="s">
        <v>39</v>
      </c>
      <c r="C3449" t="s">
        <v>40</v>
      </c>
      <c r="D3449" t="s">
        <v>37</v>
      </c>
      <c r="E3449" t="s">
        <v>19</v>
      </c>
      <c r="F3449" t="s">
        <v>33</v>
      </c>
      <c r="O3449">
        <v>2050</v>
      </c>
    </row>
    <row r="3450" spans="1:16" x14ac:dyDescent="0.3">
      <c r="A3450" t="str">
        <f t="shared" si="53"/>
        <v>CN|NewCapacity|RE1|PWRSOLUGE_BAT|2050</v>
      </c>
      <c r="B3450" t="s">
        <v>39</v>
      </c>
      <c r="C3450" t="s">
        <v>40</v>
      </c>
      <c r="D3450" t="s">
        <v>37</v>
      </c>
      <c r="E3450" t="s">
        <v>19</v>
      </c>
      <c r="F3450" t="s">
        <v>41</v>
      </c>
      <c r="O3450">
        <v>2050</v>
      </c>
    </row>
    <row r="3451" spans="1:16" x14ac:dyDescent="0.3">
      <c r="A3451" t="str">
        <f t="shared" si="53"/>
        <v>CN|NewCapacity|RE1|PWRSOLUPE|2050</v>
      </c>
      <c r="B3451" t="s">
        <v>39</v>
      </c>
      <c r="C3451" t="s">
        <v>40</v>
      </c>
      <c r="D3451" t="s">
        <v>37</v>
      </c>
      <c r="E3451" t="s">
        <v>19</v>
      </c>
      <c r="F3451" t="s">
        <v>34</v>
      </c>
      <c r="O3451">
        <v>2050</v>
      </c>
    </row>
    <row r="3452" spans="1:16" x14ac:dyDescent="0.3">
      <c r="A3452" t="str">
        <f t="shared" si="53"/>
        <v>CN|NewCapacity|RE1|PWRSTD|2050</v>
      </c>
      <c r="B3452" t="s">
        <v>39</v>
      </c>
      <c r="C3452" t="s">
        <v>40</v>
      </c>
      <c r="D3452" t="s">
        <v>37</v>
      </c>
      <c r="E3452" t="s">
        <v>19</v>
      </c>
      <c r="F3452" t="s">
        <v>35</v>
      </c>
      <c r="O3452">
        <v>2050</v>
      </c>
    </row>
    <row r="3453" spans="1:16" x14ac:dyDescent="0.3">
      <c r="A3453" t="str">
        <f t="shared" si="53"/>
        <v>CN|NewCapacity|RE1|PWRWNDOFS_FIX|2050</v>
      </c>
      <c r="B3453" t="s">
        <v>39</v>
      </c>
      <c r="C3453" t="s">
        <v>40</v>
      </c>
      <c r="D3453" t="s">
        <v>37</v>
      </c>
      <c r="E3453" t="s">
        <v>19</v>
      </c>
      <c r="F3453" t="s">
        <v>42</v>
      </c>
      <c r="O3453">
        <v>2050</v>
      </c>
    </row>
    <row r="3454" spans="1:16" x14ac:dyDescent="0.3">
      <c r="A3454" t="str">
        <f t="shared" si="53"/>
        <v>CN|NewCapacity|RE1|PWRWNDOFS_FLO|2050</v>
      </c>
      <c r="B3454" t="s">
        <v>39</v>
      </c>
      <c r="C3454" t="s">
        <v>40</v>
      </c>
      <c r="D3454" t="s">
        <v>37</v>
      </c>
      <c r="E3454" t="s">
        <v>19</v>
      </c>
      <c r="F3454" t="s">
        <v>43</v>
      </c>
      <c r="O3454">
        <v>2050</v>
      </c>
    </row>
    <row r="3455" spans="1:16" x14ac:dyDescent="0.3">
      <c r="A3455" t="str">
        <f t="shared" si="53"/>
        <v>CN|NewCapacity|RE1|PWRWNDONS|2050</v>
      </c>
      <c r="B3455" t="s">
        <v>39</v>
      </c>
      <c r="C3455" t="s">
        <v>40</v>
      </c>
      <c r="D3455" t="s">
        <v>37</v>
      </c>
      <c r="E3455" t="s">
        <v>19</v>
      </c>
      <c r="F3455" t="s">
        <v>36</v>
      </c>
      <c r="O3455">
        <v>2050</v>
      </c>
    </row>
    <row r="3456" spans="1:16" x14ac:dyDescent="0.3">
      <c r="A3456" t="str">
        <f t="shared" si="53"/>
        <v>CN|TotalCapacityAnnual|RE1|PWRBGS|2050</v>
      </c>
      <c r="B3456" t="s">
        <v>39</v>
      </c>
      <c r="C3456" t="s">
        <v>40</v>
      </c>
      <c r="D3456" t="s">
        <v>38</v>
      </c>
      <c r="E3456" t="s">
        <v>19</v>
      </c>
      <c r="F3456" t="s">
        <v>20</v>
      </c>
      <c r="O3456">
        <v>2050</v>
      </c>
      <c r="P3456">
        <v>2.5488587520000001E-2</v>
      </c>
    </row>
    <row r="3457" spans="1:16" x14ac:dyDescent="0.3">
      <c r="A3457" t="str">
        <f t="shared" si="53"/>
        <v>CN|TotalCapacityAnnual|RE1|PWRCOA|2050</v>
      </c>
      <c r="B3457" t="s">
        <v>39</v>
      </c>
      <c r="C3457" t="s">
        <v>40</v>
      </c>
      <c r="D3457" t="s">
        <v>38</v>
      </c>
      <c r="E3457" t="s">
        <v>19</v>
      </c>
      <c r="F3457" t="s">
        <v>21</v>
      </c>
      <c r="O3457">
        <v>2050</v>
      </c>
    </row>
    <row r="3458" spans="1:16" x14ac:dyDescent="0.3">
      <c r="A3458" t="str">
        <f t="shared" ref="A3458:A3521" si="54">B3458&amp;"|"&amp;D3458&amp;"|"&amp;E3458&amp;"|"&amp;F3458&amp;"|"&amp;O3458</f>
        <v>CN|TotalCapacityAnnual|RE1|PWRDSL|2050</v>
      </c>
      <c r="B3458" t="s">
        <v>39</v>
      </c>
      <c r="C3458" t="s">
        <v>40</v>
      </c>
      <c r="D3458" t="s">
        <v>38</v>
      </c>
      <c r="E3458" t="s">
        <v>19</v>
      </c>
      <c r="F3458" t="s">
        <v>22</v>
      </c>
      <c r="O3458">
        <v>2050</v>
      </c>
    </row>
    <row r="3459" spans="1:16" x14ac:dyDescent="0.3">
      <c r="A3459" t="str">
        <f t="shared" si="54"/>
        <v>CN|TotalCapacityAnnual|RE1|PWRFOL|2050</v>
      </c>
      <c r="B3459" t="s">
        <v>39</v>
      </c>
      <c r="C3459" t="s">
        <v>40</v>
      </c>
      <c r="D3459" t="s">
        <v>38</v>
      </c>
      <c r="E3459" t="s">
        <v>19</v>
      </c>
      <c r="F3459" t="s">
        <v>23</v>
      </c>
      <c r="O3459">
        <v>2050</v>
      </c>
      <c r="P3459">
        <v>8.3885759999999987</v>
      </c>
    </row>
    <row r="3460" spans="1:16" x14ac:dyDescent="0.3">
      <c r="A3460" t="str">
        <f t="shared" si="54"/>
        <v>CN|TotalCapacityAnnual|RE1|PWRHYDDAM|2050</v>
      </c>
      <c r="B3460" t="s">
        <v>39</v>
      </c>
      <c r="C3460" t="s">
        <v>40</v>
      </c>
      <c r="D3460" t="s">
        <v>38</v>
      </c>
      <c r="E3460" t="s">
        <v>19</v>
      </c>
      <c r="F3460" t="s">
        <v>24</v>
      </c>
      <c r="O3460">
        <v>2050</v>
      </c>
      <c r="P3460">
        <v>440.49164800000011</v>
      </c>
    </row>
    <row r="3461" spans="1:16" x14ac:dyDescent="0.3">
      <c r="A3461" t="str">
        <f t="shared" si="54"/>
        <v>CN|TotalCapacityAnnual|RE1|PWRHYDROR|2050</v>
      </c>
      <c r="B3461" t="s">
        <v>39</v>
      </c>
      <c r="C3461" t="s">
        <v>40</v>
      </c>
      <c r="D3461" t="s">
        <v>38</v>
      </c>
      <c r="E3461" t="s">
        <v>19</v>
      </c>
      <c r="F3461" t="s">
        <v>25</v>
      </c>
      <c r="O3461">
        <v>2050</v>
      </c>
      <c r="P3461">
        <v>21.097584000000001</v>
      </c>
    </row>
    <row r="3462" spans="1:16" x14ac:dyDescent="0.3">
      <c r="A3462" t="str">
        <f t="shared" si="54"/>
        <v>CN|TotalCapacityAnnual|RE1|PWRHYDROR_NDC|2050</v>
      </c>
      <c r="B3462" t="s">
        <v>39</v>
      </c>
      <c r="C3462" t="s">
        <v>40</v>
      </c>
      <c r="D3462" t="s">
        <v>38</v>
      </c>
      <c r="E3462" t="s">
        <v>19</v>
      </c>
      <c r="F3462" t="s">
        <v>26</v>
      </c>
      <c r="O3462">
        <v>2050</v>
      </c>
      <c r="P3462">
        <v>151.3914665055095</v>
      </c>
    </row>
    <row r="3463" spans="1:16" x14ac:dyDescent="0.3">
      <c r="A3463" t="str">
        <f t="shared" si="54"/>
        <v>CN|TotalCapacityAnnual|RE1|PWRJET|2050</v>
      </c>
      <c r="B3463" t="s">
        <v>39</v>
      </c>
      <c r="C3463" t="s">
        <v>40</v>
      </c>
      <c r="D3463" t="s">
        <v>38</v>
      </c>
      <c r="E3463" t="s">
        <v>19</v>
      </c>
      <c r="F3463" t="s">
        <v>27</v>
      </c>
      <c r="O3463">
        <v>2050</v>
      </c>
      <c r="P3463">
        <v>1.5768</v>
      </c>
    </row>
    <row r="3464" spans="1:16" x14ac:dyDescent="0.3">
      <c r="A3464" t="str">
        <f t="shared" si="54"/>
        <v>CN|TotalCapacityAnnual|RE1|PWRLPG|2050</v>
      </c>
      <c r="B3464" t="s">
        <v>39</v>
      </c>
      <c r="C3464" t="s">
        <v>40</v>
      </c>
      <c r="D3464" t="s">
        <v>38</v>
      </c>
      <c r="E3464" t="s">
        <v>19</v>
      </c>
      <c r="F3464" t="s">
        <v>28</v>
      </c>
      <c r="O3464">
        <v>2050</v>
      </c>
      <c r="P3464">
        <v>1.639872</v>
      </c>
    </row>
    <row r="3465" spans="1:16" x14ac:dyDescent="0.3">
      <c r="A3465" t="str">
        <f t="shared" si="54"/>
        <v>CN|TotalCapacityAnnual|RE1|PWRNGS_CC|2050</v>
      </c>
      <c r="B3465" t="s">
        <v>39</v>
      </c>
      <c r="C3465" t="s">
        <v>40</v>
      </c>
      <c r="D3465" t="s">
        <v>38</v>
      </c>
      <c r="E3465" t="s">
        <v>19</v>
      </c>
      <c r="F3465" t="s">
        <v>29</v>
      </c>
      <c r="O3465">
        <v>2050</v>
      </c>
      <c r="P3465">
        <v>70.104500000000002</v>
      </c>
    </row>
    <row r="3466" spans="1:16" x14ac:dyDescent="0.3">
      <c r="A3466" t="str">
        <f t="shared" si="54"/>
        <v>CN|TotalCapacityAnnual|RE1|PWRNGS_CS|2050</v>
      </c>
      <c r="B3466" t="s">
        <v>39</v>
      </c>
      <c r="C3466" t="s">
        <v>40</v>
      </c>
      <c r="D3466" t="s">
        <v>38</v>
      </c>
      <c r="E3466" t="s">
        <v>19</v>
      </c>
      <c r="F3466" t="s">
        <v>30</v>
      </c>
      <c r="O3466">
        <v>2050</v>
      </c>
      <c r="P3466">
        <v>48.03</v>
      </c>
    </row>
    <row r="3467" spans="1:16" x14ac:dyDescent="0.3">
      <c r="A3467" t="str">
        <f t="shared" si="54"/>
        <v>CN|TotalCapacityAnnual|RE1|PWRSOLRTP|2050</v>
      </c>
      <c r="B3467" t="s">
        <v>39</v>
      </c>
      <c r="C3467" t="s">
        <v>40</v>
      </c>
      <c r="D3467" t="s">
        <v>38</v>
      </c>
      <c r="E3467" t="s">
        <v>19</v>
      </c>
      <c r="F3467" t="s">
        <v>31</v>
      </c>
      <c r="O3467">
        <v>2050</v>
      </c>
      <c r="P3467">
        <v>220.5037551862269</v>
      </c>
    </row>
    <row r="3468" spans="1:16" x14ac:dyDescent="0.3">
      <c r="A3468" t="str">
        <f t="shared" si="54"/>
        <v>CN|TotalCapacityAnnual|RE1|PWRSOLRTP_ZNI|2050</v>
      </c>
      <c r="B3468" t="s">
        <v>39</v>
      </c>
      <c r="C3468" t="s">
        <v>40</v>
      </c>
      <c r="D3468" t="s">
        <v>38</v>
      </c>
      <c r="E3468" t="s">
        <v>19</v>
      </c>
      <c r="F3468" t="s">
        <v>32</v>
      </c>
      <c r="O3468">
        <v>2050</v>
      </c>
      <c r="P3468">
        <v>1.830370391835634</v>
      </c>
    </row>
    <row r="3469" spans="1:16" x14ac:dyDescent="0.3">
      <c r="A3469" t="str">
        <f t="shared" si="54"/>
        <v>CN|TotalCapacityAnnual|RE1|PWRSOLUGE|2050</v>
      </c>
      <c r="B3469" t="s">
        <v>39</v>
      </c>
      <c r="C3469" t="s">
        <v>40</v>
      </c>
      <c r="D3469" t="s">
        <v>38</v>
      </c>
      <c r="E3469" t="s">
        <v>19</v>
      </c>
      <c r="F3469" t="s">
        <v>33</v>
      </c>
      <c r="O3469">
        <v>2050</v>
      </c>
      <c r="P3469">
        <v>564.5025768684385</v>
      </c>
    </row>
    <row r="3470" spans="1:16" x14ac:dyDescent="0.3">
      <c r="A3470" t="str">
        <f t="shared" si="54"/>
        <v>CN|TotalCapacityAnnual|RE1|PWRSOLUGE_BAT|2050</v>
      </c>
      <c r="B3470" t="s">
        <v>39</v>
      </c>
      <c r="C3470" t="s">
        <v>40</v>
      </c>
      <c r="D3470" t="s">
        <v>38</v>
      </c>
      <c r="E3470" t="s">
        <v>19</v>
      </c>
      <c r="F3470" t="s">
        <v>41</v>
      </c>
      <c r="O3470">
        <v>2050</v>
      </c>
      <c r="P3470">
        <v>30.670102189502511</v>
      </c>
    </row>
    <row r="3471" spans="1:16" x14ac:dyDescent="0.3">
      <c r="A3471" t="str">
        <f t="shared" si="54"/>
        <v>CN|TotalCapacityAnnual|RE1|PWRSOLUPE|2050</v>
      </c>
      <c r="B3471" t="s">
        <v>39</v>
      </c>
      <c r="C3471" t="s">
        <v>40</v>
      </c>
      <c r="D3471" t="s">
        <v>38</v>
      </c>
      <c r="E3471" t="s">
        <v>19</v>
      </c>
      <c r="F3471" t="s">
        <v>34</v>
      </c>
      <c r="O3471">
        <v>2050</v>
      </c>
      <c r="P3471">
        <v>6.833535839999973</v>
      </c>
    </row>
    <row r="3472" spans="1:16" x14ac:dyDescent="0.3">
      <c r="A3472" t="str">
        <f t="shared" si="54"/>
        <v>CN|TotalCapacityAnnual|RE1|PWRSTD|2050</v>
      </c>
      <c r="B3472" t="s">
        <v>39</v>
      </c>
      <c r="C3472" t="s">
        <v>40</v>
      </c>
      <c r="D3472" t="s">
        <v>38</v>
      </c>
      <c r="E3472" t="s">
        <v>19</v>
      </c>
      <c r="F3472" t="s">
        <v>35</v>
      </c>
      <c r="O3472">
        <v>2050</v>
      </c>
      <c r="P3472">
        <v>8.163062064</v>
      </c>
    </row>
    <row r="3473" spans="1:16" x14ac:dyDescent="0.3">
      <c r="A3473" t="str">
        <f t="shared" si="54"/>
        <v>CN|TotalCapacityAnnual|RE1|PWRWNDOFS_FIX|2050</v>
      </c>
      <c r="B3473" t="s">
        <v>39</v>
      </c>
      <c r="C3473" t="s">
        <v>40</v>
      </c>
      <c r="D3473" t="s">
        <v>38</v>
      </c>
      <c r="E3473" t="s">
        <v>19</v>
      </c>
      <c r="F3473" t="s">
        <v>42</v>
      </c>
      <c r="O3473">
        <v>2050</v>
      </c>
      <c r="P3473">
        <v>553.85030883313163</v>
      </c>
    </row>
    <row r="3474" spans="1:16" x14ac:dyDescent="0.3">
      <c r="A3474" t="str">
        <f t="shared" si="54"/>
        <v>CN|TotalCapacityAnnual|RE1|PWRWNDOFS_FLO|2050</v>
      </c>
      <c r="B3474" t="s">
        <v>39</v>
      </c>
      <c r="C3474" t="s">
        <v>40</v>
      </c>
      <c r="D3474" t="s">
        <v>38</v>
      </c>
      <c r="E3474" t="s">
        <v>19</v>
      </c>
      <c r="F3474" t="s">
        <v>43</v>
      </c>
      <c r="O3474">
        <v>2050</v>
      </c>
      <c r="P3474">
        <v>7.2734896835090179</v>
      </c>
    </row>
    <row r="3475" spans="1:16" x14ac:dyDescent="0.3">
      <c r="A3475" t="str">
        <f t="shared" si="54"/>
        <v>CN|TotalCapacityAnnual|RE1|PWRWNDONS|2050</v>
      </c>
      <c r="B3475" t="s">
        <v>39</v>
      </c>
      <c r="C3475" t="s">
        <v>40</v>
      </c>
      <c r="D3475" t="s">
        <v>38</v>
      </c>
      <c r="E3475" t="s">
        <v>19</v>
      </c>
      <c r="F3475" t="s">
        <v>36</v>
      </c>
      <c r="O3475">
        <v>2050</v>
      </c>
      <c r="P3475">
        <v>805.6081088844353</v>
      </c>
    </row>
    <row r="3476" spans="1:16" x14ac:dyDescent="0.3">
      <c r="A3476" t="str">
        <f t="shared" si="54"/>
        <v>CN|AccumulatedNewCapacity|RE1|PWRBGS|2051</v>
      </c>
      <c r="B3476" t="s">
        <v>39</v>
      </c>
      <c r="C3476" t="s">
        <v>40</v>
      </c>
      <c r="D3476" t="s">
        <v>18</v>
      </c>
      <c r="E3476" t="s">
        <v>19</v>
      </c>
      <c r="F3476" t="s">
        <v>20</v>
      </c>
      <c r="O3476">
        <v>2051</v>
      </c>
    </row>
    <row r="3477" spans="1:16" x14ac:dyDescent="0.3">
      <c r="A3477" t="str">
        <f t="shared" si="54"/>
        <v>CN|AccumulatedNewCapacity|RE1|PWRCOA|2051</v>
      </c>
      <c r="B3477" t="s">
        <v>39</v>
      </c>
      <c r="C3477" t="s">
        <v>40</v>
      </c>
      <c r="D3477" t="s">
        <v>18</v>
      </c>
      <c r="E3477" t="s">
        <v>19</v>
      </c>
      <c r="F3477" t="s">
        <v>21</v>
      </c>
      <c r="O3477">
        <v>2051</v>
      </c>
    </row>
    <row r="3478" spans="1:16" x14ac:dyDescent="0.3">
      <c r="A3478" t="str">
        <f t="shared" si="54"/>
        <v>CN|AccumulatedNewCapacity|RE1|PWRDSL|2051</v>
      </c>
      <c r="B3478" t="s">
        <v>39</v>
      </c>
      <c r="C3478" t="s">
        <v>40</v>
      </c>
      <c r="D3478" t="s">
        <v>18</v>
      </c>
      <c r="E3478" t="s">
        <v>19</v>
      </c>
      <c r="F3478" t="s">
        <v>22</v>
      </c>
      <c r="O3478">
        <v>2051</v>
      </c>
    </row>
    <row r="3479" spans="1:16" x14ac:dyDescent="0.3">
      <c r="A3479" t="str">
        <f t="shared" si="54"/>
        <v>CN|AccumulatedNewCapacity|RE1|PWRFOL|2051</v>
      </c>
      <c r="B3479" t="s">
        <v>39</v>
      </c>
      <c r="C3479" t="s">
        <v>40</v>
      </c>
      <c r="D3479" t="s">
        <v>18</v>
      </c>
      <c r="E3479" t="s">
        <v>19</v>
      </c>
      <c r="F3479" t="s">
        <v>23</v>
      </c>
      <c r="O3479">
        <v>2051</v>
      </c>
    </row>
    <row r="3480" spans="1:16" x14ac:dyDescent="0.3">
      <c r="A3480" t="str">
        <f t="shared" si="54"/>
        <v>CN|AccumulatedNewCapacity|RE1|PWRHYDDAM|2051</v>
      </c>
      <c r="B3480" t="s">
        <v>39</v>
      </c>
      <c r="C3480" t="s">
        <v>40</v>
      </c>
      <c r="D3480" t="s">
        <v>18</v>
      </c>
      <c r="E3480" t="s">
        <v>19</v>
      </c>
      <c r="F3480" t="s">
        <v>24</v>
      </c>
      <c r="O3480">
        <v>2051</v>
      </c>
      <c r="P3480">
        <v>37.840000000000003</v>
      </c>
    </row>
    <row r="3481" spans="1:16" x14ac:dyDescent="0.3">
      <c r="A3481" t="str">
        <f t="shared" si="54"/>
        <v>CN|AccumulatedNewCapacity|RE1|PWRHYDROR|2051</v>
      </c>
      <c r="B3481" t="s">
        <v>39</v>
      </c>
      <c r="C3481" t="s">
        <v>40</v>
      </c>
      <c r="D3481" t="s">
        <v>18</v>
      </c>
      <c r="E3481" t="s">
        <v>19</v>
      </c>
      <c r="F3481" t="s">
        <v>25</v>
      </c>
      <c r="O3481">
        <v>2051</v>
      </c>
    </row>
    <row r="3482" spans="1:16" x14ac:dyDescent="0.3">
      <c r="A3482" t="str">
        <f t="shared" si="54"/>
        <v>CN|AccumulatedNewCapacity|RE1|PWRHYDROR_NDC|2051</v>
      </c>
      <c r="B3482" t="s">
        <v>39</v>
      </c>
      <c r="C3482" t="s">
        <v>40</v>
      </c>
      <c r="D3482" t="s">
        <v>18</v>
      </c>
      <c r="E3482" t="s">
        <v>19</v>
      </c>
      <c r="F3482" t="s">
        <v>26</v>
      </c>
      <c r="O3482">
        <v>2051</v>
      </c>
      <c r="P3482">
        <v>121.6663582335095</v>
      </c>
    </row>
    <row r="3483" spans="1:16" x14ac:dyDescent="0.3">
      <c r="A3483" t="str">
        <f t="shared" si="54"/>
        <v>CN|AccumulatedNewCapacity|RE1|PWRJET|2051</v>
      </c>
      <c r="B3483" t="s">
        <v>39</v>
      </c>
      <c r="C3483" t="s">
        <v>40</v>
      </c>
      <c r="D3483" t="s">
        <v>18</v>
      </c>
      <c r="E3483" t="s">
        <v>19</v>
      </c>
      <c r="F3483" t="s">
        <v>27</v>
      </c>
      <c r="O3483">
        <v>2051</v>
      </c>
    </row>
    <row r="3484" spans="1:16" x14ac:dyDescent="0.3">
      <c r="A3484" t="str">
        <f t="shared" si="54"/>
        <v>CN|AccumulatedNewCapacity|RE1|PWRLPG|2051</v>
      </c>
      <c r="B3484" t="s">
        <v>39</v>
      </c>
      <c r="C3484" t="s">
        <v>40</v>
      </c>
      <c r="D3484" t="s">
        <v>18</v>
      </c>
      <c r="E3484" t="s">
        <v>19</v>
      </c>
      <c r="F3484" t="s">
        <v>28</v>
      </c>
      <c r="O3484">
        <v>2051</v>
      </c>
    </row>
    <row r="3485" spans="1:16" x14ac:dyDescent="0.3">
      <c r="A3485" t="str">
        <f t="shared" si="54"/>
        <v>CN|AccumulatedNewCapacity|RE1|PWRNGS_CC|2051</v>
      </c>
      <c r="B3485" t="s">
        <v>39</v>
      </c>
      <c r="C3485" t="s">
        <v>40</v>
      </c>
      <c r="D3485" t="s">
        <v>18</v>
      </c>
      <c r="E3485" t="s">
        <v>19</v>
      </c>
      <c r="F3485" t="s">
        <v>29</v>
      </c>
      <c r="O3485">
        <v>2051</v>
      </c>
    </row>
    <row r="3486" spans="1:16" x14ac:dyDescent="0.3">
      <c r="A3486" t="str">
        <f t="shared" si="54"/>
        <v>CN|AccumulatedNewCapacity|RE1|PWRNGS_CS|2051</v>
      </c>
      <c r="B3486" t="s">
        <v>39</v>
      </c>
      <c r="C3486" t="s">
        <v>40</v>
      </c>
      <c r="D3486" t="s">
        <v>18</v>
      </c>
      <c r="E3486" t="s">
        <v>19</v>
      </c>
      <c r="F3486" t="s">
        <v>30</v>
      </c>
      <c r="O3486">
        <v>2051</v>
      </c>
    </row>
    <row r="3487" spans="1:16" x14ac:dyDescent="0.3">
      <c r="A3487" t="str">
        <f t="shared" si="54"/>
        <v>CN|AccumulatedNewCapacity|RE1|PWRSOLRTP|2051</v>
      </c>
      <c r="B3487" t="s">
        <v>39</v>
      </c>
      <c r="C3487" t="s">
        <v>40</v>
      </c>
      <c r="D3487" t="s">
        <v>18</v>
      </c>
      <c r="E3487" t="s">
        <v>19</v>
      </c>
      <c r="F3487" t="s">
        <v>31</v>
      </c>
      <c r="O3487">
        <v>2051</v>
      </c>
      <c r="P3487">
        <v>209.66345518622691</v>
      </c>
    </row>
    <row r="3488" spans="1:16" x14ac:dyDescent="0.3">
      <c r="A3488" t="str">
        <f t="shared" si="54"/>
        <v>CN|AccumulatedNewCapacity|RE1|PWRSOLRTP_ZNI|2051</v>
      </c>
      <c r="B3488" t="s">
        <v>39</v>
      </c>
      <c r="C3488" t="s">
        <v>40</v>
      </c>
      <c r="D3488" t="s">
        <v>18</v>
      </c>
      <c r="E3488" t="s">
        <v>19</v>
      </c>
      <c r="F3488" t="s">
        <v>32</v>
      </c>
      <c r="O3488">
        <v>2051</v>
      </c>
      <c r="P3488">
        <v>1.3696294318356339</v>
      </c>
    </row>
    <row r="3489" spans="1:16" x14ac:dyDescent="0.3">
      <c r="A3489" t="str">
        <f t="shared" si="54"/>
        <v>CN|AccumulatedNewCapacity|RE1|PWRSOLUGE|2051</v>
      </c>
      <c r="B3489" t="s">
        <v>39</v>
      </c>
      <c r="C3489" t="s">
        <v>40</v>
      </c>
      <c r="D3489" t="s">
        <v>18</v>
      </c>
      <c r="E3489" t="s">
        <v>19</v>
      </c>
      <c r="F3489" t="s">
        <v>33</v>
      </c>
      <c r="O3489">
        <v>2051</v>
      </c>
      <c r="P3489">
        <v>460.31769286843848</v>
      </c>
    </row>
    <row r="3490" spans="1:16" x14ac:dyDescent="0.3">
      <c r="A3490" t="str">
        <f t="shared" si="54"/>
        <v>CN|AccumulatedNewCapacity|RE1|PWRSOLUGE_BAT|2051</v>
      </c>
      <c r="B3490" t="s">
        <v>39</v>
      </c>
      <c r="C3490" t="s">
        <v>40</v>
      </c>
      <c r="D3490" t="s">
        <v>18</v>
      </c>
      <c r="E3490" t="s">
        <v>19</v>
      </c>
      <c r="F3490" t="s">
        <v>41</v>
      </c>
      <c r="O3490">
        <v>2051</v>
      </c>
      <c r="P3490">
        <v>30.670102189502511</v>
      </c>
    </row>
    <row r="3491" spans="1:16" x14ac:dyDescent="0.3">
      <c r="A3491" t="str">
        <f t="shared" si="54"/>
        <v>CN|AccumulatedNewCapacity|RE1|PWRSOLUPE|2051</v>
      </c>
      <c r="B3491" t="s">
        <v>39</v>
      </c>
      <c r="C3491" t="s">
        <v>40</v>
      </c>
      <c r="D3491" t="s">
        <v>18</v>
      </c>
      <c r="E3491" t="s">
        <v>19</v>
      </c>
      <c r="F3491" t="s">
        <v>34</v>
      </c>
      <c r="O3491">
        <v>2051</v>
      </c>
      <c r="P3491">
        <v>3.4689599999999992</v>
      </c>
    </row>
    <row r="3492" spans="1:16" x14ac:dyDescent="0.3">
      <c r="A3492" t="str">
        <f t="shared" si="54"/>
        <v>CN|AccumulatedNewCapacity|RE1|PWRSTD|2051</v>
      </c>
      <c r="B3492" t="s">
        <v>39</v>
      </c>
      <c r="C3492" t="s">
        <v>40</v>
      </c>
      <c r="D3492" t="s">
        <v>18</v>
      </c>
      <c r="E3492" t="s">
        <v>19</v>
      </c>
      <c r="F3492" t="s">
        <v>35</v>
      </c>
      <c r="O3492">
        <v>2051</v>
      </c>
    </row>
    <row r="3493" spans="1:16" x14ac:dyDescent="0.3">
      <c r="A3493" t="str">
        <f t="shared" si="54"/>
        <v>CN|AccumulatedNewCapacity|RE1|PWRWNDOFS_FIX|2051</v>
      </c>
      <c r="B3493" t="s">
        <v>39</v>
      </c>
      <c r="C3493" t="s">
        <v>40</v>
      </c>
      <c r="D3493" t="s">
        <v>18</v>
      </c>
      <c r="E3493" t="s">
        <v>19</v>
      </c>
      <c r="F3493" t="s">
        <v>42</v>
      </c>
      <c r="O3493">
        <v>2051</v>
      </c>
      <c r="P3493">
        <v>553.85030883313163</v>
      </c>
    </row>
    <row r="3494" spans="1:16" x14ac:dyDescent="0.3">
      <c r="A3494" t="str">
        <f t="shared" si="54"/>
        <v>CN|AccumulatedNewCapacity|RE1|PWRWNDOFS_FLO|2051</v>
      </c>
      <c r="B3494" t="s">
        <v>39</v>
      </c>
      <c r="C3494" t="s">
        <v>40</v>
      </c>
      <c r="D3494" t="s">
        <v>18</v>
      </c>
      <c r="E3494" t="s">
        <v>19</v>
      </c>
      <c r="F3494" t="s">
        <v>43</v>
      </c>
      <c r="O3494">
        <v>2051</v>
      </c>
      <c r="P3494">
        <v>7.2734896835090179</v>
      </c>
    </row>
    <row r="3495" spans="1:16" x14ac:dyDescent="0.3">
      <c r="A3495" t="str">
        <f t="shared" si="54"/>
        <v>CN|AccumulatedNewCapacity|RE1|PWRWNDONS|2051</v>
      </c>
      <c r="B3495" t="s">
        <v>39</v>
      </c>
      <c r="C3495" t="s">
        <v>40</v>
      </c>
      <c r="D3495" t="s">
        <v>18</v>
      </c>
      <c r="E3495" t="s">
        <v>19</v>
      </c>
      <c r="F3495" t="s">
        <v>36</v>
      </c>
      <c r="O3495">
        <v>2051</v>
      </c>
      <c r="P3495">
        <v>851.54944648443529</v>
      </c>
    </row>
    <row r="3496" spans="1:16" x14ac:dyDescent="0.3">
      <c r="A3496" t="str">
        <f t="shared" si="54"/>
        <v>CN|NewCapacity|RE1|PWRBGS|2051</v>
      </c>
      <c r="B3496" t="s">
        <v>39</v>
      </c>
      <c r="C3496" t="s">
        <v>40</v>
      </c>
      <c r="D3496" t="s">
        <v>37</v>
      </c>
      <c r="E3496" t="s">
        <v>19</v>
      </c>
      <c r="F3496" t="s">
        <v>20</v>
      </c>
      <c r="O3496">
        <v>2051</v>
      </c>
    </row>
    <row r="3497" spans="1:16" x14ac:dyDescent="0.3">
      <c r="A3497" t="str">
        <f t="shared" si="54"/>
        <v>CN|NewCapacity|RE1|PWRCOA|2051</v>
      </c>
      <c r="B3497" t="s">
        <v>39</v>
      </c>
      <c r="C3497" t="s">
        <v>40</v>
      </c>
      <c r="D3497" t="s">
        <v>37</v>
      </c>
      <c r="E3497" t="s">
        <v>19</v>
      </c>
      <c r="F3497" t="s">
        <v>21</v>
      </c>
      <c r="O3497">
        <v>2051</v>
      </c>
    </row>
    <row r="3498" spans="1:16" x14ac:dyDescent="0.3">
      <c r="A3498" t="str">
        <f t="shared" si="54"/>
        <v>CN|NewCapacity|RE1|PWRDSL|2051</v>
      </c>
      <c r="B3498" t="s">
        <v>39</v>
      </c>
      <c r="C3498" t="s">
        <v>40</v>
      </c>
      <c r="D3498" t="s">
        <v>37</v>
      </c>
      <c r="E3498" t="s">
        <v>19</v>
      </c>
      <c r="F3498" t="s">
        <v>22</v>
      </c>
      <c r="O3498">
        <v>2051</v>
      </c>
    </row>
    <row r="3499" spans="1:16" x14ac:dyDescent="0.3">
      <c r="A3499" t="str">
        <f t="shared" si="54"/>
        <v>CN|NewCapacity|RE1|PWRFOL|2051</v>
      </c>
      <c r="B3499" t="s">
        <v>39</v>
      </c>
      <c r="C3499" t="s">
        <v>40</v>
      </c>
      <c r="D3499" t="s">
        <v>37</v>
      </c>
      <c r="E3499" t="s">
        <v>19</v>
      </c>
      <c r="F3499" t="s">
        <v>23</v>
      </c>
      <c r="O3499">
        <v>2051</v>
      </c>
    </row>
    <row r="3500" spans="1:16" x14ac:dyDescent="0.3">
      <c r="A3500" t="str">
        <f t="shared" si="54"/>
        <v>CN|NewCapacity|RE1|PWRHYDDAM|2051</v>
      </c>
      <c r="B3500" t="s">
        <v>39</v>
      </c>
      <c r="C3500" t="s">
        <v>40</v>
      </c>
      <c r="D3500" t="s">
        <v>37</v>
      </c>
      <c r="E3500" t="s">
        <v>19</v>
      </c>
      <c r="F3500" t="s">
        <v>24</v>
      </c>
      <c r="O3500">
        <v>2051</v>
      </c>
    </row>
    <row r="3501" spans="1:16" x14ac:dyDescent="0.3">
      <c r="A3501" t="str">
        <f t="shared" si="54"/>
        <v>CN|NewCapacity|RE1|PWRHYDROR|2051</v>
      </c>
      <c r="B3501" t="s">
        <v>39</v>
      </c>
      <c r="C3501" t="s">
        <v>40</v>
      </c>
      <c r="D3501" t="s">
        <v>37</v>
      </c>
      <c r="E3501" t="s">
        <v>19</v>
      </c>
      <c r="F3501" t="s">
        <v>25</v>
      </c>
      <c r="O3501">
        <v>2051</v>
      </c>
    </row>
    <row r="3502" spans="1:16" x14ac:dyDescent="0.3">
      <c r="A3502" t="str">
        <f t="shared" si="54"/>
        <v>CN|NewCapacity|RE1|PWRHYDROR_NDC|2051</v>
      </c>
      <c r="B3502" t="s">
        <v>39</v>
      </c>
      <c r="C3502" t="s">
        <v>40</v>
      </c>
      <c r="D3502" t="s">
        <v>37</v>
      </c>
      <c r="E3502" t="s">
        <v>19</v>
      </c>
      <c r="F3502" t="s">
        <v>26</v>
      </c>
      <c r="O3502">
        <v>2051</v>
      </c>
    </row>
    <row r="3503" spans="1:16" x14ac:dyDescent="0.3">
      <c r="A3503" t="str">
        <f t="shared" si="54"/>
        <v>CN|NewCapacity|RE1|PWRJET|2051</v>
      </c>
      <c r="B3503" t="s">
        <v>39</v>
      </c>
      <c r="C3503" t="s">
        <v>40</v>
      </c>
      <c r="D3503" t="s">
        <v>37</v>
      </c>
      <c r="E3503" t="s">
        <v>19</v>
      </c>
      <c r="F3503" t="s">
        <v>27</v>
      </c>
      <c r="O3503">
        <v>2051</v>
      </c>
    </row>
    <row r="3504" spans="1:16" x14ac:dyDescent="0.3">
      <c r="A3504" t="str">
        <f t="shared" si="54"/>
        <v>CN|NewCapacity|RE1|PWRLPG|2051</v>
      </c>
      <c r="B3504" t="s">
        <v>39</v>
      </c>
      <c r="C3504" t="s">
        <v>40</v>
      </c>
      <c r="D3504" t="s">
        <v>37</v>
      </c>
      <c r="E3504" t="s">
        <v>19</v>
      </c>
      <c r="F3504" t="s">
        <v>28</v>
      </c>
      <c r="O3504">
        <v>2051</v>
      </c>
    </row>
    <row r="3505" spans="1:16" x14ac:dyDescent="0.3">
      <c r="A3505" t="str">
        <f t="shared" si="54"/>
        <v>CN|NewCapacity|RE1|PWRNGS_CC|2051</v>
      </c>
      <c r="B3505" t="s">
        <v>39</v>
      </c>
      <c r="C3505" t="s">
        <v>40</v>
      </c>
      <c r="D3505" t="s">
        <v>37</v>
      </c>
      <c r="E3505" t="s">
        <v>19</v>
      </c>
      <c r="F3505" t="s">
        <v>29</v>
      </c>
      <c r="O3505">
        <v>2051</v>
      </c>
    </row>
    <row r="3506" spans="1:16" x14ac:dyDescent="0.3">
      <c r="A3506" t="str">
        <f t="shared" si="54"/>
        <v>CN|NewCapacity|RE1|PWRNGS_CS|2051</v>
      </c>
      <c r="B3506" t="s">
        <v>39</v>
      </c>
      <c r="C3506" t="s">
        <v>40</v>
      </c>
      <c r="D3506" t="s">
        <v>37</v>
      </c>
      <c r="E3506" t="s">
        <v>19</v>
      </c>
      <c r="F3506" t="s">
        <v>30</v>
      </c>
      <c r="O3506">
        <v>2051</v>
      </c>
    </row>
    <row r="3507" spans="1:16" x14ac:dyDescent="0.3">
      <c r="A3507" t="str">
        <f t="shared" si="54"/>
        <v>CN|NewCapacity|RE1|PWRSOLRTP|2051</v>
      </c>
      <c r="B3507" t="s">
        <v>39</v>
      </c>
      <c r="C3507" t="s">
        <v>40</v>
      </c>
      <c r="D3507" t="s">
        <v>37</v>
      </c>
      <c r="E3507" t="s">
        <v>19</v>
      </c>
      <c r="F3507" t="s">
        <v>31</v>
      </c>
      <c r="O3507">
        <v>2051</v>
      </c>
      <c r="P3507">
        <v>1.27</v>
      </c>
    </row>
    <row r="3508" spans="1:16" x14ac:dyDescent="0.3">
      <c r="A3508" t="str">
        <f t="shared" si="54"/>
        <v>CN|NewCapacity|RE1|PWRSOLRTP_ZNI|2051</v>
      </c>
      <c r="B3508" t="s">
        <v>39</v>
      </c>
      <c r="C3508" t="s">
        <v>40</v>
      </c>
      <c r="D3508" t="s">
        <v>37</v>
      </c>
      <c r="E3508" t="s">
        <v>19</v>
      </c>
      <c r="F3508" t="s">
        <v>32</v>
      </c>
      <c r="O3508">
        <v>2051</v>
      </c>
    </row>
    <row r="3509" spans="1:16" x14ac:dyDescent="0.3">
      <c r="A3509" t="str">
        <f t="shared" si="54"/>
        <v>CN|NewCapacity|RE1|PWRSOLUGE|2051</v>
      </c>
      <c r="B3509" t="s">
        <v>39</v>
      </c>
      <c r="C3509" t="s">
        <v>40</v>
      </c>
      <c r="D3509" t="s">
        <v>37</v>
      </c>
      <c r="E3509" t="s">
        <v>19</v>
      </c>
      <c r="F3509" t="s">
        <v>33</v>
      </c>
      <c r="O3509">
        <v>2051</v>
      </c>
    </row>
    <row r="3510" spans="1:16" x14ac:dyDescent="0.3">
      <c r="A3510" t="str">
        <f t="shared" si="54"/>
        <v>CN|NewCapacity|RE1|PWRSOLUGE_BAT|2051</v>
      </c>
      <c r="B3510" t="s">
        <v>39</v>
      </c>
      <c r="C3510" t="s">
        <v>40</v>
      </c>
      <c r="D3510" t="s">
        <v>37</v>
      </c>
      <c r="E3510" t="s">
        <v>19</v>
      </c>
      <c r="F3510" t="s">
        <v>41</v>
      </c>
      <c r="O3510">
        <v>2051</v>
      </c>
    </row>
    <row r="3511" spans="1:16" x14ac:dyDescent="0.3">
      <c r="A3511" t="str">
        <f t="shared" si="54"/>
        <v>CN|NewCapacity|RE1|PWRSOLUPE|2051</v>
      </c>
      <c r="B3511" t="s">
        <v>39</v>
      </c>
      <c r="C3511" t="s">
        <v>40</v>
      </c>
      <c r="D3511" t="s">
        <v>37</v>
      </c>
      <c r="E3511" t="s">
        <v>19</v>
      </c>
      <c r="F3511" t="s">
        <v>34</v>
      </c>
      <c r="O3511">
        <v>2051</v>
      </c>
    </row>
    <row r="3512" spans="1:16" x14ac:dyDescent="0.3">
      <c r="A3512" t="str">
        <f t="shared" si="54"/>
        <v>CN|NewCapacity|RE1|PWRSTD|2051</v>
      </c>
      <c r="B3512" t="s">
        <v>39</v>
      </c>
      <c r="C3512" t="s">
        <v>40</v>
      </c>
      <c r="D3512" t="s">
        <v>37</v>
      </c>
      <c r="E3512" t="s">
        <v>19</v>
      </c>
      <c r="F3512" t="s">
        <v>35</v>
      </c>
      <c r="O3512">
        <v>2051</v>
      </c>
    </row>
    <row r="3513" spans="1:16" x14ac:dyDescent="0.3">
      <c r="A3513" t="str">
        <f t="shared" si="54"/>
        <v>CN|NewCapacity|RE1|PWRWNDOFS_FIX|2051</v>
      </c>
      <c r="B3513" t="s">
        <v>39</v>
      </c>
      <c r="C3513" t="s">
        <v>40</v>
      </c>
      <c r="D3513" t="s">
        <v>37</v>
      </c>
      <c r="E3513" t="s">
        <v>19</v>
      </c>
      <c r="F3513" t="s">
        <v>42</v>
      </c>
      <c r="O3513">
        <v>2051</v>
      </c>
    </row>
    <row r="3514" spans="1:16" x14ac:dyDescent="0.3">
      <c r="A3514" t="str">
        <f t="shared" si="54"/>
        <v>CN|NewCapacity|RE1|PWRWNDOFS_FLO|2051</v>
      </c>
      <c r="B3514" t="s">
        <v>39</v>
      </c>
      <c r="C3514" t="s">
        <v>40</v>
      </c>
      <c r="D3514" t="s">
        <v>37</v>
      </c>
      <c r="E3514" t="s">
        <v>19</v>
      </c>
      <c r="F3514" t="s">
        <v>43</v>
      </c>
      <c r="O3514">
        <v>2051</v>
      </c>
    </row>
    <row r="3515" spans="1:16" x14ac:dyDescent="0.3">
      <c r="A3515" t="str">
        <f t="shared" si="54"/>
        <v>CN|NewCapacity|RE1|PWRWNDONS|2051</v>
      </c>
      <c r="B3515" t="s">
        <v>39</v>
      </c>
      <c r="C3515" t="s">
        <v>40</v>
      </c>
      <c r="D3515" t="s">
        <v>37</v>
      </c>
      <c r="E3515" t="s">
        <v>19</v>
      </c>
      <c r="F3515" t="s">
        <v>36</v>
      </c>
      <c r="O3515">
        <v>2051</v>
      </c>
      <c r="P3515">
        <v>47.31</v>
      </c>
    </row>
    <row r="3516" spans="1:16" x14ac:dyDescent="0.3">
      <c r="A3516" t="str">
        <f t="shared" si="54"/>
        <v>CN|TotalCapacityAnnual|RE1|PWRBGS|2051</v>
      </c>
      <c r="B3516" t="s">
        <v>39</v>
      </c>
      <c r="C3516" t="s">
        <v>40</v>
      </c>
      <c r="D3516" t="s">
        <v>38</v>
      </c>
      <c r="E3516" t="s">
        <v>19</v>
      </c>
      <c r="F3516" t="s">
        <v>20</v>
      </c>
      <c r="O3516">
        <v>2051</v>
      </c>
      <c r="P3516">
        <v>2.5488587520000001E-2</v>
      </c>
    </row>
    <row r="3517" spans="1:16" x14ac:dyDescent="0.3">
      <c r="A3517" t="str">
        <f t="shared" si="54"/>
        <v>CN|TotalCapacityAnnual|RE1|PWRCOA|2051</v>
      </c>
      <c r="B3517" t="s">
        <v>39</v>
      </c>
      <c r="C3517" t="s">
        <v>40</v>
      </c>
      <c r="D3517" t="s">
        <v>38</v>
      </c>
      <c r="E3517" t="s">
        <v>19</v>
      </c>
      <c r="F3517" t="s">
        <v>21</v>
      </c>
      <c r="O3517">
        <v>2051</v>
      </c>
    </row>
    <row r="3518" spans="1:16" x14ac:dyDescent="0.3">
      <c r="A3518" t="str">
        <f t="shared" si="54"/>
        <v>CN|TotalCapacityAnnual|RE1|PWRDSL|2051</v>
      </c>
      <c r="B3518" t="s">
        <v>39</v>
      </c>
      <c r="C3518" t="s">
        <v>40</v>
      </c>
      <c r="D3518" t="s">
        <v>38</v>
      </c>
      <c r="E3518" t="s">
        <v>19</v>
      </c>
      <c r="F3518" t="s">
        <v>22</v>
      </c>
      <c r="O3518">
        <v>2051</v>
      </c>
    </row>
    <row r="3519" spans="1:16" x14ac:dyDescent="0.3">
      <c r="A3519" t="str">
        <f t="shared" si="54"/>
        <v>CN|TotalCapacityAnnual|RE1|PWRFOL|2051</v>
      </c>
      <c r="B3519" t="s">
        <v>39</v>
      </c>
      <c r="C3519" t="s">
        <v>40</v>
      </c>
      <c r="D3519" t="s">
        <v>38</v>
      </c>
      <c r="E3519" t="s">
        <v>19</v>
      </c>
      <c r="F3519" t="s">
        <v>23</v>
      </c>
      <c r="O3519">
        <v>2051</v>
      </c>
      <c r="P3519">
        <v>8.3885759999999987</v>
      </c>
    </row>
    <row r="3520" spans="1:16" x14ac:dyDescent="0.3">
      <c r="A3520" t="str">
        <f t="shared" si="54"/>
        <v>CN|TotalCapacityAnnual|RE1|PWRHYDDAM|2051</v>
      </c>
      <c r="B3520" t="s">
        <v>39</v>
      </c>
      <c r="C3520" t="s">
        <v>40</v>
      </c>
      <c r="D3520" t="s">
        <v>38</v>
      </c>
      <c r="E3520" t="s">
        <v>19</v>
      </c>
      <c r="F3520" t="s">
        <v>24</v>
      </c>
      <c r="O3520">
        <v>2051</v>
      </c>
      <c r="P3520">
        <v>440.49164800000011</v>
      </c>
    </row>
    <row r="3521" spans="1:16" x14ac:dyDescent="0.3">
      <c r="A3521" t="str">
        <f t="shared" si="54"/>
        <v>CN|TotalCapacityAnnual|RE1|PWRHYDROR|2051</v>
      </c>
      <c r="B3521" t="s">
        <v>39</v>
      </c>
      <c r="C3521" t="s">
        <v>40</v>
      </c>
      <c r="D3521" t="s">
        <v>38</v>
      </c>
      <c r="E3521" t="s">
        <v>19</v>
      </c>
      <c r="F3521" t="s">
        <v>25</v>
      </c>
      <c r="O3521">
        <v>2051</v>
      </c>
      <c r="P3521">
        <v>21.097584000000001</v>
      </c>
    </row>
    <row r="3522" spans="1:16" x14ac:dyDescent="0.3">
      <c r="A3522" t="str">
        <f t="shared" ref="A3522:A3585" si="55">B3522&amp;"|"&amp;D3522&amp;"|"&amp;E3522&amp;"|"&amp;F3522&amp;"|"&amp;O3522</f>
        <v>CN|TotalCapacityAnnual|RE1|PWRHYDROR_NDC|2051</v>
      </c>
      <c r="B3522" t="s">
        <v>39</v>
      </c>
      <c r="C3522" t="s">
        <v>40</v>
      </c>
      <c r="D3522" t="s">
        <v>38</v>
      </c>
      <c r="E3522" t="s">
        <v>19</v>
      </c>
      <c r="F3522" t="s">
        <v>26</v>
      </c>
      <c r="O3522">
        <v>2051</v>
      </c>
      <c r="P3522">
        <v>151.3914665055095</v>
      </c>
    </row>
    <row r="3523" spans="1:16" x14ac:dyDescent="0.3">
      <c r="A3523" t="str">
        <f t="shared" si="55"/>
        <v>CN|TotalCapacityAnnual|RE1|PWRJET|2051</v>
      </c>
      <c r="B3523" t="s">
        <v>39</v>
      </c>
      <c r="C3523" t="s">
        <v>40</v>
      </c>
      <c r="D3523" t="s">
        <v>38</v>
      </c>
      <c r="E3523" t="s">
        <v>19</v>
      </c>
      <c r="F3523" t="s">
        <v>27</v>
      </c>
      <c r="O3523">
        <v>2051</v>
      </c>
      <c r="P3523">
        <v>1.5768</v>
      </c>
    </row>
    <row r="3524" spans="1:16" x14ac:dyDescent="0.3">
      <c r="A3524" t="str">
        <f t="shared" si="55"/>
        <v>CN|TotalCapacityAnnual|RE1|PWRLPG|2051</v>
      </c>
      <c r="B3524" t="s">
        <v>39</v>
      </c>
      <c r="C3524" t="s">
        <v>40</v>
      </c>
      <c r="D3524" t="s">
        <v>38</v>
      </c>
      <c r="E3524" t="s">
        <v>19</v>
      </c>
      <c r="F3524" t="s">
        <v>28</v>
      </c>
      <c r="O3524">
        <v>2051</v>
      </c>
      <c r="P3524">
        <v>1.639872</v>
      </c>
    </row>
    <row r="3525" spans="1:16" x14ac:dyDescent="0.3">
      <c r="A3525" t="str">
        <f t="shared" si="55"/>
        <v>CN|TotalCapacityAnnual|RE1|PWRNGS_CC|2051</v>
      </c>
      <c r="B3525" t="s">
        <v>39</v>
      </c>
      <c r="C3525" t="s">
        <v>40</v>
      </c>
      <c r="D3525" t="s">
        <v>38</v>
      </c>
      <c r="E3525" t="s">
        <v>19</v>
      </c>
      <c r="F3525" t="s">
        <v>29</v>
      </c>
      <c r="O3525">
        <v>2051</v>
      </c>
      <c r="P3525">
        <v>70.104500000000002</v>
      </c>
    </row>
    <row r="3526" spans="1:16" x14ac:dyDescent="0.3">
      <c r="A3526" t="str">
        <f t="shared" si="55"/>
        <v>CN|TotalCapacityAnnual|RE1|PWRNGS_CS|2051</v>
      </c>
      <c r="B3526" t="s">
        <v>39</v>
      </c>
      <c r="C3526" t="s">
        <v>40</v>
      </c>
      <c r="D3526" t="s">
        <v>38</v>
      </c>
      <c r="E3526" t="s">
        <v>19</v>
      </c>
      <c r="F3526" t="s">
        <v>30</v>
      </c>
      <c r="O3526">
        <v>2051</v>
      </c>
      <c r="P3526">
        <v>48.03</v>
      </c>
    </row>
    <row r="3527" spans="1:16" x14ac:dyDescent="0.3">
      <c r="A3527" t="str">
        <f t="shared" si="55"/>
        <v>CN|TotalCapacityAnnual|RE1|PWRSOLRTP|2051</v>
      </c>
      <c r="B3527" t="s">
        <v>39</v>
      </c>
      <c r="C3527" t="s">
        <v>40</v>
      </c>
      <c r="D3527" t="s">
        <v>38</v>
      </c>
      <c r="E3527" t="s">
        <v>19</v>
      </c>
      <c r="F3527" t="s">
        <v>31</v>
      </c>
      <c r="O3527">
        <v>2051</v>
      </c>
      <c r="P3527">
        <v>209.66345518622691</v>
      </c>
    </row>
    <row r="3528" spans="1:16" x14ac:dyDescent="0.3">
      <c r="A3528" t="str">
        <f t="shared" si="55"/>
        <v>CN|TotalCapacityAnnual|RE1|PWRSOLRTP_ZNI|2051</v>
      </c>
      <c r="B3528" t="s">
        <v>39</v>
      </c>
      <c r="C3528" t="s">
        <v>40</v>
      </c>
      <c r="D3528" t="s">
        <v>38</v>
      </c>
      <c r="E3528" t="s">
        <v>19</v>
      </c>
      <c r="F3528" t="s">
        <v>32</v>
      </c>
      <c r="O3528">
        <v>2051</v>
      </c>
      <c r="P3528">
        <v>1.830370391835634</v>
      </c>
    </row>
    <row r="3529" spans="1:16" x14ac:dyDescent="0.3">
      <c r="A3529" t="str">
        <f t="shared" si="55"/>
        <v>CN|TotalCapacityAnnual|RE1|PWRSOLUGE|2051</v>
      </c>
      <c r="B3529" t="s">
        <v>39</v>
      </c>
      <c r="C3529" t="s">
        <v>40</v>
      </c>
      <c r="D3529" t="s">
        <v>38</v>
      </c>
      <c r="E3529" t="s">
        <v>19</v>
      </c>
      <c r="F3529" t="s">
        <v>33</v>
      </c>
      <c r="O3529">
        <v>2051</v>
      </c>
      <c r="P3529">
        <v>508.71539286843853</v>
      </c>
    </row>
    <row r="3530" spans="1:16" x14ac:dyDescent="0.3">
      <c r="A3530" t="str">
        <f t="shared" si="55"/>
        <v>CN|TotalCapacityAnnual|RE1|PWRSOLUGE_BAT|2051</v>
      </c>
      <c r="B3530" t="s">
        <v>39</v>
      </c>
      <c r="C3530" t="s">
        <v>40</v>
      </c>
      <c r="D3530" t="s">
        <v>38</v>
      </c>
      <c r="E3530" t="s">
        <v>19</v>
      </c>
      <c r="F3530" t="s">
        <v>41</v>
      </c>
      <c r="O3530">
        <v>2051</v>
      </c>
      <c r="P3530">
        <v>30.670102189502511</v>
      </c>
    </row>
    <row r="3531" spans="1:16" x14ac:dyDescent="0.3">
      <c r="A3531" t="str">
        <f t="shared" si="55"/>
        <v>CN|TotalCapacityAnnual|RE1|PWRSOLUPE|2051</v>
      </c>
      <c r="B3531" t="s">
        <v>39</v>
      </c>
      <c r="C3531" t="s">
        <v>40</v>
      </c>
      <c r="D3531" t="s">
        <v>38</v>
      </c>
      <c r="E3531" t="s">
        <v>19</v>
      </c>
      <c r="F3531" t="s">
        <v>34</v>
      </c>
      <c r="O3531">
        <v>2051</v>
      </c>
      <c r="P3531">
        <v>3.4689599999999992</v>
      </c>
    </row>
    <row r="3532" spans="1:16" x14ac:dyDescent="0.3">
      <c r="A3532" t="str">
        <f t="shared" si="55"/>
        <v>CN|TotalCapacityAnnual|RE1|PWRSTD|2051</v>
      </c>
      <c r="B3532" t="s">
        <v>39</v>
      </c>
      <c r="C3532" t="s">
        <v>40</v>
      </c>
      <c r="D3532" t="s">
        <v>38</v>
      </c>
      <c r="E3532" t="s">
        <v>19</v>
      </c>
      <c r="F3532" t="s">
        <v>35</v>
      </c>
      <c r="O3532">
        <v>2051</v>
      </c>
      <c r="P3532">
        <v>8.163062064</v>
      </c>
    </row>
    <row r="3533" spans="1:16" x14ac:dyDescent="0.3">
      <c r="A3533" t="str">
        <f t="shared" si="55"/>
        <v>CN|TotalCapacityAnnual|RE1|PWRWNDOFS_FIX|2051</v>
      </c>
      <c r="B3533" t="s">
        <v>39</v>
      </c>
      <c r="C3533" t="s">
        <v>40</v>
      </c>
      <c r="D3533" t="s">
        <v>38</v>
      </c>
      <c r="E3533" t="s">
        <v>19</v>
      </c>
      <c r="F3533" t="s">
        <v>42</v>
      </c>
      <c r="O3533">
        <v>2051</v>
      </c>
      <c r="P3533">
        <v>553.85030883313163</v>
      </c>
    </row>
    <row r="3534" spans="1:16" x14ac:dyDescent="0.3">
      <c r="A3534" t="str">
        <f t="shared" si="55"/>
        <v>CN|TotalCapacityAnnual|RE1|PWRWNDOFS_FLO|2051</v>
      </c>
      <c r="B3534" t="s">
        <v>39</v>
      </c>
      <c r="C3534" t="s">
        <v>40</v>
      </c>
      <c r="D3534" t="s">
        <v>38</v>
      </c>
      <c r="E3534" t="s">
        <v>19</v>
      </c>
      <c r="F3534" t="s">
        <v>43</v>
      </c>
      <c r="O3534">
        <v>2051</v>
      </c>
      <c r="P3534">
        <v>7.2734896835090179</v>
      </c>
    </row>
    <row r="3535" spans="1:16" x14ac:dyDescent="0.3">
      <c r="A3535" t="str">
        <f t="shared" si="55"/>
        <v>CN|TotalCapacityAnnual|RE1|PWRWNDONS|2051</v>
      </c>
      <c r="B3535" t="s">
        <v>39</v>
      </c>
      <c r="C3535" t="s">
        <v>40</v>
      </c>
      <c r="D3535" t="s">
        <v>38</v>
      </c>
      <c r="E3535" t="s">
        <v>19</v>
      </c>
      <c r="F3535" t="s">
        <v>36</v>
      </c>
      <c r="O3535">
        <v>2051</v>
      </c>
      <c r="P3535">
        <v>852.91810888443524</v>
      </c>
    </row>
    <row r="3536" spans="1:16" x14ac:dyDescent="0.3">
      <c r="A3536" t="str">
        <f t="shared" si="55"/>
        <v>CN|AccumulatedNewCapacity|RE1|PWRBGS|2052</v>
      </c>
      <c r="B3536" t="s">
        <v>39</v>
      </c>
      <c r="C3536" t="s">
        <v>40</v>
      </c>
      <c r="D3536" t="s">
        <v>18</v>
      </c>
      <c r="E3536" t="s">
        <v>19</v>
      </c>
      <c r="F3536" t="s">
        <v>20</v>
      </c>
      <c r="O3536">
        <v>2052</v>
      </c>
    </row>
    <row r="3537" spans="1:16" x14ac:dyDescent="0.3">
      <c r="A3537" t="str">
        <f t="shared" si="55"/>
        <v>CN|AccumulatedNewCapacity|RE1|PWRCOA|2052</v>
      </c>
      <c r="B3537" t="s">
        <v>39</v>
      </c>
      <c r="C3537" t="s">
        <v>40</v>
      </c>
      <c r="D3537" t="s">
        <v>18</v>
      </c>
      <c r="E3537" t="s">
        <v>19</v>
      </c>
      <c r="F3537" t="s">
        <v>21</v>
      </c>
      <c r="O3537">
        <v>2052</v>
      </c>
    </row>
    <row r="3538" spans="1:16" x14ac:dyDescent="0.3">
      <c r="A3538" t="str">
        <f t="shared" si="55"/>
        <v>CN|AccumulatedNewCapacity|RE1|PWRDSL|2052</v>
      </c>
      <c r="B3538" t="s">
        <v>39</v>
      </c>
      <c r="C3538" t="s">
        <v>40</v>
      </c>
      <c r="D3538" t="s">
        <v>18</v>
      </c>
      <c r="E3538" t="s">
        <v>19</v>
      </c>
      <c r="F3538" t="s">
        <v>22</v>
      </c>
      <c r="O3538">
        <v>2052</v>
      </c>
    </row>
    <row r="3539" spans="1:16" x14ac:dyDescent="0.3">
      <c r="A3539" t="str">
        <f t="shared" si="55"/>
        <v>CN|AccumulatedNewCapacity|RE1|PWRFOL|2052</v>
      </c>
      <c r="B3539" t="s">
        <v>39</v>
      </c>
      <c r="C3539" t="s">
        <v>40</v>
      </c>
      <c r="D3539" t="s">
        <v>18</v>
      </c>
      <c r="E3539" t="s">
        <v>19</v>
      </c>
      <c r="F3539" t="s">
        <v>23</v>
      </c>
      <c r="O3539">
        <v>2052</v>
      </c>
    </row>
    <row r="3540" spans="1:16" x14ac:dyDescent="0.3">
      <c r="A3540" t="str">
        <f t="shared" si="55"/>
        <v>CN|AccumulatedNewCapacity|RE1|PWRHYDDAM|2052</v>
      </c>
      <c r="B3540" t="s">
        <v>39</v>
      </c>
      <c r="C3540" t="s">
        <v>40</v>
      </c>
      <c r="D3540" t="s">
        <v>18</v>
      </c>
      <c r="E3540" t="s">
        <v>19</v>
      </c>
      <c r="F3540" t="s">
        <v>24</v>
      </c>
      <c r="O3540">
        <v>2052</v>
      </c>
      <c r="P3540">
        <v>37.840000000000003</v>
      </c>
    </row>
    <row r="3541" spans="1:16" x14ac:dyDescent="0.3">
      <c r="A3541" t="str">
        <f t="shared" si="55"/>
        <v>CN|AccumulatedNewCapacity|RE1|PWRHYDROR|2052</v>
      </c>
      <c r="B3541" t="s">
        <v>39</v>
      </c>
      <c r="C3541" t="s">
        <v>40</v>
      </c>
      <c r="D3541" t="s">
        <v>18</v>
      </c>
      <c r="E3541" t="s">
        <v>19</v>
      </c>
      <c r="F3541" t="s">
        <v>25</v>
      </c>
      <c r="O3541">
        <v>2052</v>
      </c>
    </row>
    <row r="3542" spans="1:16" x14ac:dyDescent="0.3">
      <c r="A3542" t="str">
        <f t="shared" si="55"/>
        <v>CN|AccumulatedNewCapacity|RE1|PWRHYDROR_NDC|2052</v>
      </c>
      <c r="B3542" t="s">
        <v>39</v>
      </c>
      <c r="C3542" t="s">
        <v>40</v>
      </c>
      <c r="D3542" t="s">
        <v>18</v>
      </c>
      <c r="E3542" t="s">
        <v>19</v>
      </c>
      <c r="F3542" t="s">
        <v>26</v>
      </c>
      <c r="O3542">
        <v>2052</v>
      </c>
      <c r="P3542">
        <v>121.6663582335095</v>
      </c>
    </row>
    <row r="3543" spans="1:16" x14ac:dyDescent="0.3">
      <c r="A3543" t="str">
        <f t="shared" si="55"/>
        <v>CN|AccumulatedNewCapacity|RE1|PWRJET|2052</v>
      </c>
      <c r="B3543" t="s">
        <v>39</v>
      </c>
      <c r="C3543" t="s">
        <v>40</v>
      </c>
      <c r="D3543" t="s">
        <v>18</v>
      </c>
      <c r="E3543" t="s">
        <v>19</v>
      </c>
      <c r="F3543" t="s">
        <v>27</v>
      </c>
      <c r="O3543">
        <v>2052</v>
      </c>
    </row>
    <row r="3544" spans="1:16" x14ac:dyDescent="0.3">
      <c r="A3544" t="str">
        <f t="shared" si="55"/>
        <v>CN|AccumulatedNewCapacity|RE1|PWRLPG|2052</v>
      </c>
      <c r="B3544" t="s">
        <v>39</v>
      </c>
      <c r="C3544" t="s">
        <v>40</v>
      </c>
      <c r="D3544" t="s">
        <v>18</v>
      </c>
      <c r="E3544" t="s">
        <v>19</v>
      </c>
      <c r="F3544" t="s">
        <v>28</v>
      </c>
      <c r="O3544">
        <v>2052</v>
      </c>
    </row>
    <row r="3545" spans="1:16" x14ac:dyDescent="0.3">
      <c r="A3545" t="str">
        <f t="shared" si="55"/>
        <v>CN|AccumulatedNewCapacity|RE1|PWRNGS_CC|2052</v>
      </c>
      <c r="B3545" t="s">
        <v>39</v>
      </c>
      <c r="C3545" t="s">
        <v>40</v>
      </c>
      <c r="D3545" t="s">
        <v>18</v>
      </c>
      <c r="E3545" t="s">
        <v>19</v>
      </c>
      <c r="F3545" t="s">
        <v>29</v>
      </c>
      <c r="O3545">
        <v>2052</v>
      </c>
    </row>
    <row r="3546" spans="1:16" x14ac:dyDescent="0.3">
      <c r="A3546" t="str">
        <f t="shared" si="55"/>
        <v>CN|AccumulatedNewCapacity|RE1|PWRNGS_CS|2052</v>
      </c>
      <c r="B3546" t="s">
        <v>39</v>
      </c>
      <c r="C3546" t="s">
        <v>40</v>
      </c>
      <c r="D3546" t="s">
        <v>18</v>
      </c>
      <c r="E3546" t="s">
        <v>19</v>
      </c>
      <c r="F3546" t="s">
        <v>30</v>
      </c>
      <c r="O3546">
        <v>2052</v>
      </c>
    </row>
    <row r="3547" spans="1:16" x14ac:dyDescent="0.3">
      <c r="A3547" t="str">
        <f t="shared" si="55"/>
        <v>CN|AccumulatedNewCapacity|RE1|PWRSOLRTP|2052</v>
      </c>
      <c r="B3547" t="s">
        <v>39</v>
      </c>
      <c r="C3547" t="s">
        <v>40</v>
      </c>
      <c r="D3547" t="s">
        <v>18</v>
      </c>
      <c r="E3547" t="s">
        <v>19</v>
      </c>
      <c r="F3547" t="s">
        <v>31</v>
      </c>
      <c r="O3547">
        <v>2052</v>
      </c>
      <c r="P3547">
        <v>196.09345518622689</v>
      </c>
    </row>
    <row r="3548" spans="1:16" x14ac:dyDescent="0.3">
      <c r="A3548" t="str">
        <f t="shared" si="55"/>
        <v>CN|AccumulatedNewCapacity|RE1|PWRSOLRTP_ZNI|2052</v>
      </c>
      <c r="B3548" t="s">
        <v>39</v>
      </c>
      <c r="C3548" t="s">
        <v>40</v>
      </c>
      <c r="D3548" t="s">
        <v>18</v>
      </c>
      <c r="E3548" t="s">
        <v>19</v>
      </c>
      <c r="F3548" t="s">
        <v>32</v>
      </c>
      <c r="O3548">
        <v>2052</v>
      </c>
      <c r="P3548">
        <v>1.3696294318356339</v>
      </c>
    </row>
    <row r="3549" spans="1:16" x14ac:dyDescent="0.3">
      <c r="A3549" t="str">
        <f t="shared" si="55"/>
        <v>CN|AccumulatedNewCapacity|RE1|PWRSOLUGE|2052</v>
      </c>
      <c r="B3549" t="s">
        <v>39</v>
      </c>
      <c r="C3549" t="s">
        <v>40</v>
      </c>
      <c r="D3549" t="s">
        <v>18</v>
      </c>
      <c r="E3549" t="s">
        <v>19</v>
      </c>
      <c r="F3549" t="s">
        <v>33</v>
      </c>
      <c r="O3549">
        <v>2052</v>
      </c>
      <c r="P3549">
        <v>434.62185286843851</v>
      </c>
    </row>
    <row r="3550" spans="1:16" x14ac:dyDescent="0.3">
      <c r="A3550" t="str">
        <f t="shared" si="55"/>
        <v>CN|AccumulatedNewCapacity|RE1|PWRSOLUGE_BAT|2052</v>
      </c>
      <c r="B3550" t="s">
        <v>39</v>
      </c>
      <c r="C3550" t="s">
        <v>40</v>
      </c>
      <c r="D3550" t="s">
        <v>18</v>
      </c>
      <c r="E3550" t="s">
        <v>19</v>
      </c>
      <c r="F3550" t="s">
        <v>41</v>
      </c>
      <c r="O3550">
        <v>2052</v>
      </c>
      <c r="P3550">
        <v>30.670102189502511</v>
      </c>
    </row>
    <row r="3551" spans="1:16" x14ac:dyDescent="0.3">
      <c r="A3551" t="str">
        <f t="shared" si="55"/>
        <v>CN|AccumulatedNewCapacity|RE1|PWRSOLUPE|2052</v>
      </c>
      <c r="B3551" t="s">
        <v>39</v>
      </c>
      <c r="C3551" t="s">
        <v>40</v>
      </c>
      <c r="D3551" t="s">
        <v>18</v>
      </c>
      <c r="E3551" t="s">
        <v>19</v>
      </c>
      <c r="F3551" t="s">
        <v>34</v>
      </c>
      <c r="O3551">
        <v>2052</v>
      </c>
    </row>
    <row r="3552" spans="1:16" x14ac:dyDescent="0.3">
      <c r="A3552" t="str">
        <f t="shared" si="55"/>
        <v>CN|AccumulatedNewCapacity|RE1|PWRSTD|2052</v>
      </c>
      <c r="B3552" t="s">
        <v>39</v>
      </c>
      <c r="C3552" t="s">
        <v>40</v>
      </c>
      <c r="D3552" t="s">
        <v>18</v>
      </c>
      <c r="E3552" t="s">
        <v>19</v>
      </c>
      <c r="F3552" t="s">
        <v>35</v>
      </c>
      <c r="O3552">
        <v>2052</v>
      </c>
    </row>
    <row r="3553" spans="1:16" x14ac:dyDescent="0.3">
      <c r="A3553" t="str">
        <f t="shared" si="55"/>
        <v>CN|AccumulatedNewCapacity|RE1|PWRWNDOFS_FIX|2052</v>
      </c>
      <c r="B3553" t="s">
        <v>39</v>
      </c>
      <c r="C3553" t="s">
        <v>40</v>
      </c>
      <c r="D3553" t="s">
        <v>18</v>
      </c>
      <c r="E3553" t="s">
        <v>19</v>
      </c>
      <c r="F3553" t="s">
        <v>42</v>
      </c>
      <c r="O3553">
        <v>2052</v>
      </c>
      <c r="P3553">
        <v>565.5570097473003</v>
      </c>
    </row>
    <row r="3554" spans="1:16" x14ac:dyDescent="0.3">
      <c r="A3554" t="str">
        <f t="shared" si="55"/>
        <v>CN|AccumulatedNewCapacity|RE1|PWRWNDOFS_FLO|2052</v>
      </c>
      <c r="B3554" t="s">
        <v>39</v>
      </c>
      <c r="C3554" t="s">
        <v>40</v>
      </c>
      <c r="D3554" t="s">
        <v>18</v>
      </c>
      <c r="E3554" t="s">
        <v>19</v>
      </c>
      <c r="F3554" t="s">
        <v>43</v>
      </c>
      <c r="O3554">
        <v>2052</v>
      </c>
      <c r="P3554">
        <v>7.2734896835090179</v>
      </c>
    </row>
    <row r="3555" spans="1:16" x14ac:dyDescent="0.3">
      <c r="A3555" t="str">
        <f t="shared" si="55"/>
        <v>CN|AccumulatedNewCapacity|RE1|PWRWNDONS|2052</v>
      </c>
      <c r="B3555" t="s">
        <v>39</v>
      </c>
      <c r="C3555" t="s">
        <v>40</v>
      </c>
      <c r="D3555" t="s">
        <v>18</v>
      </c>
      <c r="E3555" t="s">
        <v>19</v>
      </c>
      <c r="F3555" t="s">
        <v>36</v>
      </c>
      <c r="O3555">
        <v>2052</v>
      </c>
      <c r="P3555">
        <v>898.85944648443524</v>
      </c>
    </row>
    <row r="3556" spans="1:16" x14ac:dyDescent="0.3">
      <c r="A3556" t="str">
        <f t="shared" si="55"/>
        <v>CN|NewCapacity|RE1|PWRBGS|2052</v>
      </c>
      <c r="B3556" t="s">
        <v>39</v>
      </c>
      <c r="C3556" t="s">
        <v>40</v>
      </c>
      <c r="D3556" t="s">
        <v>37</v>
      </c>
      <c r="E3556" t="s">
        <v>19</v>
      </c>
      <c r="F3556" t="s">
        <v>20</v>
      </c>
      <c r="O3556">
        <v>2052</v>
      </c>
    </row>
    <row r="3557" spans="1:16" x14ac:dyDescent="0.3">
      <c r="A3557" t="str">
        <f t="shared" si="55"/>
        <v>CN|NewCapacity|RE1|PWRCOA|2052</v>
      </c>
      <c r="B3557" t="s">
        <v>39</v>
      </c>
      <c r="C3557" t="s">
        <v>40</v>
      </c>
      <c r="D3557" t="s">
        <v>37</v>
      </c>
      <c r="E3557" t="s">
        <v>19</v>
      </c>
      <c r="F3557" t="s">
        <v>21</v>
      </c>
      <c r="O3557">
        <v>2052</v>
      </c>
    </row>
    <row r="3558" spans="1:16" x14ac:dyDescent="0.3">
      <c r="A3558" t="str">
        <f t="shared" si="55"/>
        <v>CN|NewCapacity|RE1|PWRDSL|2052</v>
      </c>
      <c r="B3558" t="s">
        <v>39</v>
      </c>
      <c r="C3558" t="s">
        <v>40</v>
      </c>
      <c r="D3558" t="s">
        <v>37</v>
      </c>
      <c r="E3558" t="s">
        <v>19</v>
      </c>
      <c r="F3558" t="s">
        <v>22</v>
      </c>
      <c r="O3558">
        <v>2052</v>
      </c>
    </row>
    <row r="3559" spans="1:16" x14ac:dyDescent="0.3">
      <c r="A3559" t="str">
        <f t="shared" si="55"/>
        <v>CN|NewCapacity|RE1|PWRFOL|2052</v>
      </c>
      <c r="B3559" t="s">
        <v>39</v>
      </c>
      <c r="C3559" t="s">
        <v>40</v>
      </c>
      <c r="D3559" t="s">
        <v>37</v>
      </c>
      <c r="E3559" t="s">
        <v>19</v>
      </c>
      <c r="F3559" t="s">
        <v>23</v>
      </c>
      <c r="O3559">
        <v>2052</v>
      </c>
    </row>
    <row r="3560" spans="1:16" x14ac:dyDescent="0.3">
      <c r="A3560" t="str">
        <f t="shared" si="55"/>
        <v>CN|NewCapacity|RE1|PWRHYDDAM|2052</v>
      </c>
      <c r="B3560" t="s">
        <v>39</v>
      </c>
      <c r="C3560" t="s">
        <v>40</v>
      </c>
      <c r="D3560" t="s">
        <v>37</v>
      </c>
      <c r="E3560" t="s">
        <v>19</v>
      </c>
      <c r="F3560" t="s">
        <v>24</v>
      </c>
      <c r="O3560">
        <v>2052</v>
      </c>
    </row>
    <row r="3561" spans="1:16" x14ac:dyDescent="0.3">
      <c r="A3561" t="str">
        <f t="shared" si="55"/>
        <v>CN|NewCapacity|RE1|PWRHYDROR|2052</v>
      </c>
      <c r="B3561" t="s">
        <v>39</v>
      </c>
      <c r="C3561" t="s">
        <v>40</v>
      </c>
      <c r="D3561" t="s">
        <v>37</v>
      </c>
      <c r="E3561" t="s">
        <v>19</v>
      </c>
      <c r="F3561" t="s">
        <v>25</v>
      </c>
      <c r="O3561">
        <v>2052</v>
      </c>
    </row>
    <row r="3562" spans="1:16" x14ac:dyDescent="0.3">
      <c r="A3562" t="str">
        <f t="shared" si="55"/>
        <v>CN|NewCapacity|RE1|PWRHYDROR_NDC|2052</v>
      </c>
      <c r="B3562" t="s">
        <v>39</v>
      </c>
      <c r="C3562" t="s">
        <v>40</v>
      </c>
      <c r="D3562" t="s">
        <v>37</v>
      </c>
      <c r="E3562" t="s">
        <v>19</v>
      </c>
      <c r="F3562" t="s">
        <v>26</v>
      </c>
      <c r="O3562">
        <v>2052</v>
      </c>
    </row>
    <row r="3563" spans="1:16" x14ac:dyDescent="0.3">
      <c r="A3563" t="str">
        <f t="shared" si="55"/>
        <v>CN|NewCapacity|RE1|PWRJET|2052</v>
      </c>
      <c r="B3563" t="s">
        <v>39</v>
      </c>
      <c r="C3563" t="s">
        <v>40</v>
      </c>
      <c r="D3563" t="s">
        <v>37</v>
      </c>
      <c r="E3563" t="s">
        <v>19</v>
      </c>
      <c r="F3563" t="s">
        <v>27</v>
      </c>
      <c r="O3563">
        <v>2052</v>
      </c>
    </row>
    <row r="3564" spans="1:16" x14ac:dyDescent="0.3">
      <c r="A3564" t="str">
        <f t="shared" si="55"/>
        <v>CN|NewCapacity|RE1|PWRLPG|2052</v>
      </c>
      <c r="B3564" t="s">
        <v>39</v>
      </c>
      <c r="C3564" t="s">
        <v>40</v>
      </c>
      <c r="D3564" t="s">
        <v>37</v>
      </c>
      <c r="E3564" t="s">
        <v>19</v>
      </c>
      <c r="F3564" t="s">
        <v>28</v>
      </c>
      <c r="O3564">
        <v>2052</v>
      </c>
    </row>
    <row r="3565" spans="1:16" x14ac:dyDescent="0.3">
      <c r="A3565" t="str">
        <f t="shared" si="55"/>
        <v>CN|NewCapacity|RE1|PWRNGS_CC|2052</v>
      </c>
      <c r="B3565" t="s">
        <v>39</v>
      </c>
      <c r="C3565" t="s">
        <v>40</v>
      </c>
      <c r="D3565" t="s">
        <v>37</v>
      </c>
      <c r="E3565" t="s">
        <v>19</v>
      </c>
      <c r="F3565" t="s">
        <v>29</v>
      </c>
      <c r="O3565">
        <v>2052</v>
      </c>
    </row>
    <row r="3566" spans="1:16" x14ac:dyDescent="0.3">
      <c r="A3566" t="str">
        <f t="shared" si="55"/>
        <v>CN|NewCapacity|RE1|PWRNGS_CS|2052</v>
      </c>
      <c r="B3566" t="s">
        <v>39</v>
      </c>
      <c r="C3566" t="s">
        <v>40</v>
      </c>
      <c r="D3566" t="s">
        <v>37</v>
      </c>
      <c r="E3566" t="s">
        <v>19</v>
      </c>
      <c r="F3566" t="s">
        <v>30</v>
      </c>
      <c r="O3566">
        <v>2052</v>
      </c>
    </row>
    <row r="3567" spans="1:16" x14ac:dyDescent="0.3">
      <c r="A3567" t="str">
        <f t="shared" si="55"/>
        <v>CN|NewCapacity|RE1|PWRSOLRTP|2052</v>
      </c>
      <c r="B3567" t="s">
        <v>39</v>
      </c>
      <c r="C3567" t="s">
        <v>40</v>
      </c>
      <c r="D3567" t="s">
        <v>37</v>
      </c>
      <c r="E3567" t="s">
        <v>19</v>
      </c>
      <c r="F3567" t="s">
        <v>31</v>
      </c>
      <c r="O3567">
        <v>2052</v>
      </c>
      <c r="P3567">
        <v>1.27</v>
      </c>
    </row>
    <row r="3568" spans="1:16" x14ac:dyDescent="0.3">
      <c r="A3568" t="str">
        <f t="shared" si="55"/>
        <v>CN|NewCapacity|RE1|PWRSOLRTP_ZNI|2052</v>
      </c>
      <c r="B3568" t="s">
        <v>39</v>
      </c>
      <c r="C3568" t="s">
        <v>40</v>
      </c>
      <c r="D3568" t="s">
        <v>37</v>
      </c>
      <c r="E3568" t="s">
        <v>19</v>
      </c>
      <c r="F3568" t="s">
        <v>32</v>
      </c>
      <c r="O3568">
        <v>2052</v>
      </c>
    </row>
    <row r="3569" spans="1:16" x14ac:dyDescent="0.3">
      <c r="A3569" t="str">
        <f t="shared" si="55"/>
        <v>CN|NewCapacity|RE1|PWRSOLUGE|2052</v>
      </c>
      <c r="B3569" t="s">
        <v>39</v>
      </c>
      <c r="C3569" t="s">
        <v>40</v>
      </c>
      <c r="D3569" t="s">
        <v>37</v>
      </c>
      <c r="E3569" t="s">
        <v>19</v>
      </c>
      <c r="F3569" t="s">
        <v>33</v>
      </c>
      <c r="O3569">
        <v>2052</v>
      </c>
      <c r="P3569">
        <v>47.31</v>
      </c>
    </row>
    <row r="3570" spans="1:16" x14ac:dyDescent="0.3">
      <c r="A3570" t="str">
        <f t="shared" si="55"/>
        <v>CN|NewCapacity|RE1|PWRSOLUGE_BAT|2052</v>
      </c>
      <c r="B3570" t="s">
        <v>39</v>
      </c>
      <c r="C3570" t="s">
        <v>40</v>
      </c>
      <c r="D3570" t="s">
        <v>37</v>
      </c>
      <c r="E3570" t="s">
        <v>19</v>
      </c>
      <c r="F3570" t="s">
        <v>41</v>
      </c>
      <c r="O3570">
        <v>2052</v>
      </c>
    </row>
    <row r="3571" spans="1:16" x14ac:dyDescent="0.3">
      <c r="A3571" t="str">
        <f t="shared" si="55"/>
        <v>CN|NewCapacity|RE1|PWRSOLUPE|2052</v>
      </c>
      <c r="B3571" t="s">
        <v>39</v>
      </c>
      <c r="C3571" t="s">
        <v>40</v>
      </c>
      <c r="D3571" t="s">
        <v>37</v>
      </c>
      <c r="E3571" t="s">
        <v>19</v>
      </c>
      <c r="F3571" t="s">
        <v>34</v>
      </c>
      <c r="O3571">
        <v>2052</v>
      </c>
    </row>
    <row r="3572" spans="1:16" x14ac:dyDescent="0.3">
      <c r="A3572" t="str">
        <f t="shared" si="55"/>
        <v>CN|NewCapacity|RE1|PWRSTD|2052</v>
      </c>
      <c r="B3572" t="s">
        <v>39</v>
      </c>
      <c r="C3572" t="s">
        <v>40</v>
      </c>
      <c r="D3572" t="s">
        <v>37</v>
      </c>
      <c r="E3572" t="s">
        <v>19</v>
      </c>
      <c r="F3572" t="s">
        <v>35</v>
      </c>
      <c r="O3572">
        <v>2052</v>
      </c>
    </row>
    <row r="3573" spans="1:16" x14ac:dyDescent="0.3">
      <c r="A3573" t="str">
        <f t="shared" si="55"/>
        <v>CN|NewCapacity|RE1|PWRWNDOFS_FIX|2052</v>
      </c>
      <c r="B3573" t="s">
        <v>39</v>
      </c>
      <c r="C3573" t="s">
        <v>40</v>
      </c>
      <c r="D3573" t="s">
        <v>37</v>
      </c>
      <c r="E3573" t="s">
        <v>19</v>
      </c>
      <c r="F3573" t="s">
        <v>42</v>
      </c>
      <c r="O3573">
        <v>2052</v>
      </c>
      <c r="P3573">
        <v>11.70670091416862</v>
      </c>
    </row>
    <row r="3574" spans="1:16" x14ac:dyDescent="0.3">
      <c r="A3574" t="str">
        <f t="shared" si="55"/>
        <v>CN|NewCapacity|RE1|PWRWNDOFS_FLO|2052</v>
      </c>
      <c r="B3574" t="s">
        <v>39</v>
      </c>
      <c r="C3574" t="s">
        <v>40</v>
      </c>
      <c r="D3574" t="s">
        <v>37</v>
      </c>
      <c r="E3574" t="s">
        <v>19</v>
      </c>
      <c r="F3574" t="s">
        <v>43</v>
      </c>
      <c r="O3574">
        <v>2052</v>
      </c>
    </row>
    <row r="3575" spans="1:16" x14ac:dyDescent="0.3">
      <c r="A3575" t="str">
        <f t="shared" si="55"/>
        <v>CN|NewCapacity|RE1|PWRWNDONS|2052</v>
      </c>
      <c r="B3575" t="s">
        <v>39</v>
      </c>
      <c r="C3575" t="s">
        <v>40</v>
      </c>
      <c r="D3575" t="s">
        <v>37</v>
      </c>
      <c r="E3575" t="s">
        <v>19</v>
      </c>
      <c r="F3575" t="s">
        <v>36</v>
      </c>
      <c r="O3575">
        <v>2052</v>
      </c>
      <c r="P3575">
        <v>47.31</v>
      </c>
    </row>
    <row r="3576" spans="1:16" x14ac:dyDescent="0.3">
      <c r="A3576" t="str">
        <f t="shared" si="55"/>
        <v>CN|TotalCapacityAnnual|RE1|PWRBGS|2052</v>
      </c>
      <c r="B3576" t="s">
        <v>39</v>
      </c>
      <c r="C3576" t="s">
        <v>40</v>
      </c>
      <c r="D3576" t="s">
        <v>38</v>
      </c>
      <c r="E3576" t="s">
        <v>19</v>
      </c>
      <c r="F3576" t="s">
        <v>20</v>
      </c>
      <c r="O3576">
        <v>2052</v>
      </c>
      <c r="P3576">
        <v>2.5488587520000001E-2</v>
      </c>
    </row>
    <row r="3577" spans="1:16" x14ac:dyDescent="0.3">
      <c r="A3577" t="str">
        <f t="shared" si="55"/>
        <v>CN|TotalCapacityAnnual|RE1|PWRCOA|2052</v>
      </c>
      <c r="B3577" t="s">
        <v>39</v>
      </c>
      <c r="C3577" t="s">
        <v>40</v>
      </c>
      <c r="D3577" t="s">
        <v>38</v>
      </c>
      <c r="E3577" t="s">
        <v>19</v>
      </c>
      <c r="F3577" t="s">
        <v>21</v>
      </c>
      <c r="O3577">
        <v>2052</v>
      </c>
    </row>
    <row r="3578" spans="1:16" x14ac:dyDescent="0.3">
      <c r="A3578" t="str">
        <f t="shared" si="55"/>
        <v>CN|TotalCapacityAnnual|RE1|PWRDSL|2052</v>
      </c>
      <c r="B3578" t="s">
        <v>39</v>
      </c>
      <c r="C3578" t="s">
        <v>40</v>
      </c>
      <c r="D3578" t="s">
        <v>38</v>
      </c>
      <c r="E3578" t="s">
        <v>19</v>
      </c>
      <c r="F3578" t="s">
        <v>22</v>
      </c>
      <c r="O3578">
        <v>2052</v>
      </c>
    </row>
    <row r="3579" spans="1:16" x14ac:dyDescent="0.3">
      <c r="A3579" t="str">
        <f t="shared" si="55"/>
        <v>CN|TotalCapacityAnnual|RE1|PWRFOL|2052</v>
      </c>
      <c r="B3579" t="s">
        <v>39</v>
      </c>
      <c r="C3579" t="s">
        <v>40</v>
      </c>
      <c r="D3579" t="s">
        <v>38</v>
      </c>
      <c r="E3579" t="s">
        <v>19</v>
      </c>
      <c r="F3579" t="s">
        <v>23</v>
      </c>
      <c r="O3579">
        <v>2052</v>
      </c>
      <c r="P3579">
        <v>8.3885759999999987</v>
      </c>
    </row>
    <row r="3580" spans="1:16" x14ac:dyDescent="0.3">
      <c r="A3580" t="str">
        <f t="shared" si="55"/>
        <v>CN|TotalCapacityAnnual|RE1|PWRHYDDAM|2052</v>
      </c>
      <c r="B3580" t="s">
        <v>39</v>
      </c>
      <c r="C3580" t="s">
        <v>40</v>
      </c>
      <c r="D3580" t="s">
        <v>38</v>
      </c>
      <c r="E3580" t="s">
        <v>19</v>
      </c>
      <c r="F3580" t="s">
        <v>24</v>
      </c>
      <c r="O3580">
        <v>2052</v>
      </c>
      <c r="P3580">
        <v>440.49164800000011</v>
      </c>
    </row>
    <row r="3581" spans="1:16" x14ac:dyDescent="0.3">
      <c r="A3581" t="str">
        <f t="shared" si="55"/>
        <v>CN|TotalCapacityAnnual|RE1|PWRHYDROR|2052</v>
      </c>
      <c r="B3581" t="s">
        <v>39</v>
      </c>
      <c r="C3581" t="s">
        <v>40</v>
      </c>
      <c r="D3581" t="s">
        <v>38</v>
      </c>
      <c r="E3581" t="s">
        <v>19</v>
      </c>
      <c r="F3581" t="s">
        <v>25</v>
      </c>
      <c r="O3581">
        <v>2052</v>
      </c>
      <c r="P3581">
        <v>21.097584000000001</v>
      </c>
    </row>
    <row r="3582" spans="1:16" x14ac:dyDescent="0.3">
      <c r="A3582" t="str">
        <f t="shared" si="55"/>
        <v>CN|TotalCapacityAnnual|RE1|PWRHYDROR_NDC|2052</v>
      </c>
      <c r="B3582" t="s">
        <v>39</v>
      </c>
      <c r="C3582" t="s">
        <v>40</v>
      </c>
      <c r="D3582" t="s">
        <v>38</v>
      </c>
      <c r="E3582" t="s">
        <v>19</v>
      </c>
      <c r="F3582" t="s">
        <v>26</v>
      </c>
      <c r="O3582">
        <v>2052</v>
      </c>
      <c r="P3582">
        <v>151.3914665055095</v>
      </c>
    </row>
    <row r="3583" spans="1:16" x14ac:dyDescent="0.3">
      <c r="A3583" t="str">
        <f t="shared" si="55"/>
        <v>CN|TotalCapacityAnnual|RE1|PWRJET|2052</v>
      </c>
      <c r="B3583" t="s">
        <v>39</v>
      </c>
      <c r="C3583" t="s">
        <v>40</v>
      </c>
      <c r="D3583" t="s">
        <v>38</v>
      </c>
      <c r="E3583" t="s">
        <v>19</v>
      </c>
      <c r="F3583" t="s">
        <v>27</v>
      </c>
      <c r="O3583">
        <v>2052</v>
      </c>
      <c r="P3583">
        <v>1.5768</v>
      </c>
    </row>
    <row r="3584" spans="1:16" x14ac:dyDescent="0.3">
      <c r="A3584" t="str">
        <f t="shared" si="55"/>
        <v>CN|TotalCapacityAnnual|RE1|PWRLPG|2052</v>
      </c>
      <c r="B3584" t="s">
        <v>39</v>
      </c>
      <c r="C3584" t="s">
        <v>40</v>
      </c>
      <c r="D3584" t="s">
        <v>38</v>
      </c>
      <c r="E3584" t="s">
        <v>19</v>
      </c>
      <c r="F3584" t="s">
        <v>28</v>
      </c>
      <c r="O3584">
        <v>2052</v>
      </c>
      <c r="P3584">
        <v>1.639872</v>
      </c>
    </row>
    <row r="3585" spans="1:16" x14ac:dyDescent="0.3">
      <c r="A3585" t="str">
        <f t="shared" si="55"/>
        <v>CN|TotalCapacityAnnual|RE1|PWRNGS_CC|2052</v>
      </c>
      <c r="B3585" t="s">
        <v>39</v>
      </c>
      <c r="C3585" t="s">
        <v>40</v>
      </c>
      <c r="D3585" t="s">
        <v>38</v>
      </c>
      <c r="E3585" t="s">
        <v>19</v>
      </c>
      <c r="F3585" t="s">
        <v>29</v>
      </c>
      <c r="O3585">
        <v>2052</v>
      </c>
      <c r="P3585">
        <v>70.104500000000002</v>
      </c>
    </row>
    <row r="3586" spans="1:16" x14ac:dyDescent="0.3">
      <c r="A3586" t="str">
        <f t="shared" ref="A3586:A3649" si="56">B3586&amp;"|"&amp;D3586&amp;"|"&amp;E3586&amp;"|"&amp;F3586&amp;"|"&amp;O3586</f>
        <v>CN|TotalCapacityAnnual|RE1|PWRNGS_CS|2052</v>
      </c>
      <c r="B3586" t="s">
        <v>39</v>
      </c>
      <c r="C3586" t="s">
        <v>40</v>
      </c>
      <c r="D3586" t="s">
        <v>38</v>
      </c>
      <c r="E3586" t="s">
        <v>19</v>
      </c>
      <c r="F3586" t="s">
        <v>30</v>
      </c>
      <c r="O3586">
        <v>2052</v>
      </c>
      <c r="P3586">
        <v>48.03</v>
      </c>
    </row>
    <row r="3587" spans="1:16" x14ac:dyDescent="0.3">
      <c r="A3587" t="str">
        <f t="shared" si="56"/>
        <v>CN|TotalCapacityAnnual|RE1|PWRSOLRTP|2052</v>
      </c>
      <c r="B3587" t="s">
        <v>39</v>
      </c>
      <c r="C3587" t="s">
        <v>40</v>
      </c>
      <c r="D3587" t="s">
        <v>38</v>
      </c>
      <c r="E3587" t="s">
        <v>19</v>
      </c>
      <c r="F3587" t="s">
        <v>31</v>
      </c>
      <c r="O3587">
        <v>2052</v>
      </c>
      <c r="P3587">
        <v>196.09345518622689</v>
      </c>
    </row>
    <row r="3588" spans="1:16" x14ac:dyDescent="0.3">
      <c r="A3588" t="str">
        <f t="shared" si="56"/>
        <v>CN|TotalCapacityAnnual|RE1|PWRSOLRTP_ZNI|2052</v>
      </c>
      <c r="B3588" t="s">
        <v>39</v>
      </c>
      <c r="C3588" t="s">
        <v>40</v>
      </c>
      <c r="D3588" t="s">
        <v>38</v>
      </c>
      <c r="E3588" t="s">
        <v>19</v>
      </c>
      <c r="F3588" t="s">
        <v>32</v>
      </c>
      <c r="O3588">
        <v>2052</v>
      </c>
      <c r="P3588">
        <v>1.830370391835634</v>
      </c>
    </row>
    <row r="3589" spans="1:16" x14ac:dyDescent="0.3">
      <c r="A3589" t="str">
        <f t="shared" si="56"/>
        <v>CN|TotalCapacityAnnual|RE1|PWRSOLUGE|2052</v>
      </c>
      <c r="B3589" t="s">
        <v>39</v>
      </c>
      <c r="C3589" t="s">
        <v>40</v>
      </c>
      <c r="D3589" t="s">
        <v>38</v>
      </c>
      <c r="E3589" t="s">
        <v>19</v>
      </c>
      <c r="F3589" t="s">
        <v>33</v>
      </c>
      <c r="O3589">
        <v>2052</v>
      </c>
      <c r="P3589">
        <v>483.01955286843838</v>
      </c>
    </row>
    <row r="3590" spans="1:16" x14ac:dyDescent="0.3">
      <c r="A3590" t="str">
        <f t="shared" si="56"/>
        <v>CN|TotalCapacityAnnual|RE1|PWRSOLUGE_BAT|2052</v>
      </c>
      <c r="B3590" t="s">
        <v>39</v>
      </c>
      <c r="C3590" t="s">
        <v>40</v>
      </c>
      <c r="D3590" t="s">
        <v>38</v>
      </c>
      <c r="E3590" t="s">
        <v>19</v>
      </c>
      <c r="F3590" t="s">
        <v>41</v>
      </c>
      <c r="O3590">
        <v>2052</v>
      </c>
      <c r="P3590">
        <v>30.670102189502511</v>
      </c>
    </row>
    <row r="3591" spans="1:16" x14ac:dyDescent="0.3">
      <c r="A3591" t="str">
        <f t="shared" si="56"/>
        <v>CN|TotalCapacityAnnual|RE1|PWRSOLUPE|2052</v>
      </c>
      <c r="B3591" t="s">
        <v>39</v>
      </c>
      <c r="C3591" t="s">
        <v>40</v>
      </c>
      <c r="D3591" t="s">
        <v>38</v>
      </c>
      <c r="E3591" t="s">
        <v>19</v>
      </c>
      <c r="F3591" t="s">
        <v>34</v>
      </c>
      <c r="O3591">
        <v>2052</v>
      </c>
    </row>
    <row r="3592" spans="1:16" x14ac:dyDescent="0.3">
      <c r="A3592" t="str">
        <f t="shared" si="56"/>
        <v>CN|TotalCapacityAnnual|RE1|PWRSTD|2052</v>
      </c>
      <c r="B3592" t="s">
        <v>39</v>
      </c>
      <c r="C3592" t="s">
        <v>40</v>
      </c>
      <c r="D3592" t="s">
        <v>38</v>
      </c>
      <c r="E3592" t="s">
        <v>19</v>
      </c>
      <c r="F3592" t="s">
        <v>35</v>
      </c>
      <c r="O3592">
        <v>2052</v>
      </c>
      <c r="P3592">
        <v>8.163062064</v>
      </c>
    </row>
    <row r="3593" spans="1:16" x14ac:dyDescent="0.3">
      <c r="A3593" t="str">
        <f t="shared" si="56"/>
        <v>CN|TotalCapacityAnnual|RE1|PWRWNDOFS_FIX|2052</v>
      </c>
      <c r="B3593" t="s">
        <v>39</v>
      </c>
      <c r="C3593" t="s">
        <v>40</v>
      </c>
      <c r="D3593" t="s">
        <v>38</v>
      </c>
      <c r="E3593" t="s">
        <v>19</v>
      </c>
      <c r="F3593" t="s">
        <v>42</v>
      </c>
      <c r="O3593">
        <v>2052</v>
      </c>
      <c r="P3593">
        <v>565.5570097473003</v>
      </c>
    </row>
    <row r="3594" spans="1:16" x14ac:dyDescent="0.3">
      <c r="A3594" t="str">
        <f t="shared" si="56"/>
        <v>CN|TotalCapacityAnnual|RE1|PWRWNDOFS_FLO|2052</v>
      </c>
      <c r="B3594" t="s">
        <v>39</v>
      </c>
      <c r="C3594" t="s">
        <v>40</v>
      </c>
      <c r="D3594" t="s">
        <v>38</v>
      </c>
      <c r="E3594" t="s">
        <v>19</v>
      </c>
      <c r="F3594" t="s">
        <v>43</v>
      </c>
      <c r="O3594">
        <v>2052</v>
      </c>
      <c r="P3594">
        <v>7.2734896835090179</v>
      </c>
    </row>
    <row r="3595" spans="1:16" x14ac:dyDescent="0.3">
      <c r="A3595" t="str">
        <f t="shared" si="56"/>
        <v>CN|TotalCapacityAnnual|RE1|PWRWNDONS|2052</v>
      </c>
      <c r="B3595" t="s">
        <v>39</v>
      </c>
      <c r="C3595" t="s">
        <v>40</v>
      </c>
      <c r="D3595" t="s">
        <v>38</v>
      </c>
      <c r="E3595" t="s">
        <v>19</v>
      </c>
      <c r="F3595" t="s">
        <v>36</v>
      </c>
      <c r="O3595">
        <v>2052</v>
      </c>
      <c r="P3595">
        <v>900.22810888443519</v>
      </c>
    </row>
    <row r="3596" spans="1:16" x14ac:dyDescent="0.3">
      <c r="A3596" t="str">
        <f t="shared" si="56"/>
        <v>CN|AccumulatedNewCapacity|RE1|PWRBGS|2053</v>
      </c>
      <c r="B3596" t="s">
        <v>39</v>
      </c>
      <c r="C3596" t="s">
        <v>40</v>
      </c>
      <c r="D3596" t="s">
        <v>18</v>
      </c>
      <c r="E3596" t="s">
        <v>19</v>
      </c>
      <c r="F3596" t="s">
        <v>20</v>
      </c>
      <c r="O3596">
        <v>2053</v>
      </c>
    </row>
    <row r="3597" spans="1:16" x14ac:dyDescent="0.3">
      <c r="A3597" t="str">
        <f t="shared" si="56"/>
        <v>CN|AccumulatedNewCapacity|RE1|PWRCOA|2053</v>
      </c>
      <c r="B3597" t="s">
        <v>39</v>
      </c>
      <c r="C3597" t="s">
        <v>40</v>
      </c>
      <c r="D3597" t="s">
        <v>18</v>
      </c>
      <c r="E3597" t="s">
        <v>19</v>
      </c>
      <c r="F3597" t="s">
        <v>21</v>
      </c>
      <c r="O3597">
        <v>2053</v>
      </c>
    </row>
    <row r="3598" spans="1:16" x14ac:dyDescent="0.3">
      <c r="A3598" t="str">
        <f t="shared" si="56"/>
        <v>CN|AccumulatedNewCapacity|RE1|PWRDSL|2053</v>
      </c>
      <c r="B3598" t="s">
        <v>39</v>
      </c>
      <c r="C3598" t="s">
        <v>40</v>
      </c>
      <c r="D3598" t="s">
        <v>18</v>
      </c>
      <c r="E3598" t="s">
        <v>19</v>
      </c>
      <c r="F3598" t="s">
        <v>22</v>
      </c>
      <c r="O3598">
        <v>2053</v>
      </c>
    </row>
    <row r="3599" spans="1:16" x14ac:dyDescent="0.3">
      <c r="A3599" t="str">
        <f t="shared" si="56"/>
        <v>CN|AccumulatedNewCapacity|RE1|PWRFOL|2053</v>
      </c>
      <c r="B3599" t="s">
        <v>39</v>
      </c>
      <c r="C3599" t="s">
        <v>40</v>
      </c>
      <c r="D3599" t="s">
        <v>18</v>
      </c>
      <c r="E3599" t="s">
        <v>19</v>
      </c>
      <c r="F3599" t="s">
        <v>23</v>
      </c>
      <c r="O3599">
        <v>2053</v>
      </c>
    </row>
    <row r="3600" spans="1:16" x14ac:dyDescent="0.3">
      <c r="A3600" t="str">
        <f t="shared" si="56"/>
        <v>CN|AccumulatedNewCapacity|RE1|PWRHYDDAM|2053</v>
      </c>
      <c r="B3600" t="s">
        <v>39</v>
      </c>
      <c r="C3600" t="s">
        <v>40</v>
      </c>
      <c r="D3600" t="s">
        <v>18</v>
      </c>
      <c r="E3600" t="s">
        <v>19</v>
      </c>
      <c r="F3600" t="s">
        <v>24</v>
      </c>
      <c r="O3600">
        <v>2053</v>
      </c>
      <c r="P3600">
        <v>37.840000000000003</v>
      </c>
    </row>
    <row r="3601" spans="1:16" x14ac:dyDescent="0.3">
      <c r="A3601" t="str">
        <f t="shared" si="56"/>
        <v>CN|AccumulatedNewCapacity|RE1|PWRHYDROR|2053</v>
      </c>
      <c r="B3601" t="s">
        <v>39</v>
      </c>
      <c r="C3601" t="s">
        <v>40</v>
      </c>
      <c r="D3601" t="s">
        <v>18</v>
      </c>
      <c r="E3601" t="s">
        <v>19</v>
      </c>
      <c r="F3601" t="s">
        <v>25</v>
      </c>
      <c r="O3601">
        <v>2053</v>
      </c>
    </row>
    <row r="3602" spans="1:16" x14ac:dyDescent="0.3">
      <c r="A3602" t="str">
        <f t="shared" si="56"/>
        <v>CN|AccumulatedNewCapacity|RE1|PWRHYDROR_NDC|2053</v>
      </c>
      <c r="B3602" t="s">
        <v>39</v>
      </c>
      <c r="C3602" t="s">
        <v>40</v>
      </c>
      <c r="D3602" t="s">
        <v>18</v>
      </c>
      <c r="E3602" t="s">
        <v>19</v>
      </c>
      <c r="F3602" t="s">
        <v>26</v>
      </c>
      <c r="O3602">
        <v>2053</v>
      </c>
      <c r="P3602">
        <v>121.6663582335095</v>
      </c>
    </row>
    <row r="3603" spans="1:16" x14ac:dyDescent="0.3">
      <c r="A3603" t="str">
        <f t="shared" si="56"/>
        <v>CN|AccumulatedNewCapacity|RE1|PWRJET|2053</v>
      </c>
      <c r="B3603" t="s">
        <v>39</v>
      </c>
      <c r="C3603" t="s">
        <v>40</v>
      </c>
      <c r="D3603" t="s">
        <v>18</v>
      </c>
      <c r="E3603" t="s">
        <v>19</v>
      </c>
      <c r="F3603" t="s">
        <v>27</v>
      </c>
      <c r="O3603">
        <v>2053</v>
      </c>
    </row>
    <row r="3604" spans="1:16" x14ac:dyDescent="0.3">
      <c r="A3604" t="str">
        <f t="shared" si="56"/>
        <v>CN|AccumulatedNewCapacity|RE1|PWRLPG|2053</v>
      </c>
      <c r="B3604" t="s">
        <v>39</v>
      </c>
      <c r="C3604" t="s">
        <v>40</v>
      </c>
      <c r="D3604" t="s">
        <v>18</v>
      </c>
      <c r="E3604" t="s">
        <v>19</v>
      </c>
      <c r="F3604" t="s">
        <v>28</v>
      </c>
      <c r="O3604">
        <v>2053</v>
      </c>
    </row>
    <row r="3605" spans="1:16" x14ac:dyDescent="0.3">
      <c r="A3605" t="str">
        <f t="shared" si="56"/>
        <v>CN|AccumulatedNewCapacity|RE1|PWRNGS_CC|2053</v>
      </c>
      <c r="B3605" t="s">
        <v>39</v>
      </c>
      <c r="C3605" t="s">
        <v>40</v>
      </c>
      <c r="D3605" t="s">
        <v>18</v>
      </c>
      <c r="E3605" t="s">
        <v>19</v>
      </c>
      <c r="F3605" t="s">
        <v>29</v>
      </c>
      <c r="O3605">
        <v>2053</v>
      </c>
    </row>
    <row r="3606" spans="1:16" x14ac:dyDescent="0.3">
      <c r="A3606" t="str">
        <f t="shared" si="56"/>
        <v>CN|AccumulatedNewCapacity|RE1|PWRNGS_CS|2053</v>
      </c>
      <c r="B3606" t="s">
        <v>39</v>
      </c>
      <c r="C3606" t="s">
        <v>40</v>
      </c>
      <c r="D3606" t="s">
        <v>18</v>
      </c>
      <c r="E3606" t="s">
        <v>19</v>
      </c>
      <c r="F3606" t="s">
        <v>30</v>
      </c>
      <c r="O3606">
        <v>2053</v>
      </c>
    </row>
    <row r="3607" spans="1:16" x14ac:dyDescent="0.3">
      <c r="A3607" t="str">
        <f t="shared" si="56"/>
        <v>CN|AccumulatedNewCapacity|RE1|PWRSOLRTP|2053</v>
      </c>
      <c r="B3607" t="s">
        <v>39</v>
      </c>
      <c r="C3607" t="s">
        <v>40</v>
      </c>
      <c r="D3607" t="s">
        <v>18</v>
      </c>
      <c r="E3607" t="s">
        <v>19</v>
      </c>
      <c r="F3607" t="s">
        <v>31</v>
      </c>
      <c r="O3607">
        <v>2053</v>
      </c>
      <c r="P3607">
        <v>181.03345518622689</v>
      </c>
    </row>
    <row r="3608" spans="1:16" x14ac:dyDescent="0.3">
      <c r="A3608" t="str">
        <f t="shared" si="56"/>
        <v>CN|AccumulatedNewCapacity|RE1|PWRSOLRTP_ZNI|2053</v>
      </c>
      <c r="B3608" t="s">
        <v>39</v>
      </c>
      <c r="C3608" t="s">
        <v>40</v>
      </c>
      <c r="D3608" t="s">
        <v>18</v>
      </c>
      <c r="E3608" t="s">
        <v>19</v>
      </c>
      <c r="F3608" t="s">
        <v>32</v>
      </c>
      <c r="O3608">
        <v>2053</v>
      </c>
      <c r="P3608">
        <v>1.3916946197733999</v>
      </c>
    </row>
    <row r="3609" spans="1:16" x14ac:dyDescent="0.3">
      <c r="A3609" t="str">
        <f t="shared" si="56"/>
        <v>CN|AccumulatedNewCapacity|RE1|PWRSOLUGE|2053</v>
      </c>
      <c r="B3609" t="s">
        <v>39</v>
      </c>
      <c r="C3609" t="s">
        <v>40</v>
      </c>
      <c r="D3609" t="s">
        <v>18</v>
      </c>
      <c r="E3609" t="s">
        <v>19</v>
      </c>
      <c r="F3609" t="s">
        <v>33</v>
      </c>
      <c r="O3609">
        <v>2053</v>
      </c>
      <c r="P3609">
        <v>479.64451378446489</v>
      </c>
    </row>
    <row r="3610" spans="1:16" x14ac:dyDescent="0.3">
      <c r="A3610" t="str">
        <f t="shared" si="56"/>
        <v>CN|AccumulatedNewCapacity|RE1|PWRSOLUGE_BAT|2053</v>
      </c>
      <c r="B3610" t="s">
        <v>39</v>
      </c>
      <c r="C3610" t="s">
        <v>40</v>
      </c>
      <c r="D3610" t="s">
        <v>18</v>
      </c>
      <c r="E3610" t="s">
        <v>19</v>
      </c>
      <c r="F3610" t="s">
        <v>41</v>
      </c>
      <c r="O3610">
        <v>2053</v>
      </c>
      <c r="P3610">
        <v>30.670102189502511</v>
      </c>
    </row>
    <row r="3611" spans="1:16" x14ac:dyDescent="0.3">
      <c r="A3611" t="str">
        <f t="shared" si="56"/>
        <v>CN|AccumulatedNewCapacity|RE1|PWRSOLUPE|2053</v>
      </c>
      <c r="B3611" t="s">
        <v>39</v>
      </c>
      <c r="C3611" t="s">
        <v>40</v>
      </c>
      <c r="D3611" t="s">
        <v>18</v>
      </c>
      <c r="E3611" t="s">
        <v>19</v>
      </c>
      <c r="F3611" t="s">
        <v>34</v>
      </c>
      <c r="O3611">
        <v>2053</v>
      </c>
    </row>
    <row r="3612" spans="1:16" x14ac:dyDescent="0.3">
      <c r="A3612" t="str">
        <f t="shared" si="56"/>
        <v>CN|AccumulatedNewCapacity|RE1|PWRSTD|2053</v>
      </c>
      <c r="B3612" t="s">
        <v>39</v>
      </c>
      <c r="C3612" t="s">
        <v>40</v>
      </c>
      <c r="D3612" t="s">
        <v>18</v>
      </c>
      <c r="E3612" t="s">
        <v>19</v>
      </c>
      <c r="F3612" t="s">
        <v>35</v>
      </c>
      <c r="O3612">
        <v>2053</v>
      </c>
    </row>
    <row r="3613" spans="1:16" x14ac:dyDescent="0.3">
      <c r="A3613" t="str">
        <f t="shared" si="56"/>
        <v>CN|AccumulatedNewCapacity|RE1|PWRWNDOFS_FIX|2053</v>
      </c>
      <c r="B3613" t="s">
        <v>39</v>
      </c>
      <c r="C3613" t="s">
        <v>40</v>
      </c>
      <c r="D3613" t="s">
        <v>18</v>
      </c>
      <c r="E3613" t="s">
        <v>19</v>
      </c>
      <c r="F3613" t="s">
        <v>42</v>
      </c>
      <c r="O3613">
        <v>2053</v>
      </c>
      <c r="P3613">
        <v>587.94553340507798</v>
      </c>
    </row>
    <row r="3614" spans="1:16" x14ac:dyDescent="0.3">
      <c r="A3614" t="str">
        <f t="shared" si="56"/>
        <v>CN|AccumulatedNewCapacity|RE1|PWRWNDOFS_FLO|2053</v>
      </c>
      <c r="B3614" t="s">
        <v>39</v>
      </c>
      <c r="C3614" t="s">
        <v>40</v>
      </c>
      <c r="D3614" t="s">
        <v>18</v>
      </c>
      <c r="E3614" t="s">
        <v>19</v>
      </c>
      <c r="F3614" t="s">
        <v>43</v>
      </c>
      <c r="O3614">
        <v>2053</v>
      </c>
      <c r="P3614">
        <v>7.2734896835090179</v>
      </c>
    </row>
    <row r="3615" spans="1:16" x14ac:dyDescent="0.3">
      <c r="A3615" t="str">
        <f t="shared" si="56"/>
        <v>CN|AccumulatedNewCapacity|RE1|PWRWNDONS|2053</v>
      </c>
      <c r="B3615" t="s">
        <v>39</v>
      </c>
      <c r="C3615" t="s">
        <v>40</v>
      </c>
      <c r="D3615" t="s">
        <v>18</v>
      </c>
      <c r="E3615" t="s">
        <v>19</v>
      </c>
      <c r="F3615" t="s">
        <v>36</v>
      </c>
      <c r="O3615">
        <v>2053</v>
      </c>
      <c r="P3615">
        <v>946.16944648443518</v>
      </c>
    </row>
    <row r="3616" spans="1:16" x14ac:dyDescent="0.3">
      <c r="A3616" t="str">
        <f t="shared" si="56"/>
        <v>CN|NewCapacity|RE1|PWRBGS|2053</v>
      </c>
      <c r="B3616" t="s">
        <v>39</v>
      </c>
      <c r="C3616" t="s">
        <v>40</v>
      </c>
      <c r="D3616" t="s">
        <v>37</v>
      </c>
      <c r="E3616" t="s">
        <v>19</v>
      </c>
      <c r="F3616" t="s">
        <v>20</v>
      </c>
      <c r="O3616">
        <v>2053</v>
      </c>
    </row>
    <row r="3617" spans="1:16" x14ac:dyDescent="0.3">
      <c r="A3617" t="str">
        <f t="shared" si="56"/>
        <v>CN|NewCapacity|RE1|PWRCOA|2053</v>
      </c>
      <c r="B3617" t="s">
        <v>39</v>
      </c>
      <c r="C3617" t="s">
        <v>40</v>
      </c>
      <c r="D3617" t="s">
        <v>37</v>
      </c>
      <c r="E3617" t="s">
        <v>19</v>
      </c>
      <c r="F3617" t="s">
        <v>21</v>
      </c>
      <c r="O3617">
        <v>2053</v>
      </c>
    </row>
    <row r="3618" spans="1:16" x14ac:dyDescent="0.3">
      <c r="A3618" t="str">
        <f t="shared" si="56"/>
        <v>CN|NewCapacity|RE1|PWRDSL|2053</v>
      </c>
      <c r="B3618" t="s">
        <v>39</v>
      </c>
      <c r="C3618" t="s">
        <v>40</v>
      </c>
      <c r="D3618" t="s">
        <v>37</v>
      </c>
      <c r="E3618" t="s">
        <v>19</v>
      </c>
      <c r="F3618" t="s">
        <v>22</v>
      </c>
      <c r="O3618">
        <v>2053</v>
      </c>
    </row>
    <row r="3619" spans="1:16" x14ac:dyDescent="0.3">
      <c r="A3619" t="str">
        <f t="shared" si="56"/>
        <v>CN|NewCapacity|RE1|PWRFOL|2053</v>
      </c>
      <c r="B3619" t="s">
        <v>39</v>
      </c>
      <c r="C3619" t="s">
        <v>40</v>
      </c>
      <c r="D3619" t="s">
        <v>37</v>
      </c>
      <c r="E3619" t="s">
        <v>19</v>
      </c>
      <c r="F3619" t="s">
        <v>23</v>
      </c>
      <c r="O3619">
        <v>2053</v>
      </c>
    </row>
    <row r="3620" spans="1:16" x14ac:dyDescent="0.3">
      <c r="A3620" t="str">
        <f t="shared" si="56"/>
        <v>CN|NewCapacity|RE1|PWRHYDDAM|2053</v>
      </c>
      <c r="B3620" t="s">
        <v>39</v>
      </c>
      <c r="C3620" t="s">
        <v>40</v>
      </c>
      <c r="D3620" t="s">
        <v>37</v>
      </c>
      <c r="E3620" t="s">
        <v>19</v>
      </c>
      <c r="F3620" t="s">
        <v>24</v>
      </c>
      <c r="O3620">
        <v>2053</v>
      </c>
    </row>
    <row r="3621" spans="1:16" x14ac:dyDescent="0.3">
      <c r="A3621" t="str">
        <f t="shared" si="56"/>
        <v>CN|NewCapacity|RE1|PWRHYDROR|2053</v>
      </c>
      <c r="B3621" t="s">
        <v>39</v>
      </c>
      <c r="C3621" t="s">
        <v>40</v>
      </c>
      <c r="D3621" t="s">
        <v>37</v>
      </c>
      <c r="E3621" t="s">
        <v>19</v>
      </c>
      <c r="F3621" t="s">
        <v>25</v>
      </c>
      <c r="O3621">
        <v>2053</v>
      </c>
    </row>
    <row r="3622" spans="1:16" x14ac:dyDescent="0.3">
      <c r="A3622" t="str">
        <f t="shared" si="56"/>
        <v>CN|NewCapacity|RE1|PWRHYDROR_NDC|2053</v>
      </c>
      <c r="B3622" t="s">
        <v>39</v>
      </c>
      <c r="C3622" t="s">
        <v>40</v>
      </c>
      <c r="D3622" t="s">
        <v>37</v>
      </c>
      <c r="E3622" t="s">
        <v>19</v>
      </c>
      <c r="F3622" t="s">
        <v>26</v>
      </c>
      <c r="O3622">
        <v>2053</v>
      </c>
    </row>
    <row r="3623" spans="1:16" x14ac:dyDescent="0.3">
      <c r="A3623" t="str">
        <f t="shared" si="56"/>
        <v>CN|NewCapacity|RE1|PWRJET|2053</v>
      </c>
      <c r="B3623" t="s">
        <v>39</v>
      </c>
      <c r="C3623" t="s">
        <v>40</v>
      </c>
      <c r="D3623" t="s">
        <v>37</v>
      </c>
      <c r="E3623" t="s">
        <v>19</v>
      </c>
      <c r="F3623" t="s">
        <v>27</v>
      </c>
      <c r="O3623">
        <v>2053</v>
      </c>
    </row>
    <row r="3624" spans="1:16" x14ac:dyDescent="0.3">
      <c r="A3624" t="str">
        <f t="shared" si="56"/>
        <v>CN|NewCapacity|RE1|PWRLPG|2053</v>
      </c>
      <c r="B3624" t="s">
        <v>39</v>
      </c>
      <c r="C3624" t="s">
        <v>40</v>
      </c>
      <c r="D3624" t="s">
        <v>37</v>
      </c>
      <c r="E3624" t="s">
        <v>19</v>
      </c>
      <c r="F3624" t="s">
        <v>28</v>
      </c>
      <c r="O3624">
        <v>2053</v>
      </c>
    </row>
    <row r="3625" spans="1:16" x14ac:dyDescent="0.3">
      <c r="A3625" t="str">
        <f t="shared" si="56"/>
        <v>CN|NewCapacity|RE1|PWRNGS_CC|2053</v>
      </c>
      <c r="B3625" t="s">
        <v>39</v>
      </c>
      <c r="C3625" t="s">
        <v>40</v>
      </c>
      <c r="D3625" t="s">
        <v>37</v>
      </c>
      <c r="E3625" t="s">
        <v>19</v>
      </c>
      <c r="F3625" t="s">
        <v>29</v>
      </c>
      <c r="O3625">
        <v>2053</v>
      </c>
    </row>
    <row r="3626" spans="1:16" x14ac:dyDescent="0.3">
      <c r="A3626" t="str">
        <f t="shared" si="56"/>
        <v>CN|NewCapacity|RE1|PWRNGS_CS|2053</v>
      </c>
      <c r="B3626" t="s">
        <v>39</v>
      </c>
      <c r="C3626" t="s">
        <v>40</v>
      </c>
      <c r="D3626" t="s">
        <v>37</v>
      </c>
      <c r="E3626" t="s">
        <v>19</v>
      </c>
      <c r="F3626" t="s">
        <v>30</v>
      </c>
      <c r="O3626">
        <v>2053</v>
      </c>
    </row>
    <row r="3627" spans="1:16" x14ac:dyDescent="0.3">
      <c r="A3627" t="str">
        <f t="shared" si="56"/>
        <v>CN|NewCapacity|RE1|PWRSOLRTP|2053</v>
      </c>
      <c r="B3627" t="s">
        <v>39</v>
      </c>
      <c r="C3627" t="s">
        <v>40</v>
      </c>
      <c r="D3627" t="s">
        <v>37</v>
      </c>
      <c r="E3627" t="s">
        <v>19</v>
      </c>
      <c r="F3627" t="s">
        <v>31</v>
      </c>
      <c r="O3627">
        <v>2053</v>
      </c>
      <c r="P3627">
        <v>1.27</v>
      </c>
    </row>
    <row r="3628" spans="1:16" x14ac:dyDescent="0.3">
      <c r="A3628" t="str">
        <f t="shared" si="56"/>
        <v>CN|NewCapacity|RE1|PWRSOLRTP_ZNI|2053</v>
      </c>
      <c r="B3628" t="s">
        <v>39</v>
      </c>
      <c r="C3628" t="s">
        <v>40</v>
      </c>
      <c r="D3628" t="s">
        <v>37</v>
      </c>
      <c r="E3628" t="s">
        <v>19</v>
      </c>
      <c r="F3628" t="s">
        <v>32</v>
      </c>
      <c r="O3628">
        <v>2053</v>
      </c>
      <c r="P3628">
        <v>2.2065187937765969E-2</v>
      </c>
    </row>
    <row r="3629" spans="1:16" x14ac:dyDescent="0.3">
      <c r="A3629" t="str">
        <f t="shared" si="56"/>
        <v>CN|NewCapacity|RE1|PWRSOLUGE|2053</v>
      </c>
      <c r="B3629" t="s">
        <v>39</v>
      </c>
      <c r="C3629" t="s">
        <v>40</v>
      </c>
      <c r="D3629" t="s">
        <v>37</v>
      </c>
      <c r="E3629" t="s">
        <v>19</v>
      </c>
      <c r="F3629" t="s">
        <v>33</v>
      </c>
      <c r="O3629">
        <v>2053</v>
      </c>
      <c r="P3629">
        <v>45.022660916026432</v>
      </c>
    </row>
    <row r="3630" spans="1:16" x14ac:dyDescent="0.3">
      <c r="A3630" t="str">
        <f t="shared" si="56"/>
        <v>CN|NewCapacity|RE1|PWRSOLUGE_BAT|2053</v>
      </c>
      <c r="B3630" t="s">
        <v>39</v>
      </c>
      <c r="C3630" t="s">
        <v>40</v>
      </c>
      <c r="D3630" t="s">
        <v>37</v>
      </c>
      <c r="E3630" t="s">
        <v>19</v>
      </c>
      <c r="F3630" t="s">
        <v>41</v>
      </c>
      <c r="O3630">
        <v>2053</v>
      </c>
    </row>
    <row r="3631" spans="1:16" x14ac:dyDescent="0.3">
      <c r="A3631" t="str">
        <f t="shared" si="56"/>
        <v>CN|NewCapacity|RE1|PWRSOLUPE|2053</v>
      </c>
      <c r="B3631" t="s">
        <v>39</v>
      </c>
      <c r="C3631" t="s">
        <v>40</v>
      </c>
      <c r="D3631" t="s">
        <v>37</v>
      </c>
      <c r="E3631" t="s">
        <v>19</v>
      </c>
      <c r="F3631" t="s">
        <v>34</v>
      </c>
      <c r="O3631">
        <v>2053</v>
      </c>
    </row>
    <row r="3632" spans="1:16" x14ac:dyDescent="0.3">
      <c r="A3632" t="str">
        <f t="shared" si="56"/>
        <v>CN|NewCapacity|RE1|PWRSTD|2053</v>
      </c>
      <c r="B3632" t="s">
        <v>39</v>
      </c>
      <c r="C3632" t="s">
        <v>40</v>
      </c>
      <c r="D3632" t="s">
        <v>37</v>
      </c>
      <c r="E3632" t="s">
        <v>19</v>
      </c>
      <c r="F3632" t="s">
        <v>35</v>
      </c>
      <c r="O3632">
        <v>2053</v>
      </c>
    </row>
    <row r="3633" spans="1:16" x14ac:dyDescent="0.3">
      <c r="A3633" t="str">
        <f t="shared" si="56"/>
        <v>CN|NewCapacity|RE1|PWRWNDOFS_FIX|2053</v>
      </c>
      <c r="B3633" t="s">
        <v>39</v>
      </c>
      <c r="C3633" t="s">
        <v>40</v>
      </c>
      <c r="D3633" t="s">
        <v>37</v>
      </c>
      <c r="E3633" t="s">
        <v>19</v>
      </c>
      <c r="F3633" t="s">
        <v>42</v>
      </c>
      <c r="O3633">
        <v>2053</v>
      </c>
      <c r="P3633">
        <v>22.388523657777679</v>
      </c>
    </row>
    <row r="3634" spans="1:16" x14ac:dyDescent="0.3">
      <c r="A3634" t="str">
        <f t="shared" si="56"/>
        <v>CN|NewCapacity|RE1|PWRWNDOFS_FLO|2053</v>
      </c>
      <c r="B3634" t="s">
        <v>39</v>
      </c>
      <c r="C3634" t="s">
        <v>40</v>
      </c>
      <c r="D3634" t="s">
        <v>37</v>
      </c>
      <c r="E3634" t="s">
        <v>19</v>
      </c>
      <c r="F3634" t="s">
        <v>43</v>
      </c>
      <c r="O3634">
        <v>2053</v>
      </c>
    </row>
    <row r="3635" spans="1:16" x14ac:dyDescent="0.3">
      <c r="A3635" t="str">
        <f t="shared" si="56"/>
        <v>CN|NewCapacity|RE1|PWRWNDONS|2053</v>
      </c>
      <c r="B3635" t="s">
        <v>39</v>
      </c>
      <c r="C3635" t="s">
        <v>40</v>
      </c>
      <c r="D3635" t="s">
        <v>37</v>
      </c>
      <c r="E3635" t="s">
        <v>19</v>
      </c>
      <c r="F3635" t="s">
        <v>36</v>
      </c>
      <c r="O3635">
        <v>2053</v>
      </c>
      <c r="P3635">
        <v>47.31</v>
      </c>
    </row>
    <row r="3636" spans="1:16" x14ac:dyDescent="0.3">
      <c r="A3636" t="str">
        <f t="shared" si="56"/>
        <v>CN|TotalCapacityAnnual|RE1|PWRBGS|2053</v>
      </c>
      <c r="B3636" t="s">
        <v>39</v>
      </c>
      <c r="C3636" t="s">
        <v>40</v>
      </c>
      <c r="D3636" t="s">
        <v>38</v>
      </c>
      <c r="E3636" t="s">
        <v>19</v>
      </c>
      <c r="F3636" t="s">
        <v>20</v>
      </c>
      <c r="O3636">
        <v>2053</v>
      </c>
      <c r="P3636">
        <v>2.5488587520000001E-2</v>
      </c>
    </row>
    <row r="3637" spans="1:16" x14ac:dyDescent="0.3">
      <c r="A3637" t="str">
        <f t="shared" si="56"/>
        <v>CN|TotalCapacityAnnual|RE1|PWRCOA|2053</v>
      </c>
      <c r="B3637" t="s">
        <v>39</v>
      </c>
      <c r="C3637" t="s">
        <v>40</v>
      </c>
      <c r="D3637" t="s">
        <v>38</v>
      </c>
      <c r="E3637" t="s">
        <v>19</v>
      </c>
      <c r="F3637" t="s">
        <v>21</v>
      </c>
      <c r="O3637">
        <v>2053</v>
      </c>
    </row>
    <row r="3638" spans="1:16" x14ac:dyDescent="0.3">
      <c r="A3638" t="str">
        <f t="shared" si="56"/>
        <v>CN|TotalCapacityAnnual|RE1|PWRDSL|2053</v>
      </c>
      <c r="B3638" t="s">
        <v>39</v>
      </c>
      <c r="C3638" t="s">
        <v>40</v>
      </c>
      <c r="D3638" t="s">
        <v>38</v>
      </c>
      <c r="E3638" t="s">
        <v>19</v>
      </c>
      <c r="F3638" t="s">
        <v>22</v>
      </c>
      <c r="O3638">
        <v>2053</v>
      </c>
    </row>
    <row r="3639" spans="1:16" x14ac:dyDescent="0.3">
      <c r="A3639" t="str">
        <f t="shared" si="56"/>
        <v>CN|TotalCapacityAnnual|RE1|PWRFOL|2053</v>
      </c>
      <c r="B3639" t="s">
        <v>39</v>
      </c>
      <c r="C3639" t="s">
        <v>40</v>
      </c>
      <c r="D3639" t="s">
        <v>38</v>
      </c>
      <c r="E3639" t="s">
        <v>19</v>
      </c>
      <c r="F3639" t="s">
        <v>23</v>
      </c>
      <c r="O3639">
        <v>2053</v>
      </c>
      <c r="P3639">
        <v>8.3885759999999987</v>
      </c>
    </row>
    <row r="3640" spans="1:16" x14ac:dyDescent="0.3">
      <c r="A3640" t="str">
        <f t="shared" si="56"/>
        <v>CN|TotalCapacityAnnual|RE1|PWRHYDDAM|2053</v>
      </c>
      <c r="B3640" t="s">
        <v>39</v>
      </c>
      <c r="C3640" t="s">
        <v>40</v>
      </c>
      <c r="D3640" t="s">
        <v>38</v>
      </c>
      <c r="E3640" t="s">
        <v>19</v>
      </c>
      <c r="F3640" t="s">
        <v>24</v>
      </c>
      <c r="O3640">
        <v>2053</v>
      </c>
      <c r="P3640">
        <v>440.49164800000011</v>
      </c>
    </row>
    <row r="3641" spans="1:16" x14ac:dyDescent="0.3">
      <c r="A3641" t="str">
        <f t="shared" si="56"/>
        <v>CN|TotalCapacityAnnual|RE1|PWRHYDROR|2053</v>
      </c>
      <c r="B3641" t="s">
        <v>39</v>
      </c>
      <c r="C3641" t="s">
        <v>40</v>
      </c>
      <c r="D3641" t="s">
        <v>38</v>
      </c>
      <c r="E3641" t="s">
        <v>19</v>
      </c>
      <c r="F3641" t="s">
        <v>25</v>
      </c>
      <c r="O3641">
        <v>2053</v>
      </c>
      <c r="P3641">
        <v>21.097584000000001</v>
      </c>
    </row>
    <row r="3642" spans="1:16" x14ac:dyDescent="0.3">
      <c r="A3642" t="str">
        <f t="shared" si="56"/>
        <v>CN|TotalCapacityAnnual|RE1|PWRHYDROR_NDC|2053</v>
      </c>
      <c r="B3642" t="s">
        <v>39</v>
      </c>
      <c r="C3642" t="s">
        <v>40</v>
      </c>
      <c r="D3642" t="s">
        <v>38</v>
      </c>
      <c r="E3642" t="s">
        <v>19</v>
      </c>
      <c r="F3642" t="s">
        <v>26</v>
      </c>
      <c r="O3642">
        <v>2053</v>
      </c>
      <c r="P3642">
        <v>151.3914665055095</v>
      </c>
    </row>
    <row r="3643" spans="1:16" x14ac:dyDescent="0.3">
      <c r="A3643" t="str">
        <f t="shared" si="56"/>
        <v>CN|TotalCapacityAnnual|RE1|PWRJET|2053</v>
      </c>
      <c r="B3643" t="s">
        <v>39</v>
      </c>
      <c r="C3643" t="s">
        <v>40</v>
      </c>
      <c r="D3643" t="s">
        <v>38</v>
      </c>
      <c r="E3643" t="s">
        <v>19</v>
      </c>
      <c r="F3643" t="s">
        <v>27</v>
      </c>
      <c r="O3643">
        <v>2053</v>
      </c>
      <c r="P3643">
        <v>1.5768</v>
      </c>
    </row>
    <row r="3644" spans="1:16" x14ac:dyDescent="0.3">
      <c r="A3644" t="str">
        <f t="shared" si="56"/>
        <v>CN|TotalCapacityAnnual|RE1|PWRLPG|2053</v>
      </c>
      <c r="B3644" t="s">
        <v>39</v>
      </c>
      <c r="C3644" t="s">
        <v>40</v>
      </c>
      <c r="D3644" t="s">
        <v>38</v>
      </c>
      <c r="E3644" t="s">
        <v>19</v>
      </c>
      <c r="F3644" t="s">
        <v>28</v>
      </c>
      <c r="O3644">
        <v>2053</v>
      </c>
      <c r="P3644">
        <v>1.639872</v>
      </c>
    </row>
    <row r="3645" spans="1:16" x14ac:dyDescent="0.3">
      <c r="A3645" t="str">
        <f t="shared" si="56"/>
        <v>CN|TotalCapacityAnnual|RE1|PWRNGS_CC|2053</v>
      </c>
      <c r="B3645" t="s">
        <v>39</v>
      </c>
      <c r="C3645" t="s">
        <v>40</v>
      </c>
      <c r="D3645" t="s">
        <v>38</v>
      </c>
      <c r="E3645" t="s">
        <v>19</v>
      </c>
      <c r="F3645" t="s">
        <v>29</v>
      </c>
      <c r="O3645">
        <v>2053</v>
      </c>
      <c r="P3645">
        <v>70.104500000000002</v>
      </c>
    </row>
    <row r="3646" spans="1:16" x14ac:dyDescent="0.3">
      <c r="A3646" t="str">
        <f t="shared" si="56"/>
        <v>CN|TotalCapacityAnnual|RE1|PWRNGS_CS|2053</v>
      </c>
      <c r="B3646" t="s">
        <v>39</v>
      </c>
      <c r="C3646" t="s">
        <v>40</v>
      </c>
      <c r="D3646" t="s">
        <v>38</v>
      </c>
      <c r="E3646" t="s">
        <v>19</v>
      </c>
      <c r="F3646" t="s">
        <v>30</v>
      </c>
      <c r="O3646">
        <v>2053</v>
      </c>
      <c r="P3646">
        <v>48.03</v>
      </c>
    </row>
    <row r="3647" spans="1:16" x14ac:dyDescent="0.3">
      <c r="A3647" t="str">
        <f t="shared" si="56"/>
        <v>CN|TotalCapacityAnnual|RE1|PWRSOLRTP|2053</v>
      </c>
      <c r="B3647" t="s">
        <v>39</v>
      </c>
      <c r="C3647" t="s">
        <v>40</v>
      </c>
      <c r="D3647" t="s">
        <v>38</v>
      </c>
      <c r="E3647" t="s">
        <v>19</v>
      </c>
      <c r="F3647" t="s">
        <v>31</v>
      </c>
      <c r="O3647">
        <v>2053</v>
      </c>
      <c r="P3647">
        <v>181.03345518622689</v>
      </c>
    </row>
    <row r="3648" spans="1:16" x14ac:dyDescent="0.3">
      <c r="A3648" t="str">
        <f t="shared" si="56"/>
        <v>CN|TotalCapacityAnnual|RE1|PWRSOLRTP_ZNI|2053</v>
      </c>
      <c r="B3648" t="s">
        <v>39</v>
      </c>
      <c r="C3648" t="s">
        <v>40</v>
      </c>
      <c r="D3648" t="s">
        <v>38</v>
      </c>
      <c r="E3648" t="s">
        <v>19</v>
      </c>
      <c r="F3648" t="s">
        <v>32</v>
      </c>
      <c r="O3648">
        <v>2053</v>
      </c>
      <c r="P3648">
        <v>1.8524355797734</v>
      </c>
    </row>
    <row r="3649" spans="1:16" x14ac:dyDescent="0.3">
      <c r="A3649" t="str">
        <f t="shared" si="56"/>
        <v>CN|TotalCapacityAnnual|RE1|PWRSOLUGE|2053</v>
      </c>
      <c r="B3649" t="s">
        <v>39</v>
      </c>
      <c r="C3649" t="s">
        <v>40</v>
      </c>
      <c r="D3649" t="s">
        <v>38</v>
      </c>
      <c r="E3649" t="s">
        <v>19</v>
      </c>
      <c r="F3649" t="s">
        <v>33</v>
      </c>
      <c r="O3649">
        <v>2053</v>
      </c>
      <c r="P3649">
        <v>528.04221378446493</v>
      </c>
    </row>
    <row r="3650" spans="1:16" x14ac:dyDescent="0.3">
      <c r="A3650" t="str">
        <f t="shared" ref="A3650:A3713" si="57">B3650&amp;"|"&amp;D3650&amp;"|"&amp;E3650&amp;"|"&amp;F3650&amp;"|"&amp;O3650</f>
        <v>CN|TotalCapacityAnnual|RE1|PWRSOLUGE_BAT|2053</v>
      </c>
      <c r="B3650" t="s">
        <v>39</v>
      </c>
      <c r="C3650" t="s">
        <v>40</v>
      </c>
      <c r="D3650" t="s">
        <v>38</v>
      </c>
      <c r="E3650" t="s">
        <v>19</v>
      </c>
      <c r="F3650" t="s">
        <v>41</v>
      </c>
      <c r="O3650">
        <v>2053</v>
      </c>
      <c r="P3650">
        <v>30.670102189502511</v>
      </c>
    </row>
    <row r="3651" spans="1:16" x14ac:dyDescent="0.3">
      <c r="A3651" t="str">
        <f t="shared" si="57"/>
        <v>CN|TotalCapacityAnnual|RE1|PWRSOLUPE|2053</v>
      </c>
      <c r="B3651" t="s">
        <v>39</v>
      </c>
      <c r="C3651" t="s">
        <v>40</v>
      </c>
      <c r="D3651" t="s">
        <v>38</v>
      </c>
      <c r="E3651" t="s">
        <v>19</v>
      </c>
      <c r="F3651" t="s">
        <v>34</v>
      </c>
      <c r="O3651">
        <v>2053</v>
      </c>
    </row>
    <row r="3652" spans="1:16" x14ac:dyDescent="0.3">
      <c r="A3652" t="str">
        <f t="shared" si="57"/>
        <v>CN|TotalCapacityAnnual|RE1|PWRSTD|2053</v>
      </c>
      <c r="B3652" t="s">
        <v>39</v>
      </c>
      <c r="C3652" t="s">
        <v>40</v>
      </c>
      <c r="D3652" t="s">
        <v>38</v>
      </c>
      <c r="E3652" t="s">
        <v>19</v>
      </c>
      <c r="F3652" t="s">
        <v>35</v>
      </c>
      <c r="O3652">
        <v>2053</v>
      </c>
      <c r="P3652">
        <v>8.163062064</v>
      </c>
    </row>
    <row r="3653" spans="1:16" x14ac:dyDescent="0.3">
      <c r="A3653" t="str">
        <f t="shared" si="57"/>
        <v>CN|TotalCapacityAnnual|RE1|PWRWNDOFS_FIX|2053</v>
      </c>
      <c r="B3653" t="s">
        <v>39</v>
      </c>
      <c r="C3653" t="s">
        <v>40</v>
      </c>
      <c r="D3653" t="s">
        <v>38</v>
      </c>
      <c r="E3653" t="s">
        <v>19</v>
      </c>
      <c r="F3653" t="s">
        <v>42</v>
      </c>
      <c r="O3653">
        <v>2053</v>
      </c>
      <c r="P3653">
        <v>587.94553340507798</v>
      </c>
    </row>
    <row r="3654" spans="1:16" x14ac:dyDescent="0.3">
      <c r="A3654" t="str">
        <f t="shared" si="57"/>
        <v>CN|TotalCapacityAnnual|RE1|PWRWNDOFS_FLO|2053</v>
      </c>
      <c r="B3654" t="s">
        <v>39</v>
      </c>
      <c r="C3654" t="s">
        <v>40</v>
      </c>
      <c r="D3654" t="s">
        <v>38</v>
      </c>
      <c r="E3654" t="s">
        <v>19</v>
      </c>
      <c r="F3654" t="s">
        <v>43</v>
      </c>
      <c r="O3654">
        <v>2053</v>
      </c>
      <c r="P3654">
        <v>7.2734896835090179</v>
      </c>
    </row>
    <row r="3655" spans="1:16" x14ac:dyDescent="0.3">
      <c r="A3655" t="str">
        <f t="shared" si="57"/>
        <v>CN|TotalCapacityAnnual|RE1|PWRWNDONS|2053</v>
      </c>
      <c r="B3655" t="s">
        <v>39</v>
      </c>
      <c r="C3655" t="s">
        <v>40</v>
      </c>
      <c r="D3655" t="s">
        <v>38</v>
      </c>
      <c r="E3655" t="s">
        <v>19</v>
      </c>
      <c r="F3655" t="s">
        <v>36</v>
      </c>
      <c r="O3655">
        <v>2053</v>
      </c>
      <c r="P3655">
        <v>947.53810888443513</v>
      </c>
    </row>
    <row r="3656" spans="1:16" x14ac:dyDescent="0.3">
      <c r="A3656" t="str">
        <f t="shared" si="57"/>
        <v>CN|AccumulatedNewCapacity|RE1|PWRBGS|2054</v>
      </c>
      <c r="B3656" t="s">
        <v>39</v>
      </c>
      <c r="C3656" t="s">
        <v>40</v>
      </c>
      <c r="D3656" t="s">
        <v>18</v>
      </c>
      <c r="E3656" t="s">
        <v>19</v>
      </c>
      <c r="F3656" t="s">
        <v>20</v>
      </c>
      <c r="O3656">
        <v>2054</v>
      </c>
    </row>
    <row r="3657" spans="1:16" x14ac:dyDescent="0.3">
      <c r="A3657" t="str">
        <f t="shared" si="57"/>
        <v>CN|AccumulatedNewCapacity|RE1|PWRCOA|2054</v>
      </c>
      <c r="B3657" t="s">
        <v>39</v>
      </c>
      <c r="C3657" t="s">
        <v>40</v>
      </c>
      <c r="D3657" t="s">
        <v>18</v>
      </c>
      <c r="E3657" t="s">
        <v>19</v>
      </c>
      <c r="F3657" t="s">
        <v>21</v>
      </c>
      <c r="O3657">
        <v>2054</v>
      </c>
    </row>
    <row r="3658" spans="1:16" x14ac:dyDescent="0.3">
      <c r="A3658" t="str">
        <f t="shared" si="57"/>
        <v>CN|AccumulatedNewCapacity|RE1|PWRDSL|2054</v>
      </c>
      <c r="B3658" t="s">
        <v>39</v>
      </c>
      <c r="C3658" t="s">
        <v>40</v>
      </c>
      <c r="D3658" t="s">
        <v>18</v>
      </c>
      <c r="E3658" t="s">
        <v>19</v>
      </c>
      <c r="F3658" t="s">
        <v>22</v>
      </c>
      <c r="O3658">
        <v>2054</v>
      </c>
    </row>
    <row r="3659" spans="1:16" x14ac:dyDescent="0.3">
      <c r="A3659" t="str">
        <f t="shared" si="57"/>
        <v>CN|AccumulatedNewCapacity|RE1|PWRFOL|2054</v>
      </c>
      <c r="B3659" t="s">
        <v>39</v>
      </c>
      <c r="C3659" t="s">
        <v>40</v>
      </c>
      <c r="D3659" t="s">
        <v>18</v>
      </c>
      <c r="E3659" t="s">
        <v>19</v>
      </c>
      <c r="F3659" t="s">
        <v>23</v>
      </c>
      <c r="O3659">
        <v>2054</v>
      </c>
    </row>
    <row r="3660" spans="1:16" x14ac:dyDescent="0.3">
      <c r="A3660" t="str">
        <f t="shared" si="57"/>
        <v>CN|AccumulatedNewCapacity|RE1|PWRHYDDAM|2054</v>
      </c>
      <c r="B3660" t="s">
        <v>39</v>
      </c>
      <c r="C3660" t="s">
        <v>40</v>
      </c>
      <c r="D3660" t="s">
        <v>18</v>
      </c>
      <c r="E3660" t="s">
        <v>19</v>
      </c>
      <c r="F3660" t="s">
        <v>24</v>
      </c>
      <c r="O3660">
        <v>2054</v>
      </c>
      <c r="P3660">
        <v>37.840000000000003</v>
      </c>
    </row>
    <row r="3661" spans="1:16" x14ac:dyDescent="0.3">
      <c r="A3661" t="str">
        <f t="shared" si="57"/>
        <v>CN|AccumulatedNewCapacity|RE1|PWRHYDROR|2054</v>
      </c>
      <c r="B3661" t="s">
        <v>39</v>
      </c>
      <c r="C3661" t="s">
        <v>40</v>
      </c>
      <c r="D3661" t="s">
        <v>18</v>
      </c>
      <c r="E3661" t="s">
        <v>19</v>
      </c>
      <c r="F3661" t="s">
        <v>25</v>
      </c>
      <c r="O3661">
        <v>2054</v>
      </c>
    </row>
    <row r="3662" spans="1:16" x14ac:dyDescent="0.3">
      <c r="A3662" t="str">
        <f t="shared" si="57"/>
        <v>CN|AccumulatedNewCapacity|RE1|PWRHYDROR_NDC|2054</v>
      </c>
      <c r="B3662" t="s">
        <v>39</v>
      </c>
      <c r="C3662" t="s">
        <v>40</v>
      </c>
      <c r="D3662" t="s">
        <v>18</v>
      </c>
      <c r="E3662" t="s">
        <v>19</v>
      </c>
      <c r="F3662" t="s">
        <v>26</v>
      </c>
      <c r="O3662">
        <v>2054</v>
      </c>
      <c r="P3662">
        <v>121.6663582335095</v>
      </c>
    </row>
    <row r="3663" spans="1:16" x14ac:dyDescent="0.3">
      <c r="A3663" t="str">
        <f t="shared" si="57"/>
        <v>CN|AccumulatedNewCapacity|RE1|PWRJET|2054</v>
      </c>
      <c r="B3663" t="s">
        <v>39</v>
      </c>
      <c r="C3663" t="s">
        <v>40</v>
      </c>
      <c r="D3663" t="s">
        <v>18</v>
      </c>
      <c r="E3663" t="s">
        <v>19</v>
      </c>
      <c r="F3663" t="s">
        <v>27</v>
      </c>
      <c r="O3663">
        <v>2054</v>
      </c>
    </row>
    <row r="3664" spans="1:16" x14ac:dyDescent="0.3">
      <c r="A3664" t="str">
        <f t="shared" si="57"/>
        <v>CN|AccumulatedNewCapacity|RE1|PWRLPG|2054</v>
      </c>
      <c r="B3664" t="s">
        <v>39</v>
      </c>
      <c r="C3664" t="s">
        <v>40</v>
      </c>
      <c r="D3664" t="s">
        <v>18</v>
      </c>
      <c r="E3664" t="s">
        <v>19</v>
      </c>
      <c r="F3664" t="s">
        <v>28</v>
      </c>
      <c r="O3664">
        <v>2054</v>
      </c>
    </row>
    <row r="3665" spans="1:16" x14ac:dyDescent="0.3">
      <c r="A3665" t="str">
        <f t="shared" si="57"/>
        <v>CN|AccumulatedNewCapacity|RE1|PWRNGS_CC|2054</v>
      </c>
      <c r="B3665" t="s">
        <v>39</v>
      </c>
      <c r="C3665" t="s">
        <v>40</v>
      </c>
      <c r="D3665" t="s">
        <v>18</v>
      </c>
      <c r="E3665" t="s">
        <v>19</v>
      </c>
      <c r="F3665" t="s">
        <v>29</v>
      </c>
      <c r="O3665">
        <v>2054</v>
      </c>
    </row>
    <row r="3666" spans="1:16" x14ac:dyDescent="0.3">
      <c r="A3666" t="str">
        <f t="shared" si="57"/>
        <v>CN|AccumulatedNewCapacity|RE1|PWRNGS_CS|2054</v>
      </c>
      <c r="B3666" t="s">
        <v>39</v>
      </c>
      <c r="C3666" t="s">
        <v>40</v>
      </c>
      <c r="D3666" t="s">
        <v>18</v>
      </c>
      <c r="E3666" t="s">
        <v>19</v>
      </c>
      <c r="F3666" t="s">
        <v>30</v>
      </c>
      <c r="O3666">
        <v>2054</v>
      </c>
    </row>
    <row r="3667" spans="1:16" x14ac:dyDescent="0.3">
      <c r="A3667" t="str">
        <f t="shared" si="57"/>
        <v>CN|AccumulatedNewCapacity|RE1|PWRSOLRTP|2054</v>
      </c>
      <c r="B3667" t="s">
        <v>39</v>
      </c>
      <c r="C3667" t="s">
        <v>40</v>
      </c>
      <c r="D3667" t="s">
        <v>18</v>
      </c>
      <c r="E3667" t="s">
        <v>19</v>
      </c>
      <c r="F3667" t="s">
        <v>31</v>
      </c>
      <c r="O3667">
        <v>2054</v>
      </c>
      <c r="P3667">
        <v>164.48345518622691</v>
      </c>
    </row>
    <row r="3668" spans="1:16" x14ac:dyDescent="0.3">
      <c r="A3668" t="str">
        <f t="shared" si="57"/>
        <v>CN|AccumulatedNewCapacity|RE1|PWRSOLRTP_ZNI|2054</v>
      </c>
      <c r="B3668" t="s">
        <v>39</v>
      </c>
      <c r="C3668" t="s">
        <v>40</v>
      </c>
      <c r="D3668" t="s">
        <v>18</v>
      </c>
      <c r="E3668" t="s">
        <v>19</v>
      </c>
      <c r="F3668" t="s">
        <v>32</v>
      </c>
      <c r="O3668">
        <v>2054</v>
      </c>
      <c r="P3668">
        <v>1.414235668535486</v>
      </c>
    </row>
    <row r="3669" spans="1:16" x14ac:dyDescent="0.3">
      <c r="A3669" t="str">
        <f t="shared" si="57"/>
        <v>CN|AccumulatedNewCapacity|RE1|PWRSOLUGE|2054</v>
      </c>
      <c r="B3669" t="s">
        <v>39</v>
      </c>
      <c r="C3669" t="s">
        <v>40</v>
      </c>
      <c r="D3669" t="s">
        <v>18</v>
      </c>
      <c r="E3669" t="s">
        <v>19</v>
      </c>
      <c r="F3669" t="s">
        <v>33</v>
      </c>
      <c r="O3669">
        <v>2054</v>
      </c>
      <c r="P3669">
        <v>490.03962731418341</v>
      </c>
    </row>
    <row r="3670" spans="1:16" x14ac:dyDescent="0.3">
      <c r="A3670" t="str">
        <f t="shared" si="57"/>
        <v>CN|AccumulatedNewCapacity|RE1|PWRSOLUGE_BAT|2054</v>
      </c>
      <c r="B3670" t="s">
        <v>39</v>
      </c>
      <c r="C3670" t="s">
        <v>40</v>
      </c>
      <c r="D3670" t="s">
        <v>18</v>
      </c>
      <c r="E3670" t="s">
        <v>19</v>
      </c>
      <c r="F3670" t="s">
        <v>41</v>
      </c>
      <c r="O3670">
        <v>2054</v>
      </c>
      <c r="P3670">
        <v>30.670102189502511</v>
      </c>
    </row>
    <row r="3671" spans="1:16" x14ac:dyDescent="0.3">
      <c r="A3671" t="str">
        <f t="shared" si="57"/>
        <v>CN|AccumulatedNewCapacity|RE1|PWRSOLUPE|2054</v>
      </c>
      <c r="B3671" t="s">
        <v>39</v>
      </c>
      <c r="C3671" t="s">
        <v>40</v>
      </c>
      <c r="D3671" t="s">
        <v>18</v>
      </c>
      <c r="E3671" t="s">
        <v>19</v>
      </c>
      <c r="F3671" t="s">
        <v>34</v>
      </c>
      <c r="O3671">
        <v>2054</v>
      </c>
    </row>
    <row r="3672" spans="1:16" x14ac:dyDescent="0.3">
      <c r="A3672" t="str">
        <f t="shared" si="57"/>
        <v>CN|AccumulatedNewCapacity|RE1|PWRSTD|2054</v>
      </c>
      <c r="B3672" t="s">
        <v>39</v>
      </c>
      <c r="C3672" t="s">
        <v>40</v>
      </c>
      <c r="D3672" t="s">
        <v>18</v>
      </c>
      <c r="E3672" t="s">
        <v>19</v>
      </c>
      <c r="F3672" t="s">
        <v>35</v>
      </c>
      <c r="O3672">
        <v>2054</v>
      </c>
    </row>
    <row r="3673" spans="1:16" x14ac:dyDescent="0.3">
      <c r="A3673" t="str">
        <f t="shared" si="57"/>
        <v>CN|AccumulatedNewCapacity|RE1|PWRWNDOFS_FIX|2054</v>
      </c>
      <c r="B3673" t="s">
        <v>39</v>
      </c>
      <c r="C3673" t="s">
        <v>40</v>
      </c>
      <c r="D3673" t="s">
        <v>18</v>
      </c>
      <c r="E3673" t="s">
        <v>19</v>
      </c>
      <c r="F3673" t="s">
        <v>42</v>
      </c>
      <c r="O3673">
        <v>2054</v>
      </c>
      <c r="P3673">
        <v>609.11674579839485</v>
      </c>
    </row>
    <row r="3674" spans="1:16" x14ac:dyDescent="0.3">
      <c r="A3674" t="str">
        <f t="shared" si="57"/>
        <v>CN|AccumulatedNewCapacity|RE1|PWRWNDOFS_FLO|2054</v>
      </c>
      <c r="B3674" t="s">
        <v>39</v>
      </c>
      <c r="C3674" t="s">
        <v>40</v>
      </c>
      <c r="D3674" t="s">
        <v>18</v>
      </c>
      <c r="E3674" t="s">
        <v>19</v>
      </c>
      <c r="F3674" t="s">
        <v>43</v>
      </c>
      <c r="O3674">
        <v>2054</v>
      </c>
      <c r="P3674">
        <v>7.2734896835090179</v>
      </c>
    </row>
    <row r="3675" spans="1:16" x14ac:dyDescent="0.3">
      <c r="A3675" t="str">
        <f t="shared" si="57"/>
        <v>CN|AccumulatedNewCapacity|RE1|PWRWNDONS|2054</v>
      </c>
      <c r="B3675" t="s">
        <v>39</v>
      </c>
      <c r="C3675" t="s">
        <v>40</v>
      </c>
      <c r="D3675" t="s">
        <v>18</v>
      </c>
      <c r="E3675" t="s">
        <v>19</v>
      </c>
      <c r="F3675" t="s">
        <v>36</v>
      </c>
      <c r="O3675">
        <v>2054</v>
      </c>
      <c r="P3675">
        <v>993.47944648443513</v>
      </c>
    </row>
    <row r="3676" spans="1:16" x14ac:dyDescent="0.3">
      <c r="A3676" t="str">
        <f t="shared" si="57"/>
        <v>CN|NewCapacity|RE1|PWRBGS|2054</v>
      </c>
      <c r="B3676" t="s">
        <v>39</v>
      </c>
      <c r="C3676" t="s">
        <v>40</v>
      </c>
      <c r="D3676" t="s">
        <v>37</v>
      </c>
      <c r="E3676" t="s">
        <v>19</v>
      </c>
      <c r="F3676" t="s">
        <v>20</v>
      </c>
      <c r="O3676">
        <v>2054</v>
      </c>
    </row>
    <row r="3677" spans="1:16" x14ac:dyDescent="0.3">
      <c r="A3677" t="str">
        <f t="shared" si="57"/>
        <v>CN|NewCapacity|RE1|PWRCOA|2054</v>
      </c>
      <c r="B3677" t="s">
        <v>39</v>
      </c>
      <c r="C3677" t="s">
        <v>40</v>
      </c>
      <c r="D3677" t="s">
        <v>37</v>
      </c>
      <c r="E3677" t="s">
        <v>19</v>
      </c>
      <c r="F3677" t="s">
        <v>21</v>
      </c>
      <c r="O3677">
        <v>2054</v>
      </c>
    </row>
    <row r="3678" spans="1:16" x14ac:dyDescent="0.3">
      <c r="A3678" t="str">
        <f t="shared" si="57"/>
        <v>CN|NewCapacity|RE1|PWRDSL|2054</v>
      </c>
      <c r="B3678" t="s">
        <v>39</v>
      </c>
      <c r="C3678" t="s">
        <v>40</v>
      </c>
      <c r="D3678" t="s">
        <v>37</v>
      </c>
      <c r="E3678" t="s">
        <v>19</v>
      </c>
      <c r="F3678" t="s">
        <v>22</v>
      </c>
      <c r="O3678">
        <v>2054</v>
      </c>
    </row>
    <row r="3679" spans="1:16" x14ac:dyDescent="0.3">
      <c r="A3679" t="str">
        <f t="shared" si="57"/>
        <v>CN|NewCapacity|RE1|PWRFOL|2054</v>
      </c>
      <c r="B3679" t="s">
        <v>39</v>
      </c>
      <c r="C3679" t="s">
        <v>40</v>
      </c>
      <c r="D3679" t="s">
        <v>37</v>
      </c>
      <c r="E3679" t="s">
        <v>19</v>
      </c>
      <c r="F3679" t="s">
        <v>23</v>
      </c>
      <c r="O3679">
        <v>2054</v>
      </c>
    </row>
    <row r="3680" spans="1:16" x14ac:dyDescent="0.3">
      <c r="A3680" t="str">
        <f t="shared" si="57"/>
        <v>CN|NewCapacity|RE1|PWRHYDDAM|2054</v>
      </c>
      <c r="B3680" t="s">
        <v>39</v>
      </c>
      <c r="C3680" t="s">
        <v>40</v>
      </c>
      <c r="D3680" t="s">
        <v>37</v>
      </c>
      <c r="E3680" t="s">
        <v>19</v>
      </c>
      <c r="F3680" t="s">
        <v>24</v>
      </c>
      <c r="O3680">
        <v>2054</v>
      </c>
    </row>
    <row r="3681" spans="1:16" x14ac:dyDescent="0.3">
      <c r="A3681" t="str">
        <f t="shared" si="57"/>
        <v>CN|NewCapacity|RE1|PWRHYDROR|2054</v>
      </c>
      <c r="B3681" t="s">
        <v>39</v>
      </c>
      <c r="C3681" t="s">
        <v>40</v>
      </c>
      <c r="D3681" t="s">
        <v>37</v>
      </c>
      <c r="E3681" t="s">
        <v>19</v>
      </c>
      <c r="F3681" t="s">
        <v>25</v>
      </c>
      <c r="O3681">
        <v>2054</v>
      </c>
    </row>
    <row r="3682" spans="1:16" x14ac:dyDescent="0.3">
      <c r="A3682" t="str">
        <f t="shared" si="57"/>
        <v>CN|NewCapacity|RE1|PWRHYDROR_NDC|2054</v>
      </c>
      <c r="B3682" t="s">
        <v>39</v>
      </c>
      <c r="C3682" t="s">
        <v>40</v>
      </c>
      <c r="D3682" t="s">
        <v>37</v>
      </c>
      <c r="E3682" t="s">
        <v>19</v>
      </c>
      <c r="F3682" t="s">
        <v>26</v>
      </c>
      <c r="O3682">
        <v>2054</v>
      </c>
    </row>
    <row r="3683" spans="1:16" x14ac:dyDescent="0.3">
      <c r="A3683" t="str">
        <f t="shared" si="57"/>
        <v>CN|NewCapacity|RE1|PWRJET|2054</v>
      </c>
      <c r="B3683" t="s">
        <v>39</v>
      </c>
      <c r="C3683" t="s">
        <v>40</v>
      </c>
      <c r="D3683" t="s">
        <v>37</v>
      </c>
      <c r="E3683" t="s">
        <v>19</v>
      </c>
      <c r="F3683" t="s">
        <v>27</v>
      </c>
      <c r="O3683">
        <v>2054</v>
      </c>
    </row>
    <row r="3684" spans="1:16" x14ac:dyDescent="0.3">
      <c r="A3684" t="str">
        <f t="shared" si="57"/>
        <v>CN|NewCapacity|RE1|PWRLPG|2054</v>
      </c>
      <c r="B3684" t="s">
        <v>39</v>
      </c>
      <c r="C3684" t="s">
        <v>40</v>
      </c>
      <c r="D3684" t="s">
        <v>37</v>
      </c>
      <c r="E3684" t="s">
        <v>19</v>
      </c>
      <c r="F3684" t="s">
        <v>28</v>
      </c>
      <c r="O3684">
        <v>2054</v>
      </c>
    </row>
    <row r="3685" spans="1:16" x14ac:dyDescent="0.3">
      <c r="A3685" t="str">
        <f t="shared" si="57"/>
        <v>CN|NewCapacity|RE1|PWRNGS_CC|2054</v>
      </c>
      <c r="B3685" t="s">
        <v>39</v>
      </c>
      <c r="C3685" t="s">
        <v>40</v>
      </c>
      <c r="D3685" t="s">
        <v>37</v>
      </c>
      <c r="E3685" t="s">
        <v>19</v>
      </c>
      <c r="F3685" t="s">
        <v>29</v>
      </c>
      <c r="O3685">
        <v>2054</v>
      </c>
    </row>
    <row r="3686" spans="1:16" x14ac:dyDescent="0.3">
      <c r="A3686" t="str">
        <f t="shared" si="57"/>
        <v>CN|NewCapacity|RE1|PWRNGS_CS|2054</v>
      </c>
      <c r="B3686" t="s">
        <v>39</v>
      </c>
      <c r="C3686" t="s">
        <v>40</v>
      </c>
      <c r="D3686" t="s">
        <v>37</v>
      </c>
      <c r="E3686" t="s">
        <v>19</v>
      </c>
      <c r="F3686" t="s">
        <v>30</v>
      </c>
      <c r="O3686">
        <v>2054</v>
      </c>
    </row>
    <row r="3687" spans="1:16" x14ac:dyDescent="0.3">
      <c r="A3687" t="str">
        <f t="shared" si="57"/>
        <v>CN|NewCapacity|RE1|PWRSOLRTP|2054</v>
      </c>
      <c r="B3687" t="s">
        <v>39</v>
      </c>
      <c r="C3687" t="s">
        <v>40</v>
      </c>
      <c r="D3687" t="s">
        <v>37</v>
      </c>
      <c r="E3687" t="s">
        <v>19</v>
      </c>
      <c r="F3687" t="s">
        <v>31</v>
      </c>
      <c r="O3687">
        <v>2054</v>
      </c>
      <c r="P3687">
        <v>1.27</v>
      </c>
    </row>
    <row r="3688" spans="1:16" x14ac:dyDescent="0.3">
      <c r="A3688" t="str">
        <f t="shared" si="57"/>
        <v>CN|NewCapacity|RE1|PWRSOLRTP_ZNI|2054</v>
      </c>
      <c r="B3688" t="s">
        <v>39</v>
      </c>
      <c r="C3688" t="s">
        <v>40</v>
      </c>
      <c r="D3688" t="s">
        <v>37</v>
      </c>
      <c r="E3688" t="s">
        <v>19</v>
      </c>
      <c r="F3688" t="s">
        <v>32</v>
      </c>
      <c r="O3688">
        <v>2054</v>
      </c>
      <c r="P3688">
        <v>2.2541048762086839E-2</v>
      </c>
    </row>
    <row r="3689" spans="1:16" x14ac:dyDescent="0.3">
      <c r="A3689" t="str">
        <f t="shared" si="57"/>
        <v>CN|NewCapacity|RE1|PWRSOLUGE|2054</v>
      </c>
      <c r="B3689" t="s">
        <v>39</v>
      </c>
      <c r="C3689" t="s">
        <v>40</v>
      </c>
      <c r="D3689" t="s">
        <v>37</v>
      </c>
      <c r="E3689" t="s">
        <v>19</v>
      </c>
      <c r="F3689" t="s">
        <v>33</v>
      </c>
      <c r="O3689">
        <v>2054</v>
      </c>
      <c r="P3689">
        <v>10.395113529718561</v>
      </c>
    </row>
    <row r="3690" spans="1:16" x14ac:dyDescent="0.3">
      <c r="A3690" t="str">
        <f t="shared" si="57"/>
        <v>CN|NewCapacity|RE1|PWRSOLUGE_BAT|2054</v>
      </c>
      <c r="B3690" t="s">
        <v>39</v>
      </c>
      <c r="C3690" t="s">
        <v>40</v>
      </c>
      <c r="D3690" t="s">
        <v>37</v>
      </c>
      <c r="E3690" t="s">
        <v>19</v>
      </c>
      <c r="F3690" t="s">
        <v>41</v>
      </c>
      <c r="O3690">
        <v>2054</v>
      </c>
    </row>
    <row r="3691" spans="1:16" x14ac:dyDescent="0.3">
      <c r="A3691" t="str">
        <f t="shared" si="57"/>
        <v>CN|NewCapacity|RE1|PWRSOLUPE|2054</v>
      </c>
      <c r="B3691" t="s">
        <v>39</v>
      </c>
      <c r="C3691" t="s">
        <v>40</v>
      </c>
      <c r="D3691" t="s">
        <v>37</v>
      </c>
      <c r="E3691" t="s">
        <v>19</v>
      </c>
      <c r="F3691" t="s">
        <v>34</v>
      </c>
      <c r="O3691">
        <v>2054</v>
      </c>
    </row>
    <row r="3692" spans="1:16" x14ac:dyDescent="0.3">
      <c r="A3692" t="str">
        <f t="shared" si="57"/>
        <v>CN|NewCapacity|RE1|PWRSTD|2054</v>
      </c>
      <c r="B3692" t="s">
        <v>39</v>
      </c>
      <c r="C3692" t="s">
        <v>40</v>
      </c>
      <c r="D3692" t="s">
        <v>37</v>
      </c>
      <c r="E3692" t="s">
        <v>19</v>
      </c>
      <c r="F3692" t="s">
        <v>35</v>
      </c>
      <c r="O3692">
        <v>2054</v>
      </c>
    </row>
    <row r="3693" spans="1:16" x14ac:dyDescent="0.3">
      <c r="A3693" t="str">
        <f t="shared" si="57"/>
        <v>CN|NewCapacity|RE1|PWRWNDOFS_FIX|2054</v>
      </c>
      <c r="B3693" t="s">
        <v>39</v>
      </c>
      <c r="C3693" t="s">
        <v>40</v>
      </c>
      <c r="D3693" t="s">
        <v>37</v>
      </c>
      <c r="E3693" t="s">
        <v>19</v>
      </c>
      <c r="F3693" t="s">
        <v>42</v>
      </c>
      <c r="O3693">
        <v>2054</v>
      </c>
      <c r="P3693">
        <v>21.17121239331691</v>
      </c>
    </row>
    <row r="3694" spans="1:16" x14ac:dyDescent="0.3">
      <c r="A3694" t="str">
        <f t="shared" si="57"/>
        <v>CN|NewCapacity|RE1|PWRWNDOFS_FLO|2054</v>
      </c>
      <c r="B3694" t="s">
        <v>39</v>
      </c>
      <c r="C3694" t="s">
        <v>40</v>
      </c>
      <c r="D3694" t="s">
        <v>37</v>
      </c>
      <c r="E3694" t="s">
        <v>19</v>
      </c>
      <c r="F3694" t="s">
        <v>43</v>
      </c>
      <c r="O3694">
        <v>2054</v>
      </c>
    </row>
    <row r="3695" spans="1:16" x14ac:dyDescent="0.3">
      <c r="A3695" t="str">
        <f t="shared" si="57"/>
        <v>CN|NewCapacity|RE1|PWRWNDONS|2054</v>
      </c>
      <c r="B3695" t="s">
        <v>39</v>
      </c>
      <c r="C3695" t="s">
        <v>40</v>
      </c>
      <c r="D3695" t="s">
        <v>37</v>
      </c>
      <c r="E3695" t="s">
        <v>19</v>
      </c>
      <c r="F3695" t="s">
        <v>36</v>
      </c>
      <c r="O3695">
        <v>2054</v>
      </c>
      <c r="P3695">
        <v>47.31</v>
      </c>
    </row>
    <row r="3696" spans="1:16" x14ac:dyDescent="0.3">
      <c r="A3696" t="str">
        <f t="shared" si="57"/>
        <v>CN|TotalCapacityAnnual|RE1|PWRBGS|2054</v>
      </c>
      <c r="B3696" t="s">
        <v>39</v>
      </c>
      <c r="C3696" t="s">
        <v>40</v>
      </c>
      <c r="D3696" t="s">
        <v>38</v>
      </c>
      <c r="E3696" t="s">
        <v>19</v>
      </c>
      <c r="F3696" t="s">
        <v>20</v>
      </c>
      <c r="O3696">
        <v>2054</v>
      </c>
      <c r="P3696">
        <v>2.5488587520000001E-2</v>
      </c>
    </row>
    <row r="3697" spans="1:16" x14ac:dyDescent="0.3">
      <c r="A3697" t="str">
        <f t="shared" si="57"/>
        <v>CN|TotalCapacityAnnual|RE1|PWRCOA|2054</v>
      </c>
      <c r="B3697" t="s">
        <v>39</v>
      </c>
      <c r="C3697" t="s">
        <v>40</v>
      </c>
      <c r="D3697" t="s">
        <v>38</v>
      </c>
      <c r="E3697" t="s">
        <v>19</v>
      </c>
      <c r="F3697" t="s">
        <v>21</v>
      </c>
      <c r="O3697">
        <v>2054</v>
      </c>
    </row>
    <row r="3698" spans="1:16" x14ac:dyDescent="0.3">
      <c r="A3698" t="str">
        <f t="shared" si="57"/>
        <v>CN|TotalCapacityAnnual|RE1|PWRDSL|2054</v>
      </c>
      <c r="B3698" t="s">
        <v>39</v>
      </c>
      <c r="C3698" t="s">
        <v>40</v>
      </c>
      <c r="D3698" t="s">
        <v>38</v>
      </c>
      <c r="E3698" t="s">
        <v>19</v>
      </c>
      <c r="F3698" t="s">
        <v>22</v>
      </c>
      <c r="O3698">
        <v>2054</v>
      </c>
    </row>
    <row r="3699" spans="1:16" x14ac:dyDescent="0.3">
      <c r="A3699" t="str">
        <f t="shared" si="57"/>
        <v>CN|TotalCapacityAnnual|RE1|PWRFOL|2054</v>
      </c>
      <c r="B3699" t="s">
        <v>39</v>
      </c>
      <c r="C3699" t="s">
        <v>40</v>
      </c>
      <c r="D3699" t="s">
        <v>38</v>
      </c>
      <c r="E3699" t="s">
        <v>19</v>
      </c>
      <c r="F3699" t="s">
        <v>23</v>
      </c>
      <c r="O3699">
        <v>2054</v>
      </c>
      <c r="P3699">
        <v>8.3885759999999987</v>
      </c>
    </row>
    <row r="3700" spans="1:16" x14ac:dyDescent="0.3">
      <c r="A3700" t="str">
        <f t="shared" si="57"/>
        <v>CN|TotalCapacityAnnual|RE1|PWRHYDDAM|2054</v>
      </c>
      <c r="B3700" t="s">
        <v>39</v>
      </c>
      <c r="C3700" t="s">
        <v>40</v>
      </c>
      <c r="D3700" t="s">
        <v>38</v>
      </c>
      <c r="E3700" t="s">
        <v>19</v>
      </c>
      <c r="F3700" t="s">
        <v>24</v>
      </c>
      <c r="O3700">
        <v>2054</v>
      </c>
      <c r="P3700">
        <v>440.49164800000011</v>
      </c>
    </row>
    <row r="3701" spans="1:16" x14ac:dyDescent="0.3">
      <c r="A3701" t="str">
        <f t="shared" si="57"/>
        <v>CN|TotalCapacityAnnual|RE1|PWRHYDROR|2054</v>
      </c>
      <c r="B3701" t="s">
        <v>39</v>
      </c>
      <c r="C3701" t="s">
        <v>40</v>
      </c>
      <c r="D3701" t="s">
        <v>38</v>
      </c>
      <c r="E3701" t="s">
        <v>19</v>
      </c>
      <c r="F3701" t="s">
        <v>25</v>
      </c>
      <c r="O3701">
        <v>2054</v>
      </c>
      <c r="P3701">
        <v>21.097584000000001</v>
      </c>
    </row>
    <row r="3702" spans="1:16" x14ac:dyDescent="0.3">
      <c r="A3702" t="str">
        <f t="shared" si="57"/>
        <v>CN|TotalCapacityAnnual|RE1|PWRHYDROR_NDC|2054</v>
      </c>
      <c r="B3702" t="s">
        <v>39</v>
      </c>
      <c r="C3702" t="s">
        <v>40</v>
      </c>
      <c r="D3702" t="s">
        <v>38</v>
      </c>
      <c r="E3702" t="s">
        <v>19</v>
      </c>
      <c r="F3702" t="s">
        <v>26</v>
      </c>
      <c r="O3702">
        <v>2054</v>
      </c>
      <c r="P3702">
        <v>151.3914665055095</v>
      </c>
    </row>
    <row r="3703" spans="1:16" x14ac:dyDescent="0.3">
      <c r="A3703" t="str">
        <f t="shared" si="57"/>
        <v>CN|TotalCapacityAnnual|RE1|PWRJET|2054</v>
      </c>
      <c r="B3703" t="s">
        <v>39</v>
      </c>
      <c r="C3703" t="s">
        <v>40</v>
      </c>
      <c r="D3703" t="s">
        <v>38</v>
      </c>
      <c r="E3703" t="s">
        <v>19</v>
      </c>
      <c r="F3703" t="s">
        <v>27</v>
      </c>
      <c r="O3703">
        <v>2054</v>
      </c>
      <c r="P3703">
        <v>1.5768</v>
      </c>
    </row>
    <row r="3704" spans="1:16" x14ac:dyDescent="0.3">
      <c r="A3704" t="str">
        <f t="shared" si="57"/>
        <v>CN|TotalCapacityAnnual|RE1|PWRLPG|2054</v>
      </c>
      <c r="B3704" t="s">
        <v>39</v>
      </c>
      <c r="C3704" t="s">
        <v>40</v>
      </c>
      <c r="D3704" t="s">
        <v>38</v>
      </c>
      <c r="E3704" t="s">
        <v>19</v>
      </c>
      <c r="F3704" t="s">
        <v>28</v>
      </c>
      <c r="O3704">
        <v>2054</v>
      </c>
      <c r="P3704">
        <v>1.639872</v>
      </c>
    </row>
    <row r="3705" spans="1:16" x14ac:dyDescent="0.3">
      <c r="A3705" t="str">
        <f t="shared" si="57"/>
        <v>CN|TotalCapacityAnnual|RE1|PWRNGS_CC|2054</v>
      </c>
      <c r="B3705" t="s">
        <v>39</v>
      </c>
      <c r="C3705" t="s">
        <v>40</v>
      </c>
      <c r="D3705" t="s">
        <v>38</v>
      </c>
      <c r="E3705" t="s">
        <v>19</v>
      </c>
      <c r="F3705" t="s">
        <v>29</v>
      </c>
      <c r="O3705">
        <v>2054</v>
      </c>
      <c r="P3705">
        <v>70.104500000000002</v>
      </c>
    </row>
    <row r="3706" spans="1:16" x14ac:dyDescent="0.3">
      <c r="A3706" t="str">
        <f t="shared" si="57"/>
        <v>CN|TotalCapacityAnnual|RE1|PWRNGS_CS|2054</v>
      </c>
      <c r="B3706" t="s">
        <v>39</v>
      </c>
      <c r="C3706" t="s">
        <v>40</v>
      </c>
      <c r="D3706" t="s">
        <v>38</v>
      </c>
      <c r="E3706" t="s">
        <v>19</v>
      </c>
      <c r="F3706" t="s">
        <v>30</v>
      </c>
      <c r="O3706">
        <v>2054</v>
      </c>
      <c r="P3706">
        <v>48.03</v>
      </c>
    </row>
    <row r="3707" spans="1:16" x14ac:dyDescent="0.3">
      <c r="A3707" t="str">
        <f t="shared" si="57"/>
        <v>CN|TotalCapacityAnnual|RE1|PWRSOLRTP|2054</v>
      </c>
      <c r="B3707" t="s">
        <v>39</v>
      </c>
      <c r="C3707" t="s">
        <v>40</v>
      </c>
      <c r="D3707" t="s">
        <v>38</v>
      </c>
      <c r="E3707" t="s">
        <v>19</v>
      </c>
      <c r="F3707" t="s">
        <v>31</v>
      </c>
      <c r="O3707">
        <v>2054</v>
      </c>
      <c r="P3707">
        <v>164.48345518622691</v>
      </c>
    </row>
    <row r="3708" spans="1:16" x14ac:dyDescent="0.3">
      <c r="A3708" t="str">
        <f t="shared" si="57"/>
        <v>CN|TotalCapacityAnnual|RE1|PWRSOLRTP_ZNI|2054</v>
      </c>
      <c r="B3708" t="s">
        <v>39</v>
      </c>
      <c r="C3708" t="s">
        <v>40</v>
      </c>
      <c r="D3708" t="s">
        <v>38</v>
      </c>
      <c r="E3708" t="s">
        <v>19</v>
      </c>
      <c r="F3708" t="s">
        <v>32</v>
      </c>
      <c r="O3708">
        <v>2054</v>
      </c>
      <c r="P3708">
        <v>1.874976628535487</v>
      </c>
    </row>
    <row r="3709" spans="1:16" x14ac:dyDescent="0.3">
      <c r="A3709" t="str">
        <f t="shared" si="57"/>
        <v>CN|TotalCapacityAnnual|RE1|PWRSOLUGE|2054</v>
      </c>
      <c r="B3709" t="s">
        <v>39</v>
      </c>
      <c r="C3709" t="s">
        <v>40</v>
      </c>
      <c r="D3709" t="s">
        <v>38</v>
      </c>
      <c r="E3709" t="s">
        <v>19</v>
      </c>
      <c r="F3709" t="s">
        <v>33</v>
      </c>
      <c r="O3709">
        <v>2054</v>
      </c>
      <c r="P3709">
        <v>538.43732731418345</v>
      </c>
    </row>
    <row r="3710" spans="1:16" x14ac:dyDescent="0.3">
      <c r="A3710" t="str">
        <f t="shared" si="57"/>
        <v>CN|TotalCapacityAnnual|RE1|PWRSOLUGE_BAT|2054</v>
      </c>
      <c r="B3710" t="s">
        <v>39</v>
      </c>
      <c r="C3710" t="s">
        <v>40</v>
      </c>
      <c r="D3710" t="s">
        <v>38</v>
      </c>
      <c r="E3710" t="s">
        <v>19</v>
      </c>
      <c r="F3710" t="s">
        <v>41</v>
      </c>
      <c r="O3710">
        <v>2054</v>
      </c>
      <c r="P3710">
        <v>30.670102189502511</v>
      </c>
    </row>
    <row r="3711" spans="1:16" x14ac:dyDescent="0.3">
      <c r="A3711" t="str">
        <f t="shared" si="57"/>
        <v>CN|TotalCapacityAnnual|RE1|PWRSOLUPE|2054</v>
      </c>
      <c r="B3711" t="s">
        <v>39</v>
      </c>
      <c r="C3711" t="s">
        <v>40</v>
      </c>
      <c r="D3711" t="s">
        <v>38</v>
      </c>
      <c r="E3711" t="s">
        <v>19</v>
      </c>
      <c r="F3711" t="s">
        <v>34</v>
      </c>
      <c r="O3711">
        <v>2054</v>
      </c>
    </row>
    <row r="3712" spans="1:16" x14ac:dyDescent="0.3">
      <c r="A3712" t="str">
        <f t="shared" si="57"/>
        <v>CN|TotalCapacityAnnual|RE1|PWRSTD|2054</v>
      </c>
      <c r="B3712" t="s">
        <v>39</v>
      </c>
      <c r="C3712" t="s">
        <v>40</v>
      </c>
      <c r="D3712" t="s">
        <v>38</v>
      </c>
      <c r="E3712" t="s">
        <v>19</v>
      </c>
      <c r="F3712" t="s">
        <v>35</v>
      </c>
      <c r="O3712">
        <v>2054</v>
      </c>
      <c r="P3712">
        <v>8.163062064</v>
      </c>
    </row>
    <row r="3713" spans="1:16" x14ac:dyDescent="0.3">
      <c r="A3713" t="str">
        <f t="shared" si="57"/>
        <v>CN|TotalCapacityAnnual|RE1|PWRWNDOFS_FIX|2054</v>
      </c>
      <c r="B3713" t="s">
        <v>39</v>
      </c>
      <c r="C3713" t="s">
        <v>40</v>
      </c>
      <c r="D3713" t="s">
        <v>38</v>
      </c>
      <c r="E3713" t="s">
        <v>19</v>
      </c>
      <c r="F3713" t="s">
        <v>42</v>
      </c>
      <c r="O3713">
        <v>2054</v>
      </c>
      <c r="P3713">
        <v>609.11674579839485</v>
      </c>
    </row>
    <row r="3714" spans="1:16" x14ac:dyDescent="0.3">
      <c r="A3714" t="str">
        <f t="shared" ref="A3714:A3777" si="58">B3714&amp;"|"&amp;D3714&amp;"|"&amp;E3714&amp;"|"&amp;F3714&amp;"|"&amp;O3714</f>
        <v>CN|TotalCapacityAnnual|RE1|PWRWNDOFS_FLO|2054</v>
      </c>
      <c r="B3714" t="s">
        <v>39</v>
      </c>
      <c r="C3714" t="s">
        <v>40</v>
      </c>
      <c r="D3714" t="s">
        <v>38</v>
      </c>
      <c r="E3714" t="s">
        <v>19</v>
      </c>
      <c r="F3714" t="s">
        <v>43</v>
      </c>
      <c r="O3714">
        <v>2054</v>
      </c>
      <c r="P3714">
        <v>7.2734896835090179</v>
      </c>
    </row>
    <row r="3715" spans="1:16" x14ac:dyDescent="0.3">
      <c r="A3715" t="str">
        <f t="shared" si="58"/>
        <v>CN|TotalCapacityAnnual|RE1|PWRWNDONS|2054</v>
      </c>
      <c r="B3715" t="s">
        <v>39</v>
      </c>
      <c r="C3715" t="s">
        <v>40</v>
      </c>
      <c r="D3715" t="s">
        <v>38</v>
      </c>
      <c r="E3715" t="s">
        <v>19</v>
      </c>
      <c r="F3715" t="s">
        <v>36</v>
      </c>
      <c r="O3715">
        <v>2054</v>
      </c>
      <c r="P3715">
        <v>994.84810888443508</v>
      </c>
    </row>
    <row r="3716" spans="1:16" x14ac:dyDescent="0.3">
      <c r="A3716" t="str">
        <f t="shared" si="58"/>
        <v>CN|AccumulatedNewCapacity|RE1|PWRBGS|2055</v>
      </c>
      <c r="B3716" t="s">
        <v>39</v>
      </c>
      <c r="C3716" t="s">
        <v>40</v>
      </c>
      <c r="D3716" t="s">
        <v>18</v>
      </c>
      <c r="E3716" t="s">
        <v>19</v>
      </c>
      <c r="F3716" t="s">
        <v>20</v>
      </c>
      <c r="O3716">
        <v>2055</v>
      </c>
    </row>
    <row r="3717" spans="1:16" x14ac:dyDescent="0.3">
      <c r="A3717" t="str">
        <f t="shared" si="58"/>
        <v>CN|AccumulatedNewCapacity|RE1|PWRCOA|2055</v>
      </c>
      <c r="B3717" t="s">
        <v>39</v>
      </c>
      <c r="C3717" t="s">
        <v>40</v>
      </c>
      <c r="D3717" t="s">
        <v>18</v>
      </c>
      <c r="E3717" t="s">
        <v>19</v>
      </c>
      <c r="F3717" t="s">
        <v>21</v>
      </c>
      <c r="O3717">
        <v>2055</v>
      </c>
    </row>
    <row r="3718" spans="1:16" x14ac:dyDescent="0.3">
      <c r="A3718" t="str">
        <f t="shared" si="58"/>
        <v>CN|AccumulatedNewCapacity|RE1|PWRDSL|2055</v>
      </c>
      <c r="B3718" t="s">
        <v>39</v>
      </c>
      <c r="C3718" t="s">
        <v>40</v>
      </c>
      <c r="D3718" t="s">
        <v>18</v>
      </c>
      <c r="E3718" t="s">
        <v>19</v>
      </c>
      <c r="F3718" t="s">
        <v>22</v>
      </c>
      <c r="O3718">
        <v>2055</v>
      </c>
    </row>
    <row r="3719" spans="1:16" x14ac:dyDescent="0.3">
      <c r="A3719" t="str">
        <f t="shared" si="58"/>
        <v>CN|AccumulatedNewCapacity|RE1|PWRFOL|2055</v>
      </c>
      <c r="B3719" t="s">
        <v>39</v>
      </c>
      <c r="C3719" t="s">
        <v>40</v>
      </c>
      <c r="D3719" t="s">
        <v>18</v>
      </c>
      <c r="E3719" t="s">
        <v>19</v>
      </c>
      <c r="F3719" t="s">
        <v>23</v>
      </c>
      <c r="O3719">
        <v>2055</v>
      </c>
    </row>
    <row r="3720" spans="1:16" x14ac:dyDescent="0.3">
      <c r="A3720" t="str">
        <f t="shared" si="58"/>
        <v>CN|AccumulatedNewCapacity|RE1|PWRHYDDAM|2055</v>
      </c>
      <c r="B3720" t="s">
        <v>39</v>
      </c>
      <c r="C3720" t="s">
        <v>40</v>
      </c>
      <c r="D3720" t="s">
        <v>18</v>
      </c>
      <c r="E3720" t="s">
        <v>19</v>
      </c>
      <c r="F3720" t="s">
        <v>24</v>
      </c>
      <c r="O3720">
        <v>2055</v>
      </c>
      <c r="P3720">
        <v>37.840000000000003</v>
      </c>
    </row>
    <row r="3721" spans="1:16" x14ac:dyDescent="0.3">
      <c r="A3721" t="str">
        <f t="shared" si="58"/>
        <v>CN|AccumulatedNewCapacity|RE1|PWRHYDROR|2055</v>
      </c>
      <c r="B3721" t="s">
        <v>39</v>
      </c>
      <c r="C3721" t="s">
        <v>40</v>
      </c>
      <c r="D3721" t="s">
        <v>18</v>
      </c>
      <c r="E3721" t="s">
        <v>19</v>
      </c>
      <c r="F3721" t="s">
        <v>25</v>
      </c>
      <c r="O3721">
        <v>2055</v>
      </c>
    </row>
    <row r="3722" spans="1:16" x14ac:dyDescent="0.3">
      <c r="A3722" t="str">
        <f t="shared" si="58"/>
        <v>CN|AccumulatedNewCapacity|RE1|PWRHYDROR_NDC|2055</v>
      </c>
      <c r="B3722" t="s">
        <v>39</v>
      </c>
      <c r="C3722" t="s">
        <v>40</v>
      </c>
      <c r="D3722" t="s">
        <v>18</v>
      </c>
      <c r="E3722" t="s">
        <v>19</v>
      </c>
      <c r="F3722" t="s">
        <v>26</v>
      </c>
      <c r="O3722">
        <v>2055</v>
      </c>
      <c r="P3722">
        <v>121.6663582335095</v>
      </c>
    </row>
    <row r="3723" spans="1:16" x14ac:dyDescent="0.3">
      <c r="A3723" t="str">
        <f t="shared" si="58"/>
        <v>CN|AccumulatedNewCapacity|RE1|PWRJET|2055</v>
      </c>
      <c r="B3723" t="s">
        <v>39</v>
      </c>
      <c r="C3723" t="s">
        <v>40</v>
      </c>
      <c r="D3723" t="s">
        <v>18</v>
      </c>
      <c r="E3723" t="s">
        <v>19</v>
      </c>
      <c r="F3723" t="s">
        <v>27</v>
      </c>
      <c r="O3723">
        <v>2055</v>
      </c>
    </row>
    <row r="3724" spans="1:16" x14ac:dyDescent="0.3">
      <c r="A3724" t="str">
        <f t="shared" si="58"/>
        <v>CN|AccumulatedNewCapacity|RE1|PWRLPG|2055</v>
      </c>
      <c r="B3724" t="s">
        <v>39</v>
      </c>
      <c r="C3724" t="s">
        <v>40</v>
      </c>
      <c r="D3724" t="s">
        <v>18</v>
      </c>
      <c r="E3724" t="s">
        <v>19</v>
      </c>
      <c r="F3724" t="s">
        <v>28</v>
      </c>
      <c r="O3724">
        <v>2055</v>
      </c>
    </row>
    <row r="3725" spans="1:16" x14ac:dyDescent="0.3">
      <c r="A3725" t="str">
        <f t="shared" si="58"/>
        <v>CN|AccumulatedNewCapacity|RE1|PWRNGS_CC|2055</v>
      </c>
      <c r="B3725" t="s">
        <v>39</v>
      </c>
      <c r="C3725" t="s">
        <v>40</v>
      </c>
      <c r="D3725" t="s">
        <v>18</v>
      </c>
      <c r="E3725" t="s">
        <v>19</v>
      </c>
      <c r="F3725" t="s">
        <v>29</v>
      </c>
      <c r="O3725">
        <v>2055</v>
      </c>
    </row>
    <row r="3726" spans="1:16" x14ac:dyDescent="0.3">
      <c r="A3726" t="str">
        <f t="shared" si="58"/>
        <v>CN|AccumulatedNewCapacity|RE1|PWRNGS_CS|2055</v>
      </c>
      <c r="B3726" t="s">
        <v>39</v>
      </c>
      <c r="C3726" t="s">
        <v>40</v>
      </c>
      <c r="D3726" t="s">
        <v>18</v>
      </c>
      <c r="E3726" t="s">
        <v>19</v>
      </c>
      <c r="F3726" t="s">
        <v>30</v>
      </c>
      <c r="O3726">
        <v>2055</v>
      </c>
    </row>
    <row r="3727" spans="1:16" x14ac:dyDescent="0.3">
      <c r="A3727" t="str">
        <f t="shared" si="58"/>
        <v>CN|AccumulatedNewCapacity|RE1|PWRSOLRTP|2055</v>
      </c>
      <c r="B3727" t="s">
        <v>39</v>
      </c>
      <c r="C3727" t="s">
        <v>40</v>
      </c>
      <c r="D3727" t="s">
        <v>18</v>
      </c>
      <c r="E3727" t="s">
        <v>19</v>
      </c>
      <c r="F3727" t="s">
        <v>31</v>
      </c>
      <c r="O3727">
        <v>2055</v>
      </c>
      <c r="P3727">
        <v>147.65345518622689</v>
      </c>
    </row>
    <row r="3728" spans="1:16" x14ac:dyDescent="0.3">
      <c r="A3728" t="str">
        <f t="shared" si="58"/>
        <v>CN|AccumulatedNewCapacity|RE1|PWRSOLRTP_ZNI|2055</v>
      </c>
      <c r="B3728" t="s">
        <v>39</v>
      </c>
      <c r="C3728" t="s">
        <v>40</v>
      </c>
      <c r="D3728" t="s">
        <v>18</v>
      </c>
      <c r="E3728" t="s">
        <v>19</v>
      </c>
      <c r="F3728" t="s">
        <v>32</v>
      </c>
      <c r="O3728">
        <v>2055</v>
      </c>
      <c r="P3728">
        <v>1.414235668535486</v>
      </c>
    </row>
    <row r="3729" spans="1:16" x14ac:dyDescent="0.3">
      <c r="A3729" t="str">
        <f t="shared" si="58"/>
        <v>CN|AccumulatedNewCapacity|RE1|PWRSOLUGE|2055</v>
      </c>
      <c r="B3729" t="s">
        <v>39</v>
      </c>
      <c r="C3729" t="s">
        <v>40</v>
      </c>
      <c r="D3729" t="s">
        <v>18</v>
      </c>
      <c r="E3729" t="s">
        <v>19</v>
      </c>
      <c r="F3729" t="s">
        <v>33</v>
      </c>
      <c r="O3729">
        <v>2055</v>
      </c>
      <c r="P3729">
        <v>482.15562731418339</v>
      </c>
    </row>
    <row r="3730" spans="1:16" x14ac:dyDescent="0.3">
      <c r="A3730" t="str">
        <f t="shared" si="58"/>
        <v>CN|AccumulatedNewCapacity|RE1|PWRSOLUGE_BAT|2055</v>
      </c>
      <c r="B3730" t="s">
        <v>39</v>
      </c>
      <c r="C3730" t="s">
        <v>40</v>
      </c>
      <c r="D3730" t="s">
        <v>18</v>
      </c>
      <c r="E3730" t="s">
        <v>19</v>
      </c>
      <c r="F3730" t="s">
        <v>41</v>
      </c>
      <c r="O3730">
        <v>2055</v>
      </c>
      <c r="P3730">
        <v>30.670102189502511</v>
      </c>
    </row>
    <row r="3731" spans="1:16" x14ac:dyDescent="0.3">
      <c r="A3731" t="str">
        <f t="shared" si="58"/>
        <v>CN|AccumulatedNewCapacity|RE1|PWRSOLUPE|2055</v>
      </c>
      <c r="B3731" t="s">
        <v>39</v>
      </c>
      <c r="C3731" t="s">
        <v>40</v>
      </c>
      <c r="D3731" t="s">
        <v>18</v>
      </c>
      <c r="E3731" t="s">
        <v>19</v>
      </c>
      <c r="F3731" t="s">
        <v>34</v>
      </c>
      <c r="O3731">
        <v>2055</v>
      </c>
    </row>
    <row r="3732" spans="1:16" x14ac:dyDescent="0.3">
      <c r="A3732" t="str">
        <f t="shared" si="58"/>
        <v>CN|AccumulatedNewCapacity|RE1|PWRSTD|2055</v>
      </c>
      <c r="B3732" t="s">
        <v>39</v>
      </c>
      <c r="C3732" t="s">
        <v>40</v>
      </c>
      <c r="D3732" t="s">
        <v>18</v>
      </c>
      <c r="E3732" t="s">
        <v>19</v>
      </c>
      <c r="F3732" t="s">
        <v>35</v>
      </c>
      <c r="O3732">
        <v>2055</v>
      </c>
    </row>
    <row r="3733" spans="1:16" x14ac:dyDescent="0.3">
      <c r="A3733" t="str">
        <f t="shared" si="58"/>
        <v>CN|AccumulatedNewCapacity|RE1|PWRWNDOFS_FIX|2055</v>
      </c>
      <c r="B3733" t="s">
        <v>39</v>
      </c>
      <c r="C3733" t="s">
        <v>40</v>
      </c>
      <c r="D3733" t="s">
        <v>18</v>
      </c>
      <c r="E3733" t="s">
        <v>19</v>
      </c>
      <c r="F3733" t="s">
        <v>42</v>
      </c>
      <c r="O3733">
        <v>2055</v>
      </c>
      <c r="P3733">
        <v>609.11674579839485</v>
      </c>
    </row>
    <row r="3734" spans="1:16" x14ac:dyDescent="0.3">
      <c r="A3734" t="str">
        <f t="shared" si="58"/>
        <v>CN|AccumulatedNewCapacity|RE1|PWRWNDOFS_FLO|2055</v>
      </c>
      <c r="B3734" t="s">
        <v>39</v>
      </c>
      <c r="C3734" t="s">
        <v>40</v>
      </c>
      <c r="D3734" t="s">
        <v>18</v>
      </c>
      <c r="E3734" t="s">
        <v>19</v>
      </c>
      <c r="F3734" t="s">
        <v>43</v>
      </c>
      <c r="O3734">
        <v>2055</v>
      </c>
      <c r="P3734">
        <v>7.2734896835090179</v>
      </c>
    </row>
    <row r="3735" spans="1:16" x14ac:dyDescent="0.3">
      <c r="A3735" t="str">
        <f t="shared" si="58"/>
        <v>CN|AccumulatedNewCapacity|RE1|PWRWNDONS|2055</v>
      </c>
      <c r="B3735" t="s">
        <v>39</v>
      </c>
      <c r="C3735" t="s">
        <v>40</v>
      </c>
      <c r="D3735" t="s">
        <v>18</v>
      </c>
      <c r="E3735" t="s">
        <v>19</v>
      </c>
      <c r="F3735" t="s">
        <v>36</v>
      </c>
      <c r="O3735">
        <v>2055</v>
      </c>
      <c r="P3735">
        <v>1004.764977546814</v>
      </c>
    </row>
    <row r="3736" spans="1:16" x14ac:dyDescent="0.3">
      <c r="A3736" t="str">
        <f t="shared" si="58"/>
        <v>CN|NewCapacity|RE1|PWRBGS|2055</v>
      </c>
      <c r="B3736" t="s">
        <v>39</v>
      </c>
      <c r="C3736" t="s">
        <v>40</v>
      </c>
      <c r="D3736" t="s">
        <v>37</v>
      </c>
      <c r="E3736" t="s">
        <v>19</v>
      </c>
      <c r="F3736" t="s">
        <v>20</v>
      </c>
      <c r="O3736">
        <v>2055</v>
      </c>
    </row>
    <row r="3737" spans="1:16" x14ac:dyDescent="0.3">
      <c r="A3737" t="str">
        <f t="shared" si="58"/>
        <v>CN|NewCapacity|RE1|PWRCOA|2055</v>
      </c>
      <c r="B3737" t="s">
        <v>39</v>
      </c>
      <c r="C3737" t="s">
        <v>40</v>
      </c>
      <c r="D3737" t="s">
        <v>37</v>
      </c>
      <c r="E3737" t="s">
        <v>19</v>
      </c>
      <c r="F3737" t="s">
        <v>21</v>
      </c>
      <c r="O3737">
        <v>2055</v>
      </c>
    </row>
    <row r="3738" spans="1:16" x14ac:dyDescent="0.3">
      <c r="A3738" t="str">
        <f t="shared" si="58"/>
        <v>CN|NewCapacity|RE1|PWRDSL|2055</v>
      </c>
      <c r="B3738" t="s">
        <v>39</v>
      </c>
      <c r="C3738" t="s">
        <v>40</v>
      </c>
      <c r="D3738" t="s">
        <v>37</v>
      </c>
      <c r="E3738" t="s">
        <v>19</v>
      </c>
      <c r="F3738" t="s">
        <v>22</v>
      </c>
      <c r="O3738">
        <v>2055</v>
      </c>
    </row>
    <row r="3739" spans="1:16" x14ac:dyDescent="0.3">
      <c r="A3739" t="str">
        <f t="shared" si="58"/>
        <v>CN|NewCapacity|RE1|PWRFOL|2055</v>
      </c>
      <c r="B3739" t="s">
        <v>39</v>
      </c>
      <c r="C3739" t="s">
        <v>40</v>
      </c>
      <c r="D3739" t="s">
        <v>37</v>
      </c>
      <c r="E3739" t="s">
        <v>19</v>
      </c>
      <c r="F3739" t="s">
        <v>23</v>
      </c>
      <c r="O3739">
        <v>2055</v>
      </c>
    </row>
    <row r="3740" spans="1:16" x14ac:dyDescent="0.3">
      <c r="A3740" t="str">
        <f t="shared" si="58"/>
        <v>CN|NewCapacity|RE1|PWRHYDDAM|2055</v>
      </c>
      <c r="B3740" t="s">
        <v>39</v>
      </c>
      <c r="C3740" t="s">
        <v>40</v>
      </c>
      <c r="D3740" t="s">
        <v>37</v>
      </c>
      <c r="E3740" t="s">
        <v>19</v>
      </c>
      <c r="F3740" t="s">
        <v>24</v>
      </c>
      <c r="O3740">
        <v>2055</v>
      </c>
    </row>
    <row r="3741" spans="1:16" x14ac:dyDescent="0.3">
      <c r="A3741" t="str">
        <f t="shared" si="58"/>
        <v>CN|NewCapacity|RE1|PWRHYDROR|2055</v>
      </c>
      <c r="B3741" t="s">
        <v>39</v>
      </c>
      <c r="C3741" t="s">
        <v>40</v>
      </c>
      <c r="D3741" t="s">
        <v>37</v>
      </c>
      <c r="E3741" t="s">
        <v>19</v>
      </c>
      <c r="F3741" t="s">
        <v>25</v>
      </c>
      <c r="O3741">
        <v>2055</v>
      </c>
    </row>
    <row r="3742" spans="1:16" x14ac:dyDescent="0.3">
      <c r="A3742" t="str">
        <f t="shared" si="58"/>
        <v>CN|NewCapacity|RE1|PWRHYDROR_NDC|2055</v>
      </c>
      <c r="B3742" t="s">
        <v>39</v>
      </c>
      <c r="C3742" t="s">
        <v>40</v>
      </c>
      <c r="D3742" t="s">
        <v>37</v>
      </c>
      <c r="E3742" t="s">
        <v>19</v>
      </c>
      <c r="F3742" t="s">
        <v>26</v>
      </c>
      <c r="O3742">
        <v>2055</v>
      </c>
    </row>
    <row r="3743" spans="1:16" x14ac:dyDescent="0.3">
      <c r="A3743" t="str">
        <f t="shared" si="58"/>
        <v>CN|NewCapacity|RE1|PWRJET|2055</v>
      </c>
      <c r="B3743" t="s">
        <v>39</v>
      </c>
      <c r="C3743" t="s">
        <v>40</v>
      </c>
      <c r="D3743" t="s">
        <v>37</v>
      </c>
      <c r="E3743" t="s">
        <v>19</v>
      </c>
      <c r="F3743" t="s">
        <v>27</v>
      </c>
      <c r="O3743">
        <v>2055</v>
      </c>
    </row>
    <row r="3744" spans="1:16" x14ac:dyDescent="0.3">
      <c r="A3744" t="str">
        <f t="shared" si="58"/>
        <v>CN|NewCapacity|RE1|PWRLPG|2055</v>
      </c>
      <c r="B3744" t="s">
        <v>39</v>
      </c>
      <c r="C3744" t="s">
        <v>40</v>
      </c>
      <c r="D3744" t="s">
        <v>37</v>
      </c>
      <c r="E3744" t="s">
        <v>19</v>
      </c>
      <c r="F3744" t="s">
        <v>28</v>
      </c>
      <c r="O3744">
        <v>2055</v>
      </c>
    </row>
    <row r="3745" spans="1:16" x14ac:dyDescent="0.3">
      <c r="A3745" t="str">
        <f t="shared" si="58"/>
        <v>CN|NewCapacity|RE1|PWRNGS_CC|2055</v>
      </c>
      <c r="B3745" t="s">
        <v>39</v>
      </c>
      <c r="C3745" t="s">
        <v>40</v>
      </c>
      <c r="D3745" t="s">
        <v>37</v>
      </c>
      <c r="E3745" t="s">
        <v>19</v>
      </c>
      <c r="F3745" t="s">
        <v>29</v>
      </c>
      <c r="O3745">
        <v>2055</v>
      </c>
    </row>
    <row r="3746" spans="1:16" x14ac:dyDescent="0.3">
      <c r="A3746" t="str">
        <f t="shared" si="58"/>
        <v>CN|NewCapacity|RE1|PWRNGS_CS|2055</v>
      </c>
      <c r="B3746" t="s">
        <v>39</v>
      </c>
      <c r="C3746" t="s">
        <v>40</v>
      </c>
      <c r="D3746" t="s">
        <v>37</v>
      </c>
      <c r="E3746" t="s">
        <v>19</v>
      </c>
      <c r="F3746" t="s">
        <v>30</v>
      </c>
      <c r="O3746">
        <v>2055</v>
      </c>
    </row>
    <row r="3747" spans="1:16" x14ac:dyDescent="0.3">
      <c r="A3747" t="str">
        <f t="shared" si="58"/>
        <v>CN|NewCapacity|RE1|PWRSOLRTP|2055</v>
      </c>
      <c r="B3747" t="s">
        <v>39</v>
      </c>
      <c r="C3747" t="s">
        <v>40</v>
      </c>
      <c r="D3747" t="s">
        <v>37</v>
      </c>
      <c r="E3747" t="s">
        <v>19</v>
      </c>
      <c r="F3747" t="s">
        <v>31</v>
      </c>
      <c r="O3747">
        <v>2055</v>
      </c>
      <c r="P3747">
        <v>1.27</v>
      </c>
    </row>
    <row r="3748" spans="1:16" x14ac:dyDescent="0.3">
      <c r="A3748" t="str">
        <f t="shared" si="58"/>
        <v>CN|NewCapacity|RE1|PWRSOLRTP_ZNI|2055</v>
      </c>
      <c r="B3748" t="s">
        <v>39</v>
      </c>
      <c r="C3748" t="s">
        <v>40</v>
      </c>
      <c r="D3748" t="s">
        <v>37</v>
      </c>
      <c r="E3748" t="s">
        <v>19</v>
      </c>
      <c r="F3748" t="s">
        <v>32</v>
      </c>
      <c r="O3748">
        <v>2055</v>
      </c>
    </row>
    <row r="3749" spans="1:16" x14ac:dyDescent="0.3">
      <c r="A3749" t="str">
        <f t="shared" si="58"/>
        <v>CN|NewCapacity|RE1|PWRSOLUGE|2055</v>
      </c>
      <c r="B3749" t="s">
        <v>39</v>
      </c>
      <c r="C3749" t="s">
        <v>40</v>
      </c>
      <c r="D3749" t="s">
        <v>37</v>
      </c>
      <c r="E3749" t="s">
        <v>19</v>
      </c>
      <c r="F3749" t="s">
        <v>33</v>
      </c>
      <c r="O3749">
        <v>2055</v>
      </c>
    </row>
    <row r="3750" spans="1:16" x14ac:dyDescent="0.3">
      <c r="A3750" t="str">
        <f t="shared" si="58"/>
        <v>CN|NewCapacity|RE1|PWRSOLUGE_BAT|2055</v>
      </c>
      <c r="B3750" t="s">
        <v>39</v>
      </c>
      <c r="C3750" t="s">
        <v>40</v>
      </c>
      <c r="D3750" t="s">
        <v>37</v>
      </c>
      <c r="E3750" t="s">
        <v>19</v>
      </c>
      <c r="F3750" t="s">
        <v>41</v>
      </c>
      <c r="O3750">
        <v>2055</v>
      </c>
    </row>
    <row r="3751" spans="1:16" x14ac:dyDescent="0.3">
      <c r="A3751" t="str">
        <f t="shared" si="58"/>
        <v>CN|NewCapacity|RE1|PWRSOLUPE|2055</v>
      </c>
      <c r="B3751" t="s">
        <v>39</v>
      </c>
      <c r="C3751" t="s">
        <v>40</v>
      </c>
      <c r="D3751" t="s">
        <v>37</v>
      </c>
      <c r="E3751" t="s">
        <v>19</v>
      </c>
      <c r="F3751" t="s">
        <v>34</v>
      </c>
      <c r="O3751">
        <v>2055</v>
      </c>
    </row>
    <row r="3752" spans="1:16" x14ac:dyDescent="0.3">
      <c r="A3752" t="str">
        <f t="shared" si="58"/>
        <v>CN|NewCapacity|RE1|PWRSTD|2055</v>
      </c>
      <c r="B3752" t="s">
        <v>39</v>
      </c>
      <c r="C3752" t="s">
        <v>40</v>
      </c>
      <c r="D3752" t="s">
        <v>37</v>
      </c>
      <c r="E3752" t="s">
        <v>19</v>
      </c>
      <c r="F3752" t="s">
        <v>35</v>
      </c>
      <c r="O3752">
        <v>2055</v>
      </c>
    </row>
    <row r="3753" spans="1:16" x14ac:dyDescent="0.3">
      <c r="A3753" t="str">
        <f t="shared" si="58"/>
        <v>CN|NewCapacity|RE1|PWRWNDOFS_FIX|2055</v>
      </c>
      <c r="B3753" t="s">
        <v>39</v>
      </c>
      <c r="C3753" t="s">
        <v>40</v>
      </c>
      <c r="D3753" t="s">
        <v>37</v>
      </c>
      <c r="E3753" t="s">
        <v>19</v>
      </c>
      <c r="F3753" t="s">
        <v>42</v>
      </c>
      <c r="O3753">
        <v>2055</v>
      </c>
    </row>
    <row r="3754" spans="1:16" x14ac:dyDescent="0.3">
      <c r="A3754" t="str">
        <f t="shared" si="58"/>
        <v>CN|NewCapacity|RE1|PWRWNDOFS_FLO|2055</v>
      </c>
      <c r="B3754" t="s">
        <v>39</v>
      </c>
      <c r="C3754" t="s">
        <v>40</v>
      </c>
      <c r="D3754" t="s">
        <v>37</v>
      </c>
      <c r="E3754" t="s">
        <v>19</v>
      </c>
      <c r="F3754" t="s">
        <v>43</v>
      </c>
      <c r="O3754">
        <v>2055</v>
      </c>
    </row>
    <row r="3755" spans="1:16" x14ac:dyDescent="0.3">
      <c r="A3755" t="str">
        <f t="shared" si="58"/>
        <v>CN|NewCapacity|RE1|PWRWNDONS|2055</v>
      </c>
      <c r="B3755" t="s">
        <v>39</v>
      </c>
      <c r="C3755" t="s">
        <v>40</v>
      </c>
      <c r="D3755" t="s">
        <v>37</v>
      </c>
      <c r="E3755" t="s">
        <v>19</v>
      </c>
      <c r="F3755" t="s">
        <v>36</v>
      </c>
      <c r="O3755">
        <v>2055</v>
      </c>
      <c r="P3755">
        <v>11.439154376664289</v>
      </c>
    </row>
    <row r="3756" spans="1:16" x14ac:dyDescent="0.3">
      <c r="A3756" t="str">
        <f t="shared" si="58"/>
        <v>CN|TotalCapacityAnnual|RE1|PWRBGS|2055</v>
      </c>
      <c r="B3756" t="s">
        <v>39</v>
      </c>
      <c r="C3756" t="s">
        <v>40</v>
      </c>
      <c r="D3756" t="s">
        <v>38</v>
      </c>
      <c r="E3756" t="s">
        <v>19</v>
      </c>
      <c r="F3756" t="s">
        <v>20</v>
      </c>
      <c r="O3756">
        <v>2055</v>
      </c>
      <c r="P3756">
        <v>2.5488587520000001E-2</v>
      </c>
    </row>
    <row r="3757" spans="1:16" x14ac:dyDescent="0.3">
      <c r="A3757" t="str">
        <f t="shared" si="58"/>
        <v>CN|TotalCapacityAnnual|RE1|PWRCOA|2055</v>
      </c>
      <c r="B3757" t="s">
        <v>39</v>
      </c>
      <c r="C3757" t="s">
        <v>40</v>
      </c>
      <c r="D3757" t="s">
        <v>38</v>
      </c>
      <c r="E3757" t="s">
        <v>19</v>
      </c>
      <c r="F3757" t="s">
        <v>21</v>
      </c>
      <c r="O3757">
        <v>2055</v>
      </c>
    </row>
    <row r="3758" spans="1:16" x14ac:dyDescent="0.3">
      <c r="A3758" t="str">
        <f t="shared" si="58"/>
        <v>CN|TotalCapacityAnnual|RE1|PWRDSL|2055</v>
      </c>
      <c r="B3758" t="s">
        <v>39</v>
      </c>
      <c r="C3758" t="s">
        <v>40</v>
      </c>
      <c r="D3758" t="s">
        <v>38</v>
      </c>
      <c r="E3758" t="s">
        <v>19</v>
      </c>
      <c r="F3758" t="s">
        <v>22</v>
      </c>
      <c r="O3758">
        <v>2055</v>
      </c>
    </row>
    <row r="3759" spans="1:16" x14ac:dyDescent="0.3">
      <c r="A3759" t="str">
        <f t="shared" si="58"/>
        <v>CN|TotalCapacityAnnual|RE1|PWRFOL|2055</v>
      </c>
      <c r="B3759" t="s">
        <v>39</v>
      </c>
      <c r="C3759" t="s">
        <v>40</v>
      </c>
      <c r="D3759" t="s">
        <v>38</v>
      </c>
      <c r="E3759" t="s">
        <v>19</v>
      </c>
      <c r="F3759" t="s">
        <v>23</v>
      </c>
      <c r="O3759">
        <v>2055</v>
      </c>
      <c r="P3759">
        <v>8.3885759999999987</v>
      </c>
    </row>
    <row r="3760" spans="1:16" x14ac:dyDescent="0.3">
      <c r="A3760" t="str">
        <f t="shared" si="58"/>
        <v>CN|TotalCapacityAnnual|RE1|PWRHYDDAM|2055</v>
      </c>
      <c r="B3760" t="s">
        <v>39</v>
      </c>
      <c r="C3760" t="s">
        <v>40</v>
      </c>
      <c r="D3760" t="s">
        <v>38</v>
      </c>
      <c r="E3760" t="s">
        <v>19</v>
      </c>
      <c r="F3760" t="s">
        <v>24</v>
      </c>
      <c r="O3760">
        <v>2055</v>
      </c>
      <c r="P3760">
        <v>440.49164800000011</v>
      </c>
    </row>
    <row r="3761" spans="1:16" x14ac:dyDescent="0.3">
      <c r="A3761" t="str">
        <f t="shared" si="58"/>
        <v>CN|TotalCapacityAnnual|RE1|PWRHYDROR|2055</v>
      </c>
      <c r="B3761" t="s">
        <v>39</v>
      </c>
      <c r="C3761" t="s">
        <v>40</v>
      </c>
      <c r="D3761" t="s">
        <v>38</v>
      </c>
      <c r="E3761" t="s">
        <v>19</v>
      </c>
      <c r="F3761" t="s">
        <v>25</v>
      </c>
      <c r="O3761">
        <v>2055</v>
      </c>
      <c r="P3761">
        <v>21.097584000000001</v>
      </c>
    </row>
    <row r="3762" spans="1:16" x14ac:dyDescent="0.3">
      <c r="A3762" t="str">
        <f t="shared" si="58"/>
        <v>CN|TotalCapacityAnnual|RE1|PWRHYDROR_NDC|2055</v>
      </c>
      <c r="B3762" t="s">
        <v>39</v>
      </c>
      <c r="C3762" t="s">
        <v>40</v>
      </c>
      <c r="D3762" t="s">
        <v>38</v>
      </c>
      <c r="E3762" t="s">
        <v>19</v>
      </c>
      <c r="F3762" t="s">
        <v>26</v>
      </c>
      <c r="O3762">
        <v>2055</v>
      </c>
      <c r="P3762">
        <v>151.3914665055095</v>
      </c>
    </row>
    <row r="3763" spans="1:16" x14ac:dyDescent="0.3">
      <c r="A3763" t="str">
        <f t="shared" si="58"/>
        <v>CN|TotalCapacityAnnual|RE1|PWRJET|2055</v>
      </c>
      <c r="B3763" t="s">
        <v>39</v>
      </c>
      <c r="C3763" t="s">
        <v>40</v>
      </c>
      <c r="D3763" t="s">
        <v>38</v>
      </c>
      <c r="E3763" t="s">
        <v>19</v>
      </c>
      <c r="F3763" t="s">
        <v>27</v>
      </c>
      <c r="O3763">
        <v>2055</v>
      </c>
      <c r="P3763">
        <v>1.5768</v>
      </c>
    </row>
    <row r="3764" spans="1:16" x14ac:dyDescent="0.3">
      <c r="A3764" t="str">
        <f t="shared" si="58"/>
        <v>CN|TotalCapacityAnnual|RE1|PWRLPG|2055</v>
      </c>
      <c r="B3764" t="s">
        <v>39</v>
      </c>
      <c r="C3764" t="s">
        <v>40</v>
      </c>
      <c r="D3764" t="s">
        <v>38</v>
      </c>
      <c r="E3764" t="s">
        <v>19</v>
      </c>
      <c r="F3764" t="s">
        <v>28</v>
      </c>
      <c r="O3764">
        <v>2055</v>
      </c>
      <c r="P3764">
        <v>1.639872</v>
      </c>
    </row>
    <row r="3765" spans="1:16" x14ac:dyDescent="0.3">
      <c r="A3765" t="str">
        <f t="shared" si="58"/>
        <v>CN|TotalCapacityAnnual|RE1|PWRNGS_CC|2055</v>
      </c>
      <c r="B3765" t="s">
        <v>39</v>
      </c>
      <c r="C3765" t="s">
        <v>40</v>
      </c>
      <c r="D3765" t="s">
        <v>38</v>
      </c>
      <c r="E3765" t="s">
        <v>19</v>
      </c>
      <c r="F3765" t="s">
        <v>29</v>
      </c>
      <c r="O3765">
        <v>2055</v>
      </c>
      <c r="P3765">
        <v>70.104500000000002</v>
      </c>
    </row>
    <row r="3766" spans="1:16" x14ac:dyDescent="0.3">
      <c r="A3766" t="str">
        <f t="shared" si="58"/>
        <v>CN|TotalCapacityAnnual|RE1|PWRNGS_CS|2055</v>
      </c>
      <c r="B3766" t="s">
        <v>39</v>
      </c>
      <c r="C3766" t="s">
        <v>40</v>
      </c>
      <c r="D3766" t="s">
        <v>38</v>
      </c>
      <c r="E3766" t="s">
        <v>19</v>
      </c>
      <c r="F3766" t="s">
        <v>30</v>
      </c>
      <c r="O3766">
        <v>2055</v>
      </c>
      <c r="P3766">
        <v>48.03</v>
      </c>
    </row>
    <row r="3767" spans="1:16" x14ac:dyDescent="0.3">
      <c r="A3767" t="str">
        <f t="shared" si="58"/>
        <v>CN|TotalCapacityAnnual|RE1|PWRSOLRTP|2055</v>
      </c>
      <c r="B3767" t="s">
        <v>39</v>
      </c>
      <c r="C3767" t="s">
        <v>40</v>
      </c>
      <c r="D3767" t="s">
        <v>38</v>
      </c>
      <c r="E3767" t="s">
        <v>19</v>
      </c>
      <c r="F3767" t="s">
        <v>31</v>
      </c>
      <c r="O3767">
        <v>2055</v>
      </c>
      <c r="P3767">
        <v>147.65345518622689</v>
      </c>
    </row>
    <row r="3768" spans="1:16" x14ac:dyDescent="0.3">
      <c r="A3768" t="str">
        <f t="shared" si="58"/>
        <v>CN|TotalCapacityAnnual|RE1|PWRSOLRTP_ZNI|2055</v>
      </c>
      <c r="B3768" t="s">
        <v>39</v>
      </c>
      <c r="C3768" t="s">
        <v>40</v>
      </c>
      <c r="D3768" t="s">
        <v>38</v>
      </c>
      <c r="E3768" t="s">
        <v>19</v>
      </c>
      <c r="F3768" t="s">
        <v>32</v>
      </c>
      <c r="O3768">
        <v>2055</v>
      </c>
      <c r="P3768">
        <v>1.874976628535487</v>
      </c>
    </row>
    <row r="3769" spans="1:16" x14ac:dyDescent="0.3">
      <c r="A3769" t="str">
        <f t="shared" si="58"/>
        <v>CN|TotalCapacityAnnual|RE1|PWRSOLUGE|2055</v>
      </c>
      <c r="B3769" t="s">
        <v>39</v>
      </c>
      <c r="C3769" t="s">
        <v>40</v>
      </c>
      <c r="D3769" t="s">
        <v>38</v>
      </c>
      <c r="E3769" t="s">
        <v>19</v>
      </c>
      <c r="F3769" t="s">
        <v>33</v>
      </c>
      <c r="O3769">
        <v>2055</v>
      </c>
      <c r="P3769">
        <v>530.55332731418343</v>
      </c>
    </row>
    <row r="3770" spans="1:16" x14ac:dyDescent="0.3">
      <c r="A3770" t="str">
        <f t="shared" si="58"/>
        <v>CN|TotalCapacityAnnual|RE1|PWRSOLUGE_BAT|2055</v>
      </c>
      <c r="B3770" t="s">
        <v>39</v>
      </c>
      <c r="C3770" t="s">
        <v>40</v>
      </c>
      <c r="D3770" t="s">
        <v>38</v>
      </c>
      <c r="E3770" t="s">
        <v>19</v>
      </c>
      <c r="F3770" t="s">
        <v>41</v>
      </c>
      <c r="O3770">
        <v>2055</v>
      </c>
      <c r="P3770">
        <v>30.670102189502511</v>
      </c>
    </row>
    <row r="3771" spans="1:16" x14ac:dyDescent="0.3">
      <c r="A3771" t="str">
        <f t="shared" si="58"/>
        <v>CN|TotalCapacityAnnual|RE1|PWRSOLUPE|2055</v>
      </c>
      <c r="B3771" t="s">
        <v>39</v>
      </c>
      <c r="C3771" t="s">
        <v>40</v>
      </c>
      <c r="D3771" t="s">
        <v>38</v>
      </c>
      <c r="E3771" t="s">
        <v>19</v>
      </c>
      <c r="F3771" t="s">
        <v>34</v>
      </c>
      <c r="O3771">
        <v>2055</v>
      </c>
    </row>
    <row r="3772" spans="1:16" x14ac:dyDescent="0.3">
      <c r="A3772" t="str">
        <f t="shared" si="58"/>
        <v>CN|TotalCapacityAnnual|RE1|PWRSTD|2055</v>
      </c>
      <c r="B3772" t="s">
        <v>39</v>
      </c>
      <c r="C3772" t="s">
        <v>40</v>
      </c>
      <c r="D3772" t="s">
        <v>38</v>
      </c>
      <c r="E3772" t="s">
        <v>19</v>
      </c>
      <c r="F3772" t="s">
        <v>35</v>
      </c>
      <c r="O3772">
        <v>2055</v>
      </c>
      <c r="P3772">
        <v>8.163062064</v>
      </c>
    </row>
    <row r="3773" spans="1:16" x14ac:dyDescent="0.3">
      <c r="A3773" t="str">
        <f t="shared" si="58"/>
        <v>CN|TotalCapacityAnnual|RE1|PWRWNDOFS_FIX|2055</v>
      </c>
      <c r="B3773" t="s">
        <v>39</v>
      </c>
      <c r="C3773" t="s">
        <v>40</v>
      </c>
      <c r="D3773" t="s">
        <v>38</v>
      </c>
      <c r="E3773" t="s">
        <v>19</v>
      </c>
      <c r="F3773" t="s">
        <v>42</v>
      </c>
      <c r="O3773">
        <v>2055</v>
      </c>
      <c r="P3773">
        <v>609.11674579839485</v>
      </c>
    </row>
    <row r="3774" spans="1:16" x14ac:dyDescent="0.3">
      <c r="A3774" t="str">
        <f t="shared" si="58"/>
        <v>CN|TotalCapacityAnnual|RE1|PWRWNDOFS_FLO|2055</v>
      </c>
      <c r="B3774" t="s">
        <v>39</v>
      </c>
      <c r="C3774" t="s">
        <v>40</v>
      </c>
      <c r="D3774" t="s">
        <v>38</v>
      </c>
      <c r="E3774" t="s">
        <v>19</v>
      </c>
      <c r="F3774" t="s">
        <v>43</v>
      </c>
      <c r="O3774">
        <v>2055</v>
      </c>
      <c r="P3774">
        <v>7.2734896835090179</v>
      </c>
    </row>
    <row r="3775" spans="1:16" x14ac:dyDescent="0.3">
      <c r="A3775" t="str">
        <f t="shared" si="58"/>
        <v>CN|TotalCapacityAnnual|RE1|PWRWNDONS|2055</v>
      </c>
      <c r="B3775" t="s">
        <v>39</v>
      </c>
      <c r="C3775" t="s">
        <v>40</v>
      </c>
      <c r="D3775" t="s">
        <v>38</v>
      </c>
      <c r="E3775" t="s">
        <v>19</v>
      </c>
      <c r="F3775" t="s">
        <v>36</v>
      </c>
      <c r="O3775">
        <v>2055</v>
      </c>
      <c r="P3775">
        <v>1006.133639946814</v>
      </c>
    </row>
    <row r="3776" spans="1:16" x14ac:dyDescent="0.3">
      <c r="A3776" t="str">
        <f t="shared" si="58"/>
        <v>PA|AccumulatedNewCapacity|RE1|PWRBGS|2022</v>
      </c>
      <c r="B3776" t="s">
        <v>44</v>
      </c>
      <c r="C3776" t="s">
        <v>45</v>
      </c>
      <c r="D3776" t="s">
        <v>18</v>
      </c>
      <c r="E3776" t="s">
        <v>19</v>
      </c>
      <c r="F3776" t="s">
        <v>20</v>
      </c>
      <c r="O3776">
        <v>2022</v>
      </c>
    </row>
    <row r="3777" spans="1:15" x14ac:dyDescent="0.3">
      <c r="A3777" t="str">
        <f t="shared" si="58"/>
        <v>PA|AccumulatedNewCapacity|RE1|PWRCOA|2022</v>
      </c>
      <c r="B3777" t="s">
        <v>44</v>
      </c>
      <c r="C3777" t="s">
        <v>45</v>
      </c>
      <c r="D3777" t="s">
        <v>18</v>
      </c>
      <c r="E3777" t="s">
        <v>19</v>
      </c>
      <c r="F3777" t="s">
        <v>21</v>
      </c>
      <c r="O3777">
        <v>2022</v>
      </c>
    </row>
    <row r="3778" spans="1:15" x14ac:dyDescent="0.3">
      <c r="A3778" t="str">
        <f t="shared" ref="A3778:A3841" si="59">B3778&amp;"|"&amp;D3778&amp;"|"&amp;E3778&amp;"|"&amp;F3778&amp;"|"&amp;O3778</f>
        <v>PA|AccumulatedNewCapacity|RE1|PWRDSL|2022</v>
      </c>
      <c r="B3778" t="s">
        <v>44</v>
      </c>
      <c r="C3778" t="s">
        <v>45</v>
      </c>
      <c r="D3778" t="s">
        <v>18</v>
      </c>
      <c r="E3778" t="s">
        <v>19</v>
      </c>
      <c r="F3778" t="s">
        <v>22</v>
      </c>
      <c r="O3778">
        <v>2022</v>
      </c>
    </row>
    <row r="3779" spans="1:15" x14ac:dyDescent="0.3">
      <c r="A3779" t="str">
        <f t="shared" si="59"/>
        <v>PA|AccumulatedNewCapacity|RE1|PWRFOL|2022</v>
      </c>
      <c r="B3779" t="s">
        <v>44</v>
      </c>
      <c r="C3779" t="s">
        <v>45</v>
      </c>
      <c r="D3779" t="s">
        <v>18</v>
      </c>
      <c r="E3779" t="s">
        <v>19</v>
      </c>
      <c r="F3779" t="s">
        <v>23</v>
      </c>
      <c r="O3779">
        <v>2022</v>
      </c>
    </row>
    <row r="3780" spans="1:15" x14ac:dyDescent="0.3">
      <c r="A3780" t="str">
        <f t="shared" si="59"/>
        <v>PA|AccumulatedNewCapacity|RE1|PWRGEO|2022</v>
      </c>
      <c r="B3780" t="s">
        <v>44</v>
      </c>
      <c r="C3780" t="s">
        <v>45</v>
      </c>
      <c r="D3780" t="s">
        <v>18</v>
      </c>
      <c r="E3780" t="s">
        <v>19</v>
      </c>
      <c r="F3780" t="s">
        <v>46</v>
      </c>
      <c r="O3780">
        <v>2022</v>
      </c>
    </row>
    <row r="3781" spans="1:15" x14ac:dyDescent="0.3">
      <c r="A3781" t="str">
        <f t="shared" si="59"/>
        <v>PA|AccumulatedNewCapacity|RE1|PWRHYDDAM|2022</v>
      </c>
      <c r="B3781" t="s">
        <v>44</v>
      </c>
      <c r="C3781" t="s">
        <v>45</v>
      </c>
      <c r="D3781" t="s">
        <v>18</v>
      </c>
      <c r="E3781" t="s">
        <v>19</v>
      </c>
      <c r="F3781" t="s">
        <v>24</v>
      </c>
      <c r="O3781">
        <v>2022</v>
      </c>
    </row>
    <row r="3782" spans="1:15" x14ac:dyDescent="0.3">
      <c r="A3782" t="str">
        <f t="shared" si="59"/>
        <v>PA|AccumulatedNewCapacity|RE1|PWRHYDROR|2022</v>
      </c>
      <c r="B3782" t="s">
        <v>44</v>
      </c>
      <c r="C3782" t="s">
        <v>45</v>
      </c>
      <c r="D3782" t="s">
        <v>18</v>
      </c>
      <c r="E3782" t="s">
        <v>19</v>
      </c>
      <c r="F3782" t="s">
        <v>25</v>
      </c>
      <c r="O3782">
        <v>2022</v>
      </c>
    </row>
    <row r="3783" spans="1:15" x14ac:dyDescent="0.3">
      <c r="A3783" t="str">
        <f t="shared" si="59"/>
        <v>PA|AccumulatedNewCapacity|RE1|PWRHYDROR_NDC|2022</v>
      </c>
      <c r="B3783" t="s">
        <v>44</v>
      </c>
      <c r="C3783" t="s">
        <v>45</v>
      </c>
      <c r="D3783" t="s">
        <v>18</v>
      </c>
      <c r="E3783" t="s">
        <v>19</v>
      </c>
      <c r="F3783" t="s">
        <v>26</v>
      </c>
      <c r="O3783">
        <v>2022</v>
      </c>
    </row>
    <row r="3784" spans="1:15" x14ac:dyDescent="0.3">
      <c r="A3784" t="str">
        <f t="shared" si="59"/>
        <v>PA|AccumulatedNewCapacity|RE1|PWRJET|2022</v>
      </c>
      <c r="B3784" t="s">
        <v>44</v>
      </c>
      <c r="C3784" t="s">
        <v>45</v>
      </c>
      <c r="D3784" t="s">
        <v>18</v>
      </c>
      <c r="E3784" t="s">
        <v>19</v>
      </c>
      <c r="F3784" t="s">
        <v>27</v>
      </c>
      <c r="O3784">
        <v>2022</v>
      </c>
    </row>
    <row r="3785" spans="1:15" x14ac:dyDescent="0.3">
      <c r="A3785" t="str">
        <f t="shared" si="59"/>
        <v>PA|AccumulatedNewCapacity|RE1|PWRLPG|2022</v>
      </c>
      <c r="B3785" t="s">
        <v>44</v>
      </c>
      <c r="C3785" t="s">
        <v>45</v>
      </c>
      <c r="D3785" t="s">
        <v>18</v>
      </c>
      <c r="E3785" t="s">
        <v>19</v>
      </c>
      <c r="F3785" t="s">
        <v>28</v>
      </c>
      <c r="O3785">
        <v>2022</v>
      </c>
    </row>
    <row r="3786" spans="1:15" x14ac:dyDescent="0.3">
      <c r="A3786" t="str">
        <f t="shared" si="59"/>
        <v>PA|AccumulatedNewCapacity|RE1|PWRNGS_CC|2022</v>
      </c>
      <c r="B3786" t="s">
        <v>44</v>
      </c>
      <c r="C3786" t="s">
        <v>45</v>
      </c>
      <c r="D3786" t="s">
        <v>18</v>
      </c>
      <c r="E3786" t="s">
        <v>19</v>
      </c>
      <c r="F3786" t="s">
        <v>29</v>
      </c>
      <c r="O3786">
        <v>2022</v>
      </c>
    </row>
    <row r="3787" spans="1:15" x14ac:dyDescent="0.3">
      <c r="A3787" t="str">
        <f t="shared" si="59"/>
        <v>PA|AccumulatedNewCapacity|RE1|PWRNGS_CS|2022</v>
      </c>
      <c r="B3787" t="s">
        <v>44</v>
      </c>
      <c r="C3787" t="s">
        <v>45</v>
      </c>
      <c r="D3787" t="s">
        <v>18</v>
      </c>
      <c r="E3787" t="s">
        <v>19</v>
      </c>
      <c r="F3787" t="s">
        <v>30</v>
      </c>
      <c r="O3787">
        <v>2022</v>
      </c>
    </row>
    <row r="3788" spans="1:15" x14ac:dyDescent="0.3">
      <c r="A3788" t="str">
        <f t="shared" si="59"/>
        <v>PA|AccumulatedNewCapacity|RE1|PWRNUC|2022</v>
      </c>
      <c r="B3788" t="s">
        <v>44</v>
      </c>
      <c r="C3788" t="s">
        <v>45</v>
      </c>
      <c r="D3788" t="s">
        <v>18</v>
      </c>
      <c r="E3788" t="s">
        <v>19</v>
      </c>
      <c r="F3788" t="s">
        <v>47</v>
      </c>
      <c r="O3788">
        <v>2022</v>
      </c>
    </row>
    <row r="3789" spans="1:15" x14ac:dyDescent="0.3">
      <c r="A3789" t="str">
        <f t="shared" si="59"/>
        <v>PA|AccumulatedNewCapacity|RE1|PWRSOLRTP|2022</v>
      </c>
      <c r="B3789" t="s">
        <v>44</v>
      </c>
      <c r="C3789" t="s">
        <v>45</v>
      </c>
      <c r="D3789" t="s">
        <v>18</v>
      </c>
      <c r="E3789" t="s">
        <v>19</v>
      </c>
      <c r="F3789" t="s">
        <v>31</v>
      </c>
      <c r="O3789">
        <v>2022</v>
      </c>
    </row>
    <row r="3790" spans="1:15" x14ac:dyDescent="0.3">
      <c r="A3790" t="str">
        <f t="shared" si="59"/>
        <v>PA|AccumulatedNewCapacity|RE1|PWRSOLRTP_ZNI|2022</v>
      </c>
      <c r="B3790" t="s">
        <v>44</v>
      </c>
      <c r="C3790" t="s">
        <v>45</v>
      </c>
      <c r="D3790" t="s">
        <v>18</v>
      </c>
      <c r="E3790" t="s">
        <v>19</v>
      </c>
      <c r="F3790" t="s">
        <v>32</v>
      </c>
      <c r="O3790">
        <v>2022</v>
      </c>
    </row>
    <row r="3791" spans="1:15" x14ac:dyDescent="0.3">
      <c r="A3791" t="str">
        <f t="shared" si="59"/>
        <v>PA|AccumulatedNewCapacity|RE1|PWRSOLUGE|2022</v>
      </c>
      <c r="B3791" t="s">
        <v>44</v>
      </c>
      <c r="C3791" t="s">
        <v>45</v>
      </c>
      <c r="D3791" t="s">
        <v>18</v>
      </c>
      <c r="E3791" t="s">
        <v>19</v>
      </c>
      <c r="F3791" t="s">
        <v>33</v>
      </c>
      <c r="O3791">
        <v>2022</v>
      </c>
    </row>
    <row r="3792" spans="1:15" x14ac:dyDescent="0.3">
      <c r="A3792" t="str">
        <f t="shared" si="59"/>
        <v>PA|AccumulatedNewCapacity|RE1|PWRSOLUPE|2022</v>
      </c>
      <c r="B3792" t="s">
        <v>44</v>
      </c>
      <c r="C3792" t="s">
        <v>45</v>
      </c>
      <c r="D3792" t="s">
        <v>18</v>
      </c>
      <c r="E3792" t="s">
        <v>19</v>
      </c>
      <c r="F3792" t="s">
        <v>34</v>
      </c>
      <c r="O3792">
        <v>2022</v>
      </c>
    </row>
    <row r="3793" spans="1:15" x14ac:dyDescent="0.3">
      <c r="A3793" t="str">
        <f t="shared" si="59"/>
        <v>PA|AccumulatedNewCapacity|RE1|PWRSTD|2022</v>
      </c>
      <c r="B3793" t="s">
        <v>44</v>
      </c>
      <c r="C3793" t="s">
        <v>45</v>
      </c>
      <c r="D3793" t="s">
        <v>18</v>
      </c>
      <c r="E3793" t="s">
        <v>19</v>
      </c>
      <c r="F3793" t="s">
        <v>35</v>
      </c>
      <c r="O3793">
        <v>2022</v>
      </c>
    </row>
    <row r="3794" spans="1:15" x14ac:dyDescent="0.3">
      <c r="A3794" t="str">
        <f t="shared" si="59"/>
        <v>PA|AccumulatedNewCapacity|RE1|PWRWNDOFS_FIX|2022</v>
      </c>
      <c r="B3794" t="s">
        <v>44</v>
      </c>
      <c r="C3794" t="s">
        <v>45</v>
      </c>
      <c r="D3794" t="s">
        <v>18</v>
      </c>
      <c r="E3794" t="s">
        <v>19</v>
      </c>
      <c r="F3794" t="s">
        <v>42</v>
      </c>
      <c r="O3794">
        <v>2022</v>
      </c>
    </row>
    <row r="3795" spans="1:15" x14ac:dyDescent="0.3">
      <c r="A3795" t="str">
        <f t="shared" si="59"/>
        <v>PA|AccumulatedNewCapacity|RE1|PWRWNDONS|2022</v>
      </c>
      <c r="B3795" t="s">
        <v>44</v>
      </c>
      <c r="C3795" t="s">
        <v>45</v>
      </c>
      <c r="D3795" t="s">
        <v>18</v>
      </c>
      <c r="E3795" t="s">
        <v>19</v>
      </c>
      <c r="F3795" t="s">
        <v>36</v>
      </c>
      <c r="O3795">
        <v>2022</v>
      </c>
    </row>
    <row r="3796" spans="1:15" x14ac:dyDescent="0.3">
      <c r="A3796" t="str">
        <f t="shared" si="59"/>
        <v>PA|NewCapacity|RE1|PWRBGS|2022</v>
      </c>
      <c r="B3796" t="s">
        <v>44</v>
      </c>
      <c r="C3796" t="s">
        <v>45</v>
      </c>
      <c r="D3796" t="s">
        <v>37</v>
      </c>
      <c r="E3796" t="s">
        <v>19</v>
      </c>
      <c r="F3796" t="s">
        <v>20</v>
      </c>
      <c r="O3796">
        <v>2022</v>
      </c>
    </row>
    <row r="3797" spans="1:15" x14ac:dyDescent="0.3">
      <c r="A3797" t="str">
        <f t="shared" si="59"/>
        <v>PA|NewCapacity|RE1|PWRCOA|2022</v>
      </c>
      <c r="B3797" t="s">
        <v>44</v>
      </c>
      <c r="C3797" t="s">
        <v>45</v>
      </c>
      <c r="D3797" t="s">
        <v>37</v>
      </c>
      <c r="E3797" t="s">
        <v>19</v>
      </c>
      <c r="F3797" t="s">
        <v>21</v>
      </c>
      <c r="O3797">
        <v>2022</v>
      </c>
    </row>
    <row r="3798" spans="1:15" x14ac:dyDescent="0.3">
      <c r="A3798" t="str">
        <f t="shared" si="59"/>
        <v>PA|NewCapacity|RE1|PWRDSL|2022</v>
      </c>
      <c r="B3798" t="s">
        <v>44</v>
      </c>
      <c r="C3798" t="s">
        <v>45</v>
      </c>
      <c r="D3798" t="s">
        <v>37</v>
      </c>
      <c r="E3798" t="s">
        <v>19</v>
      </c>
      <c r="F3798" t="s">
        <v>22</v>
      </c>
      <c r="O3798">
        <v>2022</v>
      </c>
    </row>
    <row r="3799" spans="1:15" x14ac:dyDescent="0.3">
      <c r="A3799" t="str">
        <f t="shared" si="59"/>
        <v>PA|NewCapacity|RE1|PWRFOL|2022</v>
      </c>
      <c r="B3799" t="s">
        <v>44</v>
      </c>
      <c r="C3799" t="s">
        <v>45</v>
      </c>
      <c r="D3799" t="s">
        <v>37</v>
      </c>
      <c r="E3799" t="s">
        <v>19</v>
      </c>
      <c r="F3799" t="s">
        <v>23</v>
      </c>
      <c r="O3799">
        <v>2022</v>
      </c>
    </row>
    <row r="3800" spans="1:15" x14ac:dyDescent="0.3">
      <c r="A3800" t="str">
        <f t="shared" si="59"/>
        <v>PA|NewCapacity|RE1|PWRGEO|2022</v>
      </c>
      <c r="B3800" t="s">
        <v>44</v>
      </c>
      <c r="C3800" t="s">
        <v>45</v>
      </c>
      <c r="D3800" t="s">
        <v>37</v>
      </c>
      <c r="E3800" t="s">
        <v>19</v>
      </c>
      <c r="F3800" t="s">
        <v>46</v>
      </c>
      <c r="O3800">
        <v>2022</v>
      </c>
    </row>
    <row r="3801" spans="1:15" x14ac:dyDescent="0.3">
      <c r="A3801" t="str">
        <f t="shared" si="59"/>
        <v>PA|NewCapacity|RE1|PWRHYDDAM|2022</v>
      </c>
      <c r="B3801" t="s">
        <v>44</v>
      </c>
      <c r="C3801" t="s">
        <v>45</v>
      </c>
      <c r="D3801" t="s">
        <v>37</v>
      </c>
      <c r="E3801" t="s">
        <v>19</v>
      </c>
      <c r="F3801" t="s">
        <v>24</v>
      </c>
      <c r="O3801">
        <v>2022</v>
      </c>
    </row>
    <row r="3802" spans="1:15" x14ac:dyDescent="0.3">
      <c r="A3802" t="str">
        <f t="shared" si="59"/>
        <v>PA|NewCapacity|RE1|PWRHYDROR|2022</v>
      </c>
      <c r="B3802" t="s">
        <v>44</v>
      </c>
      <c r="C3802" t="s">
        <v>45</v>
      </c>
      <c r="D3802" t="s">
        <v>37</v>
      </c>
      <c r="E3802" t="s">
        <v>19</v>
      </c>
      <c r="F3802" t="s">
        <v>25</v>
      </c>
      <c r="O3802">
        <v>2022</v>
      </c>
    </row>
    <row r="3803" spans="1:15" x14ac:dyDescent="0.3">
      <c r="A3803" t="str">
        <f t="shared" si="59"/>
        <v>PA|NewCapacity|RE1|PWRHYDROR_NDC|2022</v>
      </c>
      <c r="B3803" t="s">
        <v>44</v>
      </c>
      <c r="C3803" t="s">
        <v>45</v>
      </c>
      <c r="D3803" t="s">
        <v>37</v>
      </c>
      <c r="E3803" t="s">
        <v>19</v>
      </c>
      <c r="F3803" t="s">
        <v>26</v>
      </c>
      <c r="O3803">
        <v>2022</v>
      </c>
    </row>
    <row r="3804" spans="1:15" x14ac:dyDescent="0.3">
      <c r="A3804" t="str">
        <f t="shared" si="59"/>
        <v>PA|NewCapacity|RE1|PWRJET|2022</v>
      </c>
      <c r="B3804" t="s">
        <v>44</v>
      </c>
      <c r="C3804" t="s">
        <v>45</v>
      </c>
      <c r="D3804" t="s">
        <v>37</v>
      </c>
      <c r="E3804" t="s">
        <v>19</v>
      </c>
      <c r="F3804" t="s">
        <v>27</v>
      </c>
      <c r="O3804">
        <v>2022</v>
      </c>
    </row>
    <row r="3805" spans="1:15" x14ac:dyDescent="0.3">
      <c r="A3805" t="str">
        <f t="shared" si="59"/>
        <v>PA|NewCapacity|RE1|PWRLPG|2022</v>
      </c>
      <c r="B3805" t="s">
        <v>44</v>
      </c>
      <c r="C3805" t="s">
        <v>45</v>
      </c>
      <c r="D3805" t="s">
        <v>37</v>
      </c>
      <c r="E3805" t="s">
        <v>19</v>
      </c>
      <c r="F3805" t="s">
        <v>28</v>
      </c>
      <c r="O3805">
        <v>2022</v>
      </c>
    </row>
    <row r="3806" spans="1:15" x14ac:dyDescent="0.3">
      <c r="A3806" t="str">
        <f t="shared" si="59"/>
        <v>PA|NewCapacity|RE1|PWRNGS_CC|2022</v>
      </c>
      <c r="B3806" t="s">
        <v>44</v>
      </c>
      <c r="C3806" t="s">
        <v>45</v>
      </c>
      <c r="D3806" t="s">
        <v>37</v>
      </c>
      <c r="E3806" t="s">
        <v>19</v>
      </c>
      <c r="F3806" t="s">
        <v>29</v>
      </c>
      <c r="O3806">
        <v>2022</v>
      </c>
    </row>
    <row r="3807" spans="1:15" x14ac:dyDescent="0.3">
      <c r="A3807" t="str">
        <f t="shared" si="59"/>
        <v>PA|NewCapacity|RE1|PWRNGS_CS|2022</v>
      </c>
      <c r="B3807" t="s">
        <v>44</v>
      </c>
      <c r="C3807" t="s">
        <v>45</v>
      </c>
      <c r="D3807" t="s">
        <v>37</v>
      </c>
      <c r="E3807" t="s">
        <v>19</v>
      </c>
      <c r="F3807" t="s">
        <v>30</v>
      </c>
      <c r="O3807">
        <v>2022</v>
      </c>
    </row>
    <row r="3808" spans="1:15" x14ac:dyDescent="0.3">
      <c r="A3808" t="str">
        <f t="shared" si="59"/>
        <v>PA|NewCapacity|RE1|PWRNUC|2022</v>
      </c>
      <c r="B3808" t="s">
        <v>44</v>
      </c>
      <c r="C3808" t="s">
        <v>45</v>
      </c>
      <c r="D3808" t="s">
        <v>37</v>
      </c>
      <c r="E3808" t="s">
        <v>19</v>
      </c>
      <c r="F3808" t="s">
        <v>47</v>
      </c>
      <c r="O3808">
        <v>2022</v>
      </c>
    </row>
    <row r="3809" spans="1:16" x14ac:dyDescent="0.3">
      <c r="A3809" t="str">
        <f t="shared" si="59"/>
        <v>PA|NewCapacity|RE1|PWRSOLRTP|2022</v>
      </c>
      <c r="B3809" t="s">
        <v>44</v>
      </c>
      <c r="C3809" t="s">
        <v>45</v>
      </c>
      <c r="D3809" t="s">
        <v>37</v>
      </c>
      <c r="E3809" t="s">
        <v>19</v>
      </c>
      <c r="F3809" t="s">
        <v>31</v>
      </c>
      <c r="O3809">
        <v>2022</v>
      </c>
    </row>
    <row r="3810" spans="1:16" x14ac:dyDescent="0.3">
      <c r="A3810" t="str">
        <f t="shared" si="59"/>
        <v>PA|NewCapacity|RE1|PWRSOLRTP_ZNI|2022</v>
      </c>
      <c r="B3810" t="s">
        <v>44</v>
      </c>
      <c r="C3810" t="s">
        <v>45</v>
      </c>
      <c r="D3810" t="s">
        <v>37</v>
      </c>
      <c r="E3810" t="s">
        <v>19</v>
      </c>
      <c r="F3810" t="s">
        <v>32</v>
      </c>
      <c r="O3810">
        <v>2022</v>
      </c>
    </row>
    <row r="3811" spans="1:16" x14ac:dyDescent="0.3">
      <c r="A3811" t="str">
        <f t="shared" si="59"/>
        <v>PA|NewCapacity|RE1|PWRSOLUGE|2022</v>
      </c>
      <c r="B3811" t="s">
        <v>44</v>
      </c>
      <c r="C3811" t="s">
        <v>45</v>
      </c>
      <c r="D3811" t="s">
        <v>37</v>
      </c>
      <c r="E3811" t="s">
        <v>19</v>
      </c>
      <c r="F3811" t="s">
        <v>33</v>
      </c>
      <c r="O3811">
        <v>2022</v>
      </c>
    </row>
    <row r="3812" spans="1:16" x14ac:dyDescent="0.3">
      <c r="A3812" t="str">
        <f t="shared" si="59"/>
        <v>PA|NewCapacity|RE1|PWRSOLUPE|2022</v>
      </c>
      <c r="B3812" t="s">
        <v>44</v>
      </c>
      <c r="C3812" t="s">
        <v>45</v>
      </c>
      <c r="D3812" t="s">
        <v>37</v>
      </c>
      <c r="E3812" t="s">
        <v>19</v>
      </c>
      <c r="F3812" t="s">
        <v>34</v>
      </c>
      <c r="O3812">
        <v>2022</v>
      </c>
    </row>
    <row r="3813" spans="1:16" x14ac:dyDescent="0.3">
      <c r="A3813" t="str">
        <f t="shared" si="59"/>
        <v>PA|NewCapacity|RE1|PWRSTD|2022</v>
      </c>
      <c r="B3813" t="s">
        <v>44</v>
      </c>
      <c r="C3813" t="s">
        <v>45</v>
      </c>
      <c r="D3813" t="s">
        <v>37</v>
      </c>
      <c r="E3813" t="s">
        <v>19</v>
      </c>
      <c r="F3813" t="s">
        <v>35</v>
      </c>
      <c r="O3813">
        <v>2022</v>
      </c>
    </row>
    <row r="3814" spans="1:16" x14ac:dyDescent="0.3">
      <c r="A3814" t="str">
        <f t="shared" si="59"/>
        <v>PA|NewCapacity|RE1|PWRWNDOFS_FIX|2022</v>
      </c>
      <c r="B3814" t="s">
        <v>44</v>
      </c>
      <c r="C3814" t="s">
        <v>45</v>
      </c>
      <c r="D3814" t="s">
        <v>37</v>
      </c>
      <c r="E3814" t="s">
        <v>19</v>
      </c>
      <c r="F3814" t="s">
        <v>42</v>
      </c>
      <c r="O3814">
        <v>2022</v>
      </c>
    </row>
    <row r="3815" spans="1:16" x14ac:dyDescent="0.3">
      <c r="A3815" t="str">
        <f t="shared" si="59"/>
        <v>PA|NewCapacity|RE1|PWRWNDONS|2022</v>
      </c>
      <c r="B3815" t="s">
        <v>44</v>
      </c>
      <c r="C3815" t="s">
        <v>45</v>
      </c>
      <c r="D3815" t="s">
        <v>37</v>
      </c>
      <c r="E3815" t="s">
        <v>19</v>
      </c>
      <c r="F3815" t="s">
        <v>36</v>
      </c>
      <c r="O3815">
        <v>2022</v>
      </c>
    </row>
    <row r="3816" spans="1:16" x14ac:dyDescent="0.3">
      <c r="A3816" t="str">
        <f t="shared" si="59"/>
        <v>PA|TotalCapacityAnnual|RE1|PWRBGS|2022</v>
      </c>
      <c r="B3816" t="s">
        <v>44</v>
      </c>
      <c r="C3816" t="s">
        <v>45</v>
      </c>
      <c r="D3816" t="s">
        <v>38</v>
      </c>
      <c r="E3816" t="s">
        <v>19</v>
      </c>
      <c r="F3816" t="s">
        <v>20</v>
      </c>
      <c r="O3816">
        <v>2022</v>
      </c>
      <c r="P3816">
        <v>2.5488587520000001E-2</v>
      </c>
    </row>
    <row r="3817" spans="1:16" x14ac:dyDescent="0.3">
      <c r="A3817" t="str">
        <f t="shared" si="59"/>
        <v>PA|TotalCapacityAnnual|RE1|PWRCOA|2022</v>
      </c>
      <c r="B3817" t="s">
        <v>44</v>
      </c>
      <c r="C3817" t="s">
        <v>45</v>
      </c>
      <c r="D3817" t="s">
        <v>38</v>
      </c>
      <c r="E3817" t="s">
        <v>19</v>
      </c>
      <c r="F3817" t="s">
        <v>21</v>
      </c>
      <c r="O3817">
        <v>2022</v>
      </c>
      <c r="P3817">
        <v>51.466751999999993</v>
      </c>
    </row>
    <row r="3818" spans="1:16" x14ac:dyDescent="0.3">
      <c r="A3818" t="str">
        <f t="shared" si="59"/>
        <v>PA|TotalCapacityAnnual|RE1|PWRDSL|2022</v>
      </c>
      <c r="B3818" t="s">
        <v>44</v>
      </c>
      <c r="C3818" t="s">
        <v>45</v>
      </c>
      <c r="D3818" t="s">
        <v>38</v>
      </c>
      <c r="E3818" t="s">
        <v>19</v>
      </c>
      <c r="F3818" t="s">
        <v>22</v>
      </c>
      <c r="O3818">
        <v>2022</v>
      </c>
      <c r="P3818">
        <v>25.954128000000001</v>
      </c>
    </row>
    <row r="3819" spans="1:16" x14ac:dyDescent="0.3">
      <c r="A3819" t="str">
        <f t="shared" si="59"/>
        <v>PA|TotalCapacityAnnual|RE1|PWRFOL|2022</v>
      </c>
      <c r="B3819" t="s">
        <v>44</v>
      </c>
      <c r="C3819" t="s">
        <v>45</v>
      </c>
      <c r="D3819" t="s">
        <v>38</v>
      </c>
      <c r="E3819" t="s">
        <v>19</v>
      </c>
      <c r="F3819" t="s">
        <v>23</v>
      </c>
      <c r="O3819">
        <v>2022</v>
      </c>
      <c r="P3819">
        <v>8.4516479999999987</v>
      </c>
    </row>
    <row r="3820" spans="1:16" x14ac:dyDescent="0.3">
      <c r="A3820" t="str">
        <f t="shared" si="59"/>
        <v>PA|TotalCapacityAnnual|RE1|PWRGEO|2022</v>
      </c>
      <c r="B3820" t="s">
        <v>44</v>
      </c>
      <c r="C3820" t="s">
        <v>45</v>
      </c>
      <c r="D3820" t="s">
        <v>38</v>
      </c>
      <c r="E3820" t="s">
        <v>19</v>
      </c>
      <c r="F3820" t="s">
        <v>46</v>
      </c>
      <c r="O3820">
        <v>2022</v>
      </c>
    </row>
    <row r="3821" spans="1:16" x14ac:dyDescent="0.3">
      <c r="A3821" t="str">
        <f t="shared" si="59"/>
        <v>PA|TotalCapacityAnnual|RE1|PWRHYDDAM|2022</v>
      </c>
      <c r="B3821" t="s">
        <v>44</v>
      </c>
      <c r="C3821" t="s">
        <v>45</v>
      </c>
      <c r="D3821" t="s">
        <v>38</v>
      </c>
      <c r="E3821" t="s">
        <v>19</v>
      </c>
      <c r="F3821" t="s">
        <v>24</v>
      </c>
      <c r="O3821">
        <v>2022</v>
      </c>
      <c r="P3821">
        <v>345.25612799999999</v>
      </c>
    </row>
    <row r="3822" spans="1:16" x14ac:dyDescent="0.3">
      <c r="A3822" t="str">
        <f t="shared" si="59"/>
        <v>PA|TotalCapacityAnnual|RE1|PWRHYDROR|2022</v>
      </c>
      <c r="B3822" t="s">
        <v>44</v>
      </c>
      <c r="C3822" t="s">
        <v>45</v>
      </c>
      <c r="D3822" t="s">
        <v>38</v>
      </c>
      <c r="E3822" t="s">
        <v>19</v>
      </c>
      <c r="F3822" t="s">
        <v>25</v>
      </c>
      <c r="O3822">
        <v>2022</v>
      </c>
      <c r="P3822">
        <v>21.160655999999999</v>
      </c>
    </row>
    <row r="3823" spans="1:16" x14ac:dyDescent="0.3">
      <c r="A3823" t="str">
        <f t="shared" si="59"/>
        <v>PA|TotalCapacityAnnual|RE1|PWRHYDROR_NDC|2022</v>
      </c>
      <c r="B3823" t="s">
        <v>44</v>
      </c>
      <c r="C3823" t="s">
        <v>45</v>
      </c>
      <c r="D3823" t="s">
        <v>38</v>
      </c>
      <c r="E3823" t="s">
        <v>19</v>
      </c>
      <c r="F3823" t="s">
        <v>26</v>
      </c>
      <c r="O3823">
        <v>2022</v>
      </c>
      <c r="P3823">
        <v>28.102581071999989</v>
      </c>
    </row>
    <row r="3824" spans="1:16" x14ac:dyDescent="0.3">
      <c r="A3824" t="str">
        <f t="shared" si="59"/>
        <v>PA|TotalCapacityAnnual|RE1|PWRJET|2022</v>
      </c>
      <c r="B3824" t="s">
        <v>44</v>
      </c>
      <c r="C3824" t="s">
        <v>45</v>
      </c>
      <c r="D3824" t="s">
        <v>38</v>
      </c>
      <c r="E3824" t="s">
        <v>19</v>
      </c>
      <c r="F3824" t="s">
        <v>27</v>
      </c>
      <c r="O3824">
        <v>2022</v>
      </c>
      <c r="P3824">
        <v>1.608336</v>
      </c>
    </row>
    <row r="3825" spans="1:16" x14ac:dyDescent="0.3">
      <c r="A3825" t="str">
        <f t="shared" si="59"/>
        <v>PA|TotalCapacityAnnual|RE1|PWRLPG|2022</v>
      </c>
      <c r="B3825" t="s">
        <v>44</v>
      </c>
      <c r="C3825" t="s">
        <v>45</v>
      </c>
      <c r="D3825" t="s">
        <v>38</v>
      </c>
      <c r="E3825" t="s">
        <v>19</v>
      </c>
      <c r="F3825" t="s">
        <v>28</v>
      </c>
      <c r="O3825">
        <v>2022</v>
      </c>
    </row>
    <row r="3826" spans="1:16" x14ac:dyDescent="0.3">
      <c r="A3826" t="str">
        <f t="shared" si="59"/>
        <v>PA|TotalCapacityAnnual|RE1|PWRNGS_CC|2022</v>
      </c>
      <c r="B3826" t="s">
        <v>44</v>
      </c>
      <c r="C3826" t="s">
        <v>45</v>
      </c>
      <c r="D3826" t="s">
        <v>38</v>
      </c>
      <c r="E3826" t="s">
        <v>19</v>
      </c>
      <c r="F3826" t="s">
        <v>29</v>
      </c>
      <c r="O3826">
        <v>2022</v>
      </c>
      <c r="P3826">
        <v>62.504399999999997</v>
      </c>
    </row>
    <row r="3827" spans="1:16" x14ac:dyDescent="0.3">
      <c r="A3827" t="str">
        <f t="shared" si="59"/>
        <v>PA|TotalCapacityAnnual|RE1|PWRNGS_CS|2022</v>
      </c>
      <c r="B3827" t="s">
        <v>44</v>
      </c>
      <c r="C3827" t="s">
        <v>45</v>
      </c>
      <c r="D3827" t="s">
        <v>38</v>
      </c>
      <c r="E3827" t="s">
        <v>19</v>
      </c>
      <c r="F3827" t="s">
        <v>30</v>
      </c>
      <c r="O3827">
        <v>2022</v>
      </c>
      <c r="P3827">
        <v>23.967359999999999</v>
      </c>
    </row>
    <row r="3828" spans="1:16" x14ac:dyDescent="0.3">
      <c r="A3828" t="str">
        <f t="shared" si="59"/>
        <v>PA|TotalCapacityAnnual|RE1|PWRNUC|2022</v>
      </c>
      <c r="B3828" t="s">
        <v>44</v>
      </c>
      <c r="C3828" t="s">
        <v>45</v>
      </c>
      <c r="D3828" t="s">
        <v>38</v>
      </c>
      <c r="E3828" t="s">
        <v>19</v>
      </c>
      <c r="F3828" t="s">
        <v>47</v>
      </c>
      <c r="O3828">
        <v>2022</v>
      </c>
    </row>
    <row r="3829" spans="1:16" x14ac:dyDescent="0.3">
      <c r="A3829" t="str">
        <f t="shared" si="59"/>
        <v>PA|TotalCapacityAnnual|RE1|PWRSOLRTP|2022</v>
      </c>
      <c r="B3829" t="s">
        <v>44</v>
      </c>
      <c r="C3829" t="s">
        <v>45</v>
      </c>
      <c r="D3829" t="s">
        <v>38</v>
      </c>
      <c r="E3829" t="s">
        <v>19</v>
      </c>
      <c r="F3829" t="s">
        <v>31</v>
      </c>
      <c r="O3829">
        <v>2022</v>
      </c>
      <c r="P3829">
        <v>3.9230227960000001</v>
      </c>
    </row>
    <row r="3830" spans="1:16" x14ac:dyDescent="0.3">
      <c r="A3830" t="str">
        <f t="shared" si="59"/>
        <v>PA|TotalCapacityAnnual|RE1|PWRSOLRTP_ZNI|2022</v>
      </c>
      <c r="B3830" t="s">
        <v>44</v>
      </c>
      <c r="C3830" t="s">
        <v>45</v>
      </c>
      <c r="D3830" t="s">
        <v>38</v>
      </c>
      <c r="E3830" t="s">
        <v>19</v>
      </c>
      <c r="F3830" t="s">
        <v>32</v>
      </c>
      <c r="O3830">
        <v>2022</v>
      </c>
      <c r="P3830">
        <v>0.46074095999999998</v>
      </c>
    </row>
    <row r="3831" spans="1:16" x14ac:dyDescent="0.3">
      <c r="A3831" t="str">
        <f t="shared" si="59"/>
        <v>PA|TotalCapacityAnnual|RE1|PWRSOLUGE|2022</v>
      </c>
      <c r="B3831" t="s">
        <v>44</v>
      </c>
      <c r="C3831" t="s">
        <v>45</v>
      </c>
      <c r="D3831" t="s">
        <v>38</v>
      </c>
      <c r="E3831" t="s">
        <v>19</v>
      </c>
      <c r="F3831" t="s">
        <v>33</v>
      </c>
      <c r="O3831">
        <v>2022</v>
      </c>
      <c r="P3831">
        <v>6.8748479999999992</v>
      </c>
    </row>
    <row r="3832" spans="1:16" x14ac:dyDescent="0.3">
      <c r="A3832" t="str">
        <f t="shared" si="59"/>
        <v>PA|TotalCapacityAnnual|RE1|PWRSOLUPE|2022</v>
      </c>
      <c r="B3832" t="s">
        <v>44</v>
      </c>
      <c r="C3832" t="s">
        <v>45</v>
      </c>
      <c r="D3832" t="s">
        <v>38</v>
      </c>
      <c r="E3832" t="s">
        <v>19</v>
      </c>
      <c r="F3832" t="s">
        <v>34</v>
      </c>
      <c r="O3832">
        <v>2022</v>
      </c>
      <c r="P3832">
        <v>7.9224739200000007</v>
      </c>
    </row>
    <row r="3833" spans="1:16" x14ac:dyDescent="0.3">
      <c r="A3833" t="str">
        <f t="shared" si="59"/>
        <v>PA|TotalCapacityAnnual|RE1|PWRSTD|2022</v>
      </c>
      <c r="B3833" t="s">
        <v>44</v>
      </c>
      <c r="C3833" t="s">
        <v>45</v>
      </c>
      <c r="D3833" t="s">
        <v>38</v>
      </c>
      <c r="E3833" t="s">
        <v>19</v>
      </c>
      <c r="F3833" t="s">
        <v>35</v>
      </c>
      <c r="O3833">
        <v>2022</v>
      </c>
      <c r="P3833">
        <v>8.163062064</v>
      </c>
    </row>
    <row r="3834" spans="1:16" x14ac:dyDescent="0.3">
      <c r="A3834" t="str">
        <f t="shared" si="59"/>
        <v>PA|TotalCapacityAnnual|RE1|PWRWNDOFS_FIX|2022</v>
      </c>
      <c r="B3834" t="s">
        <v>44</v>
      </c>
      <c r="C3834" t="s">
        <v>45</v>
      </c>
      <c r="D3834" t="s">
        <v>38</v>
      </c>
      <c r="E3834" t="s">
        <v>19</v>
      </c>
      <c r="F3834" t="s">
        <v>42</v>
      </c>
      <c r="O3834">
        <v>2022</v>
      </c>
    </row>
    <row r="3835" spans="1:16" x14ac:dyDescent="0.3">
      <c r="A3835" t="str">
        <f t="shared" si="59"/>
        <v>PA|TotalCapacityAnnual|RE1|PWRWNDONS|2022</v>
      </c>
      <c r="B3835" t="s">
        <v>44</v>
      </c>
      <c r="C3835" t="s">
        <v>45</v>
      </c>
      <c r="D3835" t="s">
        <v>38</v>
      </c>
      <c r="E3835" t="s">
        <v>19</v>
      </c>
      <c r="F3835" t="s">
        <v>36</v>
      </c>
      <c r="O3835">
        <v>2022</v>
      </c>
      <c r="P3835">
        <v>1.21161312</v>
      </c>
    </row>
    <row r="3836" spans="1:16" x14ac:dyDescent="0.3">
      <c r="A3836" t="str">
        <f t="shared" si="59"/>
        <v>PA|AccumulatedNewCapacity|RE1|PWRBGS|2023</v>
      </c>
      <c r="B3836" t="s">
        <v>44</v>
      </c>
      <c r="C3836" t="s">
        <v>45</v>
      </c>
      <c r="D3836" t="s">
        <v>18</v>
      </c>
      <c r="E3836" t="s">
        <v>19</v>
      </c>
      <c r="F3836" t="s">
        <v>20</v>
      </c>
      <c r="O3836">
        <v>2023</v>
      </c>
    </row>
    <row r="3837" spans="1:16" x14ac:dyDescent="0.3">
      <c r="A3837" t="str">
        <f t="shared" si="59"/>
        <v>PA|AccumulatedNewCapacity|RE1|PWRCOA|2023</v>
      </c>
      <c r="B3837" t="s">
        <v>44</v>
      </c>
      <c r="C3837" t="s">
        <v>45</v>
      </c>
      <c r="D3837" t="s">
        <v>18</v>
      </c>
      <c r="E3837" t="s">
        <v>19</v>
      </c>
      <c r="F3837" t="s">
        <v>21</v>
      </c>
      <c r="O3837">
        <v>2023</v>
      </c>
    </row>
    <row r="3838" spans="1:16" x14ac:dyDescent="0.3">
      <c r="A3838" t="str">
        <f t="shared" si="59"/>
        <v>PA|AccumulatedNewCapacity|RE1|PWRDSL|2023</v>
      </c>
      <c r="B3838" t="s">
        <v>44</v>
      </c>
      <c r="C3838" t="s">
        <v>45</v>
      </c>
      <c r="D3838" t="s">
        <v>18</v>
      </c>
      <c r="E3838" t="s">
        <v>19</v>
      </c>
      <c r="F3838" t="s">
        <v>22</v>
      </c>
      <c r="O3838">
        <v>2023</v>
      </c>
    </row>
    <row r="3839" spans="1:16" x14ac:dyDescent="0.3">
      <c r="A3839" t="str">
        <f t="shared" si="59"/>
        <v>PA|AccumulatedNewCapacity|RE1|PWRFOL|2023</v>
      </c>
      <c r="B3839" t="s">
        <v>44</v>
      </c>
      <c r="C3839" t="s">
        <v>45</v>
      </c>
      <c r="D3839" t="s">
        <v>18</v>
      </c>
      <c r="E3839" t="s">
        <v>19</v>
      </c>
      <c r="F3839" t="s">
        <v>23</v>
      </c>
      <c r="O3839">
        <v>2023</v>
      </c>
    </row>
    <row r="3840" spans="1:16" x14ac:dyDescent="0.3">
      <c r="A3840" t="str">
        <f t="shared" si="59"/>
        <v>PA|AccumulatedNewCapacity|RE1|PWRGEO|2023</v>
      </c>
      <c r="B3840" t="s">
        <v>44</v>
      </c>
      <c r="C3840" t="s">
        <v>45</v>
      </c>
      <c r="D3840" t="s">
        <v>18</v>
      </c>
      <c r="E3840" t="s">
        <v>19</v>
      </c>
      <c r="F3840" t="s">
        <v>46</v>
      </c>
      <c r="O3840">
        <v>2023</v>
      </c>
    </row>
    <row r="3841" spans="1:15" x14ac:dyDescent="0.3">
      <c r="A3841" t="str">
        <f t="shared" si="59"/>
        <v>PA|AccumulatedNewCapacity|RE1|PWRHYDDAM|2023</v>
      </c>
      <c r="B3841" t="s">
        <v>44</v>
      </c>
      <c r="C3841" t="s">
        <v>45</v>
      </c>
      <c r="D3841" t="s">
        <v>18</v>
      </c>
      <c r="E3841" t="s">
        <v>19</v>
      </c>
      <c r="F3841" t="s">
        <v>24</v>
      </c>
      <c r="O3841">
        <v>2023</v>
      </c>
    </row>
    <row r="3842" spans="1:15" x14ac:dyDescent="0.3">
      <c r="A3842" t="str">
        <f t="shared" ref="A3842:A3905" si="60">B3842&amp;"|"&amp;D3842&amp;"|"&amp;E3842&amp;"|"&amp;F3842&amp;"|"&amp;O3842</f>
        <v>PA|AccumulatedNewCapacity|RE1|PWRHYDROR|2023</v>
      </c>
      <c r="B3842" t="s">
        <v>44</v>
      </c>
      <c r="C3842" t="s">
        <v>45</v>
      </c>
      <c r="D3842" t="s">
        <v>18</v>
      </c>
      <c r="E3842" t="s">
        <v>19</v>
      </c>
      <c r="F3842" t="s">
        <v>25</v>
      </c>
      <c r="O3842">
        <v>2023</v>
      </c>
    </row>
    <row r="3843" spans="1:15" x14ac:dyDescent="0.3">
      <c r="A3843" t="str">
        <f t="shared" si="60"/>
        <v>PA|AccumulatedNewCapacity|RE1|PWRHYDROR_NDC|2023</v>
      </c>
      <c r="B3843" t="s">
        <v>44</v>
      </c>
      <c r="C3843" t="s">
        <v>45</v>
      </c>
      <c r="D3843" t="s">
        <v>18</v>
      </c>
      <c r="E3843" t="s">
        <v>19</v>
      </c>
      <c r="F3843" t="s">
        <v>26</v>
      </c>
      <c r="O3843">
        <v>2023</v>
      </c>
    </row>
    <row r="3844" spans="1:15" x14ac:dyDescent="0.3">
      <c r="A3844" t="str">
        <f t="shared" si="60"/>
        <v>PA|AccumulatedNewCapacity|RE1|PWRJET|2023</v>
      </c>
      <c r="B3844" t="s">
        <v>44</v>
      </c>
      <c r="C3844" t="s">
        <v>45</v>
      </c>
      <c r="D3844" t="s">
        <v>18</v>
      </c>
      <c r="E3844" t="s">
        <v>19</v>
      </c>
      <c r="F3844" t="s">
        <v>27</v>
      </c>
      <c r="O3844">
        <v>2023</v>
      </c>
    </row>
    <row r="3845" spans="1:15" x14ac:dyDescent="0.3">
      <c r="A3845" t="str">
        <f t="shared" si="60"/>
        <v>PA|AccumulatedNewCapacity|RE1|PWRLPG|2023</v>
      </c>
      <c r="B3845" t="s">
        <v>44</v>
      </c>
      <c r="C3845" t="s">
        <v>45</v>
      </c>
      <c r="D3845" t="s">
        <v>18</v>
      </c>
      <c r="E3845" t="s">
        <v>19</v>
      </c>
      <c r="F3845" t="s">
        <v>28</v>
      </c>
      <c r="O3845">
        <v>2023</v>
      </c>
    </row>
    <row r="3846" spans="1:15" x14ac:dyDescent="0.3">
      <c r="A3846" t="str">
        <f t="shared" si="60"/>
        <v>PA|AccumulatedNewCapacity|RE1|PWRNGS_CC|2023</v>
      </c>
      <c r="B3846" t="s">
        <v>44</v>
      </c>
      <c r="C3846" t="s">
        <v>45</v>
      </c>
      <c r="D3846" t="s">
        <v>18</v>
      </c>
      <c r="E3846" t="s">
        <v>19</v>
      </c>
      <c r="F3846" t="s">
        <v>29</v>
      </c>
      <c r="O3846">
        <v>2023</v>
      </c>
    </row>
    <row r="3847" spans="1:15" x14ac:dyDescent="0.3">
      <c r="A3847" t="str">
        <f t="shared" si="60"/>
        <v>PA|AccumulatedNewCapacity|RE1|PWRNGS_CS|2023</v>
      </c>
      <c r="B3847" t="s">
        <v>44</v>
      </c>
      <c r="C3847" t="s">
        <v>45</v>
      </c>
      <c r="D3847" t="s">
        <v>18</v>
      </c>
      <c r="E3847" t="s">
        <v>19</v>
      </c>
      <c r="F3847" t="s">
        <v>30</v>
      </c>
      <c r="O3847">
        <v>2023</v>
      </c>
    </row>
    <row r="3848" spans="1:15" x14ac:dyDescent="0.3">
      <c r="A3848" t="str">
        <f t="shared" si="60"/>
        <v>PA|AccumulatedNewCapacity|RE1|PWRNUC|2023</v>
      </c>
      <c r="B3848" t="s">
        <v>44</v>
      </c>
      <c r="C3848" t="s">
        <v>45</v>
      </c>
      <c r="D3848" t="s">
        <v>18</v>
      </c>
      <c r="E3848" t="s">
        <v>19</v>
      </c>
      <c r="F3848" t="s">
        <v>47</v>
      </c>
      <c r="O3848">
        <v>2023</v>
      </c>
    </row>
    <row r="3849" spans="1:15" x14ac:dyDescent="0.3">
      <c r="A3849" t="str">
        <f t="shared" si="60"/>
        <v>PA|AccumulatedNewCapacity|RE1|PWRSOLRTP|2023</v>
      </c>
      <c r="B3849" t="s">
        <v>44</v>
      </c>
      <c r="C3849" t="s">
        <v>45</v>
      </c>
      <c r="D3849" t="s">
        <v>18</v>
      </c>
      <c r="E3849" t="s">
        <v>19</v>
      </c>
      <c r="F3849" t="s">
        <v>31</v>
      </c>
      <c r="O3849">
        <v>2023</v>
      </c>
    </row>
    <row r="3850" spans="1:15" x14ac:dyDescent="0.3">
      <c r="A3850" t="str">
        <f t="shared" si="60"/>
        <v>PA|AccumulatedNewCapacity|RE1|PWRSOLRTP_ZNI|2023</v>
      </c>
      <c r="B3850" t="s">
        <v>44</v>
      </c>
      <c r="C3850" t="s">
        <v>45</v>
      </c>
      <c r="D3850" t="s">
        <v>18</v>
      </c>
      <c r="E3850" t="s">
        <v>19</v>
      </c>
      <c r="F3850" t="s">
        <v>32</v>
      </c>
      <c r="O3850">
        <v>2023</v>
      </c>
    </row>
    <row r="3851" spans="1:15" x14ac:dyDescent="0.3">
      <c r="A3851" t="str">
        <f t="shared" si="60"/>
        <v>PA|AccumulatedNewCapacity|RE1|PWRSOLUGE|2023</v>
      </c>
      <c r="B3851" t="s">
        <v>44</v>
      </c>
      <c r="C3851" t="s">
        <v>45</v>
      </c>
      <c r="D3851" t="s">
        <v>18</v>
      </c>
      <c r="E3851" t="s">
        <v>19</v>
      </c>
      <c r="F3851" t="s">
        <v>33</v>
      </c>
      <c r="O3851">
        <v>2023</v>
      </c>
    </row>
    <row r="3852" spans="1:15" x14ac:dyDescent="0.3">
      <c r="A3852" t="str">
        <f t="shared" si="60"/>
        <v>PA|AccumulatedNewCapacity|RE1|PWRSOLUPE|2023</v>
      </c>
      <c r="B3852" t="s">
        <v>44</v>
      </c>
      <c r="C3852" t="s">
        <v>45</v>
      </c>
      <c r="D3852" t="s">
        <v>18</v>
      </c>
      <c r="E3852" t="s">
        <v>19</v>
      </c>
      <c r="F3852" t="s">
        <v>34</v>
      </c>
      <c r="O3852">
        <v>2023</v>
      </c>
    </row>
    <row r="3853" spans="1:15" x14ac:dyDescent="0.3">
      <c r="A3853" t="str">
        <f t="shared" si="60"/>
        <v>PA|AccumulatedNewCapacity|RE1|PWRSTD|2023</v>
      </c>
      <c r="B3853" t="s">
        <v>44</v>
      </c>
      <c r="C3853" t="s">
        <v>45</v>
      </c>
      <c r="D3853" t="s">
        <v>18</v>
      </c>
      <c r="E3853" t="s">
        <v>19</v>
      </c>
      <c r="F3853" t="s">
        <v>35</v>
      </c>
      <c r="O3853">
        <v>2023</v>
      </c>
    </row>
    <row r="3854" spans="1:15" x14ac:dyDescent="0.3">
      <c r="A3854" t="str">
        <f t="shared" si="60"/>
        <v>PA|AccumulatedNewCapacity|RE1|PWRWNDOFS_FIX|2023</v>
      </c>
      <c r="B3854" t="s">
        <v>44</v>
      </c>
      <c r="C3854" t="s">
        <v>45</v>
      </c>
      <c r="D3854" t="s">
        <v>18</v>
      </c>
      <c r="E3854" t="s">
        <v>19</v>
      </c>
      <c r="F3854" t="s">
        <v>42</v>
      </c>
      <c r="O3854">
        <v>2023</v>
      </c>
    </row>
    <row r="3855" spans="1:15" x14ac:dyDescent="0.3">
      <c r="A3855" t="str">
        <f t="shared" si="60"/>
        <v>PA|AccumulatedNewCapacity|RE1|PWRWNDONS|2023</v>
      </c>
      <c r="B3855" t="s">
        <v>44</v>
      </c>
      <c r="C3855" t="s">
        <v>45</v>
      </c>
      <c r="D3855" t="s">
        <v>18</v>
      </c>
      <c r="E3855" t="s">
        <v>19</v>
      </c>
      <c r="F3855" t="s">
        <v>36</v>
      </c>
      <c r="O3855">
        <v>2023</v>
      </c>
    </row>
    <row r="3856" spans="1:15" x14ac:dyDescent="0.3">
      <c r="A3856" t="str">
        <f t="shared" si="60"/>
        <v>PA|NewCapacity|RE1|PWRBGS|2023</v>
      </c>
      <c r="B3856" t="s">
        <v>44</v>
      </c>
      <c r="C3856" t="s">
        <v>45</v>
      </c>
      <c r="D3856" t="s">
        <v>37</v>
      </c>
      <c r="E3856" t="s">
        <v>19</v>
      </c>
      <c r="F3856" t="s">
        <v>20</v>
      </c>
      <c r="O3856">
        <v>2023</v>
      </c>
    </row>
    <row r="3857" spans="1:15" x14ac:dyDescent="0.3">
      <c r="A3857" t="str">
        <f t="shared" si="60"/>
        <v>PA|NewCapacity|RE1|PWRCOA|2023</v>
      </c>
      <c r="B3857" t="s">
        <v>44</v>
      </c>
      <c r="C3857" t="s">
        <v>45</v>
      </c>
      <c r="D3857" t="s">
        <v>37</v>
      </c>
      <c r="E3857" t="s">
        <v>19</v>
      </c>
      <c r="F3857" t="s">
        <v>21</v>
      </c>
      <c r="O3857">
        <v>2023</v>
      </c>
    </row>
    <row r="3858" spans="1:15" x14ac:dyDescent="0.3">
      <c r="A3858" t="str">
        <f t="shared" si="60"/>
        <v>PA|NewCapacity|RE1|PWRDSL|2023</v>
      </c>
      <c r="B3858" t="s">
        <v>44</v>
      </c>
      <c r="C3858" t="s">
        <v>45</v>
      </c>
      <c r="D3858" t="s">
        <v>37</v>
      </c>
      <c r="E3858" t="s">
        <v>19</v>
      </c>
      <c r="F3858" t="s">
        <v>22</v>
      </c>
      <c r="O3858">
        <v>2023</v>
      </c>
    </row>
    <row r="3859" spans="1:15" x14ac:dyDescent="0.3">
      <c r="A3859" t="str">
        <f t="shared" si="60"/>
        <v>PA|NewCapacity|RE1|PWRFOL|2023</v>
      </c>
      <c r="B3859" t="s">
        <v>44</v>
      </c>
      <c r="C3859" t="s">
        <v>45</v>
      </c>
      <c r="D3859" t="s">
        <v>37</v>
      </c>
      <c r="E3859" t="s">
        <v>19</v>
      </c>
      <c r="F3859" t="s">
        <v>23</v>
      </c>
      <c r="O3859">
        <v>2023</v>
      </c>
    </row>
    <row r="3860" spans="1:15" x14ac:dyDescent="0.3">
      <c r="A3860" t="str">
        <f t="shared" si="60"/>
        <v>PA|NewCapacity|RE1|PWRGEO|2023</v>
      </c>
      <c r="B3860" t="s">
        <v>44</v>
      </c>
      <c r="C3860" t="s">
        <v>45</v>
      </c>
      <c r="D3860" t="s">
        <v>37</v>
      </c>
      <c r="E3860" t="s">
        <v>19</v>
      </c>
      <c r="F3860" t="s">
        <v>46</v>
      </c>
      <c r="O3860">
        <v>2023</v>
      </c>
    </row>
    <row r="3861" spans="1:15" x14ac:dyDescent="0.3">
      <c r="A3861" t="str">
        <f t="shared" si="60"/>
        <v>PA|NewCapacity|RE1|PWRHYDDAM|2023</v>
      </c>
      <c r="B3861" t="s">
        <v>44</v>
      </c>
      <c r="C3861" t="s">
        <v>45</v>
      </c>
      <c r="D3861" t="s">
        <v>37</v>
      </c>
      <c r="E3861" t="s">
        <v>19</v>
      </c>
      <c r="F3861" t="s">
        <v>24</v>
      </c>
      <c r="O3861">
        <v>2023</v>
      </c>
    </row>
    <row r="3862" spans="1:15" x14ac:dyDescent="0.3">
      <c r="A3862" t="str">
        <f t="shared" si="60"/>
        <v>PA|NewCapacity|RE1|PWRHYDROR|2023</v>
      </c>
      <c r="B3862" t="s">
        <v>44</v>
      </c>
      <c r="C3862" t="s">
        <v>45</v>
      </c>
      <c r="D3862" t="s">
        <v>37</v>
      </c>
      <c r="E3862" t="s">
        <v>19</v>
      </c>
      <c r="F3862" t="s">
        <v>25</v>
      </c>
      <c r="O3862">
        <v>2023</v>
      </c>
    </row>
    <row r="3863" spans="1:15" x14ac:dyDescent="0.3">
      <c r="A3863" t="str">
        <f t="shared" si="60"/>
        <v>PA|NewCapacity|RE1|PWRHYDROR_NDC|2023</v>
      </c>
      <c r="B3863" t="s">
        <v>44</v>
      </c>
      <c r="C3863" t="s">
        <v>45</v>
      </c>
      <c r="D3863" t="s">
        <v>37</v>
      </c>
      <c r="E3863" t="s">
        <v>19</v>
      </c>
      <c r="F3863" t="s">
        <v>26</v>
      </c>
      <c r="O3863">
        <v>2023</v>
      </c>
    </row>
    <row r="3864" spans="1:15" x14ac:dyDescent="0.3">
      <c r="A3864" t="str">
        <f t="shared" si="60"/>
        <v>PA|NewCapacity|RE1|PWRJET|2023</v>
      </c>
      <c r="B3864" t="s">
        <v>44</v>
      </c>
      <c r="C3864" t="s">
        <v>45</v>
      </c>
      <c r="D3864" t="s">
        <v>37</v>
      </c>
      <c r="E3864" t="s">
        <v>19</v>
      </c>
      <c r="F3864" t="s">
        <v>27</v>
      </c>
      <c r="O3864">
        <v>2023</v>
      </c>
    </row>
    <row r="3865" spans="1:15" x14ac:dyDescent="0.3">
      <c r="A3865" t="str">
        <f t="shared" si="60"/>
        <v>PA|NewCapacity|RE1|PWRLPG|2023</v>
      </c>
      <c r="B3865" t="s">
        <v>44</v>
      </c>
      <c r="C3865" t="s">
        <v>45</v>
      </c>
      <c r="D3865" t="s">
        <v>37</v>
      </c>
      <c r="E3865" t="s">
        <v>19</v>
      </c>
      <c r="F3865" t="s">
        <v>28</v>
      </c>
      <c r="O3865">
        <v>2023</v>
      </c>
    </row>
    <row r="3866" spans="1:15" x14ac:dyDescent="0.3">
      <c r="A3866" t="str">
        <f t="shared" si="60"/>
        <v>PA|NewCapacity|RE1|PWRNGS_CC|2023</v>
      </c>
      <c r="B3866" t="s">
        <v>44</v>
      </c>
      <c r="C3866" t="s">
        <v>45</v>
      </c>
      <c r="D3866" t="s">
        <v>37</v>
      </c>
      <c r="E3866" t="s">
        <v>19</v>
      </c>
      <c r="F3866" t="s">
        <v>29</v>
      </c>
      <c r="O3866">
        <v>2023</v>
      </c>
    </row>
    <row r="3867" spans="1:15" x14ac:dyDescent="0.3">
      <c r="A3867" t="str">
        <f t="shared" si="60"/>
        <v>PA|NewCapacity|RE1|PWRNGS_CS|2023</v>
      </c>
      <c r="B3867" t="s">
        <v>44</v>
      </c>
      <c r="C3867" t="s">
        <v>45</v>
      </c>
      <c r="D3867" t="s">
        <v>37</v>
      </c>
      <c r="E3867" t="s">
        <v>19</v>
      </c>
      <c r="F3867" t="s">
        <v>30</v>
      </c>
      <c r="O3867">
        <v>2023</v>
      </c>
    </row>
    <row r="3868" spans="1:15" x14ac:dyDescent="0.3">
      <c r="A3868" t="str">
        <f t="shared" si="60"/>
        <v>PA|NewCapacity|RE1|PWRNUC|2023</v>
      </c>
      <c r="B3868" t="s">
        <v>44</v>
      </c>
      <c r="C3868" t="s">
        <v>45</v>
      </c>
      <c r="D3868" t="s">
        <v>37</v>
      </c>
      <c r="E3868" t="s">
        <v>19</v>
      </c>
      <c r="F3868" t="s">
        <v>47</v>
      </c>
      <c r="O3868">
        <v>2023</v>
      </c>
    </row>
    <row r="3869" spans="1:15" x14ac:dyDescent="0.3">
      <c r="A3869" t="str">
        <f t="shared" si="60"/>
        <v>PA|NewCapacity|RE1|PWRSOLRTP|2023</v>
      </c>
      <c r="B3869" t="s">
        <v>44</v>
      </c>
      <c r="C3869" t="s">
        <v>45</v>
      </c>
      <c r="D3869" t="s">
        <v>37</v>
      </c>
      <c r="E3869" t="s">
        <v>19</v>
      </c>
      <c r="F3869" t="s">
        <v>31</v>
      </c>
      <c r="O3869">
        <v>2023</v>
      </c>
    </row>
    <row r="3870" spans="1:15" x14ac:dyDescent="0.3">
      <c r="A3870" t="str">
        <f t="shared" si="60"/>
        <v>PA|NewCapacity|RE1|PWRSOLRTP_ZNI|2023</v>
      </c>
      <c r="B3870" t="s">
        <v>44</v>
      </c>
      <c r="C3870" t="s">
        <v>45</v>
      </c>
      <c r="D3870" t="s">
        <v>37</v>
      </c>
      <c r="E3870" t="s">
        <v>19</v>
      </c>
      <c r="F3870" t="s">
        <v>32</v>
      </c>
      <c r="O3870">
        <v>2023</v>
      </c>
    </row>
    <row r="3871" spans="1:15" x14ac:dyDescent="0.3">
      <c r="A3871" t="str">
        <f t="shared" si="60"/>
        <v>PA|NewCapacity|RE1|PWRSOLUGE|2023</v>
      </c>
      <c r="B3871" t="s">
        <v>44</v>
      </c>
      <c r="C3871" t="s">
        <v>45</v>
      </c>
      <c r="D3871" t="s">
        <v>37</v>
      </c>
      <c r="E3871" t="s">
        <v>19</v>
      </c>
      <c r="F3871" t="s">
        <v>33</v>
      </c>
      <c r="O3871">
        <v>2023</v>
      </c>
    </row>
    <row r="3872" spans="1:15" x14ac:dyDescent="0.3">
      <c r="A3872" t="str">
        <f t="shared" si="60"/>
        <v>PA|NewCapacity|RE1|PWRSOLUPE|2023</v>
      </c>
      <c r="B3872" t="s">
        <v>44</v>
      </c>
      <c r="C3872" t="s">
        <v>45</v>
      </c>
      <c r="D3872" t="s">
        <v>37</v>
      </c>
      <c r="E3872" t="s">
        <v>19</v>
      </c>
      <c r="F3872" t="s">
        <v>34</v>
      </c>
      <c r="O3872">
        <v>2023</v>
      </c>
    </row>
    <row r="3873" spans="1:16" x14ac:dyDescent="0.3">
      <c r="A3873" t="str">
        <f t="shared" si="60"/>
        <v>PA|NewCapacity|RE1|PWRSTD|2023</v>
      </c>
      <c r="B3873" t="s">
        <v>44</v>
      </c>
      <c r="C3873" t="s">
        <v>45</v>
      </c>
      <c r="D3873" t="s">
        <v>37</v>
      </c>
      <c r="E3873" t="s">
        <v>19</v>
      </c>
      <c r="F3873" t="s">
        <v>35</v>
      </c>
      <c r="O3873">
        <v>2023</v>
      </c>
    </row>
    <row r="3874" spans="1:16" x14ac:dyDescent="0.3">
      <c r="A3874" t="str">
        <f t="shared" si="60"/>
        <v>PA|NewCapacity|RE1|PWRWNDOFS_FIX|2023</v>
      </c>
      <c r="B3874" t="s">
        <v>44</v>
      </c>
      <c r="C3874" t="s">
        <v>45</v>
      </c>
      <c r="D3874" t="s">
        <v>37</v>
      </c>
      <c r="E3874" t="s">
        <v>19</v>
      </c>
      <c r="F3874" t="s">
        <v>42</v>
      </c>
      <c r="O3874">
        <v>2023</v>
      </c>
    </row>
    <row r="3875" spans="1:16" x14ac:dyDescent="0.3">
      <c r="A3875" t="str">
        <f t="shared" si="60"/>
        <v>PA|NewCapacity|RE1|PWRWNDONS|2023</v>
      </c>
      <c r="B3875" t="s">
        <v>44</v>
      </c>
      <c r="C3875" t="s">
        <v>45</v>
      </c>
      <c r="D3875" t="s">
        <v>37</v>
      </c>
      <c r="E3875" t="s">
        <v>19</v>
      </c>
      <c r="F3875" t="s">
        <v>36</v>
      </c>
      <c r="O3875">
        <v>2023</v>
      </c>
    </row>
    <row r="3876" spans="1:16" x14ac:dyDescent="0.3">
      <c r="A3876" t="str">
        <f t="shared" si="60"/>
        <v>PA|TotalCapacityAnnual|RE1|PWRBGS|2023</v>
      </c>
      <c r="B3876" t="s">
        <v>44</v>
      </c>
      <c r="C3876" t="s">
        <v>45</v>
      </c>
      <c r="D3876" t="s">
        <v>38</v>
      </c>
      <c r="E3876" t="s">
        <v>19</v>
      </c>
      <c r="F3876" t="s">
        <v>20</v>
      </c>
      <c r="O3876">
        <v>2023</v>
      </c>
      <c r="P3876">
        <v>2.5488587520000001E-2</v>
      </c>
    </row>
    <row r="3877" spans="1:16" x14ac:dyDescent="0.3">
      <c r="A3877" t="str">
        <f t="shared" si="60"/>
        <v>PA|TotalCapacityAnnual|RE1|PWRCOA|2023</v>
      </c>
      <c r="B3877" t="s">
        <v>44</v>
      </c>
      <c r="C3877" t="s">
        <v>45</v>
      </c>
      <c r="D3877" t="s">
        <v>38</v>
      </c>
      <c r="E3877" t="s">
        <v>19</v>
      </c>
      <c r="F3877" t="s">
        <v>21</v>
      </c>
      <c r="O3877">
        <v>2023</v>
      </c>
      <c r="P3877">
        <v>51.529823999999991</v>
      </c>
    </row>
    <row r="3878" spans="1:16" x14ac:dyDescent="0.3">
      <c r="A3878" t="str">
        <f t="shared" si="60"/>
        <v>PA|TotalCapacityAnnual|RE1|PWRDSL|2023</v>
      </c>
      <c r="B3878" t="s">
        <v>44</v>
      </c>
      <c r="C3878" t="s">
        <v>45</v>
      </c>
      <c r="D3878" t="s">
        <v>38</v>
      </c>
      <c r="E3878" t="s">
        <v>19</v>
      </c>
      <c r="F3878" t="s">
        <v>22</v>
      </c>
      <c r="O3878">
        <v>2023</v>
      </c>
      <c r="P3878">
        <v>28.477008000000001</v>
      </c>
    </row>
    <row r="3879" spans="1:16" x14ac:dyDescent="0.3">
      <c r="A3879" t="str">
        <f t="shared" si="60"/>
        <v>PA|TotalCapacityAnnual|RE1|PWRFOL|2023</v>
      </c>
      <c r="B3879" t="s">
        <v>44</v>
      </c>
      <c r="C3879" t="s">
        <v>45</v>
      </c>
      <c r="D3879" t="s">
        <v>38</v>
      </c>
      <c r="E3879" t="s">
        <v>19</v>
      </c>
      <c r="F3879" t="s">
        <v>23</v>
      </c>
      <c r="O3879">
        <v>2023</v>
      </c>
      <c r="P3879">
        <v>8.3885759999999987</v>
      </c>
    </row>
    <row r="3880" spans="1:16" x14ac:dyDescent="0.3">
      <c r="A3880" t="str">
        <f t="shared" si="60"/>
        <v>PA|TotalCapacityAnnual|RE1|PWRGEO|2023</v>
      </c>
      <c r="B3880" t="s">
        <v>44</v>
      </c>
      <c r="C3880" t="s">
        <v>45</v>
      </c>
      <c r="D3880" t="s">
        <v>38</v>
      </c>
      <c r="E3880" t="s">
        <v>19</v>
      </c>
      <c r="F3880" t="s">
        <v>46</v>
      </c>
      <c r="O3880">
        <v>2023</v>
      </c>
    </row>
    <row r="3881" spans="1:16" x14ac:dyDescent="0.3">
      <c r="A3881" t="str">
        <f t="shared" si="60"/>
        <v>PA|TotalCapacityAnnual|RE1|PWRHYDDAM|2023</v>
      </c>
      <c r="B3881" t="s">
        <v>44</v>
      </c>
      <c r="C3881" t="s">
        <v>45</v>
      </c>
      <c r="D3881" t="s">
        <v>38</v>
      </c>
      <c r="E3881" t="s">
        <v>19</v>
      </c>
      <c r="F3881" t="s">
        <v>24</v>
      </c>
      <c r="O3881">
        <v>2023</v>
      </c>
      <c r="P3881">
        <v>364.808448</v>
      </c>
    </row>
    <row r="3882" spans="1:16" x14ac:dyDescent="0.3">
      <c r="A3882" t="str">
        <f t="shared" si="60"/>
        <v>PA|TotalCapacityAnnual|RE1|PWRHYDROR|2023</v>
      </c>
      <c r="B3882" t="s">
        <v>44</v>
      </c>
      <c r="C3882" t="s">
        <v>45</v>
      </c>
      <c r="D3882" t="s">
        <v>38</v>
      </c>
      <c r="E3882" t="s">
        <v>19</v>
      </c>
      <c r="F3882" t="s">
        <v>25</v>
      </c>
      <c r="O3882">
        <v>2023</v>
      </c>
      <c r="P3882">
        <v>21.097584000000001</v>
      </c>
    </row>
    <row r="3883" spans="1:16" x14ac:dyDescent="0.3">
      <c r="A3883" t="str">
        <f t="shared" si="60"/>
        <v>PA|TotalCapacityAnnual|RE1|PWRHYDROR_NDC|2023</v>
      </c>
      <c r="B3883" t="s">
        <v>44</v>
      </c>
      <c r="C3883" t="s">
        <v>45</v>
      </c>
      <c r="D3883" t="s">
        <v>38</v>
      </c>
      <c r="E3883" t="s">
        <v>19</v>
      </c>
      <c r="F3883" t="s">
        <v>26</v>
      </c>
      <c r="O3883">
        <v>2023</v>
      </c>
      <c r="P3883">
        <v>29.33311579199999</v>
      </c>
    </row>
    <row r="3884" spans="1:16" x14ac:dyDescent="0.3">
      <c r="A3884" t="str">
        <f t="shared" si="60"/>
        <v>PA|TotalCapacityAnnual|RE1|PWRJET|2023</v>
      </c>
      <c r="B3884" t="s">
        <v>44</v>
      </c>
      <c r="C3884" t="s">
        <v>45</v>
      </c>
      <c r="D3884" t="s">
        <v>38</v>
      </c>
      <c r="E3884" t="s">
        <v>19</v>
      </c>
      <c r="F3884" t="s">
        <v>27</v>
      </c>
      <c r="O3884">
        <v>2023</v>
      </c>
      <c r="P3884">
        <v>1.5768</v>
      </c>
    </row>
    <row r="3885" spans="1:16" x14ac:dyDescent="0.3">
      <c r="A3885" t="str">
        <f t="shared" si="60"/>
        <v>PA|TotalCapacityAnnual|RE1|PWRLPG|2023</v>
      </c>
      <c r="B3885" t="s">
        <v>44</v>
      </c>
      <c r="C3885" t="s">
        <v>45</v>
      </c>
      <c r="D3885" t="s">
        <v>38</v>
      </c>
      <c r="E3885" t="s">
        <v>19</v>
      </c>
      <c r="F3885" t="s">
        <v>28</v>
      </c>
      <c r="O3885">
        <v>2023</v>
      </c>
    </row>
    <row r="3886" spans="1:16" x14ac:dyDescent="0.3">
      <c r="A3886" t="str">
        <f t="shared" si="60"/>
        <v>PA|TotalCapacityAnnual|RE1|PWRNGS_CC|2023</v>
      </c>
      <c r="B3886" t="s">
        <v>44</v>
      </c>
      <c r="C3886" t="s">
        <v>45</v>
      </c>
      <c r="D3886" t="s">
        <v>38</v>
      </c>
      <c r="E3886" t="s">
        <v>19</v>
      </c>
      <c r="F3886" t="s">
        <v>29</v>
      </c>
      <c r="O3886">
        <v>2023</v>
      </c>
      <c r="P3886">
        <v>70.104500000000002</v>
      </c>
    </row>
    <row r="3887" spans="1:16" x14ac:dyDescent="0.3">
      <c r="A3887" t="str">
        <f t="shared" si="60"/>
        <v>PA|TotalCapacityAnnual|RE1|PWRNGS_CS|2023</v>
      </c>
      <c r="B3887" t="s">
        <v>44</v>
      </c>
      <c r="C3887" t="s">
        <v>45</v>
      </c>
      <c r="D3887" t="s">
        <v>38</v>
      </c>
      <c r="E3887" t="s">
        <v>19</v>
      </c>
      <c r="F3887" t="s">
        <v>30</v>
      </c>
      <c r="O3887">
        <v>2023</v>
      </c>
      <c r="P3887">
        <v>23.967359999999999</v>
      </c>
    </row>
    <row r="3888" spans="1:16" x14ac:dyDescent="0.3">
      <c r="A3888" t="str">
        <f t="shared" si="60"/>
        <v>PA|TotalCapacityAnnual|RE1|PWRNUC|2023</v>
      </c>
      <c r="B3888" t="s">
        <v>44</v>
      </c>
      <c r="C3888" t="s">
        <v>45</v>
      </c>
      <c r="D3888" t="s">
        <v>38</v>
      </c>
      <c r="E3888" t="s">
        <v>19</v>
      </c>
      <c r="F3888" t="s">
        <v>47</v>
      </c>
      <c r="O3888">
        <v>2023</v>
      </c>
    </row>
    <row r="3889" spans="1:16" x14ac:dyDescent="0.3">
      <c r="A3889" t="str">
        <f t="shared" si="60"/>
        <v>PA|TotalCapacityAnnual|RE1|PWRSOLRTP|2023</v>
      </c>
      <c r="B3889" t="s">
        <v>44</v>
      </c>
      <c r="C3889" t="s">
        <v>45</v>
      </c>
      <c r="D3889" t="s">
        <v>38</v>
      </c>
      <c r="E3889" t="s">
        <v>19</v>
      </c>
      <c r="F3889" t="s">
        <v>31</v>
      </c>
      <c r="O3889">
        <v>2023</v>
      </c>
      <c r="P3889">
        <v>6.8997654720000003</v>
      </c>
    </row>
    <row r="3890" spans="1:16" x14ac:dyDescent="0.3">
      <c r="A3890" t="str">
        <f t="shared" si="60"/>
        <v>PA|TotalCapacityAnnual|RE1|PWRSOLRTP_ZNI|2023</v>
      </c>
      <c r="B3890" t="s">
        <v>44</v>
      </c>
      <c r="C3890" t="s">
        <v>45</v>
      </c>
      <c r="D3890" t="s">
        <v>38</v>
      </c>
      <c r="E3890" t="s">
        <v>19</v>
      </c>
      <c r="F3890" t="s">
        <v>32</v>
      </c>
      <c r="O3890">
        <v>2023</v>
      </c>
      <c r="P3890">
        <v>0.46074095999999998</v>
      </c>
    </row>
    <row r="3891" spans="1:16" x14ac:dyDescent="0.3">
      <c r="A3891" t="str">
        <f t="shared" si="60"/>
        <v>PA|TotalCapacityAnnual|RE1|PWRSOLUGE|2023</v>
      </c>
      <c r="B3891" t="s">
        <v>44</v>
      </c>
      <c r="C3891" t="s">
        <v>45</v>
      </c>
      <c r="D3891" t="s">
        <v>38</v>
      </c>
      <c r="E3891" t="s">
        <v>19</v>
      </c>
      <c r="F3891" t="s">
        <v>33</v>
      </c>
      <c r="O3891">
        <v>2023</v>
      </c>
      <c r="P3891">
        <v>33.270480000000013</v>
      </c>
    </row>
    <row r="3892" spans="1:16" x14ac:dyDescent="0.3">
      <c r="A3892" t="str">
        <f t="shared" si="60"/>
        <v>PA|TotalCapacityAnnual|RE1|PWRSOLUPE|2023</v>
      </c>
      <c r="B3892" t="s">
        <v>44</v>
      </c>
      <c r="C3892" t="s">
        <v>45</v>
      </c>
      <c r="D3892" t="s">
        <v>38</v>
      </c>
      <c r="E3892" t="s">
        <v>19</v>
      </c>
      <c r="F3892" t="s">
        <v>34</v>
      </c>
      <c r="O3892">
        <v>2023</v>
      </c>
      <c r="P3892">
        <v>13.851115776</v>
      </c>
    </row>
    <row r="3893" spans="1:16" x14ac:dyDescent="0.3">
      <c r="A3893" t="str">
        <f t="shared" si="60"/>
        <v>PA|TotalCapacityAnnual|RE1|PWRSTD|2023</v>
      </c>
      <c r="B3893" t="s">
        <v>44</v>
      </c>
      <c r="C3893" t="s">
        <v>45</v>
      </c>
      <c r="D3893" t="s">
        <v>38</v>
      </c>
      <c r="E3893" t="s">
        <v>19</v>
      </c>
      <c r="F3893" t="s">
        <v>35</v>
      </c>
      <c r="O3893">
        <v>2023</v>
      </c>
      <c r="P3893">
        <v>8.163062064</v>
      </c>
    </row>
    <row r="3894" spans="1:16" x14ac:dyDescent="0.3">
      <c r="A3894" t="str">
        <f t="shared" si="60"/>
        <v>PA|TotalCapacityAnnual|RE1|PWRWNDOFS_FIX|2023</v>
      </c>
      <c r="B3894" t="s">
        <v>44</v>
      </c>
      <c r="C3894" t="s">
        <v>45</v>
      </c>
      <c r="D3894" t="s">
        <v>38</v>
      </c>
      <c r="E3894" t="s">
        <v>19</v>
      </c>
      <c r="F3894" t="s">
        <v>42</v>
      </c>
      <c r="O3894">
        <v>2023</v>
      </c>
    </row>
    <row r="3895" spans="1:16" x14ac:dyDescent="0.3">
      <c r="A3895" t="str">
        <f t="shared" si="60"/>
        <v>PA|TotalCapacityAnnual|RE1|PWRWNDONS|2023</v>
      </c>
      <c r="B3895" t="s">
        <v>44</v>
      </c>
      <c r="C3895" t="s">
        <v>45</v>
      </c>
      <c r="D3895" t="s">
        <v>38</v>
      </c>
      <c r="E3895" t="s">
        <v>19</v>
      </c>
      <c r="F3895" t="s">
        <v>36</v>
      </c>
      <c r="O3895">
        <v>2023</v>
      </c>
      <c r="P3895">
        <v>1.6468099199999999</v>
      </c>
    </row>
    <row r="3896" spans="1:16" x14ac:dyDescent="0.3">
      <c r="A3896" t="str">
        <f t="shared" si="60"/>
        <v>PA|AccumulatedNewCapacity|RE1|PWRBGS|2024</v>
      </c>
      <c r="B3896" t="s">
        <v>44</v>
      </c>
      <c r="C3896" t="s">
        <v>45</v>
      </c>
      <c r="D3896" t="s">
        <v>18</v>
      </c>
      <c r="E3896" t="s">
        <v>19</v>
      </c>
      <c r="F3896" t="s">
        <v>20</v>
      </c>
      <c r="O3896">
        <v>2024</v>
      </c>
    </row>
    <row r="3897" spans="1:16" x14ac:dyDescent="0.3">
      <c r="A3897" t="str">
        <f t="shared" si="60"/>
        <v>PA|AccumulatedNewCapacity|RE1|PWRCOA|2024</v>
      </c>
      <c r="B3897" t="s">
        <v>44</v>
      </c>
      <c r="C3897" t="s">
        <v>45</v>
      </c>
      <c r="D3897" t="s">
        <v>18</v>
      </c>
      <c r="E3897" t="s">
        <v>19</v>
      </c>
      <c r="F3897" t="s">
        <v>21</v>
      </c>
      <c r="O3897">
        <v>2024</v>
      </c>
    </row>
    <row r="3898" spans="1:16" x14ac:dyDescent="0.3">
      <c r="A3898" t="str">
        <f t="shared" si="60"/>
        <v>PA|AccumulatedNewCapacity|RE1|PWRDSL|2024</v>
      </c>
      <c r="B3898" t="s">
        <v>44</v>
      </c>
      <c r="C3898" t="s">
        <v>45</v>
      </c>
      <c r="D3898" t="s">
        <v>18</v>
      </c>
      <c r="E3898" t="s">
        <v>19</v>
      </c>
      <c r="F3898" t="s">
        <v>22</v>
      </c>
      <c r="O3898">
        <v>2024</v>
      </c>
    </row>
    <row r="3899" spans="1:16" x14ac:dyDescent="0.3">
      <c r="A3899" t="str">
        <f t="shared" si="60"/>
        <v>PA|AccumulatedNewCapacity|RE1|PWRFOL|2024</v>
      </c>
      <c r="B3899" t="s">
        <v>44</v>
      </c>
      <c r="C3899" t="s">
        <v>45</v>
      </c>
      <c r="D3899" t="s">
        <v>18</v>
      </c>
      <c r="E3899" t="s">
        <v>19</v>
      </c>
      <c r="F3899" t="s">
        <v>23</v>
      </c>
      <c r="O3899">
        <v>2024</v>
      </c>
    </row>
    <row r="3900" spans="1:16" x14ac:dyDescent="0.3">
      <c r="A3900" t="str">
        <f t="shared" si="60"/>
        <v>PA|AccumulatedNewCapacity|RE1|PWRGEO|2024</v>
      </c>
      <c r="B3900" t="s">
        <v>44</v>
      </c>
      <c r="C3900" t="s">
        <v>45</v>
      </c>
      <c r="D3900" t="s">
        <v>18</v>
      </c>
      <c r="E3900" t="s">
        <v>19</v>
      </c>
      <c r="F3900" t="s">
        <v>46</v>
      </c>
      <c r="O3900">
        <v>2024</v>
      </c>
    </row>
    <row r="3901" spans="1:16" x14ac:dyDescent="0.3">
      <c r="A3901" t="str">
        <f t="shared" si="60"/>
        <v>PA|AccumulatedNewCapacity|RE1|PWRHYDDAM|2024</v>
      </c>
      <c r="B3901" t="s">
        <v>44</v>
      </c>
      <c r="C3901" t="s">
        <v>45</v>
      </c>
      <c r="D3901" t="s">
        <v>18</v>
      </c>
      <c r="E3901" t="s">
        <v>19</v>
      </c>
      <c r="F3901" t="s">
        <v>24</v>
      </c>
      <c r="O3901">
        <v>2024</v>
      </c>
    </row>
    <row r="3902" spans="1:16" x14ac:dyDescent="0.3">
      <c r="A3902" t="str">
        <f t="shared" si="60"/>
        <v>PA|AccumulatedNewCapacity|RE1|PWRHYDROR|2024</v>
      </c>
      <c r="B3902" t="s">
        <v>44</v>
      </c>
      <c r="C3902" t="s">
        <v>45</v>
      </c>
      <c r="D3902" t="s">
        <v>18</v>
      </c>
      <c r="E3902" t="s">
        <v>19</v>
      </c>
      <c r="F3902" t="s">
        <v>25</v>
      </c>
      <c r="O3902">
        <v>2024</v>
      </c>
    </row>
    <row r="3903" spans="1:16" x14ac:dyDescent="0.3">
      <c r="A3903" t="str">
        <f t="shared" si="60"/>
        <v>PA|AccumulatedNewCapacity|RE1|PWRHYDROR_NDC|2024</v>
      </c>
      <c r="B3903" t="s">
        <v>44</v>
      </c>
      <c r="C3903" t="s">
        <v>45</v>
      </c>
      <c r="D3903" t="s">
        <v>18</v>
      </c>
      <c r="E3903" t="s">
        <v>19</v>
      </c>
      <c r="F3903" t="s">
        <v>26</v>
      </c>
      <c r="O3903">
        <v>2024</v>
      </c>
    </row>
    <row r="3904" spans="1:16" x14ac:dyDescent="0.3">
      <c r="A3904" t="str">
        <f t="shared" si="60"/>
        <v>PA|AccumulatedNewCapacity|RE1|PWRJET|2024</v>
      </c>
      <c r="B3904" t="s">
        <v>44</v>
      </c>
      <c r="C3904" t="s">
        <v>45</v>
      </c>
      <c r="D3904" t="s">
        <v>18</v>
      </c>
      <c r="E3904" t="s">
        <v>19</v>
      </c>
      <c r="F3904" t="s">
        <v>27</v>
      </c>
      <c r="O3904">
        <v>2024</v>
      </c>
    </row>
    <row r="3905" spans="1:15" x14ac:dyDescent="0.3">
      <c r="A3905" t="str">
        <f t="shared" si="60"/>
        <v>PA|AccumulatedNewCapacity|RE1|PWRLPG|2024</v>
      </c>
      <c r="B3905" t="s">
        <v>44</v>
      </c>
      <c r="C3905" t="s">
        <v>45</v>
      </c>
      <c r="D3905" t="s">
        <v>18</v>
      </c>
      <c r="E3905" t="s">
        <v>19</v>
      </c>
      <c r="F3905" t="s">
        <v>28</v>
      </c>
      <c r="O3905">
        <v>2024</v>
      </c>
    </row>
    <row r="3906" spans="1:15" x14ac:dyDescent="0.3">
      <c r="A3906" t="str">
        <f t="shared" ref="A3906:A3969" si="61">B3906&amp;"|"&amp;D3906&amp;"|"&amp;E3906&amp;"|"&amp;F3906&amp;"|"&amp;O3906</f>
        <v>PA|AccumulatedNewCapacity|RE1|PWRNGS_CC|2024</v>
      </c>
      <c r="B3906" t="s">
        <v>44</v>
      </c>
      <c r="C3906" t="s">
        <v>45</v>
      </c>
      <c r="D3906" t="s">
        <v>18</v>
      </c>
      <c r="E3906" t="s">
        <v>19</v>
      </c>
      <c r="F3906" t="s">
        <v>29</v>
      </c>
      <c r="O3906">
        <v>2024</v>
      </c>
    </row>
    <row r="3907" spans="1:15" x14ac:dyDescent="0.3">
      <c r="A3907" t="str">
        <f t="shared" si="61"/>
        <v>PA|AccumulatedNewCapacity|RE1|PWRNGS_CS|2024</v>
      </c>
      <c r="B3907" t="s">
        <v>44</v>
      </c>
      <c r="C3907" t="s">
        <v>45</v>
      </c>
      <c r="D3907" t="s">
        <v>18</v>
      </c>
      <c r="E3907" t="s">
        <v>19</v>
      </c>
      <c r="F3907" t="s">
        <v>30</v>
      </c>
      <c r="O3907">
        <v>2024</v>
      </c>
    </row>
    <row r="3908" spans="1:15" x14ac:dyDescent="0.3">
      <c r="A3908" t="str">
        <f t="shared" si="61"/>
        <v>PA|AccumulatedNewCapacity|RE1|PWRNUC|2024</v>
      </c>
      <c r="B3908" t="s">
        <v>44</v>
      </c>
      <c r="C3908" t="s">
        <v>45</v>
      </c>
      <c r="D3908" t="s">
        <v>18</v>
      </c>
      <c r="E3908" t="s">
        <v>19</v>
      </c>
      <c r="F3908" t="s">
        <v>47</v>
      </c>
      <c r="O3908">
        <v>2024</v>
      </c>
    </row>
    <row r="3909" spans="1:15" x14ac:dyDescent="0.3">
      <c r="A3909" t="str">
        <f t="shared" si="61"/>
        <v>PA|AccumulatedNewCapacity|RE1|PWRSOLRTP|2024</v>
      </c>
      <c r="B3909" t="s">
        <v>44</v>
      </c>
      <c r="C3909" t="s">
        <v>45</v>
      </c>
      <c r="D3909" t="s">
        <v>18</v>
      </c>
      <c r="E3909" t="s">
        <v>19</v>
      </c>
      <c r="F3909" t="s">
        <v>31</v>
      </c>
      <c r="O3909">
        <v>2024</v>
      </c>
    </row>
    <row r="3910" spans="1:15" x14ac:dyDescent="0.3">
      <c r="A3910" t="str">
        <f t="shared" si="61"/>
        <v>PA|AccumulatedNewCapacity|RE1|PWRSOLRTP_ZNI|2024</v>
      </c>
      <c r="B3910" t="s">
        <v>44</v>
      </c>
      <c r="C3910" t="s">
        <v>45</v>
      </c>
      <c r="D3910" t="s">
        <v>18</v>
      </c>
      <c r="E3910" t="s">
        <v>19</v>
      </c>
      <c r="F3910" t="s">
        <v>32</v>
      </c>
      <c r="O3910">
        <v>2024</v>
      </c>
    </row>
    <row r="3911" spans="1:15" x14ac:dyDescent="0.3">
      <c r="A3911" t="str">
        <f t="shared" si="61"/>
        <v>PA|AccumulatedNewCapacity|RE1|PWRSOLUGE|2024</v>
      </c>
      <c r="B3911" t="s">
        <v>44</v>
      </c>
      <c r="C3911" t="s">
        <v>45</v>
      </c>
      <c r="D3911" t="s">
        <v>18</v>
      </c>
      <c r="E3911" t="s">
        <v>19</v>
      </c>
      <c r="F3911" t="s">
        <v>33</v>
      </c>
      <c r="O3911">
        <v>2024</v>
      </c>
    </row>
    <row r="3912" spans="1:15" x14ac:dyDescent="0.3">
      <c r="A3912" t="str">
        <f t="shared" si="61"/>
        <v>PA|AccumulatedNewCapacity|RE1|PWRSOLUPE|2024</v>
      </c>
      <c r="B3912" t="s">
        <v>44</v>
      </c>
      <c r="C3912" t="s">
        <v>45</v>
      </c>
      <c r="D3912" t="s">
        <v>18</v>
      </c>
      <c r="E3912" t="s">
        <v>19</v>
      </c>
      <c r="F3912" t="s">
        <v>34</v>
      </c>
      <c r="O3912">
        <v>2024</v>
      </c>
    </row>
    <row r="3913" spans="1:15" x14ac:dyDescent="0.3">
      <c r="A3913" t="str">
        <f t="shared" si="61"/>
        <v>PA|AccumulatedNewCapacity|RE1|PWRSTD|2024</v>
      </c>
      <c r="B3913" t="s">
        <v>44</v>
      </c>
      <c r="C3913" t="s">
        <v>45</v>
      </c>
      <c r="D3913" t="s">
        <v>18</v>
      </c>
      <c r="E3913" t="s">
        <v>19</v>
      </c>
      <c r="F3913" t="s">
        <v>35</v>
      </c>
      <c r="O3913">
        <v>2024</v>
      </c>
    </row>
    <row r="3914" spans="1:15" x14ac:dyDescent="0.3">
      <c r="A3914" t="str">
        <f t="shared" si="61"/>
        <v>PA|AccumulatedNewCapacity|RE1|PWRWNDOFS_FIX|2024</v>
      </c>
      <c r="B3914" t="s">
        <v>44</v>
      </c>
      <c r="C3914" t="s">
        <v>45</v>
      </c>
      <c r="D3914" t="s">
        <v>18</v>
      </c>
      <c r="E3914" t="s">
        <v>19</v>
      </c>
      <c r="F3914" t="s">
        <v>42</v>
      </c>
      <c r="O3914">
        <v>2024</v>
      </c>
    </row>
    <row r="3915" spans="1:15" x14ac:dyDescent="0.3">
      <c r="A3915" t="str">
        <f t="shared" si="61"/>
        <v>PA|AccumulatedNewCapacity|RE1|PWRWNDONS|2024</v>
      </c>
      <c r="B3915" t="s">
        <v>44</v>
      </c>
      <c r="C3915" t="s">
        <v>45</v>
      </c>
      <c r="D3915" t="s">
        <v>18</v>
      </c>
      <c r="E3915" t="s">
        <v>19</v>
      </c>
      <c r="F3915" t="s">
        <v>36</v>
      </c>
      <c r="O3915">
        <v>2024</v>
      </c>
    </row>
    <row r="3916" spans="1:15" x14ac:dyDescent="0.3">
      <c r="A3916" t="str">
        <f t="shared" si="61"/>
        <v>PA|NewCapacity|RE1|PWRBGS|2024</v>
      </c>
      <c r="B3916" t="s">
        <v>44</v>
      </c>
      <c r="C3916" t="s">
        <v>45</v>
      </c>
      <c r="D3916" t="s">
        <v>37</v>
      </c>
      <c r="E3916" t="s">
        <v>19</v>
      </c>
      <c r="F3916" t="s">
        <v>20</v>
      </c>
      <c r="O3916">
        <v>2024</v>
      </c>
    </row>
    <row r="3917" spans="1:15" x14ac:dyDescent="0.3">
      <c r="A3917" t="str">
        <f t="shared" si="61"/>
        <v>PA|NewCapacity|RE1|PWRCOA|2024</v>
      </c>
      <c r="B3917" t="s">
        <v>44</v>
      </c>
      <c r="C3917" t="s">
        <v>45</v>
      </c>
      <c r="D3917" t="s">
        <v>37</v>
      </c>
      <c r="E3917" t="s">
        <v>19</v>
      </c>
      <c r="F3917" t="s">
        <v>21</v>
      </c>
      <c r="O3917">
        <v>2024</v>
      </c>
    </row>
    <row r="3918" spans="1:15" x14ac:dyDescent="0.3">
      <c r="A3918" t="str">
        <f t="shared" si="61"/>
        <v>PA|NewCapacity|RE1|PWRDSL|2024</v>
      </c>
      <c r="B3918" t="s">
        <v>44</v>
      </c>
      <c r="C3918" t="s">
        <v>45</v>
      </c>
      <c r="D3918" t="s">
        <v>37</v>
      </c>
      <c r="E3918" t="s">
        <v>19</v>
      </c>
      <c r="F3918" t="s">
        <v>22</v>
      </c>
      <c r="O3918">
        <v>2024</v>
      </c>
    </row>
    <row r="3919" spans="1:15" x14ac:dyDescent="0.3">
      <c r="A3919" t="str">
        <f t="shared" si="61"/>
        <v>PA|NewCapacity|RE1|PWRFOL|2024</v>
      </c>
      <c r="B3919" t="s">
        <v>44</v>
      </c>
      <c r="C3919" t="s">
        <v>45</v>
      </c>
      <c r="D3919" t="s">
        <v>37</v>
      </c>
      <c r="E3919" t="s">
        <v>19</v>
      </c>
      <c r="F3919" t="s">
        <v>23</v>
      </c>
      <c r="O3919">
        <v>2024</v>
      </c>
    </row>
    <row r="3920" spans="1:15" x14ac:dyDescent="0.3">
      <c r="A3920" t="str">
        <f t="shared" si="61"/>
        <v>PA|NewCapacity|RE1|PWRGEO|2024</v>
      </c>
      <c r="B3920" t="s">
        <v>44</v>
      </c>
      <c r="C3920" t="s">
        <v>45</v>
      </c>
      <c r="D3920" t="s">
        <v>37</v>
      </c>
      <c r="E3920" t="s">
        <v>19</v>
      </c>
      <c r="F3920" t="s">
        <v>46</v>
      </c>
      <c r="O3920">
        <v>2024</v>
      </c>
    </row>
    <row r="3921" spans="1:16" x14ac:dyDescent="0.3">
      <c r="A3921" t="str">
        <f t="shared" si="61"/>
        <v>PA|NewCapacity|RE1|PWRHYDDAM|2024</v>
      </c>
      <c r="B3921" t="s">
        <v>44</v>
      </c>
      <c r="C3921" t="s">
        <v>45</v>
      </c>
      <c r="D3921" t="s">
        <v>37</v>
      </c>
      <c r="E3921" t="s">
        <v>19</v>
      </c>
      <c r="F3921" t="s">
        <v>24</v>
      </c>
      <c r="O3921">
        <v>2024</v>
      </c>
    </row>
    <row r="3922" spans="1:16" x14ac:dyDescent="0.3">
      <c r="A3922" t="str">
        <f t="shared" si="61"/>
        <v>PA|NewCapacity|RE1|PWRHYDROR|2024</v>
      </c>
      <c r="B3922" t="s">
        <v>44</v>
      </c>
      <c r="C3922" t="s">
        <v>45</v>
      </c>
      <c r="D3922" t="s">
        <v>37</v>
      </c>
      <c r="E3922" t="s">
        <v>19</v>
      </c>
      <c r="F3922" t="s">
        <v>25</v>
      </c>
      <c r="O3922">
        <v>2024</v>
      </c>
    </row>
    <row r="3923" spans="1:16" x14ac:dyDescent="0.3">
      <c r="A3923" t="str">
        <f t="shared" si="61"/>
        <v>PA|NewCapacity|RE1|PWRHYDROR_NDC|2024</v>
      </c>
      <c r="B3923" t="s">
        <v>44</v>
      </c>
      <c r="C3923" t="s">
        <v>45</v>
      </c>
      <c r="D3923" t="s">
        <v>37</v>
      </c>
      <c r="E3923" t="s">
        <v>19</v>
      </c>
      <c r="F3923" t="s">
        <v>26</v>
      </c>
      <c r="O3923">
        <v>2024</v>
      </c>
    </row>
    <row r="3924" spans="1:16" x14ac:dyDescent="0.3">
      <c r="A3924" t="str">
        <f t="shared" si="61"/>
        <v>PA|NewCapacity|RE1|PWRJET|2024</v>
      </c>
      <c r="B3924" t="s">
        <v>44</v>
      </c>
      <c r="C3924" t="s">
        <v>45</v>
      </c>
      <c r="D3924" t="s">
        <v>37</v>
      </c>
      <c r="E3924" t="s">
        <v>19</v>
      </c>
      <c r="F3924" t="s">
        <v>27</v>
      </c>
      <c r="O3924">
        <v>2024</v>
      </c>
    </row>
    <row r="3925" spans="1:16" x14ac:dyDescent="0.3">
      <c r="A3925" t="str">
        <f t="shared" si="61"/>
        <v>PA|NewCapacity|RE1|PWRLPG|2024</v>
      </c>
      <c r="B3925" t="s">
        <v>44</v>
      </c>
      <c r="C3925" t="s">
        <v>45</v>
      </c>
      <c r="D3925" t="s">
        <v>37</v>
      </c>
      <c r="E3925" t="s">
        <v>19</v>
      </c>
      <c r="F3925" t="s">
        <v>28</v>
      </c>
      <c r="O3925">
        <v>2024</v>
      </c>
    </row>
    <row r="3926" spans="1:16" x14ac:dyDescent="0.3">
      <c r="A3926" t="str">
        <f t="shared" si="61"/>
        <v>PA|NewCapacity|RE1|PWRNGS_CC|2024</v>
      </c>
      <c r="B3926" t="s">
        <v>44</v>
      </c>
      <c r="C3926" t="s">
        <v>45</v>
      </c>
      <c r="D3926" t="s">
        <v>37</v>
      </c>
      <c r="E3926" t="s">
        <v>19</v>
      </c>
      <c r="F3926" t="s">
        <v>29</v>
      </c>
      <c r="O3926">
        <v>2024</v>
      </c>
    </row>
    <row r="3927" spans="1:16" x14ac:dyDescent="0.3">
      <c r="A3927" t="str">
        <f t="shared" si="61"/>
        <v>PA|NewCapacity|RE1|PWRNGS_CS|2024</v>
      </c>
      <c r="B3927" t="s">
        <v>44</v>
      </c>
      <c r="C3927" t="s">
        <v>45</v>
      </c>
      <c r="D3927" t="s">
        <v>37</v>
      </c>
      <c r="E3927" t="s">
        <v>19</v>
      </c>
      <c r="F3927" t="s">
        <v>30</v>
      </c>
      <c r="O3927">
        <v>2024</v>
      </c>
    </row>
    <row r="3928" spans="1:16" x14ac:dyDescent="0.3">
      <c r="A3928" t="str">
        <f t="shared" si="61"/>
        <v>PA|NewCapacity|RE1|PWRNUC|2024</v>
      </c>
      <c r="B3928" t="s">
        <v>44</v>
      </c>
      <c r="C3928" t="s">
        <v>45</v>
      </c>
      <c r="D3928" t="s">
        <v>37</v>
      </c>
      <c r="E3928" t="s">
        <v>19</v>
      </c>
      <c r="F3928" t="s">
        <v>47</v>
      </c>
      <c r="O3928">
        <v>2024</v>
      </c>
    </row>
    <row r="3929" spans="1:16" x14ac:dyDescent="0.3">
      <c r="A3929" t="str">
        <f t="shared" si="61"/>
        <v>PA|NewCapacity|RE1|PWRSOLRTP|2024</v>
      </c>
      <c r="B3929" t="s">
        <v>44</v>
      </c>
      <c r="C3929" t="s">
        <v>45</v>
      </c>
      <c r="D3929" t="s">
        <v>37</v>
      </c>
      <c r="E3929" t="s">
        <v>19</v>
      </c>
      <c r="F3929" t="s">
        <v>31</v>
      </c>
      <c r="O3929">
        <v>2024</v>
      </c>
    </row>
    <row r="3930" spans="1:16" x14ac:dyDescent="0.3">
      <c r="A3930" t="str">
        <f t="shared" si="61"/>
        <v>PA|NewCapacity|RE1|PWRSOLRTP_ZNI|2024</v>
      </c>
      <c r="B3930" t="s">
        <v>44</v>
      </c>
      <c r="C3930" t="s">
        <v>45</v>
      </c>
      <c r="D3930" t="s">
        <v>37</v>
      </c>
      <c r="E3930" t="s">
        <v>19</v>
      </c>
      <c r="F3930" t="s">
        <v>32</v>
      </c>
      <c r="O3930">
        <v>2024</v>
      </c>
    </row>
    <row r="3931" spans="1:16" x14ac:dyDescent="0.3">
      <c r="A3931" t="str">
        <f t="shared" si="61"/>
        <v>PA|NewCapacity|RE1|PWRSOLUGE|2024</v>
      </c>
      <c r="B3931" t="s">
        <v>44</v>
      </c>
      <c r="C3931" t="s">
        <v>45</v>
      </c>
      <c r="D3931" t="s">
        <v>37</v>
      </c>
      <c r="E3931" t="s">
        <v>19</v>
      </c>
      <c r="F3931" t="s">
        <v>33</v>
      </c>
      <c r="O3931">
        <v>2024</v>
      </c>
    </row>
    <row r="3932" spans="1:16" x14ac:dyDescent="0.3">
      <c r="A3932" t="str">
        <f t="shared" si="61"/>
        <v>PA|NewCapacity|RE1|PWRSOLUPE|2024</v>
      </c>
      <c r="B3932" t="s">
        <v>44</v>
      </c>
      <c r="C3932" t="s">
        <v>45</v>
      </c>
      <c r="D3932" t="s">
        <v>37</v>
      </c>
      <c r="E3932" t="s">
        <v>19</v>
      </c>
      <c r="F3932" t="s">
        <v>34</v>
      </c>
      <c r="O3932">
        <v>2024</v>
      </c>
    </row>
    <row r="3933" spans="1:16" x14ac:dyDescent="0.3">
      <c r="A3933" t="str">
        <f t="shared" si="61"/>
        <v>PA|NewCapacity|RE1|PWRSTD|2024</v>
      </c>
      <c r="B3933" t="s">
        <v>44</v>
      </c>
      <c r="C3933" t="s">
        <v>45</v>
      </c>
      <c r="D3933" t="s">
        <v>37</v>
      </c>
      <c r="E3933" t="s">
        <v>19</v>
      </c>
      <c r="F3933" t="s">
        <v>35</v>
      </c>
      <c r="O3933">
        <v>2024</v>
      </c>
    </row>
    <row r="3934" spans="1:16" x14ac:dyDescent="0.3">
      <c r="A3934" t="str">
        <f t="shared" si="61"/>
        <v>PA|NewCapacity|RE1|PWRWNDOFS_FIX|2024</v>
      </c>
      <c r="B3934" t="s">
        <v>44</v>
      </c>
      <c r="C3934" t="s">
        <v>45</v>
      </c>
      <c r="D3934" t="s">
        <v>37</v>
      </c>
      <c r="E3934" t="s">
        <v>19</v>
      </c>
      <c r="F3934" t="s">
        <v>42</v>
      </c>
      <c r="O3934">
        <v>2024</v>
      </c>
    </row>
    <row r="3935" spans="1:16" x14ac:dyDescent="0.3">
      <c r="A3935" t="str">
        <f t="shared" si="61"/>
        <v>PA|NewCapacity|RE1|PWRWNDONS|2024</v>
      </c>
      <c r="B3935" t="s">
        <v>44</v>
      </c>
      <c r="C3935" t="s">
        <v>45</v>
      </c>
      <c r="D3935" t="s">
        <v>37</v>
      </c>
      <c r="E3935" t="s">
        <v>19</v>
      </c>
      <c r="F3935" t="s">
        <v>36</v>
      </c>
      <c r="O3935">
        <v>2024</v>
      </c>
    </row>
    <row r="3936" spans="1:16" x14ac:dyDescent="0.3">
      <c r="A3936" t="str">
        <f t="shared" si="61"/>
        <v>PA|TotalCapacityAnnual|RE1|PWRBGS|2024</v>
      </c>
      <c r="B3936" t="s">
        <v>44</v>
      </c>
      <c r="C3936" t="s">
        <v>45</v>
      </c>
      <c r="D3936" t="s">
        <v>38</v>
      </c>
      <c r="E3936" t="s">
        <v>19</v>
      </c>
      <c r="F3936" t="s">
        <v>20</v>
      </c>
      <c r="O3936">
        <v>2024</v>
      </c>
      <c r="P3936">
        <v>2.5488587520000001E-2</v>
      </c>
    </row>
    <row r="3937" spans="1:16" x14ac:dyDescent="0.3">
      <c r="A3937" t="str">
        <f t="shared" si="61"/>
        <v>PA|TotalCapacityAnnual|RE1|PWRCOA|2024</v>
      </c>
      <c r="B3937" t="s">
        <v>44</v>
      </c>
      <c r="C3937" t="s">
        <v>45</v>
      </c>
      <c r="D3937" t="s">
        <v>38</v>
      </c>
      <c r="E3937" t="s">
        <v>19</v>
      </c>
      <c r="F3937" t="s">
        <v>21</v>
      </c>
      <c r="O3937">
        <v>2024</v>
      </c>
      <c r="P3937">
        <v>50.867567999999991</v>
      </c>
    </row>
    <row r="3938" spans="1:16" x14ac:dyDescent="0.3">
      <c r="A3938" t="str">
        <f t="shared" si="61"/>
        <v>PA|TotalCapacityAnnual|RE1|PWRDSL|2024</v>
      </c>
      <c r="B3938" t="s">
        <v>44</v>
      </c>
      <c r="C3938" t="s">
        <v>45</v>
      </c>
      <c r="D3938" t="s">
        <v>38</v>
      </c>
      <c r="E3938" t="s">
        <v>19</v>
      </c>
      <c r="F3938" t="s">
        <v>22</v>
      </c>
      <c r="O3938">
        <v>2024</v>
      </c>
      <c r="P3938">
        <v>28.477008000000001</v>
      </c>
    </row>
    <row r="3939" spans="1:16" x14ac:dyDescent="0.3">
      <c r="A3939" t="str">
        <f t="shared" si="61"/>
        <v>PA|TotalCapacityAnnual|RE1|PWRFOL|2024</v>
      </c>
      <c r="B3939" t="s">
        <v>44</v>
      </c>
      <c r="C3939" t="s">
        <v>45</v>
      </c>
      <c r="D3939" t="s">
        <v>38</v>
      </c>
      <c r="E3939" t="s">
        <v>19</v>
      </c>
      <c r="F3939" t="s">
        <v>23</v>
      </c>
      <c r="O3939">
        <v>2024</v>
      </c>
      <c r="P3939">
        <v>8.3885759999999987</v>
      </c>
    </row>
    <row r="3940" spans="1:16" x14ac:dyDescent="0.3">
      <c r="A3940" t="str">
        <f t="shared" si="61"/>
        <v>PA|TotalCapacityAnnual|RE1|PWRGEO|2024</v>
      </c>
      <c r="B3940" t="s">
        <v>44</v>
      </c>
      <c r="C3940" t="s">
        <v>45</v>
      </c>
      <c r="D3940" t="s">
        <v>38</v>
      </c>
      <c r="E3940" t="s">
        <v>19</v>
      </c>
      <c r="F3940" t="s">
        <v>46</v>
      </c>
      <c r="O3940">
        <v>2024</v>
      </c>
    </row>
    <row r="3941" spans="1:16" x14ac:dyDescent="0.3">
      <c r="A3941" t="str">
        <f t="shared" si="61"/>
        <v>PA|TotalCapacityAnnual|RE1|PWRHYDDAM|2024</v>
      </c>
      <c r="B3941" t="s">
        <v>44</v>
      </c>
      <c r="C3941" t="s">
        <v>45</v>
      </c>
      <c r="D3941" t="s">
        <v>38</v>
      </c>
      <c r="E3941" t="s">
        <v>19</v>
      </c>
      <c r="F3941" t="s">
        <v>24</v>
      </c>
      <c r="O3941">
        <v>2024</v>
      </c>
      <c r="P3941">
        <v>364.808448</v>
      </c>
    </row>
    <row r="3942" spans="1:16" x14ac:dyDescent="0.3">
      <c r="A3942" t="str">
        <f t="shared" si="61"/>
        <v>PA|TotalCapacityAnnual|RE1|PWRHYDROR|2024</v>
      </c>
      <c r="B3942" t="s">
        <v>44</v>
      </c>
      <c r="C3942" t="s">
        <v>45</v>
      </c>
      <c r="D3942" t="s">
        <v>38</v>
      </c>
      <c r="E3942" t="s">
        <v>19</v>
      </c>
      <c r="F3942" t="s">
        <v>25</v>
      </c>
      <c r="O3942">
        <v>2024</v>
      </c>
      <c r="P3942">
        <v>21.097584000000001</v>
      </c>
    </row>
    <row r="3943" spans="1:16" x14ac:dyDescent="0.3">
      <c r="A3943" t="str">
        <f t="shared" si="61"/>
        <v>PA|TotalCapacityAnnual|RE1|PWRHYDROR_NDC|2024</v>
      </c>
      <c r="B3943" t="s">
        <v>44</v>
      </c>
      <c r="C3943" t="s">
        <v>45</v>
      </c>
      <c r="D3943" t="s">
        <v>38</v>
      </c>
      <c r="E3943" t="s">
        <v>19</v>
      </c>
      <c r="F3943" t="s">
        <v>26</v>
      </c>
      <c r="O3943">
        <v>2024</v>
      </c>
      <c r="P3943">
        <v>29.725108271999989</v>
      </c>
    </row>
    <row r="3944" spans="1:16" x14ac:dyDescent="0.3">
      <c r="A3944" t="str">
        <f t="shared" si="61"/>
        <v>PA|TotalCapacityAnnual|RE1|PWRJET|2024</v>
      </c>
      <c r="B3944" t="s">
        <v>44</v>
      </c>
      <c r="C3944" t="s">
        <v>45</v>
      </c>
      <c r="D3944" t="s">
        <v>38</v>
      </c>
      <c r="E3944" t="s">
        <v>19</v>
      </c>
      <c r="F3944" t="s">
        <v>27</v>
      </c>
      <c r="O3944">
        <v>2024</v>
      </c>
      <c r="P3944">
        <v>1.5768</v>
      </c>
    </row>
    <row r="3945" spans="1:16" x14ac:dyDescent="0.3">
      <c r="A3945" t="str">
        <f t="shared" si="61"/>
        <v>PA|TotalCapacityAnnual|RE1|PWRLPG|2024</v>
      </c>
      <c r="B3945" t="s">
        <v>44</v>
      </c>
      <c r="C3945" t="s">
        <v>45</v>
      </c>
      <c r="D3945" t="s">
        <v>38</v>
      </c>
      <c r="E3945" t="s">
        <v>19</v>
      </c>
      <c r="F3945" t="s">
        <v>28</v>
      </c>
      <c r="O3945">
        <v>2024</v>
      </c>
      <c r="P3945">
        <v>1.639872</v>
      </c>
    </row>
    <row r="3946" spans="1:16" x14ac:dyDescent="0.3">
      <c r="A3946" t="str">
        <f t="shared" si="61"/>
        <v>PA|TotalCapacityAnnual|RE1|PWRNGS_CC|2024</v>
      </c>
      <c r="B3946" t="s">
        <v>44</v>
      </c>
      <c r="C3946" t="s">
        <v>45</v>
      </c>
      <c r="D3946" t="s">
        <v>38</v>
      </c>
      <c r="E3946" t="s">
        <v>19</v>
      </c>
      <c r="F3946" t="s">
        <v>29</v>
      </c>
      <c r="O3946">
        <v>2024</v>
      </c>
      <c r="P3946">
        <v>70.104500000000002</v>
      </c>
    </row>
    <row r="3947" spans="1:16" x14ac:dyDescent="0.3">
      <c r="A3947" t="str">
        <f t="shared" si="61"/>
        <v>PA|TotalCapacityAnnual|RE1|PWRNGS_CS|2024</v>
      </c>
      <c r="B3947" t="s">
        <v>44</v>
      </c>
      <c r="C3947" t="s">
        <v>45</v>
      </c>
      <c r="D3947" t="s">
        <v>38</v>
      </c>
      <c r="E3947" t="s">
        <v>19</v>
      </c>
      <c r="F3947" t="s">
        <v>30</v>
      </c>
      <c r="O3947">
        <v>2024</v>
      </c>
      <c r="P3947">
        <v>23.967359999999999</v>
      </c>
    </row>
    <row r="3948" spans="1:16" x14ac:dyDescent="0.3">
      <c r="A3948" t="str">
        <f t="shared" si="61"/>
        <v>PA|TotalCapacityAnnual|RE1|PWRNUC|2024</v>
      </c>
      <c r="B3948" t="s">
        <v>44</v>
      </c>
      <c r="C3948" t="s">
        <v>45</v>
      </c>
      <c r="D3948" t="s">
        <v>38</v>
      </c>
      <c r="E3948" t="s">
        <v>19</v>
      </c>
      <c r="F3948" t="s">
        <v>47</v>
      </c>
      <c r="O3948">
        <v>2024</v>
      </c>
    </row>
    <row r="3949" spans="1:16" x14ac:dyDescent="0.3">
      <c r="A3949" t="str">
        <f t="shared" si="61"/>
        <v>PA|TotalCapacityAnnual|RE1|PWRSOLRTP|2024</v>
      </c>
      <c r="B3949" t="s">
        <v>44</v>
      </c>
      <c r="C3949" t="s">
        <v>45</v>
      </c>
      <c r="D3949" t="s">
        <v>38</v>
      </c>
      <c r="E3949" t="s">
        <v>19</v>
      </c>
      <c r="F3949" t="s">
        <v>31</v>
      </c>
      <c r="O3949">
        <v>2024</v>
      </c>
      <c r="P3949">
        <v>12.221806689999999</v>
      </c>
    </row>
    <row r="3950" spans="1:16" x14ac:dyDescent="0.3">
      <c r="A3950" t="str">
        <f t="shared" si="61"/>
        <v>PA|TotalCapacityAnnual|RE1|PWRSOLRTP_ZNI|2024</v>
      </c>
      <c r="B3950" t="s">
        <v>44</v>
      </c>
      <c r="C3950" t="s">
        <v>45</v>
      </c>
      <c r="D3950" t="s">
        <v>38</v>
      </c>
      <c r="E3950" t="s">
        <v>19</v>
      </c>
      <c r="F3950" t="s">
        <v>32</v>
      </c>
      <c r="O3950">
        <v>2024</v>
      </c>
      <c r="P3950">
        <v>0.46074095999999998</v>
      </c>
    </row>
    <row r="3951" spans="1:16" x14ac:dyDescent="0.3">
      <c r="A3951" t="str">
        <f t="shared" si="61"/>
        <v>PA|TotalCapacityAnnual|RE1|PWRSOLUGE|2024</v>
      </c>
      <c r="B3951" t="s">
        <v>44</v>
      </c>
      <c r="C3951" t="s">
        <v>45</v>
      </c>
      <c r="D3951" t="s">
        <v>38</v>
      </c>
      <c r="E3951" t="s">
        <v>19</v>
      </c>
      <c r="F3951" t="s">
        <v>33</v>
      </c>
      <c r="O3951">
        <v>2024</v>
      </c>
      <c r="P3951">
        <v>43.351908480000013</v>
      </c>
    </row>
    <row r="3952" spans="1:16" x14ac:dyDescent="0.3">
      <c r="A3952" t="str">
        <f t="shared" si="61"/>
        <v>PA|TotalCapacityAnnual|RE1|PWRSOLUPE|2024</v>
      </c>
      <c r="B3952" t="s">
        <v>44</v>
      </c>
      <c r="C3952" t="s">
        <v>45</v>
      </c>
      <c r="D3952" t="s">
        <v>38</v>
      </c>
      <c r="E3952" t="s">
        <v>19</v>
      </c>
      <c r="F3952" t="s">
        <v>34</v>
      </c>
      <c r="O3952">
        <v>2024</v>
      </c>
      <c r="P3952">
        <v>25.36330104</v>
      </c>
    </row>
    <row r="3953" spans="1:16" x14ac:dyDescent="0.3">
      <c r="A3953" t="str">
        <f t="shared" si="61"/>
        <v>PA|TotalCapacityAnnual|RE1|PWRSTD|2024</v>
      </c>
      <c r="B3953" t="s">
        <v>44</v>
      </c>
      <c r="C3953" t="s">
        <v>45</v>
      </c>
      <c r="D3953" t="s">
        <v>38</v>
      </c>
      <c r="E3953" t="s">
        <v>19</v>
      </c>
      <c r="F3953" t="s">
        <v>35</v>
      </c>
      <c r="O3953">
        <v>2024</v>
      </c>
      <c r="P3953">
        <v>8.163062064</v>
      </c>
    </row>
    <row r="3954" spans="1:16" x14ac:dyDescent="0.3">
      <c r="A3954" t="str">
        <f t="shared" si="61"/>
        <v>PA|TotalCapacityAnnual|RE1|PWRWNDOFS_FIX|2024</v>
      </c>
      <c r="B3954" t="s">
        <v>44</v>
      </c>
      <c r="C3954" t="s">
        <v>45</v>
      </c>
      <c r="D3954" t="s">
        <v>38</v>
      </c>
      <c r="E3954" t="s">
        <v>19</v>
      </c>
      <c r="F3954" t="s">
        <v>42</v>
      </c>
      <c r="O3954">
        <v>2024</v>
      </c>
    </row>
    <row r="3955" spans="1:16" x14ac:dyDescent="0.3">
      <c r="A3955" t="str">
        <f t="shared" si="61"/>
        <v>PA|TotalCapacityAnnual|RE1|PWRWNDONS|2024</v>
      </c>
      <c r="B3955" t="s">
        <v>44</v>
      </c>
      <c r="C3955" t="s">
        <v>45</v>
      </c>
      <c r="D3955" t="s">
        <v>38</v>
      </c>
      <c r="E3955" t="s">
        <v>19</v>
      </c>
      <c r="F3955" t="s">
        <v>36</v>
      </c>
      <c r="O3955">
        <v>2024</v>
      </c>
      <c r="P3955">
        <v>1.0659168000000001</v>
      </c>
    </row>
    <row r="3956" spans="1:16" x14ac:dyDescent="0.3">
      <c r="A3956" t="str">
        <f t="shared" si="61"/>
        <v>PA|AccumulatedNewCapacity|RE1|PWRBGS|2025</v>
      </c>
      <c r="B3956" t="s">
        <v>44</v>
      </c>
      <c r="C3956" t="s">
        <v>45</v>
      </c>
      <c r="D3956" t="s">
        <v>18</v>
      </c>
      <c r="E3956" t="s">
        <v>19</v>
      </c>
      <c r="F3956" t="s">
        <v>20</v>
      </c>
      <c r="O3956">
        <v>2025</v>
      </c>
    </row>
    <row r="3957" spans="1:16" x14ac:dyDescent="0.3">
      <c r="A3957" t="str">
        <f t="shared" si="61"/>
        <v>PA|AccumulatedNewCapacity|RE1|PWRCOA|2025</v>
      </c>
      <c r="B3957" t="s">
        <v>44</v>
      </c>
      <c r="C3957" t="s">
        <v>45</v>
      </c>
      <c r="D3957" t="s">
        <v>18</v>
      </c>
      <c r="E3957" t="s">
        <v>19</v>
      </c>
      <c r="F3957" t="s">
        <v>21</v>
      </c>
      <c r="O3957">
        <v>2025</v>
      </c>
    </row>
    <row r="3958" spans="1:16" x14ac:dyDescent="0.3">
      <c r="A3958" t="str">
        <f t="shared" si="61"/>
        <v>PA|AccumulatedNewCapacity|RE1|PWRDSL|2025</v>
      </c>
      <c r="B3958" t="s">
        <v>44</v>
      </c>
      <c r="C3958" t="s">
        <v>45</v>
      </c>
      <c r="D3958" t="s">
        <v>18</v>
      </c>
      <c r="E3958" t="s">
        <v>19</v>
      </c>
      <c r="F3958" t="s">
        <v>22</v>
      </c>
      <c r="O3958">
        <v>2025</v>
      </c>
    </row>
    <row r="3959" spans="1:16" x14ac:dyDescent="0.3">
      <c r="A3959" t="str">
        <f t="shared" si="61"/>
        <v>PA|AccumulatedNewCapacity|RE1|PWRFOL|2025</v>
      </c>
      <c r="B3959" t="s">
        <v>44</v>
      </c>
      <c r="C3959" t="s">
        <v>45</v>
      </c>
      <c r="D3959" t="s">
        <v>18</v>
      </c>
      <c r="E3959" t="s">
        <v>19</v>
      </c>
      <c r="F3959" t="s">
        <v>23</v>
      </c>
      <c r="O3959">
        <v>2025</v>
      </c>
    </row>
    <row r="3960" spans="1:16" x14ac:dyDescent="0.3">
      <c r="A3960" t="str">
        <f t="shared" si="61"/>
        <v>PA|AccumulatedNewCapacity|RE1|PWRGEO|2025</v>
      </c>
      <c r="B3960" t="s">
        <v>44</v>
      </c>
      <c r="C3960" t="s">
        <v>45</v>
      </c>
      <c r="D3960" t="s">
        <v>18</v>
      </c>
      <c r="E3960" t="s">
        <v>19</v>
      </c>
      <c r="F3960" t="s">
        <v>46</v>
      </c>
      <c r="O3960">
        <v>2025</v>
      </c>
    </row>
    <row r="3961" spans="1:16" x14ac:dyDescent="0.3">
      <c r="A3961" t="str">
        <f t="shared" si="61"/>
        <v>PA|AccumulatedNewCapacity|RE1|PWRHYDDAM|2025</v>
      </c>
      <c r="B3961" t="s">
        <v>44</v>
      </c>
      <c r="C3961" t="s">
        <v>45</v>
      </c>
      <c r="D3961" t="s">
        <v>18</v>
      </c>
      <c r="E3961" t="s">
        <v>19</v>
      </c>
      <c r="F3961" t="s">
        <v>24</v>
      </c>
      <c r="O3961">
        <v>2025</v>
      </c>
    </row>
    <row r="3962" spans="1:16" x14ac:dyDescent="0.3">
      <c r="A3962" t="str">
        <f t="shared" si="61"/>
        <v>PA|AccumulatedNewCapacity|RE1|PWRHYDROR|2025</v>
      </c>
      <c r="B3962" t="s">
        <v>44</v>
      </c>
      <c r="C3962" t="s">
        <v>45</v>
      </c>
      <c r="D3962" t="s">
        <v>18</v>
      </c>
      <c r="E3962" t="s">
        <v>19</v>
      </c>
      <c r="F3962" t="s">
        <v>25</v>
      </c>
      <c r="O3962">
        <v>2025</v>
      </c>
    </row>
    <row r="3963" spans="1:16" x14ac:dyDescent="0.3">
      <c r="A3963" t="str">
        <f t="shared" si="61"/>
        <v>PA|AccumulatedNewCapacity|RE1|PWRHYDROR_NDC|2025</v>
      </c>
      <c r="B3963" t="s">
        <v>44</v>
      </c>
      <c r="C3963" t="s">
        <v>45</v>
      </c>
      <c r="D3963" t="s">
        <v>18</v>
      </c>
      <c r="E3963" t="s">
        <v>19</v>
      </c>
      <c r="F3963" t="s">
        <v>26</v>
      </c>
      <c r="O3963">
        <v>2025</v>
      </c>
    </row>
    <row r="3964" spans="1:16" x14ac:dyDescent="0.3">
      <c r="A3964" t="str">
        <f t="shared" si="61"/>
        <v>PA|AccumulatedNewCapacity|RE1|PWRJET|2025</v>
      </c>
      <c r="B3964" t="s">
        <v>44</v>
      </c>
      <c r="C3964" t="s">
        <v>45</v>
      </c>
      <c r="D3964" t="s">
        <v>18</v>
      </c>
      <c r="E3964" t="s">
        <v>19</v>
      </c>
      <c r="F3964" t="s">
        <v>27</v>
      </c>
      <c r="O3964">
        <v>2025</v>
      </c>
    </row>
    <row r="3965" spans="1:16" x14ac:dyDescent="0.3">
      <c r="A3965" t="str">
        <f t="shared" si="61"/>
        <v>PA|AccumulatedNewCapacity|RE1|PWRLPG|2025</v>
      </c>
      <c r="B3965" t="s">
        <v>44</v>
      </c>
      <c r="C3965" t="s">
        <v>45</v>
      </c>
      <c r="D3965" t="s">
        <v>18</v>
      </c>
      <c r="E3965" t="s">
        <v>19</v>
      </c>
      <c r="F3965" t="s">
        <v>28</v>
      </c>
      <c r="O3965">
        <v>2025</v>
      </c>
    </row>
    <row r="3966" spans="1:16" x14ac:dyDescent="0.3">
      <c r="A3966" t="str">
        <f t="shared" si="61"/>
        <v>PA|AccumulatedNewCapacity|RE1|PWRNGS_CC|2025</v>
      </c>
      <c r="B3966" t="s">
        <v>44</v>
      </c>
      <c r="C3966" t="s">
        <v>45</v>
      </c>
      <c r="D3966" t="s">
        <v>18</v>
      </c>
      <c r="E3966" t="s">
        <v>19</v>
      </c>
      <c r="F3966" t="s">
        <v>29</v>
      </c>
      <c r="O3966">
        <v>2025</v>
      </c>
    </row>
    <row r="3967" spans="1:16" x14ac:dyDescent="0.3">
      <c r="A3967" t="str">
        <f t="shared" si="61"/>
        <v>PA|AccumulatedNewCapacity|RE1|PWRNGS_CS|2025</v>
      </c>
      <c r="B3967" t="s">
        <v>44</v>
      </c>
      <c r="C3967" t="s">
        <v>45</v>
      </c>
      <c r="D3967" t="s">
        <v>18</v>
      </c>
      <c r="E3967" t="s">
        <v>19</v>
      </c>
      <c r="F3967" t="s">
        <v>30</v>
      </c>
      <c r="O3967">
        <v>2025</v>
      </c>
    </row>
    <row r="3968" spans="1:16" x14ac:dyDescent="0.3">
      <c r="A3968" t="str">
        <f t="shared" si="61"/>
        <v>PA|AccumulatedNewCapacity|RE1|PWRNUC|2025</v>
      </c>
      <c r="B3968" t="s">
        <v>44</v>
      </c>
      <c r="C3968" t="s">
        <v>45</v>
      </c>
      <c r="D3968" t="s">
        <v>18</v>
      </c>
      <c r="E3968" t="s">
        <v>19</v>
      </c>
      <c r="F3968" t="s">
        <v>47</v>
      </c>
      <c r="O3968">
        <v>2025</v>
      </c>
    </row>
    <row r="3969" spans="1:16" x14ac:dyDescent="0.3">
      <c r="A3969" t="str">
        <f t="shared" si="61"/>
        <v>PA|AccumulatedNewCapacity|RE1|PWRSOLRTP|2025</v>
      </c>
      <c r="B3969" t="s">
        <v>44</v>
      </c>
      <c r="C3969" t="s">
        <v>45</v>
      </c>
      <c r="D3969" t="s">
        <v>18</v>
      </c>
      <c r="E3969" t="s">
        <v>19</v>
      </c>
      <c r="F3969" t="s">
        <v>31</v>
      </c>
      <c r="O3969">
        <v>2025</v>
      </c>
    </row>
    <row r="3970" spans="1:16" x14ac:dyDescent="0.3">
      <c r="A3970" t="str">
        <f t="shared" ref="A3970:A4033" si="62">B3970&amp;"|"&amp;D3970&amp;"|"&amp;E3970&amp;"|"&amp;F3970&amp;"|"&amp;O3970</f>
        <v>PA|AccumulatedNewCapacity|RE1|PWRSOLRTP_ZNI|2025</v>
      </c>
      <c r="B3970" t="s">
        <v>44</v>
      </c>
      <c r="C3970" t="s">
        <v>45</v>
      </c>
      <c r="D3970" t="s">
        <v>18</v>
      </c>
      <c r="E3970" t="s">
        <v>19</v>
      </c>
      <c r="F3970" t="s">
        <v>32</v>
      </c>
      <c r="O3970">
        <v>2025</v>
      </c>
    </row>
    <row r="3971" spans="1:16" x14ac:dyDescent="0.3">
      <c r="A3971" t="str">
        <f t="shared" si="62"/>
        <v>PA|AccumulatedNewCapacity|RE1|PWRSOLUGE|2025</v>
      </c>
      <c r="B3971" t="s">
        <v>44</v>
      </c>
      <c r="C3971" t="s">
        <v>45</v>
      </c>
      <c r="D3971" t="s">
        <v>18</v>
      </c>
      <c r="E3971" t="s">
        <v>19</v>
      </c>
      <c r="F3971" t="s">
        <v>33</v>
      </c>
      <c r="O3971">
        <v>2025</v>
      </c>
      <c r="P3971">
        <v>6.717168</v>
      </c>
    </row>
    <row r="3972" spans="1:16" x14ac:dyDescent="0.3">
      <c r="A3972" t="str">
        <f t="shared" si="62"/>
        <v>PA|AccumulatedNewCapacity|RE1|PWRSOLUPE|2025</v>
      </c>
      <c r="B3972" t="s">
        <v>44</v>
      </c>
      <c r="C3972" t="s">
        <v>45</v>
      </c>
      <c r="D3972" t="s">
        <v>18</v>
      </c>
      <c r="E3972" t="s">
        <v>19</v>
      </c>
      <c r="F3972" t="s">
        <v>34</v>
      </c>
      <c r="O3972">
        <v>2025</v>
      </c>
      <c r="P3972">
        <v>5.3106623999999574</v>
      </c>
    </row>
    <row r="3973" spans="1:16" x14ac:dyDescent="0.3">
      <c r="A3973" t="str">
        <f t="shared" si="62"/>
        <v>PA|AccumulatedNewCapacity|RE1|PWRSTD|2025</v>
      </c>
      <c r="B3973" t="s">
        <v>44</v>
      </c>
      <c r="C3973" t="s">
        <v>45</v>
      </c>
      <c r="D3973" t="s">
        <v>18</v>
      </c>
      <c r="E3973" t="s">
        <v>19</v>
      </c>
      <c r="F3973" t="s">
        <v>35</v>
      </c>
      <c r="O3973">
        <v>2025</v>
      </c>
    </row>
    <row r="3974" spans="1:16" x14ac:dyDescent="0.3">
      <c r="A3974" t="str">
        <f t="shared" si="62"/>
        <v>PA|AccumulatedNewCapacity|RE1|PWRWNDOFS_FIX|2025</v>
      </c>
      <c r="B3974" t="s">
        <v>44</v>
      </c>
      <c r="C3974" t="s">
        <v>45</v>
      </c>
      <c r="D3974" t="s">
        <v>18</v>
      </c>
      <c r="E3974" t="s">
        <v>19</v>
      </c>
      <c r="F3974" t="s">
        <v>42</v>
      </c>
      <c r="O3974">
        <v>2025</v>
      </c>
    </row>
    <row r="3975" spans="1:16" x14ac:dyDescent="0.3">
      <c r="A3975" t="str">
        <f t="shared" si="62"/>
        <v>PA|AccumulatedNewCapacity|RE1|PWRWNDONS|2025</v>
      </c>
      <c r="B3975" t="s">
        <v>44</v>
      </c>
      <c r="C3975" t="s">
        <v>45</v>
      </c>
      <c r="D3975" t="s">
        <v>18</v>
      </c>
      <c r="E3975" t="s">
        <v>19</v>
      </c>
      <c r="F3975" t="s">
        <v>36</v>
      </c>
      <c r="O3975">
        <v>2025</v>
      </c>
      <c r="P3975">
        <v>0.15362331428571441</v>
      </c>
    </row>
    <row r="3976" spans="1:16" x14ac:dyDescent="0.3">
      <c r="A3976" t="str">
        <f t="shared" si="62"/>
        <v>PA|NewCapacity|RE1|PWRBGS|2025</v>
      </c>
      <c r="B3976" t="s">
        <v>44</v>
      </c>
      <c r="C3976" t="s">
        <v>45</v>
      </c>
      <c r="D3976" t="s">
        <v>37</v>
      </c>
      <c r="E3976" t="s">
        <v>19</v>
      </c>
      <c r="F3976" t="s">
        <v>20</v>
      </c>
      <c r="O3976">
        <v>2025</v>
      </c>
    </row>
    <row r="3977" spans="1:16" x14ac:dyDescent="0.3">
      <c r="A3977" t="str">
        <f t="shared" si="62"/>
        <v>PA|NewCapacity|RE1|PWRCOA|2025</v>
      </c>
      <c r="B3977" t="s">
        <v>44</v>
      </c>
      <c r="C3977" t="s">
        <v>45</v>
      </c>
      <c r="D3977" t="s">
        <v>37</v>
      </c>
      <c r="E3977" t="s">
        <v>19</v>
      </c>
      <c r="F3977" t="s">
        <v>21</v>
      </c>
      <c r="O3977">
        <v>2025</v>
      </c>
    </row>
    <row r="3978" spans="1:16" x14ac:dyDescent="0.3">
      <c r="A3978" t="str">
        <f t="shared" si="62"/>
        <v>PA|NewCapacity|RE1|PWRDSL|2025</v>
      </c>
      <c r="B3978" t="s">
        <v>44</v>
      </c>
      <c r="C3978" t="s">
        <v>45</v>
      </c>
      <c r="D3978" t="s">
        <v>37</v>
      </c>
      <c r="E3978" t="s">
        <v>19</v>
      </c>
      <c r="F3978" t="s">
        <v>22</v>
      </c>
      <c r="O3978">
        <v>2025</v>
      </c>
    </row>
    <row r="3979" spans="1:16" x14ac:dyDescent="0.3">
      <c r="A3979" t="str">
        <f t="shared" si="62"/>
        <v>PA|NewCapacity|RE1|PWRFOL|2025</v>
      </c>
      <c r="B3979" t="s">
        <v>44</v>
      </c>
      <c r="C3979" t="s">
        <v>45</v>
      </c>
      <c r="D3979" t="s">
        <v>37</v>
      </c>
      <c r="E3979" t="s">
        <v>19</v>
      </c>
      <c r="F3979" t="s">
        <v>23</v>
      </c>
      <c r="O3979">
        <v>2025</v>
      </c>
    </row>
    <row r="3980" spans="1:16" x14ac:dyDescent="0.3">
      <c r="A3980" t="str">
        <f t="shared" si="62"/>
        <v>PA|NewCapacity|RE1|PWRGEO|2025</v>
      </c>
      <c r="B3980" t="s">
        <v>44</v>
      </c>
      <c r="C3980" t="s">
        <v>45</v>
      </c>
      <c r="D3980" t="s">
        <v>37</v>
      </c>
      <c r="E3980" t="s">
        <v>19</v>
      </c>
      <c r="F3980" t="s">
        <v>46</v>
      </c>
      <c r="O3980">
        <v>2025</v>
      </c>
    </row>
    <row r="3981" spans="1:16" x14ac:dyDescent="0.3">
      <c r="A3981" t="str">
        <f t="shared" si="62"/>
        <v>PA|NewCapacity|RE1|PWRHYDDAM|2025</v>
      </c>
      <c r="B3981" t="s">
        <v>44</v>
      </c>
      <c r="C3981" t="s">
        <v>45</v>
      </c>
      <c r="D3981" t="s">
        <v>37</v>
      </c>
      <c r="E3981" t="s">
        <v>19</v>
      </c>
      <c r="F3981" t="s">
        <v>24</v>
      </c>
      <c r="O3981">
        <v>2025</v>
      </c>
    </row>
    <row r="3982" spans="1:16" x14ac:dyDescent="0.3">
      <c r="A3982" t="str">
        <f t="shared" si="62"/>
        <v>PA|NewCapacity|RE1|PWRHYDROR|2025</v>
      </c>
      <c r="B3982" t="s">
        <v>44</v>
      </c>
      <c r="C3982" t="s">
        <v>45</v>
      </c>
      <c r="D3982" t="s">
        <v>37</v>
      </c>
      <c r="E3982" t="s">
        <v>19</v>
      </c>
      <c r="F3982" t="s">
        <v>25</v>
      </c>
      <c r="O3982">
        <v>2025</v>
      </c>
    </row>
    <row r="3983" spans="1:16" x14ac:dyDescent="0.3">
      <c r="A3983" t="str">
        <f t="shared" si="62"/>
        <v>PA|NewCapacity|RE1|PWRHYDROR_NDC|2025</v>
      </c>
      <c r="B3983" t="s">
        <v>44</v>
      </c>
      <c r="C3983" t="s">
        <v>45</v>
      </c>
      <c r="D3983" t="s">
        <v>37</v>
      </c>
      <c r="E3983" t="s">
        <v>19</v>
      </c>
      <c r="F3983" t="s">
        <v>26</v>
      </c>
      <c r="O3983">
        <v>2025</v>
      </c>
    </row>
    <row r="3984" spans="1:16" x14ac:dyDescent="0.3">
      <c r="A3984" t="str">
        <f t="shared" si="62"/>
        <v>PA|NewCapacity|RE1|PWRJET|2025</v>
      </c>
      <c r="B3984" t="s">
        <v>44</v>
      </c>
      <c r="C3984" t="s">
        <v>45</v>
      </c>
      <c r="D3984" t="s">
        <v>37</v>
      </c>
      <c r="E3984" t="s">
        <v>19</v>
      </c>
      <c r="F3984" t="s">
        <v>27</v>
      </c>
      <c r="O3984">
        <v>2025</v>
      </c>
    </row>
    <row r="3985" spans="1:16" x14ac:dyDescent="0.3">
      <c r="A3985" t="str">
        <f t="shared" si="62"/>
        <v>PA|NewCapacity|RE1|PWRLPG|2025</v>
      </c>
      <c r="B3985" t="s">
        <v>44</v>
      </c>
      <c r="C3985" t="s">
        <v>45</v>
      </c>
      <c r="D3985" t="s">
        <v>37</v>
      </c>
      <c r="E3985" t="s">
        <v>19</v>
      </c>
      <c r="F3985" t="s">
        <v>28</v>
      </c>
      <c r="O3985">
        <v>2025</v>
      </c>
    </row>
    <row r="3986" spans="1:16" x14ac:dyDescent="0.3">
      <c r="A3986" t="str">
        <f t="shared" si="62"/>
        <v>PA|NewCapacity|RE1|PWRNGS_CC|2025</v>
      </c>
      <c r="B3986" t="s">
        <v>44</v>
      </c>
      <c r="C3986" t="s">
        <v>45</v>
      </c>
      <c r="D3986" t="s">
        <v>37</v>
      </c>
      <c r="E3986" t="s">
        <v>19</v>
      </c>
      <c r="F3986" t="s">
        <v>29</v>
      </c>
      <c r="O3986">
        <v>2025</v>
      </c>
    </row>
    <row r="3987" spans="1:16" x14ac:dyDescent="0.3">
      <c r="A3987" t="str">
        <f t="shared" si="62"/>
        <v>PA|NewCapacity|RE1|PWRNGS_CS|2025</v>
      </c>
      <c r="B3987" t="s">
        <v>44</v>
      </c>
      <c r="C3987" t="s">
        <v>45</v>
      </c>
      <c r="D3987" t="s">
        <v>37</v>
      </c>
      <c r="E3987" t="s">
        <v>19</v>
      </c>
      <c r="F3987" t="s">
        <v>30</v>
      </c>
      <c r="O3987">
        <v>2025</v>
      </c>
    </row>
    <row r="3988" spans="1:16" x14ac:dyDescent="0.3">
      <c r="A3988" t="str">
        <f t="shared" si="62"/>
        <v>PA|NewCapacity|RE1|PWRNUC|2025</v>
      </c>
      <c r="B3988" t="s">
        <v>44</v>
      </c>
      <c r="C3988" t="s">
        <v>45</v>
      </c>
      <c r="D3988" t="s">
        <v>37</v>
      </c>
      <c r="E3988" t="s">
        <v>19</v>
      </c>
      <c r="F3988" t="s">
        <v>47</v>
      </c>
      <c r="O3988">
        <v>2025</v>
      </c>
    </row>
    <row r="3989" spans="1:16" x14ac:dyDescent="0.3">
      <c r="A3989" t="str">
        <f t="shared" si="62"/>
        <v>PA|NewCapacity|RE1|PWRSOLRTP|2025</v>
      </c>
      <c r="B3989" t="s">
        <v>44</v>
      </c>
      <c r="C3989" t="s">
        <v>45</v>
      </c>
      <c r="D3989" t="s">
        <v>37</v>
      </c>
      <c r="E3989" t="s">
        <v>19</v>
      </c>
      <c r="F3989" t="s">
        <v>31</v>
      </c>
      <c r="O3989">
        <v>2025</v>
      </c>
    </row>
    <row r="3990" spans="1:16" x14ac:dyDescent="0.3">
      <c r="A3990" t="str">
        <f t="shared" si="62"/>
        <v>PA|NewCapacity|RE1|PWRSOLRTP_ZNI|2025</v>
      </c>
      <c r="B3990" t="s">
        <v>44</v>
      </c>
      <c r="C3990" t="s">
        <v>45</v>
      </c>
      <c r="D3990" t="s">
        <v>37</v>
      </c>
      <c r="E3990" t="s">
        <v>19</v>
      </c>
      <c r="F3990" t="s">
        <v>32</v>
      </c>
      <c r="O3990">
        <v>2025</v>
      </c>
    </row>
    <row r="3991" spans="1:16" x14ac:dyDescent="0.3">
      <c r="A3991" t="str">
        <f t="shared" si="62"/>
        <v>PA|NewCapacity|RE1|PWRSOLUGE|2025</v>
      </c>
      <c r="B3991" t="s">
        <v>44</v>
      </c>
      <c r="C3991" t="s">
        <v>45</v>
      </c>
      <c r="D3991" t="s">
        <v>37</v>
      </c>
      <c r="E3991" t="s">
        <v>19</v>
      </c>
      <c r="F3991" t="s">
        <v>33</v>
      </c>
      <c r="O3991">
        <v>2025</v>
      </c>
      <c r="P3991">
        <v>6.717168</v>
      </c>
    </row>
    <row r="3992" spans="1:16" x14ac:dyDescent="0.3">
      <c r="A3992" t="str">
        <f t="shared" si="62"/>
        <v>PA|NewCapacity|RE1|PWRSOLUPE|2025</v>
      </c>
      <c r="B3992" t="s">
        <v>44</v>
      </c>
      <c r="C3992" t="s">
        <v>45</v>
      </c>
      <c r="D3992" t="s">
        <v>37</v>
      </c>
      <c r="E3992" t="s">
        <v>19</v>
      </c>
      <c r="F3992" t="s">
        <v>34</v>
      </c>
      <c r="O3992">
        <v>2025</v>
      </c>
      <c r="P3992">
        <v>5.3106623999999574</v>
      </c>
    </row>
    <row r="3993" spans="1:16" x14ac:dyDescent="0.3">
      <c r="A3993" t="str">
        <f t="shared" si="62"/>
        <v>PA|NewCapacity|RE1|PWRSTD|2025</v>
      </c>
      <c r="B3993" t="s">
        <v>44</v>
      </c>
      <c r="C3993" t="s">
        <v>45</v>
      </c>
      <c r="D3993" t="s">
        <v>37</v>
      </c>
      <c r="E3993" t="s">
        <v>19</v>
      </c>
      <c r="F3993" t="s">
        <v>35</v>
      </c>
      <c r="O3993">
        <v>2025</v>
      </c>
    </row>
    <row r="3994" spans="1:16" x14ac:dyDescent="0.3">
      <c r="A3994" t="str">
        <f t="shared" si="62"/>
        <v>PA|NewCapacity|RE1|PWRWNDOFS_FIX|2025</v>
      </c>
      <c r="B3994" t="s">
        <v>44</v>
      </c>
      <c r="C3994" t="s">
        <v>45</v>
      </c>
      <c r="D3994" t="s">
        <v>37</v>
      </c>
      <c r="E3994" t="s">
        <v>19</v>
      </c>
      <c r="F3994" t="s">
        <v>42</v>
      </c>
      <c r="O3994">
        <v>2025</v>
      </c>
    </row>
    <row r="3995" spans="1:16" x14ac:dyDescent="0.3">
      <c r="A3995" t="str">
        <f t="shared" si="62"/>
        <v>PA|NewCapacity|RE1|PWRWNDONS|2025</v>
      </c>
      <c r="B3995" t="s">
        <v>44</v>
      </c>
      <c r="C3995" t="s">
        <v>45</v>
      </c>
      <c r="D3995" t="s">
        <v>37</v>
      </c>
      <c r="E3995" t="s">
        <v>19</v>
      </c>
      <c r="F3995" t="s">
        <v>36</v>
      </c>
      <c r="O3995">
        <v>2025</v>
      </c>
      <c r="P3995">
        <v>0.15362331428571441</v>
      </c>
    </row>
    <row r="3996" spans="1:16" x14ac:dyDescent="0.3">
      <c r="A3996" t="str">
        <f t="shared" si="62"/>
        <v>PA|TotalCapacityAnnual|RE1|PWRBGS|2025</v>
      </c>
      <c r="B3996" t="s">
        <v>44</v>
      </c>
      <c r="C3996" t="s">
        <v>45</v>
      </c>
      <c r="D3996" t="s">
        <v>38</v>
      </c>
      <c r="E3996" t="s">
        <v>19</v>
      </c>
      <c r="F3996" t="s">
        <v>20</v>
      </c>
      <c r="O3996">
        <v>2025</v>
      </c>
      <c r="P3996">
        <v>2.5488587520000001E-2</v>
      </c>
    </row>
    <row r="3997" spans="1:16" x14ac:dyDescent="0.3">
      <c r="A3997" t="str">
        <f t="shared" si="62"/>
        <v>PA|TotalCapacityAnnual|RE1|PWRCOA|2025</v>
      </c>
      <c r="B3997" t="s">
        <v>44</v>
      </c>
      <c r="C3997" t="s">
        <v>45</v>
      </c>
      <c r="D3997" t="s">
        <v>38</v>
      </c>
      <c r="E3997" t="s">
        <v>19</v>
      </c>
      <c r="F3997" t="s">
        <v>21</v>
      </c>
      <c r="O3997">
        <v>2025</v>
      </c>
      <c r="P3997">
        <v>50.867567999999991</v>
      </c>
    </row>
    <row r="3998" spans="1:16" x14ac:dyDescent="0.3">
      <c r="A3998" t="str">
        <f t="shared" si="62"/>
        <v>PA|TotalCapacityAnnual|RE1|PWRDSL|2025</v>
      </c>
      <c r="B3998" t="s">
        <v>44</v>
      </c>
      <c r="C3998" t="s">
        <v>45</v>
      </c>
      <c r="D3998" t="s">
        <v>38</v>
      </c>
      <c r="E3998" t="s">
        <v>19</v>
      </c>
      <c r="F3998" t="s">
        <v>22</v>
      </c>
      <c r="O3998">
        <v>2025</v>
      </c>
      <c r="P3998">
        <v>28.477008000000001</v>
      </c>
    </row>
    <row r="3999" spans="1:16" x14ac:dyDescent="0.3">
      <c r="A3999" t="str">
        <f t="shared" si="62"/>
        <v>PA|TotalCapacityAnnual|RE1|PWRFOL|2025</v>
      </c>
      <c r="B3999" t="s">
        <v>44</v>
      </c>
      <c r="C3999" t="s">
        <v>45</v>
      </c>
      <c r="D3999" t="s">
        <v>38</v>
      </c>
      <c r="E3999" t="s">
        <v>19</v>
      </c>
      <c r="F3999" t="s">
        <v>23</v>
      </c>
      <c r="O3999">
        <v>2025</v>
      </c>
      <c r="P3999">
        <v>8.3885759999999987</v>
      </c>
    </row>
    <row r="4000" spans="1:16" x14ac:dyDescent="0.3">
      <c r="A4000" t="str">
        <f t="shared" si="62"/>
        <v>PA|TotalCapacityAnnual|RE1|PWRGEO|2025</v>
      </c>
      <c r="B4000" t="s">
        <v>44</v>
      </c>
      <c r="C4000" t="s">
        <v>45</v>
      </c>
      <c r="D4000" t="s">
        <v>38</v>
      </c>
      <c r="E4000" t="s">
        <v>19</v>
      </c>
      <c r="F4000" t="s">
        <v>46</v>
      </c>
      <c r="O4000">
        <v>2025</v>
      </c>
    </row>
    <row r="4001" spans="1:16" x14ac:dyDescent="0.3">
      <c r="A4001" t="str">
        <f t="shared" si="62"/>
        <v>PA|TotalCapacityAnnual|RE1|PWRHYDDAM|2025</v>
      </c>
      <c r="B4001" t="s">
        <v>44</v>
      </c>
      <c r="C4001" t="s">
        <v>45</v>
      </c>
      <c r="D4001" t="s">
        <v>38</v>
      </c>
      <c r="E4001" t="s">
        <v>19</v>
      </c>
      <c r="F4001" t="s">
        <v>24</v>
      </c>
      <c r="O4001">
        <v>2025</v>
      </c>
      <c r="P4001">
        <v>364.808448</v>
      </c>
    </row>
    <row r="4002" spans="1:16" x14ac:dyDescent="0.3">
      <c r="A4002" t="str">
        <f t="shared" si="62"/>
        <v>PA|TotalCapacityAnnual|RE1|PWRHYDROR|2025</v>
      </c>
      <c r="B4002" t="s">
        <v>44</v>
      </c>
      <c r="C4002" t="s">
        <v>45</v>
      </c>
      <c r="D4002" t="s">
        <v>38</v>
      </c>
      <c r="E4002" t="s">
        <v>19</v>
      </c>
      <c r="F4002" t="s">
        <v>25</v>
      </c>
      <c r="O4002">
        <v>2025</v>
      </c>
      <c r="P4002">
        <v>21.097584000000001</v>
      </c>
    </row>
    <row r="4003" spans="1:16" x14ac:dyDescent="0.3">
      <c r="A4003" t="str">
        <f t="shared" si="62"/>
        <v>PA|TotalCapacityAnnual|RE1|PWRHYDROR_NDC|2025</v>
      </c>
      <c r="B4003" t="s">
        <v>44</v>
      </c>
      <c r="C4003" t="s">
        <v>45</v>
      </c>
      <c r="D4003" t="s">
        <v>38</v>
      </c>
      <c r="E4003" t="s">
        <v>19</v>
      </c>
      <c r="F4003" t="s">
        <v>26</v>
      </c>
      <c r="O4003">
        <v>2025</v>
      </c>
      <c r="P4003">
        <v>29.725108271999989</v>
      </c>
    </row>
    <row r="4004" spans="1:16" x14ac:dyDescent="0.3">
      <c r="A4004" t="str">
        <f t="shared" si="62"/>
        <v>PA|TotalCapacityAnnual|RE1|PWRJET|2025</v>
      </c>
      <c r="B4004" t="s">
        <v>44</v>
      </c>
      <c r="C4004" t="s">
        <v>45</v>
      </c>
      <c r="D4004" t="s">
        <v>38</v>
      </c>
      <c r="E4004" t="s">
        <v>19</v>
      </c>
      <c r="F4004" t="s">
        <v>27</v>
      </c>
      <c r="O4004">
        <v>2025</v>
      </c>
      <c r="P4004">
        <v>1.5768</v>
      </c>
    </row>
    <row r="4005" spans="1:16" x14ac:dyDescent="0.3">
      <c r="A4005" t="str">
        <f t="shared" si="62"/>
        <v>PA|TotalCapacityAnnual|RE1|PWRLPG|2025</v>
      </c>
      <c r="B4005" t="s">
        <v>44</v>
      </c>
      <c r="C4005" t="s">
        <v>45</v>
      </c>
      <c r="D4005" t="s">
        <v>38</v>
      </c>
      <c r="E4005" t="s">
        <v>19</v>
      </c>
      <c r="F4005" t="s">
        <v>28</v>
      </c>
      <c r="O4005">
        <v>2025</v>
      </c>
      <c r="P4005">
        <v>1.639872</v>
      </c>
    </row>
    <row r="4006" spans="1:16" x14ac:dyDescent="0.3">
      <c r="A4006" t="str">
        <f t="shared" si="62"/>
        <v>PA|TotalCapacityAnnual|RE1|PWRNGS_CC|2025</v>
      </c>
      <c r="B4006" t="s">
        <v>44</v>
      </c>
      <c r="C4006" t="s">
        <v>45</v>
      </c>
      <c r="D4006" t="s">
        <v>38</v>
      </c>
      <c r="E4006" t="s">
        <v>19</v>
      </c>
      <c r="F4006" t="s">
        <v>29</v>
      </c>
      <c r="O4006">
        <v>2025</v>
      </c>
      <c r="P4006">
        <v>70.104500000000002</v>
      </c>
    </row>
    <row r="4007" spans="1:16" x14ac:dyDescent="0.3">
      <c r="A4007" t="str">
        <f t="shared" si="62"/>
        <v>PA|TotalCapacityAnnual|RE1|PWRNGS_CS|2025</v>
      </c>
      <c r="B4007" t="s">
        <v>44</v>
      </c>
      <c r="C4007" t="s">
        <v>45</v>
      </c>
      <c r="D4007" t="s">
        <v>38</v>
      </c>
      <c r="E4007" t="s">
        <v>19</v>
      </c>
      <c r="F4007" t="s">
        <v>30</v>
      </c>
      <c r="O4007">
        <v>2025</v>
      </c>
      <c r="P4007">
        <v>23.967359999999999</v>
      </c>
    </row>
    <row r="4008" spans="1:16" x14ac:dyDescent="0.3">
      <c r="A4008" t="str">
        <f t="shared" si="62"/>
        <v>PA|TotalCapacityAnnual|RE1|PWRNUC|2025</v>
      </c>
      <c r="B4008" t="s">
        <v>44</v>
      </c>
      <c r="C4008" t="s">
        <v>45</v>
      </c>
      <c r="D4008" t="s">
        <v>38</v>
      </c>
      <c r="E4008" t="s">
        <v>19</v>
      </c>
      <c r="F4008" t="s">
        <v>47</v>
      </c>
      <c r="O4008">
        <v>2025</v>
      </c>
    </row>
    <row r="4009" spans="1:16" x14ac:dyDescent="0.3">
      <c r="A4009" t="str">
        <f t="shared" si="62"/>
        <v>PA|TotalCapacityAnnual|RE1|PWRSOLRTP|2025</v>
      </c>
      <c r="B4009" t="s">
        <v>44</v>
      </c>
      <c r="C4009" t="s">
        <v>45</v>
      </c>
      <c r="D4009" t="s">
        <v>38</v>
      </c>
      <c r="E4009" t="s">
        <v>19</v>
      </c>
      <c r="F4009" t="s">
        <v>31</v>
      </c>
      <c r="O4009">
        <v>2025</v>
      </c>
      <c r="P4009">
        <v>21.407262979999999</v>
      </c>
    </row>
    <row r="4010" spans="1:16" x14ac:dyDescent="0.3">
      <c r="A4010" t="str">
        <f t="shared" si="62"/>
        <v>PA|TotalCapacityAnnual|RE1|PWRSOLRTP_ZNI|2025</v>
      </c>
      <c r="B4010" t="s">
        <v>44</v>
      </c>
      <c r="C4010" t="s">
        <v>45</v>
      </c>
      <c r="D4010" t="s">
        <v>38</v>
      </c>
      <c r="E4010" t="s">
        <v>19</v>
      </c>
      <c r="F4010" t="s">
        <v>32</v>
      </c>
      <c r="O4010">
        <v>2025</v>
      </c>
      <c r="P4010">
        <v>0.46074095999999998</v>
      </c>
    </row>
    <row r="4011" spans="1:16" x14ac:dyDescent="0.3">
      <c r="A4011" t="str">
        <f t="shared" si="62"/>
        <v>PA|TotalCapacityAnnual|RE1|PWRSOLUGE|2025</v>
      </c>
      <c r="B4011" t="s">
        <v>44</v>
      </c>
      <c r="C4011" t="s">
        <v>45</v>
      </c>
      <c r="D4011" t="s">
        <v>38</v>
      </c>
      <c r="E4011" t="s">
        <v>19</v>
      </c>
      <c r="F4011" t="s">
        <v>33</v>
      </c>
      <c r="O4011">
        <v>2025</v>
      </c>
      <c r="P4011">
        <v>55.114836480000008</v>
      </c>
    </row>
    <row r="4012" spans="1:16" x14ac:dyDescent="0.3">
      <c r="A4012" t="str">
        <f t="shared" si="62"/>
        <v>PA|TotalCapacityAnnual|RE1|PWRSOLUPE|2025</v>
      </c>
      <c r="B4012" t="s">
        <v>44</v>
      </c>
      <c r="C4012" t="s">
        <v>45</v>
      </c>
      <c r="D4012" t="s">
        <v>38</v>
      </c>
      <c r="E4012" t="s">
        <v>19</v>
      </c>
      <c r="F4012" t="s">
        <v>34</v>
      </c>
      <c r="O4012">
        <v>2025</v>
      </c>
      <c r="P4012">
        <v>32.339064239999963</v>
      </c>
    </row>
    <row r="4013" spans="1:16" x14ac:dyDescent="0.3">
      <c r="A4013" t="str">
        <f t="shared" si="62"/>
        <v>PA|TotalCapacityAnnual|RE1|PWRSTD|2025</v>
      </c>
      <c r="B4013" t="s">
        <v>44</v>
      </c>
      <c r="C4013" t="s">
        <v>45</v>
      </c>
      <c r="D4013" t="s">
        <v>38</v>
      </c>
      <c r="E4013" t="s">
        <v>19</v>
      </c>
      <c r="F4013" t="s">
        <v>35</v>
      </c>
      <c r="O4013">
        <v>2025</v>
      </c>
      <c r="P4013">
        <v>8.163062064</v>
      </c>
    </row>
    <row r="4014" spans="1:16" x14ac:dyDescent="0.3">
      <c r="A4014" t="str">
        <f t="shared" si="62"/>
        <v>PA|TotalCapacityAnnual|RE1|PWRWNDOFS_FIX|2025</v>
      </c>
      <c r="B4014" t="s">
        <v>44</v>
      </c>
      <c r="C4014" t="s">
        <v>45</v>
      </c>
      <c r="D4014" t="s">
        <v>38</v>
      </c>
      <c r="E4014" t="s">
        <v>19</v>
      </c>
      <c r="F4014" t="s">
        <v>42</v>
      </c>
      <c r="O4014">
        <v>2025</v>
      </c>
    </row>
    <row r="4015" spans="1:16" x14ac:dyDescent="0.3">
      <c r="A4015" t="str">
        <f t="shared" si="62"/>
        <v>PA|TotalCapacityAnnual|RE1|PWRWNDONS|2025</v>
      </c>
      <c r="B4015" t="s">
        <v>44</v>
      </c>
      <c r="C4015" t="s">
        <v>45</v>
      </c>
      <c r="D4015" t="s">
        <v>38</v>
      </c>
      <c r="E4015" t="s">
        <v>19</v>
      </c>
      <c r="F4015" t="s">
        <v>36</v>
      </c>
      <c r="O4015">
        <v>2025</v>
      </c>
      <c r="P4015">
        <v>1.522285714285714</v>
      </c>
    </row>
    <row r="4016" spans="1:16" x14ac:dyDescent="0.3">
      <c r="A4016" t="str">
        <f t="shared" si="62"/>
        <v>PA|AccumulatedNewCapacity|RE1|PWRBGS|2026</v>
      </c>
      <c r="B4016" t="s">
        <v>44</v>
      </c>
      <c r="C4016" t="s">
        <v>45</v>
      </c>
      <c r="D4016" t="s">
        <v>18</v>
      </c>
      <c r="E4016" t="s">
        <v>19</v>
      </c>
      <c r="F4016" t="s">
        <v>20</v>
      </c>
      <c r="O4016">
        <v>2026</v>
      </c>
    </row>
    <row r="4017" spans="1:16" x14ac:dyDescent="0.3">
      <c r="A4017" t="str">
        <f t="shared" si="62"/>
        <v>PA|AccumulatedNewCapacity|RE1|PWRCOA|2026</v>
      </c>
      <c r="B4017" t="s">
        <v>44</v>
      </c>
      <c r="C4017" t="s">
        <v>45</v>
      </c>
      <c r="D4017" t="s">
        <v>18</v>
      </c>
      <c r="E4017" t="s">
        <v>19</v>
      </c>
      <c r="F4017" t="s">
        <v>21</v>
      </c>
      <c r="O4017">
        <v>2026</v>
      </c>
    </row>
    <row r="4018" spans="1:16" x14ac:dyDescent="0.3">
      <c r="A4018" t="str">
        <f t="shared" si="62"/>
        <v>PA|AccumulatedNewCapacity|RE1|PWRDSL|2026</v>
      </c>
      <c r="B4018" t="s">
        <v>44</v>
      </c>
      <c r="C4018" t="s">
        <v>45</v>
      </c>
      <c r="D4018" t="s">
        <v>18</v>
      </c>
      <c r="E4018" t="s">
        <v>19</v>
      </c>
      <c r="F4018" t="s">
        <v>22</v>
      </c>
      <c r="O4018">
        <v>2026</v>
      </c>
    </row>
    <row r="4019" spans="1:16" x14ac:dyDescent="0.3">
      <c r="A4019" t="str">
        <f t="shared" si="62"/>
        <v>PA|AccumulatedNewCapacity|RE1|PWRFOL|2026</v>
      </c>
      <c r="B4019" t="s">
        <v>44</v>
      </c>
      <c r="C4019" t="s">
        <v>45</v>
      </c>
      <c r="D4019" t="s">
        <v>18</v>
      </c>
      <c r="E4019" t="s">
        <v>19</v>
      </c>
      <c r="F4019" t="s">
        <v>23</v>
      </c>
      <c r="O4019">
        <v>2026</v>
      </c>
    </row>
    <row r="4020" spans="1:16" x14ac:dyDescent="0.3">
      <c r="A4020" t="str">
        <f t="shared" si="62"/>
        <v>PA|AccumulatedNewCapacity|RE1|PWRGEO|2026</v>
      </c>
      <c r="B4020" t="s">
        <v>44</v>
      </c>
      <c r="C4020" t="s">
        <v>45</v>
      </c>
      <c r="D4020" t="s">
        <v>18</v>
      </c>
      <c r="E4020" t="s">
        <v>19</v>
      </c>
      <c r="F4020" t="s">
        <v>46</v>
      </c>
      <c r="O4020">
        <v>2026</v>
      </c>
    </row>
    <row r="4021" spans="1:16" x14ac:dyDescent="0.3">
      <c r="A4021" t="str">
        <f t="shared" si="62"/>
        <v>PA|AccumulatedNewCapacity|RE1|PWRHYDDAM|2026</v>
      </c>
      <c r="B4021" t="s">
        <v>44</v>
      </c>
      <c r="C4021" t="s">
        <v>45</v>
      </c>
      <c r="D4021" t="s">
        <v>18</v>
      </c>
      <c r="E4021" t="s">
        <v>19</v>
      </c>
      <c r="F4021" t="s">
        <v>24</v>
      </c>
      <c r="O4021">
        <v>2026</v>
      </c>
    </row>
    <row r="4022" spans="1:16" x14ac:dyDescent="0.3">
      <c r="A4022" t="str">
        <f t="shared" si="62"/>
        <v>PA|AccumulatedNewCapacity|RE1|PWRHYDROR|2026</v>
      </c>
      <c r="B4022" t="s">
        <v>44</v>
      </c>
      <c r="C4022" t="s">
        <v>45</v>
      </c>
      <c r="D4022" t="s">
        <v>18</v>
      </c>
      <c r="E4022" t="s">
        <v>19</v>
      </c>
      <c r="F4022" t="s">
        <v>25</v>
      </c>
      <c r="O4022">
        <v>2026</v>
      </c>
    </row>
    <row r="4023" spans="1:16" x14ac:dyDescent="0.3">
      <c r="A4023" t="str">
        <f t="shared" si="62"/>
        <v>PA|AccumulatedNewCapacity|RE1|PWRHYDROR_NDC|2026</v>
      </c>
      <c r="B4023" t="s">
        <v>44</v>
      </c>
      <c r="C4023" t="s">
        <v>45</v>
      </c>
      <c r="D4023" t="s">
        <v>18</v>
      </c>
      <c r="E4023" t="s">
        <v>19</v>
      </c>
      <c r="F4023" t="s">
        <v>26</v>
      </c>
      <c r="O4023">
        <v>2026</v>
      </c>
    </row>
    <row r="4024" spans="1:16" x14ac:dyDescent="0.3">
      <c r="A4024" t="str">
        <f t="shared" si="62"/>
        <v>PA|AccumulatedNewCapacity|RE1|PWRJET|2026</v>
      </c>
      <c r="B4024" t="s">
        <v>44</v>
      </c>
      <c r="C4024" t="s">
        <v>45</v>
      </c>
      <c r="D4024" t="s">
        <v>18</v>
      </c>
      <c r="E4024" t="s">
        <v>19</v>
      </c>
      <c r="F4024" t="s">
        <v>27</v>
      </c>
      <c r="O4024">
        <v>2026</v>
      </c>
    </row>
    <row r="4025" spans="1:16" x14ac:dyDescent="0.3">
      <c r="A4025" t="str">
        <f t="shared" si="62"/>
        <v>PA|AccumulatedNewCapacity|RE1|PWRLPG|2026</v>
      </c>
      <c r="B4025" t="s">
        <v>44</v>
      </c>
      <c r="C4025" t="s">
        <v>45</v>
      </c>
      <c r="D4025" t="s">
        <v>18</v>
      </c>
      <c r="E4025" t="s">
        <v>19</v>
      </c>
      <c r="F4025" t="s">
        <v>28</v>
      </c>
      <c r="O4025">
        <v>2026</v>
      </c>
    </row>
    <row r="4026" spans="1:16" x14ac:dyDescent="0.3">
      <c r="A4026" t="str">
        <f t="shared" si="62"/>
        <v>PA|AccumulatedNewCapacity|RE1|PWRNGS_CC|2026</v>
      </c>
      <c r="B4026" t="s">
        <v>44</v>
      </c>
      <c r="C4026" t="s">
        <v>45</v>
      </c>
      <c r="D4026" t="s">
        <v>18</v>
      </c>
      <c r="E4026" t="s">
        <v>19</v>
      </c>
      <c r="F4026" t="s">
        <v>29</v>
      </c>
      <c r="O4026">
        <v>2026</v>
      </c>
    </row>
    <row r="4027" spans="1:16" x14ac:dyDescent="0.3">
      <c r="A4027" t="str">
        <f t="shared" si="62"/>
        <v>PA|AccumulatedNewCapacity|RE1|PWRNGS_CS|2026</v>
      </c>
      <c r="B4027" t="s">
        <v>44</v>
      </c>
      <c r="C4027" t="s">
        <v>45</v>
      </c>
      <c r="D4027" t="s">
        <v>18</v>
      </c>
      <c r="E4027" t="s">
        <v>19</v>
      </c>
      <c r="F4027" t="s">
        <v>30</v>
      </c>
      <c r="O4027">
        <v>2026</v>
      </c>
    </row>
    <row r="4028" spans="1:16" x14ac:dyDescent="0.3">
      <c r="A4028" t="str">
        <f t="shared" si="62"/>
        <v>PA|AccumulatedNewCapacity|RE1|PWRNUC|2026</v>
      </c>
      <c r="B4028" t="s">
        <v>44</v>
      </c>
      <c r="C4028" t="s">
        <v>45</v>
      </c>
      <c r="D4028" t="s">
        <v>18</v>
      </c>
      <c r="E4028" t="s">
        <v>19</v>
      </c>
      <c r="F4028" t="s">
        <v>47</v>
      </c>
      <c r="O4028">
        <v>2026</v>
      </c>
    </row>
    <row r="4029" spans="1:16" x14ac:dyDescent="0.3">
      <c r="A4029" t="str">
        <f t="shared" si="62"/>
        <v>PA|AccumulatedNewCapacity|RE1|PWRSOLRTP|2026</v>
      </c>
      <c r="B4029" t="s">
        <v>44</v>
      </c>
      <c r="C4029" t="s">
        <v>45</v>
      </c>
      <c r="D4029" t="s">
        <v>18</v>
      </c>
      <c r="E4029" t="s">
        <v>19</v>
      </c>
      <c r="F4029" t="s">
        <v>31</v>
      </c>
      <c r="O4029">
        <v>2026</v>
      </c>
      <c r="P4029">
        <v>8.889961953075499</v>
      </c>
    </row>
    <row r="4030" spans="1:16" x14ac:dyDescent="0.3">
      <c r="A4030" t="str">
        <f t="shared" si="62"/>
        <v>PA|AccumulatedNewCapacity|RE1|PWRSOLRTP_ZNI|2026</v>
      </c>
      <c r="B4030" t="s">
        <v>44</v>
      </c>
      <c r="C4030" t="s">
        <v>45</v>
      </c>
      <c r="D4030" t="s">
        <v>18</v>
      </c>
      <c r="E4030" t="s">
        <v>19</v>
      </c>
      <c r="F4030" t="s">
        <v>32</v>
      </c>
      <c r="O4030">
        <v>2026</v>
      </c>
    </row>
    <row r="4031" spans="1:16" x14ac:dyDescent="0.3">
      <c r="A4031" t="str">
        <f t="shared" si="62"/>
        <v>PA|AccumulatedNewCapacity|RE1|PWRSOLUGE|2026</v>
      </c>
      <c r="B4031" t="s">
        <v>44</v>
      </c>
      <c r="C4031" t="s">
        <v>45</v>
      </c>
      <c r="D4031" t="s">
        <v>18</v>
      </c>
      <c r="E4031" t="s">
        <v>19</v>
      </c>
      <c r="F4031" t="s">
        <v>33</v>
      </c>
      <c r="O4031">
        <v>2026</v>
      </c>
      <c r="P4031">
        <v>62.504351999999997</v>
      </c>
    </row>
    <row r="4032" spans="1:16" x14ac:dyDescent="0.3">
      <c r="A4032" t="str">
        <f t="shared" si="62"/>
        <v>PA|AccumulatedNewCapacity|RE1|PWRSOLUPE|2026</v>
      </c>
      <c r="B4032" t="s">
        <v>44</v>
      </c>
      <c r="C4032" t="s">
        <v>45</v>
      </c>
      <c r="D4032" t="s">
        <v>18</v>
      </c>
      <c r="E4032" t="s">
        <v>19</v>
      </c>
      <c r="F4032" t="s">
        <v>34</v>
      </c>
      <c r="O4032">
        <v>2026</v>
      </c>
      <c r="P4032">
        <v>8.6752382399999313</v>
      </c>
    </row>
    <row r="4033" spans="1:16" x14ac:dyDescent="0.3">
      <c r="A4033" t="str">
        <f t="shared" si="62"/>
        <v>PA|AccumulatedNewCapacity|RE1|PWRSTD|2026</v>
      </c>
      <c r="B4033" t="s">
        <v>44</v>
      </c>
      <c r="C4033" t="s">
        <v>45</v>
      </c>
      <c r="D4033" t="s">
        <v>18</v>
      </c>
      <c r="E4033" t="s">
        <v>19</v>
      </c>
      <c r="F4033" t="s">
        <v>35</v>
      </c>
      <c r="O4033">
        <v>2026</v>
      </c>
    </row>
    <row r="4034" spans="1:16" x14ac:dyDescent="0.3">
      <c r="A4034" t="str">
        <f t="shared" ref="A4034:A4097" si="63">B4034&amp;"|"&amp;D4034&amp;"|"&amp;E4034&amp;"|"&amp;F4034&amp;"|"&amp;O4034</f>
        <v>PA|AccumulatedNewCapacity|RE1|PWRWNDOFS_FIX|2026</v>
      </c>
      <c r="B4034" t="s">
        <v>44</v>
      </c>
      <c r="C4034" t="s">
        <v>45</v>
      </c>
      <c r="D4034" t="s">
        <v>18</v>
      </c>
      <c r="E4034" t="s">
        <v>19</v>
      </c>
      <c r="F4034" t="s">
        <v>42</v>
      </c>
      <c r="O4034">
        <v>2026</v>
      </c>
    </row>
    <row r="4035" spans="1:16" x14ac:dyDescent="0.3">
      <c r="A4035" t="str">
        <f t="shared" si="63"/>
        <v>PA|AccumulatedNewCapacity|RE1|PWRWNDONS|2026</v>
      </c>
      <c r="B4035" t="s">
        <v>44</v>
      </c>
      <c r="C4035" t="s">
        <v>45</v>
      </c>
      <c r="D4035" t="s">
        <v>18</v>
      </c>
      <c r="E4035" t="s">
        <v>19</v>
      </c>
      <c r="F4035" t="s">
        <v>36</v>
      </c>
      <c r="O4035">
        <v>2026</v>
      </c>
      <c r="P4035">
        <v>0.15362331428571441</v>
      </c>
    </row>
    <row r="4036" spans="1:16" x14ac:dyDescent="0.3">
      <c r="A4036" t="str">
        <f t="shared" si="63"/>
        <v>PA|NewCapacity|RE1|PWRBGS|2026</v>
      </c>
      <c r="B4036" t="s">
        <v>44</v>
      </c>
      <c r="C4036" t="s">
        <v>45</v>
      </c>
      <c r="D4036" t="s">
        <v>37</v>
      </c>
      <c r="E4036" t="s">
        <v>19</v>
      </c>
      <c r="F4036" t="s">
        <v>20</v>
      </c>
      <c r="O4036">
        <v>2026</v>
      </c>
    </row>
    <row r="4037" spans="1:16" x14ac:dyDescent="0.3">
      <c r="A4037" t="str">
        <f t="shared" si="63"/>
        <v>PA|NewCapacity|RE1|PWRCOA|2026</v>
      </c>
      <c r="B4037" t="s">
        <v>44</v>
      </c>
      <c r="C4037" t="s">
        <v>45</v>
      </c>
      <c r="D4037" t="s">
        <v>37</v>
      </c>
      <c r="E4037" t="s">
        <v>19</v>
      </c>
      <c r="F4037" t="s">
        <v>21</v>
      </c>
      <c r="O4037">
        <v>2026</v>
      </c>
    </row>
    <row r="4038" spans="1:16" x14ac:dyDescent="0.3">
      <c r="A4038" t="str">
        <f t="shared" si="63"/>
        <v>PA|NewCapacity|RE1|PWRDSL|2026</v>
      </c>
      <c r="B4038" t="s">
        <v>44</v>
      </c>
      <c r="C4038" t="s">
        <v>45</v>
      </c>
      <c r="D4038" t="s">
        <v>37</v>
      </c>
      <c r="E4038" t="s">
        <v>19</v>
      </c>
      <c r="F4038" t="s">
        <v>22</v>
      </c>
      <c r="O4038">
        <v>2026</v>
      </c>
    </row>
    <row r="4039" spans="1:16" x14ac:dyDescent="0.3">
      <c r="A4039" t="str">
        <f t="shared" si="63"/>
        <v>PA|NewCapacity|RE1|PWRFOL|2026</v>
      </c>
      <c r="B4039" t="s">
        <v>44</v>
      </c>
      <c r="C4039" t="s">
        <v>45</v>
      </c>
      <c r="D4039" t="s">
        <v>37</v>
      </c>
      <c r="E4039" t="s">
        <v>19</v>
      </c>
      <c r="F4039" t="s">
        <v>23</v>
      </c>
      <c r="O4039">
        <v>2026</v>
      </c>
    </row>
    <row r="4040" spans="1:16" x14ac:dyDescent="0.3">
      <c r="A4040" t="str">
        <f t="shared" si="63"/>
        <v>PA|NewCapacity|RE1|PWRGEO|2026</v>
      </c>
      <c r="B4040" t="s">
        <v>44</v>
      </c>
      <c r="C4040" t="s">
        <v>45</v>
      </c>
      <c r="D4040" t="s">
        <v>37</v>
      </c>
      <c r="E4040" t="s">
        <v>19</v>
      </c>
      <c r="F4040" t="s">
        <v>46</v>
      </c>
      <c r="O4040">
        <v>2026</v>
      </c>
    </row>
    <row r="4041" spans="1:16" x14ac:dyDescent="0.3">
      <c r="A4041" t="str">
        <f t="shared" si="63"/>
        <v>PA|NewCapacity|RE1|PWRHYDDAM|2026</v>
      </c>
      <c r="B4041" t="s">
        <v>44</v>
      </c>
      <c r="C4041" t="s">
        <v>45</v>
      </c>
      <c r="D4041" t="s">
        <v>37</v>
      </c>
      <c r="E4041" t="s">
        <v>19</v>
      </c>
      <c r="F4041" t="s">
        <v>24</v>
      </c>
      <c r="O4041">
        <v>2026</v>
      </c>
    </row>
    <row r="4042" spans="1:16" x14ac:dyDescent="0.3">
      <c r="A4042" t="str">
        <f t="shared" si="63"/>
        <v>PA|NewCapacity|RE1|PWRHYDROR|2026</v>
      </c>
      <c r="B4042" t="s">
        <v>44</v>
      </c>
      <c r="C4042" t="s">
        <v>45</v>
      </c>
      <c r="D4042" t="s">
        <v>37</v>
      </c>
      <c r="E4042" t="s">
        <v>19</v>
      </c>
      <c r="F4042" t="s">
        <v>25</v>
      </c>
      <c r="O4042">
        <v>2026</v>
      </c>
    </row>
    <row r="4043" spans="1:16" x14ac:dyDescent="0.3">
      <c r="A4043" t="str">
        <f t="shared" si="63"/>
        <v>PA|NewCapacity|RE1|PWRHYDROR_NDC|2026</v>
      </c>
      <c r="B4043" t="s">
        <v>44</v>
      </c>
      <c r="C4043" t="s">
        <v>45</v>
      </c>
      <c r="D4043" t="s">
        <v>37</v>
      </c>
      <c r="E4043" t="s">
        <v>19</v>
      </c>
      <c r="F4043" t="s">
        <v>26</v>
      </c>
      <c r="O4043">
        <v>2026</v>
      </c>
    </row>
    <row r="4044" spans="1:16" x14ac:dyDescent="0.3">
      <c r="A4044" t="str">
        <f t="shared" si="63"/>
        <v>PA|NewCapacity|RE1|PWRJET|2026</v>
      </c>
      <c r="B4044" t="s">
        <v>44</v>
      </c>
      <c r="C4044" t="s">
        <v>45</v>
      </c>
      <c r="D4044" t="s">
        <v>37</v>
      </c>
      <c r="E4044" t="s">
        <v>19</v>
      </c>
      <c r="F4044" t="s">
        <v>27</v>
      </c>
      <c r="O4044">
        <v>2026</v>
      </c>
    </row>
    <row r="4045" spans="1:16" x14ac:dyDescent="0.3">
      <c r="A4045" t="str">
        <f t="shared" si="63"/>
        <v>PA|NewCapacity|RE1|PWRLPG|2026</v>
      </c>
      <c r="B4045" t="s">
        <v>44</v>
      </c>
      <c r="C4045" t="s">
        <v>45</v>
      </c>
      <c r="D4045" t="s">
        <v>37</v>
      </c>
      <c r="E4045" t="s">
        <v>19</v>
      </c>
      <c r="F4045" t="s">
        <v>28</v>
      </c>
      <c r="O4045">
        <v>2026</v>
      </c>
    </row>
    <row r="4046" spans="1:16" x14ac:dyDescent="0.3">
      <c r="A4046" t="str">
        <f t="shared" si="63"/>
        <v>PA|NewCapacity|RE1|PWRNGS_CC|2026</v>
      </c>
      <c r="B4046" t="s">
        <v>44</v>
      </c>
      <c r="C4046" t="s">
        <v>45</v>
      </c>
      <c r="D4046" t="s">
        <v>37</v>
      </c>
      <c r="E4046" t="s">
        <v>19</v>
      </c>
      <c r="F4046" t="s">
        <v>29</v>
      </c>
      <c r="O4046">
        <v>2026</v>
      </c>
    </row>
    <row r="4047" spans="1:16" x14ac:dyDescent="0.3">
      <c r="A4047" t="str">
        <f t="shared" si="63"/>
        <v>PA|NewCapacity|RE1|PWRNGS_CS|2026</v>
      </c>
      <c r="B4047" t="s">
        <v>44</v>
      </c>
      <c r="C4047" t="s">
        <v>45</v>
      </c>
      <c r="D4047" t="s">
        <v>37</v>
      </c>
      <c r="E4047" t="s">
        <v>19</v>
      </c>
      <c r="F4047" t="s">
        <v>30</v>
      </c>
      <c r="O4047">
        <v>2026</v>
      </c>
    </row>
    <row r="4048" spans="1:16" x14ac:dyDescent="0.3">
      <c r="A4048" t="str">
        <f t="shared" si="63"/>
        <v>PA|NewCapacity|RE1|PWRNUC|2026</v>
      </c>
      <c r="B4048" t="s">
        <v>44</v>
      </c>
      <c r="C4048" t="s">
        <v>45</v>
      </c>
      <c r="D4048" t="s">
        <v>37</v>
      </c>
      <c r="E4048" t="s">
        <v>19</v>
      </c>
      <c r="F4048" t="s">
        <v>47</v>
      </c>
      <c r="O4048">
        <v>2026</v>
      </c>
    </row>
    <row r="4049" spans="1:16" x14ac:dyDescent="0.3">
      <c r="A4049" t="str">
        <f t="shared" si="63"/>
        <v>PA|NewCapacity|RE1|PWRSOLRTP|2026</v>
      </c>
      <c r="B4049" t="s">
        <v>44</v>
      </c>
      <c r="C4049" t="s">
        <v>45</v>
      </c>
      <c r="D4049" t="s">
        <v>37</v>
      </c>
      <c r="E4049" t="s">
        <v>19</v>
      </c>
      <c r="F4049" t="s">
        <v>31</v>
      </c>
      <c r="O4049">
        <v>2026</v>
      </c>
      <c r="P4049">
        <v>8.889961953075499</v>
      </c>
    </row>
    <row r="4050" spans="1:16" x14ac:dyDescent="0.3">
      <c r="A4050" t="str">
        <f t="shared" si="63"/>
        <v>PA|NewCapacity|RE1|PWRSOLRTP_ZNI|2026</v>
      </c>
      <c r="B4050" t="s">
        <v>44</v>
      </c>
      <c r="C4050" t="s">
        <v>45</v>
      </c>
      <c r="D4050" t="s">
        <v>37</v>
      </c>
      <c r="E4050" t="s">
        <v>19</v>
      </c>
      <c r="F4050" t="s">
        <v>32</v>
      </c>
      <c r="O4050">
        <v>2026</v>
      </c>
    </row>
    <row r="4051" spans="1:16" x14ac:dyDescent="0.3">
      <c r="A4051" t="str">
        <f t="shared" si="63"/>
        <v>PA|NewCapacity|RE1|PWRSOLUGE|2026</v>
      </c>
      <c r="B4051" t="s">
        <v>44</v>
      </c>
      <c r="C4051" t="s">
        <v>45</v>
      </c>
      <c r="D4051" t="s">
        <v>37</v>
      </c>
      <c r="E4051" t="s">
        <v>19</v>
      </c>
      <c r="F4051" t="s">
        <v>33</v>
      </c>
      <c r="O4051">
        <v>2026</v>
      </c>
      <c r="P4051">
        <v>55.787184000000003</v>
      </c>
    </row>
    <row r="4052" spans="1:16" x14ac:dyDescent="0.3">
      <c r="A4052" t="str">
        <f t="shared" si="63"/>
        <v>PA|NewCapacity|RE1|PWRSOLUPE|2026</v>
      </c>
      <c r="B4052" t="s">
        <v>44</v>
      </c>
      <c r="C4052" t="s">
        <v>45</v>
      </c>
      <c r="D4052" t="s">
        <v>37</v>
      </c>
      <c r="E4052" t="s">
        <v>19</v>
      </c>
      <c r="F4052" t="s">
        <v>34</v>
      </c>
      <c r="O4052">
        <v>2026</v>
      </c>
      <c r="P4052">
        <v>3.364575839999973</v>
      </c>
    </row>
    <row r="4053" spans="1:16" x14ac:dyDescent="0.3">
      <c r="A4053" t="str">
        <f t="shared" si="63"/>
        <v>PA|NewCapacity|RE1|PWRSTD|2026</v>
      </c>
      <c r="B4053" t="s">
        <v>44</v>
      </c>
      <c r="C4053" t="s">
        <v>45</v>
      </c>
      <c r="D4053" t="s">
        <v>37</v>
      </c>
      <c r="E4053" t="s">
        <v>19</v>
      </c>
      <c r="F4053" t="s">
        <v>35</v>
      </c>
      <c r="O4053">
        <v>2026</v>
      </c>
    </row>
    <row r="4054" spans="1:16" x14ac:dyDescent="0.3">
      <c r="A4054" t="str">
        <f t="shared" si="63"/>
        <v>PA|NewCapacity|RE1|PWRWNDOFS_FIX|2026</v>
      </c>
      <c r="B4054" t="s">
        <v>44</v>
      </c>
      <c r="C4054" t="s">
        <v>45</v>
      </c>
      <c r="D4054" t="s">
        <v>37</v>
      </c>
      <c r="E4054" t="s">
        <v>19</v>
      </c>
      <c r="F4054" t="s">
        <v>42</v>
      </c>
      <c r="O4054">
        <v>2026</v>
      </c>
    </row>
    <row r="4055" spans="1:16" x14ac:dyDescent="0.3">
      <c r="A4055" t="str">
        <f t="shared" si="63"/>
        <v>PA|NewCapacity|RE1|PWRWNDONS|2026</v>
      </c>
      <c r="B4055" t="s">
        <v>44</v>
      </c>
      <c r="C4055" t="s">
        <v>45</v>
      </c>
      <c r="D4055" t="s">
        <v>37</v>
      </c>
      <c r="E4055" t="s">
        <v>19</v>
      </c>
      <c r="F4055" t="s">
        <v>36</v>
      </c>
      <c r="O4055">
        <v>2026</v>
      </c>
    </row>
    <row r="4056" spans="1:16" x14ac:dyDescent="0.3">
      <c r="A4056" t="str">
        <f t="shared" si="63"/>
        <v>PA|TotalCapacityAnnual|RE1|PWRBGS|2026</v>
      </c>
      <c r="B4056" t="s">
        <v>44</v>
      </c>
      <c r="C4056" t="s">
        <v>45</v>
      </c>
      <c r="D4056" t="s">
        <v>38</v>
      </c>
      <c r="E4056" t="s">
        <v>19</v>
      </c>
      <c r="F4056" t="s">
        <v>20</v>
      </c>
      <c r="O4056">
        <v>2026</v>
      </c>
      <c r="P4056">
        <v>2.5488587520000001E-2</v>
      </c>
    </row>
    <row r="4057" spans="1:16" x14ac:dyDescent="0.3">
      <c r="A4057" t="str">
        <f t="shared" si="63"/>
        <v>PA|TotalCapacityAnnual|RE1|PWRCOA|2026</v>
      </c>
      <c r="B4057" t="s">
        <v>44</v>
      </c>
      <c r="C4057" t="s">
        <v>45</v>
      </c>
      <c r="D4057" t="s">
        <v>38</v>
      </c>
      <c r="E4057" t="s">
        <v>19</v>
      </c>
      <c r="F4057" t="s">
        <v>21</v>
      </c>
      <c r="O4057">
        <v>2026</v>
      </c>
      <c r="P4057">
        <v>50.867567999999991</v>
      </c>
    </row>
    <row r="4058" spans="1:16" x14ac:dyDescent="0.3">
      <c r="A4058" t="str">
        <f t="shared" si="63"/>
        <v>PA|TotalCapacityAnnual|RE1|PWRDSL|2026</v>
      </c>
      <c r="B4058" t="s">
        <v>44</v>
      </c>
      <c r="C4058" t="s">
        <v>45</v>
      </c>
      <c r="D4058" t="s">
        <v>38</v>
      </c>
      <c r="E4058" t="s">
        <v>19</v>
      </c>
      <c r="F4058" t="s">
        <v>22</v>
      </c>
      <c r="O4058">
        <v>2026</v>
      </c>
      <c r="P4058">
        <v>28.477008000000001</v>
      </c>
    </row>
    <row r="4059" spans="1:16" x14ac:dyDescent="0.3">
      <c r="A4059" t="str">
        <f t="shared" si="63"/>
        <v>PA|TotalCapacityAnnual|RE1|PWRFOL|2026</v>
      </c>
      <c r="B4059" t="s">
        <v>44</v>
      </c>
      <c r="C4059" t="s">
        <v>45</v>
      </c>
      <c r="D4059" t="s">
        <v>38</v>
      </c>
      <c r="E4059" t="s">
        <v>19</v>
      </c>
      <c r="F4059" t="s">
        <v>23</v>
      </c>
      <c r="O4059">
        <v>2026</v>
      </c>
      <c r="P4059">
        <v>8.3885759999999987</v>
      </c>
    </row>
    <row r="4060" spans="1:16" x14ac:dyDescent="0.3">
      <c r="A4060" t="str">
        <f t="shared" si="63"/>
        <v>PA|TotalCapacityAnnual|RE1|PWRGEO|2026</v>
      </c>
      <c r="B4060" t="s">
        <v>44</v>
      </c>
      <c r="C4060" t="s">
        <v>45</v>
      </c>
      <c r="D4060" t="s">
        <v>38</v>
      </c>
      <c r="E4060" t="s">
        <v>19</v>
      </c>
      <c r="F4060" t="s">
        <v>46</v>
      </c>
      <c r="O4060">
        <v>2026</v>
      </c>
    </row>
    <row r="4061" spans="1:16" x14ac:dyDescent="0.3">
      <c r="A4061" t="str">
        <f t="shared" si="63"/>
        <v>PA|TotalCapacityAnnual|RE1|PWRHYDDAM|2026</v>
      </c>
      <c r="B4061" t="s">
        <v>44</v>
      </c>
      <c r="C4061" t="s">
        <v>45</v>
      </c>
      <c r="D4061" t="s">
        <v>38</v>
      </c>
      <c r="E4061" t="s">
        <v>19</v>
      </c>
      <c r="F4061" t="s">
        <v>24</v>
      </c>
      <c r="O4061">
        <v>2026</v>
      </c>
      <c r="P4061">
        <v>364.808448</v>
      </c>
    </row>
    <row r="4062" spans="1:16" x14ac:dyDescent="0.3">
      <c r="A4062" t="str">
        <f t="shared" si="63"/>
        <v>PA|TotalCapacityAnnual|RE1|PWRHYDROR|2026</v>
      </c>
      <c r="B4062" t="s">
        <v>44</v>
      </c>
      <c r="C4062" t="s">
        <v>45</v>
      </c>
      <c r="D4062" t="s">
        <v>38</v>
      </c>
      <c r="E4062" t="s">
        <v>19</v>
      </c>
      <c r="F4062" t="s">
        <v>25</v>
      </c>
      <c r="O4062">
        <v>2026</v>
      </c>
      <c r="P4062">
        <v>21.097584000000001</v>
      </c>
    </row>
    <row r="4063" spans="1:16" x14ac:dyDescent="0.3">
      <c r="A4063" t="str">
        <f t="shared" si="63"/>
        <v>PA|TotalCapacityAnnual|RE1|PWRHYDROR_NDC|2026</v>
      </c>
      <c r="B4063" t="s">
        <v>44</v>
      </c>
      <c r="C4063" t="s">
        <v>45</v>
      </c>
      <c r="D4063" t="s">
        <v>38</v>
      </c>
      <c r="E4063" t="s">
        <v>19</v>
      </c>
      <c r="F4063" t="s">
        <v>26</v>
      </c>
      <c r="O4063">
        <v>2026</v>
      </c>
      <c r="P4063">
        <v>29.725108271999989</v>
      </c>
    </row>
    <row r="4064" spans="1:16" x14ac:dyDescent="0.3">
      <c r="A4064" t="str">
        <f t="shared" si="63"/>
        <v>PA|TotalCapacityAnnual|RE1|PWRJET|2026</v>
      </c>
      <c r="B4064" t="s">
        <v>44</v>
      </c>
      <c r="C4064" t="s">
        <v>45</v>
      </c>
      <c r="D4064" t="s">
        <v>38</v>
      </c>
      <c r="E4064" t="s">
        <v>19</v>
      </c>
      <c r="F4064" t="s">
        <v>27</v>
      </c>
      <c r="O4064">
        <v>2026</v>
      </c>
      <c r="P4064">
        <v>1.5768</v>
      </c>
    </row>
    <row r="4065" spans="1:16" x14ac:dyDescent="0.3">
      <c r="A4065" t="str">
        <f t="shared" si="63"/>
        <v>PA|TotalCapacityAnnual|RE1|PWRLPG|2026</v>
      </c>
      <c r="B4065" t="s">
        <v>44</v>
      </c>
      <c r="C4065" t="s">
        <v>45</v>
      </c>
      <c r="D4065" t="s">
        <v>38</v>
      </c>
      <c r="E4065" t="s">
        <v>19</v>
      </c>
      <c r="F4065" t="s">
        <v>28</v>
      </c>
      <c r="O4065">
        <v>2026</v>
      </c>
      <c r="P4065">
        <v>1.639872</v>
      </c>
    </row>
    <row r="4066" spans="1:16" x14ac:dyDescent="0.3">
      <c r="A4066" t="str">
        <f t="shared" si="63"/>
        <v>PA|TotalCapacityAnnual|RE1|PWRNGS_CC|2026</v>
      </c>
      <c r="B4066" t="s">
        <v>44</v>
      </c>
      <c r="C4066" t="s">
        <v>45</v>
      </c>
      <c r="D4066" t="s">
        <v>38</v>
      </c>
      <c r="E4066" t="s">
        <v>19</v>
      </c>
      <c r="F4066" t="s">
        <v>29</v>
      </c>
      <c r="O4066">
        <v>2026</v>
      </c>
      <c r="P4066">
        <v>70.104500000000002</v>
      </c>
    </row>
    <row r="4067" spans="1:16" x14ac:dyDescent="0.3">
      <c r="A4067" t="str">
        <f t="shared" si="63"/>
        <v>PA|TotalCapacityAnnual|RE1|PWRNGS_CS|2026</v>
      </c>
      <c r="B4067" t="s">
        <v>44</v>
      </c>
      <c r="C4067" t="s">
        <v>45</v>
      </c>
      <c r="D4067" t="s">
        <v>38</v>
      </c>
      <c r="E4067" t="s">
        <v>19</v>
      </c>
      <c r="F4067" t="s">
        <v>30</v>
      </c>
      <c r="O4067">
        <v>2026</v>
      </c>
      <c r="P4067">
        <v>23.967359999999999</v>
      </c>
    </row>
    <row r="4068" spans="1:16" x14ac:dyDescent="0.3">
      <c r="A4068" t="str">
        <f t="shared" si="63"/>
        <v>PA|TotalCapacityAnnual|RE1|PWRNUC|2026</v>
      </c>
      <c r="B4068" t="s">
        <v>44</v>
      </c>
      <c r="C4068" t="s">
        <v>45</v>
      </c>
      <c r="D4068" t="s">
        <v>38</v>
      </c>
      <c r="E4068" t="s">
        <v>19</v>
      </c>
      <c r="F4068" t="s">
        <v>47</v>
      </c>
      <c r="O4068">
        <v>2026</v>
      </c>
    </row>
    <row r="4069" spans="1:16" x14ac:dyDescent="0.3">
      <c r="A4069" t="str">
        <f t="shared" si="63"/>
        <v>PA|TotalCapacityAnnual|RE1|PWRSOLRTP|2026</v>
      </c>
      <c r="B4069" t="s">
        <v>44</v>
      </c>
      <c r="C4069" t="s">
        <v>45</v>
      </c>
      <c r="D4069" t="s">
        <v>38</v>
      </c>
      <c r="E4069" t="s">
        <v>19</v>
      </c>
      <c r="F4069" t="s">
        <v>31</v>
      </c>
      <c r="O4069">
        <v>2026</v>
      </c>
      <c r="P4069">
        <v>32.174061953075487</v>
      </c>
    </row>
    <row r="4070" spans="1:16" x14ac:dyDescent="0.3">
      <c r="A4070" t="str">
        <f t="shared" si="63"/>
        <v>PA|TotalCapacityAnnual|RE1|PWRSOLRTP_ZNI|2026</v>
      </c>
      <c r="B4070" t="s">
        <v>44</v>
      </c>
      <c r="C4070" t="s">
        <v>45</v>
      </c>
      <c r="D4070" t="s">
        <v>38</v>
      </c>
      <c r="E4070" t="s">
        <v>19</v>
      </c>
      <c r="F4070" t="s">
        <v>32</v>
      </c>
      <c r="O4070">
        <v>2026</v>
      </c>
      <c r="P4070">
        <v>0.46074095999999998</v>
      </c>
    </row>
    <row r="4071" spans="1:16" x14ac:dyDescent="0.3">
      <c r="A4071" t="str">
        <f t="shared" si="63"/>
        <v>PA|TotalCapacityAnnual|RE1|PWRSOLUGE|2026</v>
      </c>
      <c r="B4071" t="s">
        <v>44</v>
      </c>
      <c r="C4071" t="s">
        <v>45</v>
      </c>
      <c r="D4071" t="s">
        <v>38</v>
      </c>
      <c r="E4071" t="s">
        <v>19</v>
      </c>
      <c r="F4071" t="s">
        <v>33</v>
      </c>
      <c r="O4071">
        <v>2026</v>
      </c>
      <c r="P4071">
        <v>110.90202048</v>
      </c>
    </row>
    <row r="4072" spans="1:16" x14ac:dyDescent="0.3">
      <c r="A4072" t="str">
        <f t="shared" si="63"/>
        <v>PA|TotalCapacityAnnual|RE1|PWRSOLUPE|2026</v>
      </c>
      <c r="B4072" t="s">
        <v>44</v>
      </c>
      <c r="C4072" t="s">
        <v>45</v>
      </c>
      <c r="D4072" t="s">
        <v>38</v>
      </c>
      <c r="E4072" t="s">
        <v>19</v>
      </c>
      <c r="F4072" t="s">
        <v>34</v>
      </c>
      <c r="O4072">
        <v>2026</v>
      </c>
      <c r="P4072">
        <v>35.703640079999929</v>
      </c>
    </row>
    <row r="4073" spans="1:16" x14ac:dyDescent="0.3">
      <c r="A4073" t="str">
        <f t="shared" si="63"/>
        <v>PA|TotalCapacityAnnual|RE1|PWRSTD|2026</v>
      </c>
      <c r="B4073" t="s">
        <v>44</v>
      </c>
      <c r="C4073" t="s">
        <v>45</v>
      </c>
      <c r="D4073" t="s">
        <v>38</v>
      </c>
      <c r="E4073" t="s">
        <v>19</v>
      </c>
      <c r="F4073" t="s">
        <v>35</v>
      </c>
      <c r="O4073">
        <v>2026</v>
      </c>
      <c r="P4073">
        <v>8.163062064</v>
      </c>
    </row>
    <row r="4074" spans="1:16" x14ac:dyDescent="0.3">
      <c r="A4074" t="str">
        <f t="shared" si="63"/>
        <v>PA|TotalCapacityAnnual|RE1|PWRWNDOFS_FIX|2026</v>
      </c>
      <c r="B4074" t="s">
        <v>44</v>
      </c>
      <c r="C4074" t="s">
        <v>45</v>
      </c>
      <c r="D4074" t="s">
        <v>38</v>
      </c>
      <c r="E4074" t="s">
        <v>19</v>
      </c>
      <c r="F4074" t="s">
        <v>42</v>
      </c>
      <c r="O4074">
        <v>2026</v>
      </c>
    </row>
    <row r="4075" spans="1:16" x14ac:dyDescent="0.3">
      <c r="A4075" t="str">
        <f t="shared" si="63"/>
        <v>PA|TotalCapacityAnnual|RE1|PWRWNDONS|2026</v>
      </c>
      <c r="B4075" t="s">
        <v>44</v>
      </c>
      <c r="C4075" t="s">
        <v>45</v>
      </c>
      <c r="D4075" t="s">
        <v>38</v>
      </c>
      <c r="E4075" t="s">
        <v>19</v>
      </c>
      <c r="F4075" t="s">
        <v>36</v>
      </c>
      <c r="O4075">
        <v>2026</v>
      </c>
      <c r="P4075">
        <v>1.522285714285714</v>
      </c>
    </row>
    <row r="4076" spans="1:16" x14ac:dyDescent="0.3">
      <c r="A4076" t="str">
        <f t="shared" si="63"/>
        <v>PA|AccumulatedNewCapacity|RE1|PWRBGS|2027</v>
      </c>
      <c r="B4076" t="s">
        <v>44</v>
      </c>
      <c r="C4076" t="s">
        <v>45</v>
      </c>
      <c r="D4076" t="s">
        <v>18</v>
      </c>
      <c r="E4076" t="s">
        <v>19</v>
      </c>
      <c r="F4076" t="s">
        <v>20</v>
      </c>
      <c r="O4076">
        <v>2027</v>
      </c>
    </row>
    <row r="4077" spans="1:16" x14ac:dyDescent="0.3">
      <c r="A4077" t="str">
        <f t="shared" si="63"/>
        <v>PA|AccumulatedNewCapacity|RE1|PWRCOA|2027</v>
      </c>
      <c r="B4077" t="s">
        <v>44</v>
      </c>
      <c r="C4077" t="s">
        <v>45</v>
      </c>
      <c r="D4077" t="s">
        <v>18</v>
      </c>
      <c r="E4077" t="s">
        <v>19</v>
      </c>
      <c r="F4077" t="s">
        <v>21</v>
      </c>
      <c r="O4077">
        <v>2027</v>
      </c>
    </row>
    <row r="4078" spans="1:16" x14ac:dyDescent="0.3">
      <c r="A4078" t="str">
        <f t="shared" si="63"/>
        <v>PA|AccumulatedNewCapacity|RE1|PWRDSL|2027</v>
      </c>
      <c r="B4078" t="s">
        <v>44</v>
      </c>
      <c r="C4078" t="s">
        <v>45</v>
      </c>
      <c r="D4078" t="s">
        <v>18</v>
      </c>
      <c r="E4078" t="s">
        <v>19</v>
      </c>
      <c r="F4078" t="s">
        <v>22</v>
      </c>
      <c r="O4078">
        <v>2027</v>
      </c>
    </row>
    <row r="4079" spans="1:16" x14ac:dyDescent="0.3">
      <c r="A4079" t="str">
        <f t="shared" si="63"/>
        <v>PA|AccumulatedNewCapacity|RE1|PWRFOL|2027</v>
      </c>
      <c r="B4079" t="s">
        <v>44</v>
      </c>
      <c r="C4079" t="s">
        <v>45</v>
      </c>
      <c r="D4079" t="s">
        <v>18</v>
      </c>
      <c r="E4079" t="s">
        <v>19</v>
      </c>
      <c r="F4079" t="s">
        <v>23</v>
      </c>
      <c r="O4079">
        <v>2027</v>
      </c>
    </row>
    <row r="4080" spans="1:16" x14ac:dyDescent="0.3">
      <c r="A4080" t="str">
        <f t="shared" si="63"/>
        <v>PA|AccumulatedNewCapacity|RE1|PWRGEO|2027</v>
      </c>
      <c r="B4080" t="s">
        <v>44</v>
      </c>
      <c r="C4080" t="s">
        <v>45</v>
      </c>
      <c r="D4080" t="s">
        <v>18</v>
      </c>
      <c r="E4080" t="s">
        <v>19</v>
      </c>
      <c r="F4080" t="s">
        <v>46</v>
      </c>
      <c r="O4080">
        <v>2027</v>
      </c>
    </row>
    <row r="4081" spans="1:16" x14ac:dyDescent="0.3">
      <c r="A4081" t="str">
        <f t="shared" si="63"/>
        <v>PA|AccumulatedNewCapacity|RE1|PWRHYDDAM|2027</v>
      </c>
      <c r="B4081" t="s">
        <v>44</v>
      </c>
      <c r="C4081" t="s">
        <v>45</v>
      </c>
      <c r="D4081" t="s">
        <v>18</v>
      </c>
      <c r="E4081" t="s">
        <v>19</v>
      </c>
      <c r="F4081" t="s">
        <v>24</v>
      </c>
      <c r="O4081">
        <v>2027</v>
      </c>
    </row>
    <row r="4082" spans="1:16" x14ac:dyDescent="0.3">
      <c r="A4082" t="str">
        <f t="shared" si="63"/>
        <v>PA|AccumulatedNewCapacity|RE1|PWRHYDROR|2027</v>
      </c>
      <c r="B4082" t="s">
        <v>44</v>
      </c>
      <c r="C4082" t="s">
        <v>45</v>
      </c>
      <c r="D4082" t="s">
        <v>18</v>
      </c>
      <c r="E4082" t="s">
        <v>19</v>
      </c>
      <c r="F4082" t="s">
        <v>25</v>
      </c>
      <c r="O4082">
        <v>2027</v>
      </c>
    </row>
    <row r="4083" spans="1:16" x14ac:dyDescent="0.3">
      <c r="A4083" t="str">
        <f t="shared" si="63"/>
        <v>PA|AccumulatedNewCapacity|RE1|PWRHYDROR_NDC|2027</v>
      </c>
      <c r="B4083" t="s">
        <v>44</v>
      </c>
      <c r="C4083" t="s">
        <v>45</v>
      </c>
      <c r="D4083" t="s">
        <v>18</v>
      </c>
      <c r="E4083" t="s">
        <v>19</v>
      </c>
      <c r="F4083" t="s">
        <v>26</v>
      </c>
      <c r="O4083">
        <v>2027</v>
      </c>
    </row>
    <row r="4084" spans="1:16" x14ac:dyDescent="0.3">
      <c r="A4084" t="str">
        <f t="shared" si="63"/>
        <v>PA|AccumulatedNewCapacity|RE1|PWRJET|2027</v>
      </c>
      <c r="B4084" t="s">
        <v>44</v>
      </c>
      <c r="C4084" t="s">
        <v>45</v>
      </c>
      <c r="D4084" t="s">
        <v>18</v>
      </c>
      <c r="E4084" t="s">
        <v>19</v>
      </c>
      <c r="F4084" t="s">
        <v>27</v>
      </c>
      <c r="O4084">
        <v>2027</v>
      </c>
    </row>
    <row r="4085" spans="1:16" x14ac:dyDescent="0.3">
      <c r="A4085" t="str">
        <f t="shared" si="63"/>
        <v>PA|AccumulatedNewCapacity|RE1|PWRLPG|2027</v>
      </c>
      <c r="B4085" t="s">
        <v>44</v>
      </c>
      <c r="C4085" t="s">
        <v>45</v>
      </c>
      <c r="D4085" t="s">
        <v>18</v>
      </c>
      <c r="E4085" t="s">
        <v>19</v>
      </c>
      <c r="F4085" t="s">
        <v>28</v>
      </c>
      <c r="O4085">
        <v>2027</v>
      </c>
    </row>
    <row r="4086" spans="1:16" x14ac:dyDescent="0.3">
      <c r="A4086" t="str">
        <f t="shared" si="63"/>
        <v>PA|AccumulatedNewCapacity|RE1|PWRNGS_CC|2027</v>
      </c>
      <c r="B4086" t="s">
        <v>44</v>
      </c>
      <c r="C4086" t="s">
        <v>45</v>
      </c>
      <c r="D4086" t="s">
        <v>18</v>
      </c>
      <c r="E4086" t="s">
        <v>19</v>
      </c>
      <c r="F4086" t="s">
        <v>29</v>
      </c>
      <c r="O4086">
        <v>2027</v>
      </c>
    </row>
    <row r="4087" spans="1:16" x14ac:dyDescent="0.3">
      <c r="A4087" t="str">
        <f t="shared" si="63"/>
        <v>PA|AccumulatedNewCapacity|RE1|PWRNGS_CS|2027</v>
      </c>
      <c r="B4087" t="s">
        <v>44</v>
      </c>
      <c r="C4087" t="s">
        <v>45</v>
      </c>
      <c r="D4087" t="s">
        <v>18</v>
      </c>
      <c r="E4087" t="s">
        <v>19</v>
      </c>
      <c r="F4087" t="s">
        <v>30</v>
      </c>
      <c r="O4087">
        <v>2027</v>
      </c>
    </row>
    <row r="4088" spans="1:16" x14ac:dyDescent="0.3">
      <c r="A4088" t="str">
        <f t="shared" si="63"/>
        <v>PA|AccumulatedNewCapacity|RE1|PWRNUC|2027</v>
      </c>
      <c r="B4088" t="s">
        <v>44</v>
      </c>
      <c r="C4088" t="s">
        <v>45</v>
      </c>
      <c r="D4088" t="s">
        <v>18</v>
      </c>
      <c r="E4088" t="s">
        <v>19</v>
      </c>
      <c r="F4088" t="s">
        <v>47</v>
      </c>
      <c r="O4088">
        <v>2027</v>
      </c>
    </row>
    <row r="4089" spans="1:16" x14ac:dyDescent="0.3">
      <c r="A4089" t="str">
        <f t="shared" si="63"/>
        <v>PA|AccumulatedNewCapacity|RE1|PWRSOLRTP|2027</v>
      </c>
      <c r="B4089" t="s">
        <v>44</v>
      </c>
      <c r="C4089" t="s">
        <v>45</v>
      </c>
      <c r="D4089" t="s">
        <v>18</v>
      </c>
      <c r="E4089" t="s">
        <v>19</v>
      </c>
      <c r="F4089" t="s">
        <v>31</v>
      </c>
      <c r="O4089">
        <v>2027</v>
      </c>
      <c r="P4089">
        <v>21.413741280913172</v>
      </c>
    </row>
    <row r="4090" spans="1:16" x14ac:dyDescent="0.3">
      <c r="A4090" t="str">
        <f t="shared" si="63"/>
        <v>PA|AccumulatedNewCapacity|RE1|PWRSOLRTP_ZNI|2027</v>
      </c>
      <c r="B4090" t="s">
        <v>44</v>
      </c>
      <c r="C4090" t="s">
        <v>45</v>
      </c>
      <c r="D4090" t="s">
        <v>18</v>
      </c>
      <c r="E4090" t="s">
        <v>19</v>
      </c>
      <c r="F4090" t="s">
        <v>32</v>
      </c>
      <c r="O4090">
        <v>2027</v>
      </c>
    </row>
    <row r="4091" spans="1:16" x14ac:dyDescent="0.3">
      <c r="A4091" t="str">
        <f t="shared" si="63"/>
        <v>PA|AccumulatedNewCapacity|RE1|PWRSOLUGE|2027</v>
      </c>
      <c r="B4091" t="s">
        <v>44</v>
      </c>
      <c r="C4091" t="s">
        <v>45</v>
      </c>
      <c r="D4091" t="s">
        <v>18</v>
      </c>
      <c r="E4091" t="s">
        <v>19</v>
      </c>
      <c r="F4091" t="s">
        <v>33</v>
      </c>
      <c r="O4091">
        <v>2027</v>
      </c>
      <c r="P4091">
        <v>135.51019199999999</v>
      </c>
    </row>
    <row r="4092" spans="1:16" x14ac:dyDescent="0.3">
      <c r="A4092" t="str">
        <f t="shared" si="63"/>
        <v>PA|AccumulatedNewCapacity|RE1|PWRSOLUPE|2027</v>
      </c>
      <c r="B4092" t="s">
        <v>44</v>
      </c>
      <c r="C4092" t="s">
        <v>45</v>
      </c>
      <c r="D4092" t="s">
        <v>18</v>
      </c>
      <c r="E4092" t="s">
        <v>19</v>
      </c>
      <c r="F4092" t="s">
        <v>34</v>
      </c>
      <c r="O4092">
        <v>2027</v>
      </c>
      <c r="P4092">
        <v>12.14419823999993</v>
      </c>
    </row>
    <row r="4093" spans="1:16" x14ac:dyDescent="0.3">
      <c r="A4093" t="str">
        <f t="shared" si="63"/>
        <v>PA|AccumulatedNewCapacity|RE1|PWRSTD|2027</v>
      </c>
      <c r="B4093" t="s">
        <v>44</v>
      </c>
      <c r="C4093" t="s">
        <v>45</v>
      </c>
      <c r="D4093" t="s">
        <v>18</v>
      </c>
      <c r="E4093" t="s">
        <v>19</v>
      </c>
      <c r="F4093" t="s">
        <v>35</v>
      </c>
      <c r="O4093">
        <v>2027</v>
      </c>
    </row>
    <row r="4094" spans="1:16" x14ac:dyDescent="0.3">
      <c r="A4094" t="str">
        <f t="shared" si="63"/>
        <v>PA|AccumulatedNewCapacity|RE1|PWRWNDOFS_FIX|2027</v>
      </c>
      <c r="B4094" t="s">
        <v>44</v>
      </c>
      <c r="C4094" t="s">
        <v>45</v>
      </c>
      <c r="D4094" t="s">
        <v>18</v>
      </c>
      <c r="E4094" t="s">
        <v>19</v>
      </c>
      <c r="F4094" t="s">
        <v>42</v>
      </c>
      <c r="O4094">
        <v>2027</v>
      </c>
    </row>
    <row r="4095" spans="1:16" x14ac:dyDescent="0.3">
      <c r="A4095" t="str">
        <f t="shared" si="63"/>
        <v>PA|AccumulatedNewCapacity|RE1|PWRWNDONS|2027</v>
      </c>
      <c r="B4095" t="s">
        <v>44</v>
      </c>
      <c r="C4095" t="s">
        <v>45</v>
      </c>
      <c r="D4095" t="s">
        <v>18</v>
      </c>
      <c r="E4095" t="s">
        <v>19</v>
      </c>
      <c r="F4095" t="s">
        <v>36</v>
      </c>
      <c r="O4095">
        <v>2027</v>
      </c>
      <c r="P4095">
        <v>17.46688731428571</v>
      </c>
    </row>
    <row r="4096" spans="1:16" x14ac:dyDescent="0.3">
      <c r="A4096" t="str">
        <f t="shared" si="63"/>
        <v>PA|NewCapacity|RE1|PWRBGS|2027</v>
      </c>
      <c r="B4096" t="s">
        <v>44</v>
      </c>
      <c r="C4096" t="s">
        <v>45</v>
      </c>
      <c r="D4096" t="s">
        <v>37</v>
      </c>
      <c r="E4096" t="s">
        <v>19</v>
      </c>
      <c r="F4096" t="s">
        <v>20</v>
      </c>
      <c r="O4096">
        <v>2027</v>
      </c>
    </row>
    <row r="4097" spans="1:16" x14ac:dyDescent="0.3">
      <c r="A4097" t="str">
        <f t="shared" si="63"/>
        <v>PA|NewCapacity|RE1|PWRCOA|2027</v>
      </c>
      <c r="B4097" t="s">
        <v>44</v>
      </c>
      <c r="C4097" t="s">
        <v>45</v>
      </c>
      <c r="D4097" t="s">
        <v>37</v>
      </c>
      <c r="E4097" t="s">
        <v>19</v>
      </c>
      <c r="F4097" t="s">
        <v>21</v>
      </c>
      <c r="O4097">
        <v>2027</v>
      </c>
    </row>
    <row r="4098" spans="1:16" x14ac:dyDescent="0.3">
      <c r="A4098" t="str">
        <f t="shared" ref="A4098:A4161" si="64">B4098&amp;"|"&amp;D4098&amp;"|"&amp;E4098&amp;"|"&amp;F4098&amp;"|"&amp;O4098</f>
        <v>PA|NewCapacity|RE1|PWRDSL|2027</v>
      </c>
      <c r="B4098" t="s">
        <v>44</v>
      </c>
      <c r="C4098" t="s">
        <v>45</v>
      </c>
      <c r="D4098" t="s">
        <v>37</v>
      </c>
      <c r="E4098" t="s">
        <v>19</v>
      </c>
      <c r="F4098" t="s">
        <v>22</v>
      </c>
      <c r="O4098">
        <v>2027</v>
      </c>
    </row>
    <row r="4099" spans="1:16" x14ac:dyDescent="0.3">
      <c r="A4099" t="str">
        <f t="shared" si="64"/>
        <v>PA|NewCapacity|RE1|PWRFOL|2027</v>
      </c>
      <c r="B4099" t="s">
        <v>44</v>
      </c>
      <c r="C4099" t="s">
        <v>45</v>
      </c>
      <c r="D4099" t="s">
        <v>37</v>
      </c>
      <c r="E4099" t="s">
        <v>19</v>
      </c>
      <c r="F4099" t="s">
        <v>23</v>
      </c>
      <c r="O4099">
        <v>2027</v>
      </c>
    </row>
    <row r="4100" spans="1:16" x14ac:dyDescent="0.3">
      <c r="A4100" t="str">
        <f t="shared" si="64"/>
        <v>PA|NewCapacity|RE1|PWRGEO|2027</v>
      </c>
      <c r="B4100" t="s">
        <v>44</v>
      </c>
      <c r="C4100" t="s">
        <v>45</v>
      </c>
      <c r="D4100" t="s">
        <v>37</v>
      </c>
      <c r="E4100" t="s">
        <v>19</v>
      </c>
      <c r="F4100" t="s">
        <v>46</v>
      </c>
      <c r="O4100">
        <v>2027</v>
      </c>
    </row>
    <row r="4101" spans="1:16" x14ac:dyDescent="0.3">
      <c r="A4101" t="str">
        <f t="shared" si="64"/>
        <v>PA|NewCapacity|RE1|PWRHYDDAM|2027</v>
      </c>
      <c r="B4101" t="s">
        <v>44</v>
      </c>
      <c r="C4101" t="s">
        <v>45</v>
      </c>
      <c r="D4101" t="s">
        <v>37</v>
      </c>
      <c r="E4101" t="s">
        <v>19</v>
      </c>
      <c r="F4101" t="s">
        <v>24</v>
      </c>
      <c r="O4101">
        <v>2027</v>
      </c>
    </row>
    <row r="4102" spans="1:16" x14ac:dyDescent="0.3">
      <c r="A4102" t="str">
        <f t="shared" si="64"/>
        <v>PA|NewCapacity|RE1|PWRHYDROR|2027</v>
      </c>
      <c r="B4102" t="s">
        <v>44</v>
      </c>
      <c r="C4102" t="s">
        <v>45</v>
      </c>
      <c r="D4102" t="s">
        <v>37</v>
      </c>
      <c r="E4102" t="s">
        <v>19</v>
      </c>
      <c r="F4102" t="s">
        <v>25</v>
      </c>
      <c r="O4102">
        <v>2027</v>
      </c>
    </row>
    <row r="4103" spans="1:16" x14ac:dyDescent="0.3">
      <c r="A4103" t="str">
        <f t="shared" si="64"/>
        <v>PA|NewCapacity|RE1|PWRHYDROR_NDC|2027</v>
      </c>
      <c r="B4103" t="s">
        <v>44</v>
      </c>
      <c r="C4103" t="s">
        <v>45</v>
      </c>
      <c r="D4103" t="s">
        <v>37</v>
      </c>
      <c r="E4103" t="s">
        <v>19</v>
      </c>
      <c r="F4103" t="s">
        <v>26</v>
      </c>
      <c r="O4103">
        <v>2027</v>
      </c>
    </row>
    <row r="4104" spans="1:16" x14ac:dyDescent="0.3">
      <c r="A4104" t="str">
        <f t="shared" si="64"/>
        <v>PA|NewCapacity|RE1|PWRJET|2027</v>
      </c>
      <c r="B4104" t="s">
        <v>44</v>
      </c>
      <c r="C4104" t="s">
        <v>45</v>
      </c>
      <c r="D4104" t="s">
        <v>37</v>
      </c>
      <c r="E4104" t="s">
        <v>19</v>
      </c>
      <c r="F4104" t="s">
        <v>27</v>
      </c>
      <c r="O4104">
        <v>2027</v>
      </c>
    </row>
    <row r="4105" spans="1:16" x14ac:dyDescent="0.3">
      <c r="A4105" t="str">
        <f t="shared" si="64"/>
        <v>PA|NewCapacity|RE1|PWRLPG|2027</v>
      </c>
      <c r="B4105" t="s">
        <v>44</v>
      </c>
      <c r="C4105" t="s">
        <v>45</v>
      </c>
      <c r="D4105" t="s">
        <v>37</v>
      </c>
      <c r="E4105" t="s">
        <v>19</v>
      </c>
      <c r="F4105" t="s">
        <v>28</v>
      </c>
      <c r="O4105">
        <v>2027</v>
      </c>
    </row>
    <row r="4106" spans="1:16" x14ac:dyDescent="0.3">
      <c r="A4106" t="str">
        <f t="shared" si="64"/>
        <v>PA|NewCapacity|RE1|PWRNGS_CC|2027</v>
      </c>
      <c r="B4106" t="s">
        <v>44</v>
      </c>
      <c r="C4106" t="s">
        <v>45</v>
      </c>
      <c r="D4106" t="s">
        <v>37</v>
      </c>
      <c r="E4106" t="s">
        <v>19</v>
      </c>
      <c r="F4106" t="s">
        <v>29</v>
      </c>
      <c r="O4106">
        <v>2027</v>
      </c>
    </row>
    <row r="4107" spans="1:16" x14ac:dyDescent="0.3">
      <c r="A4107" t="str">
        <f t="shared" si="64"/>
        <v>PA|NewCapacity|RE1|PWRNGS_CS|2027</v>
      </c>
      <c r="B4107" t="s">
        <v>44</v>
      </c>
      <c r="C4107" t="s">
        <v>45</v>
      </c>
      <c r="D4107" t="s">
        <v>37</v>
      </c>
      <c r="E4107" t="s">
        <v>19</v>
      </c>
      <c r="F4107" t="s">
        <v>30</v>
      </c>
      <c r="O4107">
        <v>2027</v>
      </c>
    </row>
    <row r="4108" spans="1:16" x14ac:dyDescent="0.3">
      <c r="A4108" t="str">
        <f t="shared" si="64"/>
        <v>PA|NewCapacity|RE1|PWRNUC|2027</v>
      </c>
      <c r="B4108" t="s">
        <v>44</v>
      </c>
      <c r="C4108" t="s">
        <v>45</v>
      </c>
      <c r="D4108" t="s">
        <v>37</v>
      </c>
      <c r="E4108" t="s">
        <v>19</v>
      </c>
      <c r="F4108" t="s">
        <v>47</v>
      </c>
      <c r="O4108">
        <v>2027</v>
      </c>
    </row>
    <row r="4109" spans="1:16" x14ac:dyDescent="0.3">
      <c r="A4109" t="str">
        <f t="shared" si="64"/>
        <v>PA|NewCapacity|RE1|PWRSOLRTP|2027</v>
      </c>
      <c r="B4109" t="s">
        <v>44</v>
      </c>
      <c r="C4109" t="s">
        <v>45</v>
      </c>
      <c r="D4109" t="s">
        <v>37</v>
      </c>
      <c r="E4109" t="s">
        <v>19</v>
      </c>
      <c r="F4109" t="s">
        <v>31</v>
      </c>
      <c r="O4109">
        <v>2027</v>
      </c>
      <c r="P4109">
        <v>12.523779327837669</v>
      </c>
    </row>
    <row r="4110" spans="1:16" x14ac:dyDescent="0.3">
      <c r="A4110" t="str">
        <f t="shared" si="64"/>
        <v>PA|NewCapacity|RE1|PWRSOLRTP_ZNI|2027</v>
      </c>
      <c r="B4110" t="s">
        <v>44</v>
      </c>
      <c r="C4110" t="s">
        <v>45</v>
      </c>
      <c r="D4110" t="s">
        <v>37</v>
      </c>
      <c r="E4110" t="s">
        <v>19</v>
      </c>
      <c r="F4110" t="s">
        <v>32</v>
      </c>
      <c r="O4110">
        <v>2027</v>
      </c>
    </row>
    <row r="4111" spans="1:16" x14ac:dyDescent="0.3">
      <c r="A4111" t="str">
        <f t="shared" si="64"/>
        <v>PA|NewCapacity|RE1|PWRSOLUGE|2027</v>
      </c>
      <c r="B4111" t="s">
        <v>44</v>
      </c>
      <c r="C4111" t="s">
        <v>45</v>
      </c>
      <c r="D4111" t="s">
        <v>37</v>
      </c>
      <c r="E4111" t="s">
        <v>19</v>
      </c>
      <c r="F4111" t="s">
        <v>33</v>
      </c>
      <c r="O4111">
        <v>2027</v>
      </c>
      <c r="P4111">
        <v>73.005840000000006</v>
      </c>
    </row>
    <row r="4112" spans="1:16" x14ac:dyDescent="0.3">
      <c r="A4112" t="str">
        <f t="shared" si="64"/>
        <v>PA|NewCapacity|RE1|PWRSOLUPE|2027</v>
      </c>
      <c r="B4112" t="s">
        <v>44</v>
      </c>
      <c r="C4112" t="s">
        <v>45</v>
      </c>
      <c r="D4112" t="s">
        <v>37</v>
      </c>
      <c r="E4112" t="s">
        <v>19</v>
      </c>
      <c r="F4112" t="s">
        <v>34</v>
      </c>
      <c r="O4112">
        <v>2027</v>
      </c>
      <c r="P4112">
        <v>3.46896</v>
      </c>
    </row>
    <row r="4113" spans="1:16" x14ac:dyDescent="0.3">
      <c r="A4113" t="str">
        <f t="shared" si="64"/>
        <v>PA|NewCapacity|RE1|PWRSTD|2027</v>
      </c>
      <c r="B4113" t="s">
        <v>44</v>
      </c>
      <c r="C4113" t="s">
        <v>45</v>
      </c>
      <c r="D4113" t="s">
        <v>37</v>
      </c>
      <c r="E4113" t="s">
        <v>19</v>
      </c>
      <c r="F4113" t="s">
        <v>35</v>
      </c>
      <c r="O4113">
        <v>2027</v>
      </c>
    </row>
    <row r="4114" spans="1:16" x14ac:dyDescent="0.3">
      <c r="A4114" t="str">
        <f t="shared" si="64"/>
        <v>PA|NewCapacity|RE1|PWRWNDOFS_FIX|2027</v>
      </c>
      <c r="B4114" t="s">
        <v>44</v>
      </c>
      <c r="C4114" t="s">
        <v>45</v>
      </c>
      <c r="D4114" t="s">
        <v>37</v>
      </c>
      <c r="E4114" t="s">
        <v>19</v>
      </c>
      <c r="F4114" t="s">
        <v>42</v>
      </c>
      <c r="O4114">
        <v>2027</v>
      </c>
    </row>
    <row r="4115" spans="1:16" x14ac:dyDescent="0.3">
      <c r="A4115" t="str">
        <f t="shared" si="64"/>
        <v>PA|NewCapacity|RE1|PWRWNDONS|2027</v>
      </c>
      <c r="B4115" t="s">
        <v>44</v>
      </c>
      <c r="C4115" t="s">
        <v>45</v>
      </c>
      <c r="D4115" t="s">
        <v>37</v>
      </c>
      <c r="E4115" t="s">
        <v>19</v>
      </c>
      <c r="F4115" t="s">
        <v>36</v>
      </c>
      <c r="O4115">
        <v>2027</v>
      </c>
      <c r="P4115">
        <v>17.313264</v>
      </c>
    </row>
    <row r="4116" spans="1:16" x14ac:dyDescent="0.3">
      <c r="A4116" t="str">
        <f t="shared" si="64"/>
        <v>PA|TotalCapacityAnnual|RE1|PWRBGS|2027</v>
      </c>
      <c r="B4116" t="s">
        <v>44</v>
      </c>
      <c r="C4116" t="s">
        <v>45</v>
      </c>
      <c r="D4116" t="s">
        <v>38</v>
      </c>
      <c r="E4116" t="s">
        <v>19</v>
      </c>
      <c r="F4116" t="s">
        <v>20</v>
      </c>
      <c r="O4116">
        <v>2027</v>
      </c>
      <c r="P4116">
        <v>2.5488587520000001E-2</v>
      </c>
    </row>
    <row r="4117" spans="1:16" x14ac:dyDescent="0.3">
      <c r="A4117" t="str">
        <f t="shared" si="64"/>
        <v>PA|TotalCapacityAnnual|RE1|PWRCOA|2027</v>
      </c>
      <c r="B4117" t="s">
        <v>44</v>
      </c>
      <c r="C4117" t="s">
        <v>45</v>
      </c>
      <c r="D4117" t="s">
        <v>38</v>
      </c>
      <c r="E4117" t="s">
        <v>19</v>
      </c>
      <c r="F4117" t="s">
        <v>21</v>
      </c>
      <c r="O4117">
        <v>2027</v>
      </c>
      <c r="P4117">
        <v>50.867567999999991</v>
      </c>
    </row>
    <row r="4118" spans="1:16" x14ac:dyDescent="0.3">
      <c r="A4118" t="str">
        <f t="shared" si="64"/>
        <v>PA|TotalCapacityAnnual|RE1|PWRDSL|2027</v>
      </c>
      <c r="B4118" t="s">
        <v>44</v>
      </c>
      <c r="C4118" t="s">
        <v>45</v>
      </c>
      <c r="D4118" t="s">
        <v>38</v>
      </c>
      <c r="E4118" t="s">
        <v>19</v>
      </c>
      <c r="F4118" t="s">
        <v>22</v>
      </c>
      <c r="O4118">
        <v>2027</v>
      </c>
      <c r="P4118">
        <v>24.944976</v>
      </c>
    </row>
    <row r="4119" spans="1:16" x14ac:dyDescent="0.3">
      <c r="A4119" t="str">
        <f t="shared" si="64"/>
        <v>PA|TotalCapacityAnnual|RE1|PWRFOL|2027</v>
      </c>
      <c r="B4119" t="s">
        <v>44</v>
      </c>
      <c r="C4119" t="s">
        <v>45</v>
      </c>
      <c r="D4119" t="s">
        <v>38</v>
      </c>
      <c r="E4119" t="s">
        <v>19</v>
      </c>
      <c r="F4119" t="s">
        <v>23</v>
      </c>
      <c r="O4119">
        <v>2027</v>
      </c>
      <c r="P4119">
        <v>8.3885759999999987</v>
      </c>
    </row>
    <row r="4120" spans="1:16" x14ac:dyDescent="0.3">
      <c r="A4120" t="str">
        <f t="shared" si="64"/>
        <v>PA|TotalCapacityAnnual|RE1|PWRGEO|2027</v>
      </c>
      <c r="B4120" t="s">
        <v>44</v>
      </c>
      <c r="C4120" t="s">
        <v>45</v>
      </c>
      <c r="D4120" t="s">
        <v>38</v>
      </c>
      <c r="E4120" t="s">
        <v>19</v>
      </c>
      <c r="F4120" t="s">
        <v>46</v>
      </c>
      <c r="O4120">
        <v>2027</v>
      </c>
    </row>
    <row r="4121" spans="1:16" x14ac:dyDescent="0.3">
      <c r="A4121" t="str">
        <f t="shared" si="64"/>
        <v>PA|TotalCapacityAnnual|RE1|PWRHYDDAM|2027</v>
      </c>
      <c r="B4121" t="s">
        <v>44</v>
      </c>
      <c r="C4121" t="s">
        <v>45</v>
      </c>
      <c r="D4121" t="s">
        <v>38</v>
      </c>
      <c r="E4121" t="s">
        <v>19</v>
      </c>
      <c r="F4121" t="s">
        <v>24</v>
      </c>
      <c r="O4121">
        <v>2027</v>
      </c>
      <c r="P4121">
        <v>402.65164800000002</v>
      </c>
    </row>
    <row r="4122" spans="1:16" x14ac:dyDescent="0.3">
      <c r="A4122" t="str">
        <f t="shared" si="64"/>
        <v>PA|TotalCapacityAnnual|RE1|PWRHYDROR|2027</v>
      </c>
      <c r="B4122" t="s">
        <v>44</v>
      </c>
      <c r="C4122" t="s">
        <v>45</v>
      </c>
      <c r="D4122" t="s">
        <v>38</v>
      </c>
      <c r="E4122" t="s">
        <v>19</v>
      </c>
      <c r="F4122" t="s">
        <v>25</v>
      </c>
      <c r="O4122">
        <v>2027</v>
      </c>
      <c r="P4122">
        <v>21.097584000000001</v>
      </c>
    </row>
    <row r="4123" spans="1:16" x14ac:dyDescent="0.3">
      <c r="A4123" t="str">
        <f t="shared" si="64"/>
        <v>PA|TotalCapacityAnnual|RE1|PWRHYDROR_NDC|2027</v>
      </c>
      <c r="B4123" t="s">
        <v>44</v>
      </c>
      <c r="C4123" t="s">
        <v>45</v>
      </c>
      <c r="D4123" t="s">
        <v>38</v>
      </c>
      <c r="E4123" t="s">
        <v>19</v>
      </c>
      <c r="F4123" t="s">
        <v>26</v>
      </c>
      <c r="O4123">
        <v>2027</v>
      </c>
      <c r="P4123">
        <v>29.725108271999989</v>
      </c>
    </row>
    <row r="4124" spans="1:16" x14ac:dyDescent="0.3">
      <c r="A4124" t="str">
        <f t="shared" si="64"/>
        <v>PA|TotalCapacityAnnual|RE1|PWRJET|2027</v>
      </c>
      <c r="B4124" t="s">
        <v>44</v>
      </c>
      <c r="C4124" t="s">
        <v>45</v>
      </c>
      <c r="D4124" t="s">
        <v>38</v>
      </c>
      <c r="E4124" t="s">
        <v>19</v>
      </c>
      <c r="F4124" t="s">
        <v>27</v>
      </c>
      <c r="O4124">
        <v>2027</v>
      </c>
      <c r="P4124">
        <v>1.5768</v>
      </c>
    </row>
    <row r="4125" spans="1:16" x14ac:dyDescent="0.3">
      <c r="A4125" t="str">
        <f t="shared" si="64"/>
        <v>PA|TotalCapacityAnnual|RE1|PWRLPG|2027</v>
      </c>
      <c r="B4125" t="s">
        <v>44</v>
      </c>
      <c r="C4125" t="s">
        <v>45</v>
      </c>
      <c r="D4125" t="s">
        <v>38</v>
      </c>
      <c r="E4125" t="s">
        <v>19</v>
      </c>
      <c r="F4125" t="s">
        <v>28</v>
      </c>
      <c r="O4125">
        <v>2027</v>
      </c>
      <c r="P4125">
        <v>1.639872</v>
      </c>
    </row>
    <row r="4126" spans="1:16" x14ac:dyDescent="0.3">
      <c r="A4126" t="str">
        <f t="shared" si="64"/>
        <v>PA|TotalCapacityAnnual|RE1|PWRNGS_CC|2027</v>
      </c>
      <c r="B4126" t="s">
        <v>44</v>
      </c>
      <c r="C4126" t="s">
        <v>45</v>
      </c>
      <c r="D4126" t="s">
        <v>38</v>
      </c>
      <c r="E4126" t="s">
        <v>19</v>
      </c>
      <c r="F4126" t="s">
        <v>29</v>
      </c>
      <c r="O4126">
        <v>2027</v>
      </c>
      <c r="P4126">
        <v>70.104500000000002</v>
      </c>
    </row>
    <row r="4127" spans="1:16" x14ac:dyDescent="0.3">
      <c r="A4127" t="str">
        <f t="shared" si="64"/>
        <v>PA|TotalCapacityAnnual|RE1|PWRNGS_CS|2027</v>
      </c>
      <c r="B4127" t="s">
        <v>44</v>
      </c>
      <c r="C4127" t="s">
        <v>45</v>
      </c>
      <c r="D4127" t="s">
        <v>38</v>
      </c>
      <c r="E4127" t="s">
        <v>19</v>
      </c>
      <c r="F4127" t="s">
        <v>30</v>
      </c>
      <c r="O4127">
        <v>2027</v>
      </c>
      <c r="P4127">
        <v>23.084351999999999</v>
      </c>
    </row>
    <row r="4128" spans="1:16" x14ac:dyDescent="0.3">
      <c r="A4128" t="str">
        <f t="shared" si="64"/>
        <v>PA|TotalCapacityAnnual|RE1|PWRNUC|2027</v>
      </c>
      <c r="B4128" t="s">
        <v>44</v>
      </c>
      <c r="C4128" t="s">
        <v>45</v>
      </c>
      <c r="D4128" t="s">
        <v>38</v>
      </c>
      <c r="E4128" t="s">
        <v>19</v>
      </c>
      <c r="F4128" t="s">
        <v>47</v>
      </c>
      <c r="O4128">
        <v>2027</v>
      </c>
    </row>
    <row r="4129" spans="1:16" x14ac:dyDescent="0.3">
      <c r="A4129" t="str">
        <f t="shared" si="64"/>
        <v>PA|TotalCapacityAnnual|RE1|PWRSOLRTP|2027</v>
      </c>
      <c r="B4129" t="s">
        <v>44</v>
      </c>
      <c r="C4129" t="s">
        <v>45</v>
      </c>
      <c r="D4129" t="s">
        <v>38</v>
      </c>
      <c r="E4129" t="s">
        <v>19</v>
      </c>
      <c r="F4129" t="s">
        <v>31</v>
      </c>
      <c r="O4129">
        <v>2027</v>
      </c>
      <c r="P4129">
        <v>44.697841280913167</v>
      </c>
    </row>
    <row r="4130" spans="1:16" x14ac:dyDescent="0.3">
      <c r="A4130" t="str">
        <f t="shared" si="64"/>
        <v>PA|TotalCapacityAnnual|RE1|PWRSOLRTP_ZNI|2027</v>
      </c>
      <c r="B4130" t="s">
        <v>44</v>
      </c>
      <c r="C4130" t="s">
        <v>45</v>
      </c>
      <c r="D4130" t="s">
        <v>38</v>
      </c>
      <c r="E4130" t="s">
        <v>19</v>
      </c>
      <c r="F4130" t="s">
        <v>32</v>
      </c>
      <c r="O4130">
        <v>2027</v>
      </c>
      <c r="P4130">
        <v>0.46074095999999998</v>
      </c>
    </row>
    <row r="4131" spans="1:16" x14ac:dyDescent="0.3">
      <c r="A4131" t="str">
        <f t="shared" si="64"/>
        <v>PA|TotalCapacityAnnual|RE1|PWRSOLUGE|2027</v>
      </c>
      <c r="B4131" t="s">
        <v>44</v>
      </c>
      <c r="C4131" t="s">
        <v>45</v>
      </c>
      <c r="D4131" t="s">
        <v>38</v>
      </c>
      <c r="E4131" t="s">
        <v>19</v>
      </c>
      <c r="F4131" t="s">
        <v>33</v>
      </c>
      <c r="O4131">
        <v>2027</v>
      </c>
      <c r="P4131">
        <v>183.90786048000001</v>
      </c>
    </row>
    <row r="4132" spans="1:16" x14ac:dyDescent="0.3">
      <c r="A4132" t="str">
        <f t="shared" si="64"/>
        <v>PA|TotalCapacityAnnual|RE1|PWRSOLUPE|2027</v>
      </c>
      <c r="B4132" t="s">
        <v>44</v>
      </c>
      <c r="C4132" t="s">
        <v>45</v>
      </c>
      <c r="D4132" t="s">
        <v>38</v>
      </c>
      <c r="E4132" t="s">
        <v>19</v>
      </c>
      <c r="F4132" t="s">
        <v>34</v>
      </c>
      <c r="O4132">
        <v>2027</v>
      </c>
      <c r="P4132">
        <v>39.172600079999931</v>
      </c>
    </row>
    <row r="4133" spans="1:16" x14ac:dyDescent="0.3">
      <c r="A4133" t="str">
        <f t="shared" si="64"/>
        <v>PA|TotalCapacityAnnual|RE1|PWRSTD|2027</v>
      </c>
      <c r="B4133" t="s">
        <v>44</v>
      </c>
      <c r="C4133" t="s">
        <v>45</v>
      </c>
      <c r="D4133" t="s">
        <v>38</v>
      </c>
      <c r="E4133" t="s">
        <v>19</v>
      </c>
      <c r="F4133" t="s">
        <v>35</v>
      </c>
      <c r="O4133">
        <v>2027</v>
      </c>
      <c r="P4133">
        <v>8.163062064</v>
      </c>
    </row>
    <row r="4134" spans="1:16" x14ac:dyDescent="0.3">
      <c r="A4134" t="str">
        <f t="shared" si="64"/>
        <v>PA|TotalCapacityAnnual|RE1|PWRWNDOFS_FIX|2027</v>
      </c>
      <c r="B4134" t="s">
        <v>44</v>
      </c>
      <c r="C4134" t="s">
        <v>45</v>
      </c>
      <c r="D4134" t="s">
        <v>38</v>
      </c>
      <c r="E4134" t="s">
        <v>19</v>
      </c>
      <c r="F4134" t="s">
        <v>42</v>
      </c>
      <c r="O4134">
        <v>2027</v>
      </c>
    </row>
    <row r="4135" spans="1:16" x14ac:dyDescent="0.3">
      <c r="A4135" t="str">
        <f t="shared" si="64"/>
        <v>PA|TotalCapacityAnnual|RE1|PWRWNDONS|2027</v>
      </c>
      <c r="B4135" t="s">
        <v>44</v>
      </c>
      <c r="C4135" t="s">
        <v>45</v>
      </c>
      <c r="D4135" t="s">
        <v>38</v>
      </c>
      <c r="E4135" t="s">
        <v>19</v>
      </c>
      <c r="F4135" t="s">
        <v>36</v>
      </c>
      <c r="O4135">
        <v>2027</v>
      </c>
      <c r="P4135">
        <v>18.835549714285719</v>
      </c>
    </row>
    <row r="4136" spans="1:16" x14ac:dyDescent="0.3">
      <c r="A4136" t="str">
        <f t="shared" si="64"/>
        <v>PA|AccumulatedNewCapacity|RE1|PWRBGS|2028</v>
      </c>
      <c r="B4136" t="s">
        <v>44</v>
      </c>
      <c r="C4136" t="s">
        <v>45</v>
      </c>
      <c r="D4136" t="s">
        <v>18</v>
      </c>
      <c r="E4136" t="s">
        <v>19</v>
      </c>
      <c r="F4136" t="s">
        <v>20</v>
      </c>
      <c r="O4136">
        <v>2028</v>
      </c>
    </row>
    <row r="4137" spans="1:16" x14ac:dyDescent="0.3">
      <c r="A4137" t="str">
        <f t="shared" si="64"/>
        <v>PA|AccumulatedNewCapacity|RE1|PWRCOA|2028</v>
      </c>
      <c r="B4137" t="s">
        <v>44</v>
      </c>
      <c r="C4137" t="s">
        <v>45</v>
      </c>
      <c r="D4137" t="s">
        <v>18</v>
      </c>
      <c r="E4137" t="s">
        <v>19</v>
      </c>
      <c r="F4137" t="s">
        <v>21</v>
      </c>
      <c r="O4137">
        <v>2028</v>
      </c>
    </row>
    <row r="4138" spans="1:16" x14ac:dyDescent="0.3">
      <c r="A4138" t="str">
        <f t="shared" si="64"/>
        <v>PA|AccumulatedNewCapacity|RE1|PWRDSL|2028</v>
      </c>
      <c r="B4138" t="s">
        <v>44</v>
      </c>
      <c r="C4138" t="s">
        <v>45</v>
      </c>
      <c r="D4138" t="s">
        <v>18</v>
      </c>
      <c r="E4138" t="s">
        <v>19</v>
      </c>
      <c r="F4138" t="s">
        <v>22</v>
      </c>
      <c r="O4138">
        <v>2028</v>
      </c>
    </row>
    <row r="4139" spans="1:16" x14ac:dyDescent="0.3">
      <c r="A4139" t="str">
        <f t="shared" si="64"/>
        <v>PA|AccumulatedNewCapacity|RE1|PWRFOL|2028</v>
      </c>
      <c r="B4139" t="s">
        <v>44</v>
      </c>
      <c r="C4139" t="s">
        <v>45</v>
      </c>
      <c r="D4139" t="s">
        <v>18</v>
      </c>
      <c r="E4139" t="s">
        <v>19</v>
      </c>
      <c r="F4139" t="s">
        <v>23</v>
      </c>
      <c r="O4139">
        <v>2028</v>
      </c>
    </row>
    <row r="4140" spans="1:16" x14ac:dyDescent="0.3">
      <c r="A4140" t="str">
        <f t="shared" si="64"/>
        <v>PA|AccumulatedNewCapacity|RE1|PWRGEO|2028</v>
      </c>
      <c r="B4140" t="s">
        <v>44</v>
      </c>
      <c r="C4140" t="s">
        <v>45</v>
      </c>
      <c r="D4140" t="s">
        <v>18</v>
      </c>
      <c r="E4140" t="s">
        <v>19</v>
      </c>
      <c r="F4140" t="s">
        <v>46</v>
      </c>
      <c r="O4140">
        <v>2028</v>
      </c>
    </row>
    <row r="4141" spans="1:16" x14ac:dyDescent="0.3">
      <c r="A4141" t="str">
        <f t="shared" si="64"/>
        <v>PA|AccumulatedNewCapacity|RE1|PWRHYDDAM|2028</v>
      </c>
      <c r="B4141" t="s">
        <v>44</v>
      </c>
      <c r="C4141" t="s">
        <v>45</v>
      </c>
      <c r="D4141" t="s">
        <v>18</v>
      </c>
      <c r="E4141" t="s">
        <v>19</v>
      </c>
      <c r="F4141" t="s">
        <v>24</v>
      </c>
      <c r="O4141">
        <v>2028</v>
      </c>
      <c r="P4141">
        <v>37.840000000000003</v>
      </c>
    </row>
    <row r="4142" spans="1:16" x14ac:dyDescent="0.3">
      <c r="A4142" t="str">
        <f t="shared" si="64"/>
        <v>PA|AccumulatedNewCapacity|RE1|PWRHYDROR|2028</v>
      </c>
      <c r="B4142" t="s">
        <v>44</v>
      </c>
      <c r="C4142" t="s">
        <v>45</v>
      </c>
      <c r="D4142" t="s">
        <v>18</v>
      </c>
      <c r="E4142" t="s">
        <v>19</v>
      </c>
      <c r="F4142" t="s">
        <v>25</v>
      </c>
      <c r="O4142">
        <v>2028</v>
      </c>
    </row>
    <row r="4143" spans="1:16" x14ac:dyDescent="0.3">
      <c r="A4143" t="str">
        <f t="shared" si="64"/>
        <v>PA|AccumulatedNewCapacity|RE1|PWRHYDROR_NDC|2028</v>
      </c>
      <c r="B4143" t="s">
        <v>44</v>
      </c>
      <c r="C4143" t="s">
        <v>45</v>
      </c>
      <c r="D4143" t="s">
        <v>18</v>
      </c>
      <c r="E4143" t="s">
        <v>19</v>
      </c>
      <c r="F4143" t="s">
        <v>26</v>
      </c>
      <c r="O4143">
        <v>2028</v>
      </c>
    </row>
    <row r="4144" spans="1:16" x14ac:dyDescent="0.3">
      <c r="A4144" t="str">
        <f t="shared" si="64"/>
        <v>PA|AccumulatedNewCapacity|RE1|PWRJET|2028</v>
      </c>
      <c r="B4144" t="s">
        <v>44</v>
      </c>
      <c r="C4144" t="s">
        <v>45</v>
      </c>
      <c r="D4144" t="s">
        <v>18</v>
      </c>
      <c r="E4144" t="s">
        <v>19</v>
      </c>
      <c r="F4144" t="s">
        <v>27</v>
      </c>
      <c r="O4144">
        <v>2028</v>
      </c>
    </row>
    <row r="4145" spans="1:16" x14ac:dyDescent="0.3">
      <c r="A4145" t="str">
        <f t="shared" si="64"/>
        <v>PA|AccumulatedNewCapacity|RE1|PWRLPG|2028</v>
      </c>
      <c r="B4145" t="s">
        <v>44</v>
      </c>
      <c r="C4145" t="s">
        <v>45</v>
      </c>
      <c r="D4145" t="s">
        <v>18</v>
      </c>
      <c r="E4145" t="s">
        <v>19</v>
      </c>
      <c r="F4145" t="s">
        <v>28</v>
      </c>
      <c r="O4145">
        <v>2028</v>
      </c>
    </row>
    <row r="4146" spans="1:16" x14ac:dyDescent="0.3">
      <c r="A4146" t="str">
        <f t="shared" si="64"/>
        <v>PA|AccumulatedNewCapacity|RE1|PWRNGS_CC|2028</v>
      </c>
      <c r="B4146" t="s">
        <v>44</v>
      </c>
      <c r="C4146" t="s">
        <v>45</v>
      </c>
      <c r="D4146" t="s">
        <v>18</v>
      </c>
      <c r="E4146" t="s">
        <v>19</v>
      </c>
      <c r="F4146" t="s">
        <v>29</v>
      </c>
      <c r="O4146">
        <v>2028</v>
      </c>
    </row>
    <row r="4147" spans="1:16" x14ac:dyDescent="0.3">
      <c r="A4147" t="str">
        <f t="shared" si="64"/>
        <v>PA|AccumulatedNewCapacity|RE1|PWRNGS_CS|2028</v>
      </c>
      <c r="B4147" t="s">
        <v>44</v>
      </c>
      <c r="C4147" t="s">
        <v>45</v>
      </c>
      <c r="D4147" t="s">
        <v>18</v>
      </c>
      <c r="E4147" t="s">
        <v>19</v>
      </c>
      <c r="F4147" t="s">
        <v>30</v>
      </c>
      <c r="O4147">
        <v>2028</v>
      </c>
    </row>
    <row r="4148" spans="1:16" x14ac:dyDescent="0.3">
      <c r="A4148" t="str">
        <f t="shared" si="64"/>
        <v>PA|AccumulatedNewCapacity|RE1|PWRNUC|2028</v>
      </c>
      <c r="B4148" t="s">
        <v>44</v>
      </c>
      <c r="C4148" t="s">
        <v>45</v>
      </c>
      <c r="D4148" t="s">
        <v>18</v>
      </c>
      <c r="E4148" t="s">
        <v>19</v>
      </c>
      <c r="F4148" t="s">
        <v>47</v>
      </c>
      <c r="O4148">
        <v>2028</v>
      </c>
    </row>
    <row r="4149" spans="1:16" x14ac:dyDescent="0.3">
      <c r="A4149" t="str">
        <f t="shared" si="64"/>
        <v>PA|AccumulatedNewCapacity|RE1|PWRSOLRTP|2028</v>
      </c>
      <c r="B4149" t="s">
        <v>44</v>
      </c>
      <c r="C4149" t="s">
        <v>45</v>
      </c>
      <c r="D4149" t="s">
        <v>18</v>
      </c>
      <c r="E4149" t="s">
        <v>19</v>
      </c>
      <c r="F4149" t="s">
        <v>31</v>
      </c>
      <c r="O4149">
        <v>2028</v>
      </c>
      <c r="P4149">
        <v>35.205751426759697</v>
      </c>
    </row>
    <row r="4150" spans="1:16" x14ac:dyDescent="0.3">
      <c r="A4150" t="str">
        <f t="shared" si="64"/>
        <v>PA|AccumulatedNewCapacity|RE1|PWRSOLRTP_ZNI|2028</v>
      </c>
      <c r="B4150" t="s">
        <v>44</v>
      </c>
      <c r="C4150" t="s">
        <v>45</v>
      </c>
      <c r="D4150" t="s">
        <v>18</v>
      </c>
      <c r="E4150" t="s">
        <v>19</v>
      </c>
      <c r="F4150" t="s">
        <v>32</v>
      </c>
      <c r="O4150">
        <v>2028</v>
      </c>
    </row>
    <row r="4151" spans="1:16" x14ac:dyDescent="0.3">
      <c r="A4151" t="str">
        <f t="shared" si="64"/>
        <v>PA|AccumulatedNewCapacity|RE1|PWRSOLUGE|2028</v>
      </c>
      <c r="B4151" t="s">
        <v>44</v>
      </c>
      <c r="C4151" t="s">
        <v>45</v>
      </c>
      <c r="D4151" t="s">
        <v>18</v>
      </c>
      <c r="E4151" t="s">
        <v>19</v>
      </c>
      <c r="F4151" t="s">
        <v>33</v>
      </c>
      <c r="O4151">
        <v>2028</v>
      </c>
      <c r="P4151">
        <v>135.51019199999999</v>
      </c>
    </row>
    <row r="4152" spans="1:16" x14ac:dyDescent="0.3">
      <c r="A4152" t="str">
        <f t="shared" si="64"/>
        <v>PA|AccumulatedNewCapacity|RE1|PWRSOLUPE|2028</v>
      </c>
      <c r="B4152" t="s">
        <v>44</v>
      </c>
      <c r="C4152" t="s">
        <v>45</v>
      </c>
      <c r="D4152" t="s">
        <v>18</v>
      </c>
      <c r="E4152" t="s">
        <v>19</v>
      </c>
      <c r="F4152" t="s">
        <v>34</v>
      </c>
      <c r="O4152">
        <v>2028</v>
      </c>
      <c r="P4152">
        <v>12.14419823999993</v>
      </c>
    </row>
    <row r="4153" spans="1:16" x14ac:dyDescent="0.3">
      <c r="A4153" t="str">
        <f t="shared" si="64"/>
        <v>PA|AccumulatedNewCapacity|RE1|PWRSTD|2028</v>
      </c>
      <c r="B4153" t="s">
        <v>44</v>
      </c>
      <c r="C4153" t="s">
        <v>45</v>
      </c>
      <c r="D4153" t="s">
        <v>18</v>
      </c>
      <c r="E4153" t="s">
        <v>19</v>
      </c>
      <c r="F4153" t="s">
        <v>35</v>
      </c>
      <c r="O4153">
        <v>2028</v>
      </c>
    </row>
    <row r="4154" spans="1:16" x14ac:dyDescent="0.3">
      <c r="A4154" t="str">
        <f t="shared" si="64"/>
        <v>PA|AccumulatedNewCapacity|RE1|PWRWNDOFS_FIX|2028</v>
      </c>
      <c r="B4154" t="s">
        <v>44</v>
      </c>
      <c r="C4154" t="s">
        <v>45</v>
      </c>
      <c r="D4154" t="s">
        <v>18</v>
      </c>
      <c r="E4154" t="s">
        <v>19</v>
      </c>
      <c r="F4154" t="s">
        <v>42</v>
      </c>
      <c r="O4154">
        <v>2028</v>
      </c>
    </row>
    <row r="4155" spans="1:16" x14ac:dyDescent="0.3">
      <c r="A4155" t="str">
        <f t="shared" si="64"/>
        <v>PA|AccumulatedNewCapacity|RE1|PWRWNDONS|2028</v>
      </c>
      <c r="B4155" t="s">
        <v>44</v>
      </c>
      <c r="C4155" t="s">
        <v>45</v>
      </c>
      <c r="D4155" t="s">
        <v>18</v>
      </c>
      <c r="E4155" t="s">
        <v>19</v>
      </c>
      <c r="F4155" t="s">
        <v>36</v>
      </c>
      <c r="O4155">
        <v>2028</v>
      </c>
      <c r="P4155">
        <v>23.805623314285711</v>
      </c>
    </row>
    <row r="4156" spans="1:16" x14ac:dyDescent="0.3">
      <c r="A4156" t="str">
        <f t="shared" si="64"/>
        <v>PA|NewCapacity|RE1|PWRBGS|2028</v>
      </c>
      <c r="B4156" t="s">
        <v>44</v>
      </c>
      <c r="C4156" t="s">
        <v>45</v>
      </c>
      <c r="D4156" t="s">
        <v>37</v>
      </c>
      <c r="E4156" t="s">
        <v>19</v>
      </c>
      <c r="F4156" t="s">
        <v>20</v>
      </c>
      <c r="O4156">
        <v>2028</v>
      </c>
    </row>
    <row r="4157" spans="1:16" x14ac:dyDescent="0.3">
      <c r="A4157" t="str">
        <f t="shared" si="64"/>
        <v>PA|NewCapacity|RE1|PWRCOA|2028</v>
      </c>
      <c r="B4157" t="s">
        <v>44</v>
      </c>
      <c r="C4157" t="s">
        <v>45</v>
      </c>
      <c r="D4157" t="s">
        <v>37</v>
      </c>
      <c r="E4157" t="s">
        <v>19</v>
      </c>
      <c r="F4157" t="s">
        <v>21</v>
      </c>
      <c r="O4157">
        <v>2028</v>
      </c>
    </row>
    <row r="4158" spans="1:16" x14ac:dyDescent="0.3">
      <c r="A4158" t="str">
        <f t="shared" si="64"/>
        <v>PA|NewCapacity|RE1|PWRDSL|2028</v>
      </c>
      <c r="B4158" t="s">
        <v>44</v>
      </c>
      <c r="C4158" t="s">
        <v>45</v>
      </c>
      <c r="D4158" t="s">
        <v>37</v>
      </c>
      <c r="E4158" t="s">
        <v>19</v>
      </c>
      <c r="F4158" t="s">
        <v>22</v>
      </c>
      <c r="O4158">
        <v>2028</v>
      </c>
    </row>
    <row r="4159" spans="1:16" x14ac:dyDescent="0.3">
      <c r="A4159" t="str">
        <f t="shared" si="64"/>
        <v>PA|NewCapacity|RE1|PWRFOL|2028</v>
      </c>
      <c r="B4159" t="s">
        <v>44</v>
      </c>
      <c r="C4159" t="s">
        <v>45</v>
      </c>
      <c r="D4159" t="s">
        <v>37</v>
      </c>
      <c r="E4159" t="s">
        <v>19</v>
      </c>
      <c r="F4159" t="s">
        <v>23</v>
      </c>
      <c r="O4159">
        <v>2028</v>
      </c>
    </row>
    <row r="4160" spans="1:16" x14ac:dyDescent="0.3">
      <c r="A4160" t="str">
        <f t="shared" si="64"/>
        <v>PA|NewCapacity|RE1|PWRGEO|2028</v>
      </c>
      <c r="B4160" t="s">
        <v>44</v>
      </c>
      <c r="C4160" t="s">
        <v>45</v>
      </c>
      <c r="D4160" t="s">
        <v>37</v>
      </c>
      <c r="E4160" t="s">
        <v>19</v>
      </c>
      <c r="F4160" t="s">
        <v>46</v>
      </c>
      <c r="O4160">
        <v>2028</v>
      </c>
    </row>
    <row r="4161" spans="1:16" x14ac:dyDescent="0.3">
      <c r="A4161" t="str">
        <f t="shared" si="64"/>
        <v>PA|NewCapacity|RE1|PWRHYDDAM|2028</v>
      </c>
      <c r="B4161" t="s">
        <v>44</v>
      </c>
      <c r="C4161" t="s">
        <v>45</v>
      </c>
      <c r="D4161" t="s">
        <v>37</v>
      </c>
      <c r="E4161" t="s">
        <v>19</v>
      </c>
      <c r="F4161" t="s">
        <v>24</v>
      </c>
      <c r="O4161">
        <v>2028</v>
      </c>
      <c r="P4161">
        <v>37.840000000000003</v>
      </c>
    </row>
    <row r="4162" spans="1:16" x14ac:dyDescent="0.3">
      <c r="A4162" t="str">
        <f t="shared" ref="A4162:A4225" si="65">B4162&amp;"|"&amp;D4162&amp;"|"&amp;E4162&amp;"|"&amp;F4162&amp;"|"&amp;O4162</f>
        <v>PA|NewCapacity|RE1|PWRHYDROR|2028</v>
      </c>
      <c r="B4162" t="s">
        <v>44</v>
      </c>
      <c r="C4162" t="s">
        <v>45</v>
      </c>
      <c r="D4162" t="s">
        <v>37</v>
      </c>
      <c r="E4162" t="s">
        <v>19</v>
      </c>
      <c r="F4162" t="s">
        <v>25</v>
      </c>
      <c r="O4162">
        <v>2028</v>
      </c>
    </row>
    <row r="4163" spans="1:16" x14ac:dyDescent="0.3">
      <c r="A4163" t="str">
        <f t="shared" si="65"/>
        <v>PA|NewCapacity|RE1|PWRHYDROR_NDC|2028</v>
      </c>
      <c r="B4163" t="s">
        <v>44</v>
      </c>
      <c r="C4163" t="s">
        <v>45</v>
      </c>
      <c r="D4163" t="s">
        <v>37</v>
      </c>
      <c r="E4163" t="s">
        <v>19</v>
      </c>
      <c r="F4163" t="s">
        <v>26</v>
      </c>
      <c r="O4163">
        <v>2028</v>
      </c>
    </row>
    <row r="4164" spans="1:16" x14ac:dyDescent="0.3">
      <c r="A4164" t="str">
        <f t="shared" si="65"/>
        <v>PA|NewCapacity|RE1|PWRJET|2028</v>
      </c>
      <c r="B4164" t="s">
        <v>44</v>
      </c>
      <c r="C4164" t="s">
        <v>45</v>
      </c>
      <c r="D4164" t="s">
        <v>37</v>
      </c>
      <c r="E4164" t="s">
        <v>19</v>
      </c>
      <c r="F4164" t="s">
        <v>27</v>
      </c>
      <c r="O4164">
        <v>2028</v>
      </c>
    </row>
    <row r="4165" spans="1:16" x14ac:dyDescent="0.3">
      <c r="A4165" t="str">
        <f t="shared" si="65"/>
        <v>PA|NewCapacity|RE1|PWRLPG|2028</v>
      </c>
      <c r="B4165" t="s">
        <v>44</v>
      </c>
      <c r="C4165" t="s">
        <v>45</v>
      </c>
      <c r="D4165" t="s">
        <v>37</v>
      </c>
      <c r="E4165" t="s">
        <v>19</v>
      </c>
      <c r="F4165" t="s">
        <v>28</v>
      </c>
      <c r="O4165">
        <v>2028</v>
      </c>
    </row>
    <row r="4166" spans="1:16" x14ac:dyDescent="0.3">
      <c r="A4166" t="str">
        <f t="shared" si="65"/>
        <v>PA|NewCapacity|RE1|PWRNGS_CC|2028</v>
      </c>
      <c r="B4166" t="s">
        <v>44</v>
      </c>
      <c r="C4166" t="s">
        <v>45</v>
      </c>
      <c r="D4166" t="s">
        <v>37</v>
      </c>
      <c r="E4166" t="s">
        <v>19</v>
      </c>
      <c r="F4166" t="s">
        <v>29</v>
      </c>
      <c r="O4166">
        <v>2028</v>
      </c>
    </row>
    <row r="4167" spans="1:16" x14ac:dyDescent="0.3">
      <c r="A4167" t="str">
        <f t="shared" si="65"/>
        <v>PA|NewCapacity|RE1|PWRNGS_CS|2028</v>
      </c>
      <c r="B4167" t="s">
        <v>44</v>
      </c>
      <c r="C4167" t="s">
        <v>45</v>
      </c>
      <c r="D4167" t="s">
        <v>37</v>
      </c>
      <c r="E4167" t="s">
        <v>19</v>
      </c>
      <c r="F4167" t="s">
        <v>30</v>
      </c>
      <c r="O4167">
        <v>2028</v>
      </c>
    </row>
    <row r="4168" spans="1:16" x14ac:dyDescent="0.3">
      <c r="A4168" t="str">
        <f t="shared" si="65"/>
        <v>PA|NewCapacity|RE1|PWRNUC|2028</v>
      </c>
      <c r="B4168" t="s">
        <v>44</v>
      </c>
      <c r="C4168" t="s">
        <v>45</v>
      </c>
      <c r="D4168" t="s">
        <v>37</v>
      </c>
      <c r="E4168" t="s">
        <v>19</v>
      </c>
      <c r="F4168" t="s">
        <v>47</v>
      </c>
      <c r="O4168">
        <v>2028</v>
      </c>
    </row>
    <row r="4169" spans="1:16" x14ac:dyDescent="0.3">
      <c r="A4169" t="str">
        <f t="shared" si="65"/>
        <v>PA|NewCapacity|RE1|PWRSOLRTP|2028</v>
      </c>
      <c r="B4169" t="s">
        <v>44</v>
      </c>
      <c r="C4169" t="s">
        <v>45</v>
      </c>
      <c r="D4169" t="s">
        <v>37</v>
      </c>
      <c r="E4169" t="s">
        <v>19</v>
      </c>
      <c r="F4169" t="s">
        <v>31</v>
      </c>
      <c r="O4169">
        <v>2028</v>
      </c>
      <c r="P4169">
        <v>13.79201014584654</v>
      </c>
    </row>
    <row r="4170" spans="1:16" x14ac:dyDescent="0.3">
      <c r="A4170" t="str">
        <f t="shared" si="65"/>
        <v>PA|NewCapacity|RE1|PWRSOLRTP_ZNI|2028</v>
      </c>
      <c r="B4170" t="s">
        <v>44</v>
      </c>
      <c r="C4170" t="s">
        <v>45</v>
      </c>
      <c r="D4170" t="s">
        <v>37</v>
      </c>
      <c r="E4170" t="s">
        <v>19</v>
      </c>
      <c r="F4170" t="s">
        <v>32</v>
      </c>
      <c r="O4170">
        <v>2028</v>
      </c>
    </row>
    <row r="4171" spans="1:16" x14ac:dyDescent="0.3">
      <c r="A4171" t="str">
        <f t="shared" si="65"/>
        <v>PA|NewCapacity|RE1|PWRSOLUGE|2028</v>
      </c>
      <c r="B4171" t="s">
        <v>44</v>
      </c>
      <c r="C4171" t="s">
        <v>45</v>
      </c>
      <c r="D4171" t="s">
        <v>37</v>
      </c>
      <c r="E4171" t="s">
        <v>19</v>
      </c>
      <c r="F4171" t="s">
        <v>33</v>
      </c>
      <c r="O4171">
        <v>2028</v>
      </c>
    </row>
    <row r="4172" spans="1:16" x14ac:dyDescent="0.3">
      <c r="A4172" t="str">
        <f t="shared" si="65"/>
        <v>PA|NewCapacity|RE1|PWRSOLUPE|2028</v>
      </c>
      <c r="B4172" t="s">
        <v>44</v>
      </c>
      <c r="C4172" t="s">
        <v>45</v>
      </c>
      <c r="D4172" t="s">
        <v>37</v>
      </c>
      <c r="E4172" t="s">
        <v>19</v>
      </c>
      <c r="F4172" t="s">
        <v>34</v>
      </c>
      <c r="O4172">
        <v>2028</v>
      </c>
    </row>
    <row r="4173" spans="1:16" x14ac:dyDescent="0.3">
      <c r="A4173" t="str">
        <f t="shared" si="65"/>
        <v>PA|NewCapacity|RE1|PWRSTD|2028</v>
      </c>
      <c r="B4173" t="s">
        <v>44</v>
      </c>
      <c r="C4173" t="s">
        <v>45</v>
      </c>
      <c r="D4173" t="s">
        <v>37</v>
      </c>
      <c r="E4173" t="s">
        <v>19</v>
      </c>
      <c r="F4173" t="s">
        <v>35</v>
      </c>
      <c r="O4173">
        <v>2028</v>
      </c>
    </row>
    <row r="4174" spans="1:16" x14ac:dyDescent="0.3">
      <c r="A4174" t="str">
        <f t="shared" si="65"/>
        <v>PA|NewCapacity|RE1|PWRWNDOFS_FIX|2028</v>
      </c>
      <c r="B4174" t="s">
        <v>44</v>
      </c>
      <c r="C4174" t="s">
        <v>45</v>
      </c>
      <c r="D4174" t="s">
        <v>37</v>
      </c>
      <c r="E4174" t="s">
        <v>19</v>
      </c>
      <c r="F4174" t="s">
        <v>42</v>
      </c>
      <c r="O4174">
        <v>2028</v>
      </c>
    </row>
    <row r="4175" spans="1:16" x14ac:dyDescent="0.3">
      <c r="A4175" t="str">
        <f t="shared" si="65"/>
        <v>PA|NewCapacity|RE1|PWRWNDONS|2028</v>
      </c>
      <c r="B4175" t="s">
        <v>44</v>
      </c>
      <c r="C4175" t="s">
        <v>45</v>
      </c>
      <c r="D4175" t="s">
        <v>37</v>
      </c>
      <c r="E4175" t="s">
        <v>19</v>
      </c>
      <c r="F4175" t="s">
        <v>36</v>
      </c>
      <c r="O4175">
        <v>2028</v>
      </c>
      <c r="P4175">
        <v>6.3387359999999999</v>
      </c>
    </row>
    <row r="4176" spans="1:16" x14ac:dyDescent="0.3">
      <c r="A4176" t="str">
        <f t="shared" si="65"/>
        <v>PA|TotalCapacityAnnual|RE1|PWRBGS|2028</v>
      </c>
      <c r="B4176" t="s">
        <v>44</v>
      </c>
      <c r="C4176" t="s">
        <v>45</v>
      </c>
      <c r="D4176" t="s">
        <v>38</v>
      </c>
      <c r="E4176" t="s">
        <v>19</v>
      </c>
      <c r="F4176" t="s">
        <v>20</v>
      </c>
      <c r="O4176">
        <v>2028</v>
      </c>
      <c r="P4176">
        <v>2.5488587520000001E-2</v>
      </c>
    </row>
    <row r="4177" spans="1:16" x14ac:dyDescent="0.3">
      <c r="A4177" t="str">
        <f t="shared" si="65"/>
        <v>PA|TotalCapacityAnnual|RE1|PWRCOA|2028</v>
      </c>
      <c r="B4177" t="s">
        <v>44</v>
      </c>
      <c r="C4177" t="s">
        <v>45</v>
      </c>
      <c r="D4177" t="s">
        <v>38</v>
      </c>
      <c r="E4177" t="s">
        <v>19</v>
      </c>
      <c r="F4177" t="s">
        <v>21</v>
      </c>
      <c r="O4177">
        <v>2028</v>
      </c>
      <c r="P4177">
        <v>19.047744000000002</v>
      </c>
    </row>
    <row r="4178" spans="1:16" x14ac:dyDescent="0.3">
      <c r="A4178" t="str">
        <f t="shared" si="65"/>
        <v>PA|TotalCapacityAnnual|RE1|PWRDSL|2028</v>
      </c>
      <c r="B4178" t="s">
        <v>44</v>
      </c>
      <c r="C4178" t="s">
        <v>45</v>
      </c>
      <c r="D4178" t="s">
        <v>38</v>
      </c>
      <c r="E4178" t="s">
        <v>19</v>
      </c>
      <c r="F4178" t="s">
        <v>22</v>
      </c>
      <c r="O4178">
        <v>2028</v>
      </c>
      <c r="P4178">
        <v>24.944976</v>
      </c>
    </row>
    <row r="4179" spans="1:16" x14ac:dyDescent="0.3">
      <c r="A4179" t="str">
        <f t="shared" si="65"/>
        <v>PA|TotalCapacityAnnual|RE1|PWRFOL|2028</v>
      </c>
      <c r="B4179" t="s">
        <v>44</v>
      </c>
      <c r="C4179" t="s">
        <v>45</v>
      </c>
      <c r="D4179" t="s">
        <v>38</v>
      </c>
      <c r="E4179" t="s">
        <v>19</v>
      </c>
      <c r="F4179" t="s">
        <v>23</v>
      </c>
      <c r="O4179">
        <v>2028</v>
      </c>
      <c r="P4179">
        <v>8.3885759999999987</v>
      </c>
    </row>
    <row r="4180" spans="1:16" x14ac:dyDescent="0.3">
      <c r="A4180" t="str">
        <f t="shared" si="65"/>
        <v>PA|TotalCapacityAnnual|RE1|PWRGEO|2028</v>
      </c>
      <c r="B4180" t="s">
        <v>44</v>
      </c>
      <c r="C4180" t="s">
        <v>45</v>
      </c>
      <c r="D4180" t="s">
        <v>38</v>
      </c>
      <c r="E4180" t="s">
        <v>19</v>
      </c>
      <c r="F4180" t="s">
        <v>46</v>
      </c>
      <c r="O4180">
        <v>2028</v>
      </c>
    </row>
    <row r="4181" spans="1:16" x14ac:dyDescent="0.3">
      <c r="A4181" t="str">
        <f t="shared" si="65"/>
        <v>PA|TotalCapacityAnnual|RE1|PWRHYDDAM|2028</v>
      </c>
      <c r="B4181" t="s">
        <v>44</v>
      </c>
      <c r="C4181" t="s">
        <v>45</v>
      </c>
      <c r="D4181" t="s">
        <v>38</v>
      </c>
      <c r="E4181" t="s">
        <v>19</v>
      </c>
      <c r="F4181" t="s">
        <v>24</v>
      </c>
      <c r="O4181">
        <v>2028</v>
      </c>
      <c r="P4181">
        <v>440.49164800000011</v>
      </c>
    </row>
    <row r="4182" spans="1:16" x14ac:dyDescent="0.3">
      <c r="A4182" t="str">
        <f t="shared" si="65"/>
        <v>PA|TotalCapacityAnnual|RE1|PWRHYDROR|2028</v>
      </c>
      <c r="B4182" t="s">
        <v>44</v>
      </c>
      <c r="C4182" t="s">
        <v>45</v>
      </c>
      <c r="D4182" t="s">
        <v>38</v>
      </c>
      <c r="E4182" t="s">
        <v>19</v>
      </c>
      <c r="F4182" t="s">
        <v>25</v>
      </c>
      <c r="O4182">
        <v>2028</v>
      </c>
      <c r="P4182">
        <v>21.097584000000001</v>
      </c>
    </row>
    <row r="4183" spans="1:16" x14ac:dyDescent="0.3">
      <c r="A4183" t="str">
        <f t="shared" si="65"/>
        <v>PA|TotalCapacityAnnual|RE1|PWRHYDROR_NDC|2028</v>
      </c>
      <c r="B4183" t="s">
        <v>44</v>
      </c>
      <c r="C4183" t="s">
        <v>45</v>
      </c>
      <c r="D4183" t="s">
        <v>38</v>
      </c>
      <c r="E4183" t="s">
        <v>19</v>
      </c>
      <c r="F4183" t="s">
        <v>26</v>
      </c>
      <c r="O4183">
        <v>2028</v>
      </c>
      <c r="P4183">
        <v>29.725108271999989</v>
      </c>
    </row>
    <row r="4184" spans="1:16" x14ac:dyDescent="0.3">
      <c r="A4184" t="str">
        <f t="shared" si="65"/>
        <v>PA|TotalCapacityAnnual|RE1|PWRJET|2028</v>
      </c>
      <c r="B4184" t="s">
        <v>44</v>
      </c>
      <c r="C4184" t="s">
        <v>45</v>
      </c>
      <c r="D4184" t="s">
        <v>38</v>
      </c>
      <c r="E4184" t="s">
        <v>19</v>
      </c>
      <c r="F4184" t="s">
        <v>27</v>
      </c>
      <c r="O4184">
        <v>2028</v>
      </c>
      <c r="P4184">
        <v>1.5768</v>
      </c>
    </row>
    <row r="4185" spans="1:16" x14ac:dyDescent="0.3">
      <c r="A4185" t="str">
        <f t="shared" si="65"/>
        <v>PA|TotalCapacityAnnual|RE1|PWRLPG|2028</v>
      </c>
      <c r="B4185" t="s">
        <v>44</v>
      </c>
      <c r="C4185" t="s">
        <v>45</v>
      </c>
      <c r="D4185" t="s">
        <v>38</v>
      </c>
      <c r="E4185" t="s">
        <v>19</v>
      </c>
      <c r="F4185" t="s">
        <v>28</v>
      </c>
      <c r="O4185">
        <v>2028</v>
      </c>
      <c r="P4185">
        <v>1.639872</v>
      </c>
    </row>
    <row r="4186" spans="1:16" x14ac:dyDescent="0.3">
      <c r="A4186" t="str">
        <f t="shared" si="65"/>
        <v>PA|TotalCapacityAnnual|RE1|PWRNGS_CC|2028</v>
      </c>
      <c r="B4186" t="s">
        <v>44</v>
      </c>
      <c r="C4186" t="s">
        <v>45</v>
      </c>
      <c r="D4186" t="s">
        <v>38</v>
      </c>
      <c r="E4186" t="s">
        <v>19</v>
      </c>
      <c r="F4186" t="s">
        <v>29</v>
      </c>
      <c r="O4186">
        <v>2028</v>
      </c>
      <c r="P4186">
        <v>70.104500000000002</v>
      </c>
    </row>
    <row r="4187" spans="1:16" x14ac:dyDescent="0.3">
      <c r="A4187" t="str">
        <f t="shared" si="65"/>
        <v>PA|TotalCapacityAnnual|RE1|PWRNGS_CS|2028</v>
      </c>
      <c r="B4187" t="s">
        <v>44</v>
      </c>
      <c r="C4187" t="s">
        <v>45</v>
      </c>
      <c r="D4187" t="s">
        <v>38</v>
      </c>
      <c r="E4187" t="s">
        <v>19</v>
      </c>
      <c r="F4187" t="s">
        <v>30</v>
      </c>
      <c r="O4187">
        <v>2028</v>
      </c>
      <c r="P4187">
        <v>23.084351999999999</v>
      </c>
    </row>
    <row r="4188" spans="1:16" x14ac:dyDescent="0.3">
      <c r="A4188" t="str">
        <f t="shared" si="65"/>
        <v>PA|TotalCapacityAnnual|RE1|PWRNUC|2028</v>
      </c>
      <c r="B4188" t="s">
        <v>44</v>
      </c>
      <c r="C4188" t="s">
        <v>45</v>
      </c>
      <c r="D4188" t="s">
        <v>38</v>
      </c>
      <c r="E4188" t="s">
        <v>19</v>
      </c>
      <c r="F4188" t="s">
        <v>47</v>
      </c>
      <c r="O4188">
        <v>2028</v>
      </c>
    </row>
    <row r="4189" spans="1:16" x14ac:dyDescent="0.3">
      <c r="A4189" t="str">
        <f t="shared" si="65"/>
        <v>PA|TotalCapacityAnnual|RE1|PWRSOLRTP|2028</v>
      </c>
      <c r="B4189" t="s">
        <v>44</v>
      </c>
      <c r="C4189" t="s">
        <v>45</v>
      </c>
      <c r="D4189" t="s">
        <v>38</v>
      </c>
      <c r="E4189" t="s">
        <v>19</v>
      </c>
      <c r="F4189" t="s">
        <v>31</v>
      </c>
      <c r="O4189">
        <v>2028</v>
      </c>
      <c r="P4189">
        <v>58.489851426759699</v>
      </c>
    </row>
    <row r="4190" spans="1:16" x14ac:dyDescent="0.3">
      <c r="A4190" t="str">
        <f t="shared" si="65"/>
        <v>PA|TotalCapacityAnnual|RE1|PWRSOLRTP_ZNI|2028</v>
      </c>
      <c r="B4190" t="s">
        <v>44</v>
      </c>
      <c r="C4190" t="s">
        <v>45</v>
      </c>
      <c r="D4190" t="s">
        <v>38</v>
      </c>
      <c r="E4190" t="s">
        <v>19</v>
      </c>
      <c r="F4190" t="s">
        <v>32</v>
      </c>
      <c r="O4190">
        <v>2028</v>
      </c>
      <c r="P4190">
        <v>0.46074095999999998</v>
      </c>
    </row>
    <row r="4191" spans="1:16" x14ac:dyDescent="0.3">
      <c r="A4191" t="str">
        <f t="shared" si="65"/>
        <v>PA|TotalCapacityAnnual|RE1|PWRSOLUGE|2028</v>
      </c>
      <c r="B4191" t="s">
        <v>44</v>
      </c>
      <c r="C4191" t="s">
        <v>45</v>
      </c>
      <c r="D4191" t="s">
        <v>38</v>
      </c>
      <c r="E4191" t="s">
        <v>19</v>
      </c>
      <c r="F4191" t="s">
        <v>33</v>
      </c>
      <c r="O4191">
        <v>2028</v>
      </c>
      <c r="P4191">
        <v>183.90786048000001</v>
      </c>
    </row>
    <row r="4192" spans="1:16" x14ac:dyDescent="0.3">
      <c r="A4192" t="str">
        <f t="shared" si="65"/>
        <v>PA|TotalCapacityAnnual|RE1|PWRSOLUPE|2028</v>
      </c>
      <c r="B4192" t="s">
        <v>44</v>
      </c>
      <c r="C4192" t="s">
        <v>45</v>
      </c>
      <c r="D4192" t="s">
        <v>38</v>
      </c>
      <c r="E4192" t="s">
        <v>19</v>
      </c>
      <c r="F4192" t="s">
        <v>34</v>
      </c>
      <c r="O4192">
        <v>2028</v>
      </c>
      <c r="P4192">
        <v>39.172600079999931</v>
      </c>
    </row>
    <row r="4193" spans="1:16" x14ac:dyDescent="0.3">
      <c r="A4193" t="str">
        <f t="shared" si="65"/>
        <v>PA|TotalCapacityAnnual|RE1|PWRSTD|2028</v>
      </c>
      <c r="B4193" t="s">
        <v>44</v>
      </c>
      <c r="C4193" t="s">
        <v>45</v>
      </c>
      <c r="D4193" t="s">
        <v>38</v>
      </c>
      <c r="E4193" t="s">
        <v>19</v>
      </c>
      <c r="F4193" t="s">
        <v>35</v>
      </c>
      <c r="O4193">
        <v>2028</v>
      </c>
      <c r="P4193">
        <v>8.163062064</v>
      </c>
    </row>
    <row r="4194" spans="1:16" x14ac:dyDescent="0.3">
      <c r="A4194" t="str">
        <f t="shared" si="65"/>
        <v>PA|TotalCapacityAnnual|RE1|PWRWNDOFS_FIX|2028</v>
      </c>
      <c r="B4194" t="s">
        <v>44</v>
      </c>
      <c r="C4194" t="s">
        <v>45</v>
      </c>
      <c r="D4194" t="s">
        <v>38</v>
      </c>
      <c r="E4194" t="s">
        <v>19</v>
      </c>
      <c r="F4194" t="s">
        <v>42</v>
      </c>
      <c r="O4194">
        <v>2028</v>
      </c>
    </row>
    <row r="4195" spans="1:16" x14ac:dyDescent="0.3">
      <c r="A4195" t="str">
        <f t="shared" si="65"/>
        <v>PA|TotalCapacityAnnual|RE1|PWRWNDONS|2028</v>
      </c>
      <c r="B4195" t="s">
        <v>44</v>
      </c>
      <c r="C4195" t="s">
        <v>45</v>
      </c>
      <c r="D4195" t="s">
        <v>38</v>
      </c>
      <c r="E4195" t="s">
        <v>19</v>
      </c>
      <c r="F4195" t="s">
        <v>36</v>
      </c>
      <c r="O4195">
        <v>2028</v>
      </c>
      <c r="P4195">
        <v>25.17428571428572</v>
      </c>
    </row>
    <row r="4196" spans="1:16" x14ac:dyDescent="0.3">
      <c r="A4196" t="str">
        <f t="shared" si="65"/>
        <v>PA|AccumulatedNewCapacity|RE1|PWRBGS|2029</v>
      </c>
      <c r="B4196" t="s">
        <v>44</v>
      </c>
      <c r="C4196" t="s">
        <v>45</v>
      </c>
      <c r="D4196" t="s">
        <v>18</v>
      </c>
      <c r="E4196" t="s">
        <v>19</v>
      </c>
      <c r="F4196" t="s">
        <v>20</v>
      </c>
      <c r="O4196">
        <v>2029</v>
      </c>
    </row>
    <row r="4197" spans="1:16" x14ac:dyDescent="0.3">
      <c r="A4197" t="str">
        <f t="shared" si="65"/>
        <v>PA|AccumulatedNewCapacity|RE1|PWRCOA|2029</v>
      </c>
      <c r="B4197" t="s">
        <v>44</v>
      </c>
      <c r="C4197" t="s">
        <v>45</v>
      </c>
      <c r="D4197" t="s">
        <v>18</v>
      </c>
      <c r="E4197" t="s">
        <v>19</v>
      </c>
      <c r="F4197" t="s">
        <v>21</v>
      </c>
      <c r="O4197">
        <v>2029</v>
      </c>
    </row>
    <row r="4198" spans="1:16" x14ac:dyDescent="0.3">
      <c r="A4198" t="str">
        <f t="shared" si="65"/>
        <v>PA|AccumulatedNewCapacity|RE1|PWRDSL|2029</v>
      </c>
      <c r="B4198" t="s">
        <v>44</v>
      </c>
      <c r="C4198" t="s">
        <v>45</v>
      </c>
      <c r="D4198" t="s">
        <v>18</v>
      </c>
      <c r="E4198" t="s">
        <v>19</v>
      </c>
      <c r="F4198" t="s">
        <v>22</v>
      </c>
      <c r="O4198">
        <v>2029</v>
      </c>
    </row>
    <row r="4199" spans="1:16" x14ac:dyDescent="0.3">
      <c r="A4199" t="str">
        <f t="shared" si="65"/>
        <v>PA|AccumulatedNewCapacity|RE1|PWRFOL|2029</v>
      </c>
      <c r="B4199" t="s">
        <v>44</v>
      </c>
      <c r="C4199" t="s">
        <v>45</v>
      </c>
      <c r="D4199" t="s">
        <v>18</v>
      </c>
      <c r="E4199" t="s">
        <v>19</v>
      </c>
      <c r="F4199" t="s">
        <v>23</v>
      </c>
      <c r="O4199">
        <v>2029</v>
      </c>
    </row>
    <row r="4200" spans="1:16" x14ac:dyDescent="0.3">
      <c r="A4200" t="str">
        <f t="shared" si="65"/>
        <v>PA|AccumulatedNewCapacity|RE1|PWRGEO|2029</v>
      </c>
      <c r="B4200" t="s">
        <v>44</v>
      </c>
      <c r="C4200" t="s">
        <v>45</v>
      </c>
      <c r="D4200" t="s">
        <v>18</v>
      </c>
      <c r="E4200" t="s">
        <v>19</v>
      </c>
      <c r="F4200" t="s">
        <v>46</v>
      </c>
      <c r="O4200">
        <v>2029</v>
      </c>
    </row>
    <row r="4201" spans="1:16" x14ac:dyDescent="0.3">
      <c r="A4201" t="str">
        <f t="shared" si="65"/>
        <v>PA|AccumulatedNewCapacity|RE1|PWRHYDDAM|2029</v>
      </c>
      <c r="B4201" t="s">
        <v>44</v>
      </c>
      <c r="C4201" t="s">
        <v>45</v>
      </c>
      <c r="D4201" t="s">
        <v>18</v>
      </c>
      <c r="E4201" t="s">
        <v>19</v>
      </c>
      <c r="F4201" t="s">
        <v>24</v>
      </c>
      <c r="O4201">
        <v>2029</v>
      </c>
      <c r="P4201">
        <v>37.840000000000003</v>
      </c>
    </row>
    <row r="4202" spans="1:16" x14ac:dyDescent="0.3">
      <c r="A4202" t="str">
        <f t="shared" si="65"/>
        <v>PA|AccumulatedNewCapacity|RE1|PWRHYDROR|2029</v>
      </c>
      <c r="B4202" t="s">
        <v>44</v>
      </c>
      <c r="C4202" t="s">
        <v>45</v>
      </c>
      <c r="D4202" t="s">
        <v>18</v>
      </c>
      <c r="E4202" t="s">
        <v>19</v>
      </c>
      <c r="F4202" t="s">
        <v>25</v>
      </c>
      <c r="O4202">
        <v>2029</v>
      </c>
    </row>
    <row r="4203" spans="1:16" x14ac:dyDescent="0.3">
      <c r="A4203" t="str">
        <f t="shared" si="65"/>
        <v>PA|AccumulatedNewCapacity|RE1|PWRHYDROR_NDC|2029</v>
      </c>
      <c r="B4203" t="s">
        <v>44</v>
      </c>
      <c r="C4203" t="s">
        <v>45</v>
      </c>
      <c r="D4203" t="s">
        <v>18</v>
      </c>
      <c r="E4203" t="s">
        <v>19</v>
      </c>
      <c r="F4203" t="s">
        <v>26</v>
      </c>
      <c r="O4203">
        <v>2029</v>
      </c>
    </row>
    <row r="4204" spans="1:16" x14ac:dyDescent="0.3">
      <c r="A4204" t="str">
        <f t="shared" si="65"/>
        <v>PA|AccumulatedNewCapacity|RE1|PWRJET|2029</v>
      </c>
      <c r="B4204" t="s">
        <v>44</v>
      </c>
      <c r="C4204" t="s">
        <v>45</v>
      </c>
      <c r="D4204" t="s">
        <v>18</v>
      </c>
      <c r="E4204" t="s">
        <v>19</v>
      </c>
      <c r="F4204" t="s">
        <v>27</v>
      </c>
      <c r="O4204">
        <v>2029</v>
      </c>
    </row>
    <row r="4205" spans="1:16" x14ac:dyDescent="0.3">
      <c r="A4205" t="str">
        <f t="shared" si="65"/>
        <v>PA|AccumulatedNewCapacity|RE1|PWRLPG|2029</v>
      </c>
      <c r="B4205" t="s">
        <v>44</v>
      </c>
      <c r="C4205" t="s">
        <v>45</v>
      </c>
      <c r="D4205" t="s">
        <v>18</v>
      </c>
      <c r="E4205" t="s">
        <v>19</v>
      </c>
      <c r="F4205" t="s">
        <v>28</v>
      </c>
      <c r="O4205">
        <v>2029</v>
      </c>
    </row>
    <row r="4206" spans="1:16" x14ac:dyDescent="0.3">
      <c r="A4206" t="str">
        <f t="shared" si="65"/>
        <v>PA|AccumulatedNewCapacity|RE1|PWRNGS_CC|2029</v>
      </c>
      <c r="B4206" t="s">
        <v>44</v>
      </c>
      <c r="C4206" t="s">
        <v>45</v>
      </c>
      <c r="D4206" t="s">
        <v>18</v>
      </c>
      <c r="E4206" t="s">
        <v>19</v>
      </c>
      <c r="F4206" t="s">
        <v>29</v>
      </c>
      <c r="O4206">
        <v>2029</v>
      </c>
    </row>
    <row r="4207" spans="1:16" x14ac:dyDescent="0.3">
      <c r="A4207" t="str">
        <f t="shared" si="65"/>
        <v>PA|AccumulatedNewCapacity|RE1|PWRNGS_CS|2029</v>
      </c>
      <c r="B4207" t="s">
        <v>44</v>
      </c>
      <c r="C4207" t="s">
        <v>45</v>
      </c>
      <c r="D4207" t="s">
        <v>18</v>
      </c>
      <c r="E4207" t="s">
        <v>19</v>
      </c>
      <c r="F4207" t="s">
        <v>30</v>
      </c>
      <c r="O4207">
        <v>2029</v>
      </c>
    </row>
    <row r="4208" spans="1:16" x14ac:dyDescent="0.3">
      <c r="A4208" t="str">
        <f t="shared" si="65"/>
        <v>PA|AccumulatedNewCapacity|RE1|PWRNUC|2029</v>
      </c>
      <c r="B4208" t="s">
        <v>44</v>
      </c>
      <c r="C4208" t="s">
        <v>45</v>
      </c>
      <c r="D4208" t="s">
        <v>18</v>
      </c>
      <c r="E4208" t="s">
        <v>19</v>
      </c>
      <c r="F4208" t="s">
        <v>47</v>
      </c>
      <c r="O4208">
        <v>2029</v>
      </c>
    </row>
    <row r="4209" spans="1:16" x14ac:dyDescent="0.3">
      <c r="A4209" t="str">
        <f t="shared" si="65"/>
        <v>PA|AccumulatedNewCapacity|RE1|PWRSOLRTP|2029</v>
      </c>
      <c r="B4209" t="s">
        <v>44</v>
      </c>
      <c r="C4209" t="s">
        <v>45</v>
      </c>
      <c r="D4209" t="s">
        <v>18</v>
      </c>
      <c r="E4209" t="s">
        <v>19</v>
      </c>
      <c r="F4209" t="s">
        <v>31</v>
      </c>
      <c r="O4209">
        <v>2029</v>
      </c>
      <c r="P4209">
        <v>49.473348129359572</v>
      </c>
    </row>
    <row r="4210" spans="1:16" x14ac:dyDescent="0.3">
      <c r="A4210" t="str">
        <f t="shared" si="65"/>
        <v>PA|AccumulatedNewCapacity|RE1|PWRSOLRTP_ZNI|2029</v>
      </c>
      <c r="B4210" t="s">
        <v>44</v>
      </c>
      <c r="C4210" t="s">
        <v>45</v>
      </c>
      <c r="D4210" t="s">
        <v>18</v>
      </c>
      <c r="E4210" t="s">
        <v>19</v>
      </c>
      <c r="F4210" t="s">
        <v>32</v>
      </c>
      <c r="O4210">
        <v>2029</v>
      </c>
    </row>
    <row r="4211" spans="1:16" x14ac:dyDescent="0.3">
      <c r="A4211" t="str">
        <f t="shared" si="65"/>
        <v>PA|AccumulatedNewCapacity|RE1|PWRSOLUGE|2029</v>
      </c>
      <c r="B4211" t="s">
        <v>44</v>
      </c>
      <c r="C4211" t="s">
        <v>45</v>
      </c>
      <c r="D4211" t="s">
        <v>18</v>
      </c>
      <c r="E4211" t="s">
        <v>19</v>
      </c>
      <c r="F4211" t="s">
        <v>33</v>
      </c>
      <c r="O4211">
        <v>2029</v>
      </c>
      <c r="P4211">
        <v>135.51019199999999</v>
      </c>
    </row>
    <row r="4212" spans="1:16" x14ac:dyDescent="0.3">
      <c r="A4212" t="str">
        <f t="shared" si="65"/>
        <v>PA|AccumulatedNewCapacity|RE1|PWRSOLUPE|2029</v>
      </c>
      <c r="B4212" t="s">
        <v>44</v>
      </c>
      <c r="C4212" t="s">
        <v>45</v>
      </c>
      <c r="D4212" t="s">
        <v>18</v>
      </c>
      <c r="E4212" t="s">
        <v>19</v>
      </c>
      <c r="F4212" t="s">
        <v>34</v>
      </c>
      <c r="O4212">
        <v>2029</v>
      </c>
      <c r="P4212">
        <v>12.14419823999993</v>
      </c>
    </row>
    <row r="4213" spans="1:16" x14ac:dyDescent="0.3">
      <c r="A4213" t="str">
        <f t="shared" si="65"/>
        <v>PA|AccumulatedNewCapacity|RE1|PWRSTD|2029</v>
      </c>
      <c r="B4213" t="s">
        <v>44</v>
      </c>
      <c r="C4213" t="s">
        <v>45</v>
      </c>
      <c r="D4213" t="s">
        <v>18</v>
      </c>
      <c r="E4213" t="s">
        <v>19</v>
      </c>
      <c r="F4213" t="s">
        <v>35</v>
      </c>
      <c r="O4213">
        <v>2029</v>
      </c>
    </row>
    <row r="4214" spans="1:16" x14ac:dyDescent="0.3">
      <c r="A4214" t="str">
        <f t="shared" si="65"/>
        <v>PA|AccumulatedNewCapacity|RE1|PWRWNDOFS_FIX|2029</v>
      </c>
      <c r="B4214" t="s">
        <v>44</v>
      </c>
      <c r="C4214" t="s">
        <v>45</v>
      </c>
      <c r="D4214" t="s">
        <v>18</v>
      </c>
      <c r="E4214" t="s">
        <v>19</v>
      </c>
      <c r="F4214" t="s">
        <v>42</v>
      </c>
      <c r="O4214">
        <v>2029</v>
      </c>
    </row>
    <row r="4215" spans="1:16" x14ac:dyDescent="0.3">
      <c r="A4215" t="str">
        <f t="shared" si="65"/>
        <v>PA|AccumulatedNewCapacity|RE1|PWRWNDONS|2029</v>
      </c>
      <c r="B4215" t="s">
        <v>44</v>
      </c>
      <c r="C4215" t="s">
        <v>45</v>
      </c>
      <c r="D4215" t="s">
        <v>18</v>
      </c>
      <c r="E4215" t="s">
        <v>19</v>
      </c>
      <c r="F4215" t="s">
        <v>36</v>
      </c>
      <c r="O4215">
        <v>2029</v>
      </c>
      <c r="P4215">
        <v>33.266423314285717</v>
      </c>
    </row>
    <row r="4216" spans="1:16" x14ac:dyDescent="0.3">
      <c r="A4216" t="str">
        <f t="shared" si="65"/>
        <v>PA|NewCapacity|RE1|PWRBGS|2029</v>
      </c>
      <c r="B4216" t="s">
        <v>44</v>
      </c>
      <c r="C4216" t="s">
        <v>45</v>
      </c>
      <c r="D4216" t="s">
        <v>37</v>
      </c>
      <c r="E4216" t="s">
        <v>19</v>
      </c>
      <c r="F4216" t="s">
        <v>20</v>
      </c>
      <c r="O4216">
        <v>2029</v>
      </c>
    </row>
    <row r="4217" spans="1:16" x14ac:dyDescent="0.3">
      <c r="A4217" t="str">
        <f t="shared" si="65"/>
        <v>PA|NewCapacity|RE1|PWRCOA|2029</v>
      </c>
      <c r="B4217" t="s">
        <v>44</v>
      </c>
      <c r="C4217" t="s">
        <v>45</v>
      </c>
      <c r="D4217" t="s">
        <v>37</v>
      </c>
      <c r="E4217" t="s">
        <v>19</v>
      </c>
      <c r="F4217" t="s">
        <v>21</v>
      </c>
      <c r="O4217">
        <v>2029</v>
      </c>
    </row>
    <row r="4218" spans="1:16" x14ac:dyDescent="0.3">
      <c r="A4218" t="str">
        <f t="shared" si="65"/>
        <v>PA|NewCapacity|RE1|PWRDSL|2029</v>
      </c>
      <c r="B4218" t="s">
        <v>44</v>
      </c>
      <c r="C4218" t="s">
        <v>45</v>
      </c>
      <c r="D4218" t="s">
        <v>37</v>
      </c>
      <c r="E4218" t="s">
        <v>19</v>
      </c>
      <c r="F4218" t="s">
        <v>22</v>
      </c>
      <c r="O4218">
        <v>2029</v>
      </c>
    </row>
    <row r="4219" spans="1:16" x14ac:dyDescent="0.3">
      <c r="A4219" t="str">
        <f t="shared" si="65"/>
        <v>PA|NewCapacity|RE1|PWRFOL|2029</v>
      </c>
      <c r="B4219" t="s">
        <v>44</v>
      </c>
      <c r="C4219" t="s">
        <v>45</v>
      </c>
      <c r="D4219" t="s">
        <v>37</v>
      </c>
      <c r="E4219" t="s">
        <v>19</v>
      </c>
      <c r="F4219" t="s">
        <v>23</v>
      </c>
      <c r="O4219">
        <v>2029</v>
      </c>
    </row>
    <row r="4220" spans="1:16" x14ac:dyDescent="0.3">
      <c r="A4220" t="str">
        <f t="shared" si="65"/>
        <v>PA|NewCapacity|RE1|PWRGEO|2029</v>
      </c>
      <c r="B4220" t="s">
        <v>44</v>
      </c>
      <c r="C4220" t="s">
        <v>45</v>
      </c>
      <c r="D4220" t="s">
        <v>37</v>
      </c>
      <c r="E4220" t="s">
        <v>19</v>
      </c>
      <c r="F4220" t="s">
        <v>46</v>
      </c>
      <c r="O4220">
        <v>2029</v>
      </c>
    </row>
    <row r="4221" spans="1:16" x14ac:dyDescent="0.3">
      <c r="A4221" t="str">
        <f t="shared" si="65"/>
        <v>PA|NewCapacity|RE1|PWRHYDDAM|2029</v>
      </c>
      <c r="B4221" t="s">
        <v>44</v>
      </c>
      <c r="C4221" t="s">
        <v>45</v>
      </c>
      <c r="D4221" t="s">
        <v>37</v>
      </c>
      <c r="E4221" t="s">
        <v>19</v>
      </c>
      <c r="F4221" t="s">
        <v>24</v>
      </c>
      <c r="O4221">
        <v>2029</v>
      </c>
    </row>
    <row r="4222" spans="1:16" x14ac:dyDescent="0.3">
      <c r="A4222" t="str">
        <f t="shared" si="65"/>
        <v>PA|NewCapacity|RE1|PWRHYDROR|2029</v>
      </c>
      <c r="B4222" t="s">
        <v>44</v>
      </c>
      <c r="C4222" t="s">
        <v>45</v>
      </c>
      <c r="D4222" t="s">
        <v>37</v>
      </c>
      <c r="E4222" t="s">
        <v>19</v>
      </c>
      <c r="F4222" t="s">
        <v>25</v>
      </c>
      <c r="O4222">
        <v>2029</v>
      </c>
    </row>
    <row r="4223" spans="1:16" x14ac:dyDescent="0.3">
      <c r="A4223" t="str">
        <f t="shared" si="65"/>
        <v>PA|NewCapacity|RE1|PWRHYDROR_NDC|2029</v>
      </c>
      <c r="B4223" t="s">
        <v>44</v>
      </c>
      <c r="C4223" t="s">
        <v>45</v>
      </c>
      <c r="D4223" t="s">
        <v>37</v>
      </c>
      <c r="E4223" t="s">
        <v>19</v>
      </c>
      <c r="F4223" t="s">
        <v>26</v>
      </c>
      <c r="O4223">
        <v>2029</v>
      </c>
    </row>
    <row r="4224" spans="1:16" x14ac:dyDescent="0.3">
      <c r="A4224" t="str">
        <f t="shared" si="65"/>
        <v>PA|NewCapacity|RE1|PWRJET|2029</v>
      </c>
      <c r="B4224" t="s">
        <v>44</v>
      </c>
      <c r="C4224" t="s">
        <v>45</v>
      </c>
      <c r="D4224" t="s">
        <v>37</v>
      </c>
      <c r="E4224" t="s">
        <v>19</v>
      </c>
      <c r="F4224" t="s">
        <v>27</v>
      </c>
      <c r="O4224">
        <v>2029</v>
      </c>
    </row>
    <row r="4225" spans="1:16" x14ac:dyDescent="0.3">
      <c r="A4225" t="str">
        <f t="shared" si="65"/>
        <v>PA|NewCapacity|RE1|PWRLPG|2029</v>
      </c>
      <c r="B4225" t="s">
        <v>44</v>
      </c>
      <c r="C4225" t="s">
        <v>45</v>
      </c>
      <c r="D4225" t="s">
        <v>37</v>
      </c>
      <c r="E4225" t="s">
        <v>19</v>
      </c>
      <c r="F4225" t="s">
        <v>28</v>
      </c>
      <c r="O4225">
        <v>2029</v>
      </c>
    </row>
    <row r="4226" spans="1:16" x14ac:dyDescent="0.3">
      <c r="A4226" t="str">
        <f t="shared" ref="A4226:A4289" si="66">B4226&amp;"|"&amp;D4226&amp;"|"&amp;E4226&amp;"|"&amp;F4226&amp;"|"&amp;O4226</f>
        <v>PA|NewCapacity|RE1|PWRNGS_CC|2029</v>
      </c>
      <c r="B4226" t="s">
        <v>44</v>
      </c>
      <c r="C4226" t="s">
        <v>45</v>
      </c>
      <c r="D4226" t="s">
        <v>37</v>
      </c>
      <c r="E4226" t="s">
        <v>19</v>
      </c>
      <c r="F4226" t="s">
        <v>29</v>
      </c>
      <c r="O4226">
        <v>2029</v>
      </c>
    </row>
    <row r="4227" spans="1:16" x14ac:dyDescent="0.3">
      <c r="A4227" t="str">
        <f t="shared" si="66"/>
        <v>PA|NewCapacity|RE1|PWRNGS_CS|2029</v>
      </c>
      <c r="B4227" t="s">
        <v>44</v>
      </c>
      <c r="C4227" t="s">
        <v>45</v>
      </c>
      <c r="D4227" t="s">
        <v>37</v>
      </c>
      <c r="E4227" t="s">
        <v>19</v>
      </c>
      <c r="F4227" t="s">
        <v>30</v>
      </c>
      <c r="O4227">
        <v>2029</v>
      </c>
    </row>
    <row r="4228" spans="1:16" x14ac:dyDescent="0.3">
      <c r="A4228" t="str">
        <f t="shared" si="66"/>
        <v>PA|NewCapacity|RE1|PWRNUC|2029</v>
      </c>
      <c r="B4228" t="s">
        <v>44</v>
      </c>
      <c r="C4228" t="s">
        <v>45</v>
      </c>
      <c r="D4228" t="s">
        <v>37</v>
      </c>
      <c r="E4228" t="s">
        <v>19</v>
      </c>
      <c r="F4228" t="s">
        <v>47</v>
      </c>
      <c r="O4228">
        <v>2029</v>
      </c>
    </row>
    <row r="4229" spans="1:16" x14ac:dyDescent="0.3">
      <c r="A4229" t="str">
        <f t="shared" si="66"/>
        <v>PA|NewCapacity|RE1|PWRSOLRTP|2029</v>
      </c>
      <c r="B4229" t="s">
        <v>44</v>
      </c>
      <c r="C4229" t="s">
        <v>45</v>
      </c>
      <c r="D4229" t="s">
        <v>37</v>
      </c>
      <c r="E4229" t="s">
        <v>19</v>
      </c>
      <c r="F4229" t="s">
        <v>31</v>
      </c>
      <c r="O4229">
        <v>2029</v>
      </c>
      <c r="P4229">
        <v>14.267596702599869</v>
      </c>
    </row>
    <row r="4230" spans="1:16" x14ac:dyDescent="0.3">
      <c r="A4230" t="str">
        <f t="shared" si="66"/>
        <v>PA|NewCapacity|RE1|PWRSOLRTP_ZNI|2029</v>
      </c>
      <c r="B4230" t="s">
        <v>44</v>
      </c>
      <c r="C4230" t="s">
        <v>45</v>
      </c>
      <c r="D4230" t="s">
        <v>37</v>
      </c>
      <c r="E4230" t="s">
        <v>19</v>
      </c>
      <c r="F4230" t="s">
        <v>32</v>
      </c>
      <c r="O4230">
        <v>2029</v>
      </c>
    </row>
    <row r="4231" spans="1:16" x14ac:dyDescent="0.3">
      <c r="A4231" t="str">
        <f t="shared" si="66"/>
        <v>PA|NewCapacity|RE1|PWRSOLUGE|2029</v>
      </c>
      <c r="B4231" t="s">
        <v>44</v>
      </c>
      <c r="C4231" t="s">
        <v>45</v>
      </c>
      <c r="D4231" t="s">
        <v>37</v>
      </c>
      <c r="E4231" t="s">
        <v>19</v>
      </c>
      <c r="F4231" t="s">
        <v>33</v>
      </c>
      <c r="O4231">
        <v>2029</v>
      </c>
    </row>
    <row r="4232" spans="1:16" x14ac:dyDescent="0.3">
      <c r="A4232" t="str">
        <f t="shared" si="66"/>
        <v>PA|NewCapacity|RE1|PWRSOLUPE|2029</v>
      </c>
      <c r="B4232" t="s">
        <v>44</v>
      </c>
      <c r="C4232" t="s">
        <v>45</v>
      </c>
      <c r="D4232" t="s">
        <v>37</v>
      </c>
      <c r="E4232" t="s">
        <v>19</v>
      </c>
      <c r="F4232" t="s">
        <v>34</v>
      </c>
      <c r="O4232">
        <v>2029</v>
      </c>
    </row>
    <row r="4233" spans="1:16" x14ac:dyDescent="0.3">
      <c r="A4233" t="str">
        <f t="shared" si="66"/>
        <v>PA|NewCapacity|RE1|PWRSTD|2029</v>
      </c>
      <c r="B4233" t="s">
        <v>44</v>
      </c>
      <c r="C4233" t="s">
        <v>45</v>
      </c>
      <c r="D4233" t="s">
        <v>37</v>
      </c>
      <c r="E4233" t="s">
        <v>19</v>
      </c>
      <c r="F4233" t="s">
        <v>35</v>
      </c>
      <c r="O4233">
        <v>2029</v>
      </c>
    </row>
    <row r="4234" spans="1:16" x14ac:dyDescent="0.3">
      <c r="A4234" t="str">
        <f t="shared" si="66"/>
        <v>PA|NewCapacity|RE1|PWRWNDOFS_FIX|2029</v>
      </c>
      <c r="B4234" t="s">
        <v>44</v>
      </c>
      <c r="C4234" t="s">
        <v>45</v>
      </c>
      <c r="D4234" t="s">
        <v>37</v>
      </c>
      <c r="E4234" t="s">
        <v>19</v>
      </c>
      <c r="F4234" t="s">
        <v>42</v>
      </c>
      <c r="O4234">
        <v>2029</v>
      </c>
    </row>
    <row r="4235" spans="1:16" x14ac:dyDescent="0.3">
      <c r="A4235" t="str">
        <f t="shared" si="66"/>
        <v>PA|NewCapacity|RE1|PWRWNDONS|2029</v>
      </c>
      <c r="B4235" t="s">
        <v>44</v>
      </c>
      <c r="C4235" t="s">
        <v>45</v>
      </c>
      <c r="D4235" t="s">
        <v>37</v>
      </c>
      <c r="E4235" t="s">
        <v>19</v>
      </c>
      <c r="F4235" t="s">
        <v>36</v>
      </c>
      <c r="O4235">
        <v>2029</v>
      </c>
      <c r="P4235">
        <v>9.4608000000000008</v>
      </c>
    </row>
    <row r="4236" spans="1:16" x14ac:dyDescent="0.3">
      <c r="A4236" t="str">
        <f t="shared" si="66"/>
        <v>PA|TotalCapacityAnnual|RE1|PWRBGS|2029</v>
      </c>
      <c r="B4236" t="s">
        <v>44</v>
      </c>
      <c r="C4236" t="s">
        <v>45</v>
      </c>
      <c r="D4236" t="s">
        <v>38</v>
      </c>
      <c r="E4236" t="s">
        <v>19</v>
      </c>
      <c r="F4236" t="s">
        <v>20</v>
      </c>
      <c r="O4236">
        <v>2029</v>
      </c>
      <c r="P4236">
        <v>2.5488587520000001E-2</v>
      </c>
    </row>
    <row r="4237" spans="1:16" x14ac:dyDescent="0.3">
      <c r="A4237" t="str">
        <f t="shared" si="66"/>
        <v>PA|TotalCapacityAnnual|RE1|PWRCOA|2029</v>
      </c>
      <c r="B4237" t="s">
        <v>44</v>
      </c>
      <c r="C4237" t="s">
        <v>45</v>
      </c>
      <c r="D4237" t="s">
        <v>38</v>
      </c>
      <c r="E4237" t="s">
        <v>19</v>
      </c>
      <c r="F4237" t="s">
        <v>21</v>
      </c>
      <c r="O4237">
        <v>2029</v>
      </c>
      <c r="P4237">
        <v>19.047744000000002</v>
      </c>
    </row>
    <row r="4238" spans="1:16" x14ac:dyDescent="0.3">
      <c r="A4238" t="str">
        <f t="shared" si="66"/>
        <v>PA|TotalCapacityAnnual|RE1|PWRDSL|2029</v>
      </c>
      <c r="B4238" t="s">
        <v>44</v>
      </c>
      <c r="C4238" t="s">
        <v>45</v>
      </c>
      <c r="D4238" t="s">
        <v>38</v>
      </c>
      <c r="E4238" t="s">
        <v>19</v>
      </c>
      <c r="F4238" t="s">
        <v>22</v>
      </c>
      <c r="O4238">
        <v>2029</v>
      </c>
      <c r="P4238">
        <v>24.944976</v>
      </c>
    </row>
    <row r="4239" spans="1:16" x14ac:dyDescent="0.3">
      <c r="A4239" t="str">
        <f t="shared" si="66"/>
        <v>PA|TotalCapacityAnnual|RE1|PWRFOL|2029</v>
      </c>
      <c r="B4239" t="s">
        <v>44</v>
      </c>
      <c r="C4239" t="s">
        <v>45</v>
      </c>
      <c r="D4239" t="s">
        <v>38</v>
      </c>
      <c r="E4239" t="s">
        <v>19</v>
      </c>
      <c r="F4239" t="s">
        <v>23</v>
      </c>
      <c r="O4239">
        <v>2029</v>
      </c>
      <c r="P4239">
        <v>8.3885759999999987</v>
      </c>
    </row>
    <row r="4240" spans="1:16" x14ac:dyDescent="0.3">
      <c r="A4240" t="str">
        <f t="shared" si="66"/>
        <v>PA|TotalCapacityAnnual|RE1|PWRGEO|2029</v>
      </c>
      <c r="B4240" t="s">
        <v>44</v>
      </c>
      <c r="C4240" t="s">
        <v>45</v>
      </c>
      <c r="D4240" t="s">
        <v>38</v>
      </c>
      <c r="E4240" t="s">
        <v>19</v>
      </c>
      <c r="F4240" t="s">
        <v>46</v>
      </c>
      <c r="O4240">
        <v>2029</v>
      </c>
    </row>
    <row r="4241" spans="1:16" x14ac:dyDescent="0.3">
      <c r="A4241" t="str">
        <f t="shared" si="66"/>
        <v>PA|TotalCapacityAnnual|RE1|PWRHYDDAM|2029</v>
      </c>
      <c r="B4241" t="s">
        <v>44</v>
      </c>
      <c r="C4241" t="s">
        <v>45</v>
      </c>
      <c r="D4241" t="s">
        <v>38</v>
      </c>
      <c r="E4241" t="s">
        <v>19</v>
      </c>
      <c r="F4241" t="s">
        <v>24</v>
      </c>
      <c r="O4241">
        <v>2029</v>
      </c>
      <c r="P4241">
        <v>440.49164800000011</v>
      </c>
    </row>
    <row r="4242" spans="1:16" x14ac:dyDescent="0.3">
      <c r="A4242" t="str">
        <f t="shared" si="66"/>
        <v>PA|TotalCapacityAnnual|RE1|PWRHYDROR|2029</v>
      </c>
      <c r="B4242" t="s">
        <v>44</v>
      </c>
      <c r="C4242" t="s">
        <v>45</v>
      </c>
      <c r="D4242" t="s">
        <v>38</v>
      </c>
      <c r="E4242" t="s">
        <v>19</v>
      </c>
      <c r="F4242" t="s">
        <v>25</v>
      </c>
      <c r="O4242">
        <v>2029</v>
      </c>
      <c r="P4242">
        <v>21.097584000000001</v>
      </c>
    </row>
    <row r="4243" spans="1:16" x14ac:dyDescent="0.3">
      <c r="A4243" t="str">
        <f t="shared" si="66"/>
        <v>PA|TotalCapacityAnnual|RE1|PWRHYDROR_NDC|2029</v>
      </c>
      <c r="B4243" t="s">
        <v>44</v>
      </c>
      <c r="C4243" t="s">
        <v>45</v>
      </c>
      <c r="D4243" t="s">
        <v>38</v>
      </c>
      <c r="E4243" t="s">
        <v>19</v>
      </c>
      <c r="F4243" t="s">
        <v>26</v>
      </c>
      <c r="O4243">
        <v>2029</v>
      </c>
      <c r="P4243">
        <v>29.725108271999989</v>
      </c>
    </row>
    <row r="4244" spans="1:16" x14ac:dyDescent="0.3">
      <c r="A4244" t="str">
        <f t="shared" si="66"/>
        <v>PA|TotalCapacityAnnual|RE1|PWRJET|2029</v>
      </c>
      <c r="B4244" t="s">
        <v>44</v>
      </c>
      <c r="C4244" t="s">
        <v>45</v>
      </c>
      <c r="D4244" t="s">
        <v>38</v>
      </c>
      <c r="E4244" t="s">
        <v>19</v>
      </c>
      <c r="F4244" t="s">
        <v>27</v>
      </c>
      <c r="O4244">
        <v>2029</v>
      </c>
      <c r="P4244">
        <v>1.5768</v>
      </c>
    </row>
    <row r="4245" spans="1:16" x14ac:dyDescent="0.3">
      <c r="A4245" t="str">
        <f t="shared" si="66"/>
        <v>PA|TotalCapacityAnnual|RE1|PWRLPG|2029</v>
      </c>
      <c r="B4245" t="s">
        <v>44</v>
      </c>
      <c r="C4245" t="s">
        <v>45</v>
      </c>
      <c r="D4245" t="s">
        <v>38</v>
      </c>
      <c r="E4245" t="s">
        <v>19</v>
      </c>
      <c r="F4245" t="s">
        <v>28</v>
      </c>
      <c r="O4245">
        <v>2029</v>
      </c>
      <c r="P4245">
        <v>1.639872</v>
      </c>
    </row>
    <row r="4246" spans="1:16" x14ac:dyDescent="0.3">
      <c r="A4246" t="str">
        <f t="shared" si="66"/>
        <v>PA|TotalCapacityAnnual|RE1|PWRNGS_CC|2029</v>
      </c>
      <c r="B4246" t="s">
        <v>44</v>
      </c>
      <c r="C4246" t="s">
        <v>45</v>
      </c>
      <c r="D4246" t="s">
        <v>38</v>
      </c>
      <c r="E4246" t="s">
        <v>19</v>
      </c>
      <c r="F4246" t="s">
        <v>29</v>
      </c>
      <c r="O4246">
        <v>2029</v>
      </c>
      <c r="P4246">
        <v>70.104500000000002</v>
      </c>
    </row>
    <row r="4247" spans="1:16" x14ac:dyDescent="0.3">
      <c r="A4247" t="str">
        <f t="shared" si="66"/>
        <v>PA|TotalCapacityAnnual|RE1|PWRNGS_CS|2029</v>
      </c>
      <c r="B4247" t="s">
        <v>44</v>
      </c>
      <c r="C4247" t="s">
        <v>45</v>
      </c>
      <c r="D4247" t="s">
        <v>38</v>
      </c>
      <c r="E4247" t="s">
        <v>19</v>
      </c>
      <c r="F4247" t="s">
        <v>30</v>
      </c>
      <c r="O4247">
        <v>2029</v>
      </c>
      <c r="P4247">
        <v>23.084351999999999</v>
      </c>
    </row>
    <row r="4248" spans="1:16" x14ac:dyDescent="0.3">
      <c r="A4248" t="str">
        <f t="shared" si="66"/>
        <v>PA|TotalCapacityAnnual|RE1|PWRNUC|2029</v>
      </c>
      <c r="B4248" t="s">
        <v>44</v>
      </c>
      <c r="C4248" t="s">
        <v>45</v>
      </c>
      <c r="D4248" t="s">
        <v>38</v>
      </c>
      <c r="E4248" t="s">
        <v>19</v>
      </c>
      <c r="F4248" t="s">
        <v>47</v>
      </c>
      <c r="O4248">
        <v>2029</v>
      </c>
    </row>
    <row r="4249" spans="1:16" x14ac:dyDescent="0.3">
      <c r="A4249" t="str">
        <f t="shared" si="66"/>
        <v>PA|TotalCapacityAnnual|RE1|PWRSOLRTP|2029</v>
      </c>
      <c r="B4249" t="s">
        <v>44</v>
      </c>
      <c r="C4249" t="s">
        <v>45</v>
      </c>
      <c r="D4249" t="s">
        <v>38</v>
      </c>
      <c r="E4249" t="s">
        <v>19</v>
      </c>
      <c r="F4249" t="s">
        <v>31</v>
      </c>
      <c r="O4249">
        <v>2029</v>
      </c>
      <c r="P4249">
        <v>72.757448129359574</v>
      </c>
    </row>
    <row r="4250" spans="1:16" x14ac:dyDescent="0.3">
      <c r="A4250" t="str">
        <f t="shared" si="66"/>
        <v>PA|TotalCapacityAnnual|RE1|PWRSOLRTP_ZNI|2029</v>
      </c>
      <c r="B4250" t="s">
        <v>44</v>
      </c>
      <c r="C4250" t="s">
        <v>45</v>
      </c>
      <c r="D4250" t="s">
        <v>38</v>
      </c>
      <c r="E4250" t="s">
        <v>19</v>
      </c>
      <c r="F4250" t="s">
        <v>32</v>
      </c>
      <c r="O4250">
        <v>2029</v>
      </c>
      <c r="P4250">
        <v>0.46074095999999998</v>
      </c>
    </row>
    <row r="4251" spans="1:16" x14ac:dyDescent="0.3">
      <c r="A4251" t="str">
        <f t="shared" si="66"/>
        <v>PA|TotalCapacityAnnual|RE1|PWRSOLUGE|2029</v>
      </c>
      <c r="B4251" t="s">
        <v>44</v>
      </c>
      <c r="C4251" t="s">
        <v>45</v>
      </c>
      <c r="D4251" t="s">
        <v>38</v>
      </c>
      <c r="E4251" t="s">
        <v>19</v>
      </c>
      <c r="F4251" t="s">
        <v>33</v>
      </c>
      <c r="O4251">
        <v>2029</v>
      </c>
      <c r="P4251">
        <v>183.90786048000001</v>
      </c>
    </row>
    <row r="4252" spans="1:16" x14ac:dyDescent="0.3">
      <c r="A4252" t="str">
        <f t="shared" si="66"/>
        <v>PA|TotalCapacityAnnual|RE1|PWRSOLUPE|2029</v>
      </c>
      <c r="B4252" t="s">
        <v>44</v>
      </c>
      <c r="C4252" t="s">
        <v>45</v>
      </c>
      <c r="D4252" t="s">
        <v>38</v>
      </c>
      <c r="E4252" t="s">
        <v>19</v>
      </c>
      <c r="F4252" t="s">
        <v>34</v>
      </c>
      <c r="O4252">
        <v>2029</v>
      </c>
      <c r="P4252">
        <v>39.172600079999931</v>
      </c>
    </row>
    <row r="4253" spans="1:16" x14ac:dyDescent="0.3">
      <c r="A4253" t="str">
        <f t="shared" si="66"/>
        <v>PA|TotalCapacityAnnual|RE1|PWRSTD|2029</v>
      </c>
      <c r="B4253" t="s">
        <v>44</v>
      </c>
      <c r="C4253" t="s">
        <v>45</v>
      </c>
      <c r="D4253" t="s">
        <v>38</v>
      </c>
      <c r="E4253" t="s">
        <v>19</v>
      </c>
      <c r="F4253" t="s">
        <v>35</v>
      </c>
      <c r="O4253">
        <v>2029</v>
      </c>
      <c r="P4253">
        <v>8.163062064</v>
      </c>
    </row>
    <row r="4254" spans="1:16" x14ac:dyDescent="0.3">
      <c r="A4254" t="str">
        <f t="shared" si="66"/>
        <v>PA|TotalCapacityAnnual|RE1|PWRWNDOFS_FIX|2029</v>
      </c>
      <c r="B4254" t="s">
        <v>44</v>
      </c>
      <c r="C4254" t="s">
        <v>45</v>
      </c>
      <c r="D4254" t="s">
        <v>38</v>
      </c>
      <c r="E4254" t="s">
        <v>19</v>
      </c>
      <c r="F4254" t="s">
        <v>42</v>
      </c>
      <c r="O4254">
        <v>2029</v>
      </c>
    </row>
    <row r="4255" spans="1:16" x14ac:dyDescent="0.3">
      <c r="A4255" t="str">
        <f t="shared" si="66"/>
        <v>PA|TotalCapacityAnnual|RE1|PWRWNDONS|2029</v>
      </c>
      <c r="B4255" t="s">
        <v>44</v>
      </c>
      <c r="C4255" t="s">
        <v>45</v>
      </c>
      <c r="D4255" t="s">
        <v>38</v>
      </c>
      <c r="E4255" t="s">
        <v>19</v>
      </c>
      <c r="F4255" t="s">
        <v>36</v>
      </c>
      <c r="O4255">
        <v>2029</v>
      </c>
      <c r="P4255">
        <v>34.635085714285722</v>
      </c>
    </row>
    <row r="4256" spans="1:16" x14ac:dyDescent="0.3">
      <c r="A4256" t="str">
        <f t="shared" si="66"/>
        <v>PA|AccumulatedNewCapacity|RE1|PWRBGS|2030</v>
      </c>
      <c r="B4256" t="s">
        <v>44</v>
      </c>
      <c r="C4256" t="s">
        <v>45</v>
      </c>
      <c r="D4256" t="s">
        <v>18</v>
      </c>
      <c r="E4256" t="s">
        <v>19</v>
      </c>
      <c r="F4256" t="s">
        <v>20</v>
      </c>
      <c r="O4256">
        <v>2030</v>
      </c>
    </row>
    <row r="4257" spans="1:16" x14ac:dyDescent="0.3">
      <c r="A4257" t="str">
        <f t="shared" si="66"/>
        <v>PA|AccumulatedNewCapacity|RE1|PWRCOA|2030</v>
      </c>
      <c r="B4257" t="s">
        <v>44</v>
      </c>
      <c r="C4257" t="s">
        <v>45</v>
      </c>
      <c r="D4257" t="s">
        <v>18</v>
      </c>
      <c r="E4257" t="s">
        <v>19</v>
      </c>
      <c r="F4257" t="s">
        <v>21</v>
      </c>
      <c r="O4257">
        <v>2030</v>
      </c>
    </row>
    <row r="4258" spans="1:16" x14ac:dyDescent="0.3">
      <c r="A4258" t="str">
        <f t="shared" si="66"/>
        <v>PA|AccumulatedNewCapacity|RE1|PWRDSL|2030</v>
      </c>
      <c r="B4258" t="s">
        <v>44</v>
      </c>
      <c r="C4258" t="s">
        <v>45</v>
      </c>
      <c r="D4258" t="s">
        <v>18</v>
      </c>
      <c r="E4258" t="s">
        <v>19</v>
      </c>
      <c r="F4258" t="s">
        <v>22</v>
      </c>
      <c r="O4258">
        <v>2030</v>
      </c>
    </row>
    <row r="4259" spans="1:16" x14ac:dyDescent="0.3">
      <c r="A4259" t="str">
        <f t="shared" si="66"/>
        <v>PA|AccumulatedNewCapacity|RE1|PWRFOL|2030</v>
      </c>
      <c r="B4259" t="s">
        <v>44</v>
      </c>
      <c r="C4259" t="s">
        <v>45</v>
      </c>
      <c r="D4259" t="s">
        <v>18</v>
      </c>
      <c r="E4259" t="s">
        <v>19</v>
      </c>
      <c r="F4259" t="s">
        <v>23</v>
      </c>
      <c r="O4259">
        <v>2030</v>
      </c>
    </row>
    <row r="4260" spans="1:16" x14ac:dyDescent="0.3">
      <c r="A4260" t="str">
        <f t="shared" si="66"/>
        <v>PA|AccumulatedNewCapacity|RE1|PWRGEO|2030</v>
      </c>
      <c r="B4260" t="s">
        <v>44</v>
      </c>
      <c r="C4260" t="s">
        <v>45</v>
      </c>
      <c r="D4260" t="s">
        <v>18</v>
      </c>
      <c r="E4260" t="s">
        <v>19</v>
      </c>
      <c r="F4260" t="s">
        <v>46</v>
      </c>
      <c r="O4260">
        <v>2030</v>
      </c>
    </row>
    <row r="4261" spans="1:16" x14ac:dyDescent="0.3">
      <c r="A4261" t="str">
        <f t="shared" si="66"/>
        <v>PA|AccumulatedNewCapacity|RE1|PWRHYDDAM|2030</v>
      </c>
      <c r="B4261" t="s">
        <v>44</v>
      </c>
      <c r="C4261" t="s">
        <v>45</v>
      </c>
      <c r="D4261" t="s">
        <v>18</v>
      </c>
      <c r="E4261" t="s">
        <v>19</v>
      </c>
      <c r="F4261" t="s">
        <v>24</v>
      </c>
      <c r="O4261">
        <v>2030</v>
      </c>
      <c r="P4261">
        <v>37.840000000000003</v>
      </c>
    </row>
    <row r="4262" spans="1:16" x14ac:dyDescent="0.3">
      <c r="A4262" t="str">
        <f t="shared" si="66"/>
        <v>PA|AccumulatedNewCapacity|RE1|PWRHYDROR|2030</v>
      </c>
      <c r="B4262" t="s">
        <v>44</v>
      </c>
      <c r="C4262" t="s">
        <v>45</v>
      </c>
      <c r="D4262" t="s">
        <v>18</v>
      </c>
      <c r="E4262" t="s">
        <v>19</v>
      </c>
      <c r="F4262" t="s">
        <v>25</v>
      </c>
      <c r="O4262">
        <v>2030</v>
      </c>
    </row>
    <row r="4263" spans="1:16" x14ac:dyDescent="0.3">
      <c r="A4263" t="str">
        <f t="shared" si="66"/>
        <v>PA|AccumulatedNewCapacity|RE1|PWRHYDROR_NDC|2030</v>
      </c>
      <c r="B4263" t="s">
        <v>44</v>
      </c>
      <c r="C4263" t="s">
        <v>45</v>
      </c>
      <c r="D4263" t="s">
        <v>18</v>
      </c>
      <c r="E4263" t="s">
        <v>19</v>
      </c>
      <c r="F4263" t="s">
        <v>26</v>
      </c>
      <c r="O4263">
        <v>2030</v>
      </c>
    </row>
    <row r="4264" spans="1:16" x14ac:dyDescent="0.3">
      <c r="A4264" t="str">
        <f t="shared" si="66"/>
        <v>PA|AccumulatedNewCapacity|RE1|PWRJET|2030</v>
      </c>
      <c r="B4264" t="s">
        <v>44</v>
      </c>
      <c r="C4264" t="s">
        <v>45</v>
      </c>
      <c r="D4264" t="s">
        <v>18</v>
      </c>
      <c r="E4264" t="s">
        <v>19</v>
      </c>
      <c r="F4264" t="s">
        <v>27</v>
      </c>
      <c r="O4264">
        <v>2030</v>
      </c>
    </row>
    <row r="4265" spans="1:16" x14ac:dyDescent="0.3">
      <c r="A4265" t="str">
        <f t="shared" si="66"/>
        <v>PA|AccumulatedNewCapacity|RE1|PWRLPG|2030</v>
      </c>
      <c r="B4265" t="s">
        <v>44</v>
      </c>
      <c r="C4265" t="s">
        <v>45</v>
      </c>
      <c r="D4265" t="s">
        <v>18</v>
      </c>
      <c r="E4265" t="s">
        <v>19</v>
      </c>
      <c r="F4265" t="s">
        <v>28</v>
      </c>
      <c r="O4265">
        <v>2030</v>
      </c>
    </row>
    <row r="4266" spans="1:16" x14ac:dyDescent="0.3">
      <c r="A4266" t="str">
        <f t="shared" si="66"/>
        <v>PA|AccumulatedNewCapacity|RE1|PWRNGS_CC|2030</v>
      </c>
      <c r="B4266" t="s">
        <v>44</v>
      </c>
      <c r="C4266" t="s">
        <v>45</v>
      </c>
      <c r="D4266" t="s">
        <v>18</v>
      </c>
      <c r="E4266" t="s">
        <v>19</v>
      </c>
      <c r="F4266" t="s">
        <v>29</v>
      </c>
      <c r="O4266">
        <v>2030</v>
      </c>
    </row>
    <row r="4267" spans="1:16" x14ac:dyDescent="0.3">
      <c r="A4267" t="str">
        <f t="shared" si="66"/>
        <v>PA|AccumulatedNewCapacity|RE1|PWRNGS_CS|2030</v>
      </c>
      <c r="B4267" t="s">
        <v>44</v>
      </c>
      <c r="C4267" t="s">
        <v>45</v>
      </c>
      <c r="D4267" t="s">
        <v>18</v>
      </c>
      <c r="E4267" t="s">
        <v>19</v>
      </c>
      <c r="F4267" t="s">
        <v>30</v>
      </c>
      <c r="O4267">
        <v>2030</v>
      </c>
    </row>
    <row r="4268" spans="1:16" x14ac:dyDescent="0.3">
      <c r="A4268" t="str">
        <f t="shared" si="66"/>
        <v>PA|AccumulatedNewCapacity|RE1|PWRNUC|2030</v>
      </c>
      <c r="B4268" t="s">
        <v>44</v>
      </c>
      <c r="C4268" t="s">
        <v>45</v>
      </c>
      <c r="D4268" t="s">
        <v>18</v>
      </c>
      <c r="E4268" t="s">
        <v>19</v>
      </c>
      <c r="F4268" t="s">
        <v>47</v>
      </c>
      <c r="O4268">
        <v>2030</v>
      </c>
    </row>
    <row r="4269" spans="1:16" x14ac:dyDescent="0.3">
      <c r="A4269" t="str">
        <f t="shared" si="66"/>
        <v>PA|AccumulatedNewCapacity|RE1|PWRSOLRTP|2030</v>
      </c>
      <c r="B4269" t="s">
        <v>44</v>
      </c>
      <c r="C4269" t="s">
        <v>45</v>
      </c>
      <c r="D4269" t="s">
        <v>18</v>
      </c>
      <c r="E4269" t="s">
        <v>19</v>
      </c>
      <c r="F4269" t="s">
        <v>31</v>
      </c>
      <c r="O4269">
        <v>2030</v>
      </c>
      <c r="P4269">
        <v>63.42388712745722</v>
      </c>
    </row>
    <row r="4270" spans="1:16" x14ac:dyDescent="0.3">
      <c r="A4270" t="str">
        <f t="shared" si="66"/>
        <v>PA|AccumulatedNewCapacity|RE1|PWRSOLRTP_ZNI|2030</v>
      </c>
      <c r="B4270" t="s">
        <v>44</v>
      </c>
      <c r="C4270" t="s">
        <v>45</v>
      </c>
      <c r="D4270" t="s">
        <v>18</v>
      </c>
      <c r="E4270" t="s">
        <v>19</v>
      </c>
      <c r="F4270" t="s">
        <v>32</v>
      </c>
      <c r="O4270">
        <v>2030</v>
      </c>
    </row>
    <row r="4271" spans="1:16" x14ac:dyDescent="0.3">
      <c r="A4271" t="str">
        <f t="shared" si="66"/>
        <v>PA|AccumulatedNewCapacity|RE1|PWRSOLUGE|2030</v>
      </c>
      <c r="B4271" t="s">
        <v>44</v>
      </c>
      <c r="C4271" t="s">
        <v>45</v>
      </c>
      <c r="D4271" t="s">
        <v>18</v>
      </c>
      <c r="E4271" t="s">
        <v>19</v>
      </c>
      <c r="F4271" t="s">
        <v>33</v>
      </c>
      <c r="O4271">
        <v>2030</v>
      </c>
      <c r="P4271">
        <v>143.394192</v>
      </c>
    </row>
    <row r="4272" spans="1:16" x14ac:dyDescent="0.3">
      <c r="A4272" t="str">
        <f t="shared" si="66"/>
        <v>PA|AccumulatedNewCapacity|RE1|PWRSOLUPE|2030</v>
      </c>
      <c r="B4272" t="s">
        <v>44</v>
      </c>
      <c r="C4272" t="s">
        <v>45</v>
      </c>
      <c r="D4272" t="s">
        <v>18</v>
      </c>
      <c r="E4272" t="s">
        <v>19</v>
      </c>
      <c r="F4272" t="s">
        <v>34</v>
      </c>
      <c r="O4272">
        <v>2030</v>
      </c>
      <c r="P4272">
        <v>12.14419823999993</v>
      </c>
    </row>
    <row r="4273" spans="1:16" x14ac:dyDescent="0.3">
      <c r="A4273" t="str">
        <f t="shared" si="66"/>
        <v>PA|AccumulatedNewCapacity|RE1|PWRSTD|2030</v>
      </c>
      <c r="B4273" t="s">
        <v>44</v>
      </c>
      <c r="C4273" t="s">
        <v>45</v>
      </c>
      <c r="D4273" t="s">
        <v>18</v>
      </c>
      <c r="E4273" t="s">
        <v>19</v>
      </c>
      <c r="F4273" t="s">
        <v>35</v>
      </c>
      <c r="O4273">
        <v>2030</v>
      </c>
    </row>
    <row r="4274" spans="1:16" x14ac:dyDescent="0.3">
      <c r="A4274" t="str">
        <f t="shared" si="66"/>
        <v>PA|AccumulatedNewCapacity|RE1|PWRWNDOFS_FIX|2030</v>
      </c>
      <c r="B4274" t="s">
        <v>44</v>
      </c>
      <c r="C4274" t="s">
        <v>45</v>
      </c>
      <c r="D4274" t="s">
        <v>18</v>
      </c>
      <c r="E4274" t="s">
        <v>19</v>
      </c>
      <c r="F4274" t="s">
        <v>42</v>
      </c>
      <c r="O4274">
        <v>2030</v>
      </c>
    </row>
    <row r="4275" spans="1:16" x14ac:dyDescent="0.3">
      <c r="A4275" t="str">
        <f t="shared" si="66"/>
        <v>PA|AccumulatedNewCapacity|RE1|PWRWNDONS|2030</v>
      </c>
      <c r="B4275" t="s">
        <v>44</v>
      </c>
      <c r="C4275" t="s">
        <v>45</v>
      </c>
      <c r="D4275" t="s">
        <v>18</v>
      </c>
      <c r="E4275" t="s">
        <v>19</v>
      </c>
      <c r="F4275" t="s">
        <v>36</v>
      </c>
      <c r="O4275">
        <v>2030</v>
      </c>
      <c r="P4275">
        <v>33.266423314285717</v>
      </c>
    </row>
    <row r="4276" spans="1:16" x14ac:dyDescent="0.3">
      <c r="A4276" t="str">
        <f t="shared" si="66"/>
        <v>PA|NewCapacity|RE1|PWRBGS|2030</v>
      </c>
      <c r="B4276" t="s">
        <v>44</v>
      </c>
      <c r="C4276" t="s">
        <v>45</v>
      </c>
      <c r="D4276" t="s">
        <v>37</v>
      </c>
      <c r="E4276" t="s">
        <v>19</v>
      </c>
      <c r="F4276" t="s">
        <v>20</v>
      </c>
      <c r="O4276">
        <v>2030</v>
      </c>
    </row>
    <row r="4277" spans="1:16" x14ac:dyDescent="0.3">
      <c r="A4277" t="str">
        <f t="shared" si="66"/>
        <v>PA|NewCapacity|RE1|PWRCOA|2030</v>
      </c>
      <c r="B4277" t="s">
        <v>44</v>
      </c>
      <c r="C4277" t="s">
        <v>45</v>
      </c>
      <c r="D4277" t="s">
        <v>37</v>
      </c>
      <c r="E4277" t="s">
        <v>19</v>
      </c>
      <c r="F4277" t="s">
        <v>21</v>
      </c>
      <c r="O4277">
        <v>2030</v>
      </c>
    </row>
    <row r="4278" spans="1:16" x14ac:dyDescent="0.3">
      <c r="A4278" t="str">
        <f t="shared" si="66"/>
        <v>PA|NewCapacity|RE1|PWRDSL|2030</v>
      </c>
      <c r="B4278" t="s">
        <v>44</v>
      </c>
      <c r="C4278" t="s">
        <v>45</v>
      </c>
      <c r="D4278" t="s">
        <v>37</v>
      </c>
      <c r="E4278" t="s">
        <v>19</v>
      </c>
      <c r="F4278" t="s">
        <v>22</v>
      </c>
      <c r="O4278">
        <v>2030</v>
      </c>
    </row>
    <row r="4279" spans="1:16" x14ac:dyDescent="0.3">
      <c r="A4279" t="str">
        <f t="shared" si="66"/>
        <v>PA|NewCapacity|RE1|PWRFOL|2030</v>
      </c>
      <c r="B4279" t="s">
        <v>44</v>
      </c>
      <c r="C4279" t="s">
        <v>45</v>
      </c>
      <c r="D4279" t="s">
        <v>37</v>
      </c>
      <c r="E4279" t="s">
        <v>19</v>
      </c>
      <c r="F4279" t="s">
        <v>23</v>
      </c>
      <c r="O4279">
        <v>2030</v>
      </c>
    </row>
    <row r="4280" spans="1:16" x14ac:dyDescent="0.3">
      <c r="A4280" t="str">
        <f t="shared" si="66"/>
        <v>PA|NewCapacity|RE1|PWRGEO|2030</v>
      </c>
      <c r="B4280" t="s">
        <v>44</v>
      </c>
      <c r="C4280" t="s">
        <v>45</v>
      </c>
      <c r="D4280" t="s">
        <v>37</v>
      </c>
      <c r="E4280" t="s">
        <v>19</v>
      </c>
      <c r="F4280" t="s">
        <v>46</v>
      </c>
      <c r="O4280">
        <v>2030</v>
      </c>
    </row>
    <row r="4281" spans="1:16" x14ac:dyDescent="0.3">
      <c r="A4281" t="str">
        <f t="shared" si="66"/>
        <v>PA|NewCapacity|RE1|PWRHYDDAM|2030</v>
      </c>
      <c r="B4281" t="s">
        <v>44</v>
      </c>
      <c r="C4281" t="s">
        <v>45</v>
      </c>
      <c r="D4281" t="s">
        <v>37</v>
      </c>
      <c r="E4281" t="s">
        <v>19</v>
      </c>
      <c r="F4281" t="s">
        <v>24</v>
      </c>
      <c r="O4281">
        <v>2030</v>
      </c>
    </row>
    <row r="4282" spans="1:16" x14ac:dyDescent="0.3">
      <c r="A4282" t="str">
        <f t="shared" si="66"/>
        <v>PA|NewCapacity|RE1|PWRHYDROR|2030</v>
      </c>
      <c r="B4282" t="s">
        <v>44</v>
      </c>
      <c r="C4282" t="s">
        <v>45</v>
      </c>
      <c r="D4282" t="s">
        <v>37</v>
      </c>
      <c r="E4282" t="s">
        <v>19</v>
      </c>
      <c r="F4282" t="s">
        <v>25</v>
      </c>
      <c r="O4282">
        <v>2030</v>
      </c>
    </row>
    <row r="4283" spans="1:16" x14ac:dyDescent="0.3">
      <c r="A4283" t="str">
        <f t="shared" si="66"/>
        <v>PA|NewCapacity|RE1|PWRHYDROR_NDC|2030</v>
      </c>
      <c r="B4283" t="s">
        <v>44</v>
      </c>
      <c r="C4283" t="s">
        <v>45</v>
      </c>
      <c r="D4283" t="s">
        <v>37</v>
      </c>
      <c r="E4283" t="s">
        <v>19</v>
      </c>
      <c r="F4283" t="s">
        <v>26</v>
      </c>
      <c r="O4283">
        <v>2030</v>
      </c>
    </row>
    <row r="4284" spans="1:16" x14ac:dyDescent="0.3">
      <c r="A4284" t="str">
        <f t="shared" si="66"/>
        <v>PA|NewCapacity|RE1|PWRJET|2030</v>
      </c>
      <c r="B4284" t="s">
        <v>44</v>
      </c>
      <c r="C4284" t="s">
        <v>45</v>
      </c>
      <c r="D4284" t="s">
        <v>37</v>
      </c>
      <c r="E4284" t="s">
        <v>19</v>
      </c>
      <c r="F4284" t="s">
        <v>27</v>
      </c>
      <c r="O4284">
        <v>2030</v>
      </c>
    </row>
    <row r="4285" spans="1:16" x14ac:dyDescent="0.3">
      <c r="A4285" t="str">
        <f t="shared" si="66"/>
        <v>PA|NewCapacity|RE1|PWRLPG|2030</v>
      </c>
      <c r="B4285" t="s">
        <v>44</v>
      </c>
      <c r="C4285" t="s">
        <v>45</v>
      </c>
      <c r="D4285" t="s">
        <v>37</v>
      </c>
      <c r="E4285" t="s">
        <v>19</v>
      </c>
      <c r="F4285" t="s">
        <v>28</v>
      </c>
      <c r="O4285">
        <v>2030</v>
      </c>
    </row>
    <row r="4286" spans="1:16" x14ac:dyDescent="0.3">
      <c r="A4286" t="str">
        <f t="shared" si="66"/>
        <v>PA|NewCapacity|RE1|PWRNGS_CC|2030</v>
      </c>
      <c r="B4286" t="s">
        <v>44</v>
      </c>
      <c r="C4286" t="s">
        <v>45</v>
      </c>
      <c r="D4286" t="s">
        <v>37</v>
      </c>
      <c r="E4286" t="s">
        <v>19</v>
      </c>
      <c r="F4286" t="s">
        <v>29</v>
      </c>
      <c r="O4286">
        <v>2030</v>
      </c>
    </row>
    <row r="4287" spans="1:16" x14ac:dyDescent="0.3">
      <c r="A4287" t="str">
        <f t="shared" si="66"/>
        <v>PA|NewCapacity|RE1|PWRNGS_CS|2030</v>
      </c>
      <c r="B4287" t="s">
        <v>44</v>
      </c>
      <c r="C4287" t="s">
        <v>45</v>
      </c>
      <c r="D4287" t="s">
        <v>37</v>
      </c>
      <c r="E4287" t="s">
        <v>19</v>
      </c>
      <c r="F4287" t="s">
        <v>30</v>
      </c>
      <c r="O4287">
        <v>2030</v>
      </c>
    </row>
    <row r="4288" spans="1:16" x14ac:dyDescent="0.3">
      <c r="A4288" t="str">
        <f t="shared" si="66"/>
        <v>PA|NewCapacity|RE1|PWRNUC|2030</v>
      </c>
      <c r="B4288" t="s">
        <v>44</v>
      </c>
      <c r="C4288" t="s">
        <v>45</v>
      </c>
      <c r="D4288" t="s">
        <v>37</v>
      </c>
      <c r="E4288" t="s">
        <v>19</v>
      </c>
      <c r="F4288" t="s">
        <v>47</v>
      </c>
      <c r="O4288">
        <v>2030</v>
      </c>
    </row>
    <row r="4289" spans="1:16" x14ac:dyDescent="0.3">
      <c r="A4289" t="str">
        <f t="shared" si="66"/>
        <v>PA|NewCapacity|RE1|PWRSOLRTP|2030</v>
      </c>
      <c r="B4289" t="s">
        <v>44</v>
      </c>
      <c r="C4289" t="s">
        <v>45</v>
      </c>
      <c r="D4289" t="s">
        <v>37</v>
      </c>
      <c r="E4289" t="s">
        <v>19</v>
      </c>
      <c r="F4289" t="s">
        <v>31</v>
      </c>
      <c r="O4289">
        <v>2030</v>
      </c>
      <c r="P4289">
        <v>13.950538998097651</v>
      </c>
    </row>
    <row r="4290" spans="1:16" x14ac:dyDescent="0.3">
      <c r="A4290" t="str">
        <f t="shared" ref="A4290:A4353" si="67">B4290&amp;"|"&amp;D4290&amp;"|"&amp;E4290&amp;"|"&amp;F4290&amp;"|"&amp;O4290</f>
        <v>PA|NewCapacity|RE1|PWRSOLRTP_ZNI|2030</v>
      </c>
      <c r="B4290" t="s">
        <v>44</v>
      </c>
      <c r="C4290" t="s">
        <v>45</v>
      </c>
      <c r="D4290" t="s">
        <v>37</v>
      </c>
      <c r="E4290" t="s">
        <v>19</v>
      </c>
      <c r="F4290" t="s">
        <v>32</v>
      </c>
      <c r="O4290">
        <v>2030</v>
      </c>
    </row>
    <row r="4291" spans="1:16" x14ac:dyDescent="0.3">
      <c r="A4291" t="str">
        <f t="shared" si="67"/>
        <v>PA|NewCapacity|RE1|PWRSOLUGE|2030</v>
      </c>
      <c r="B4291" t="s">
        <v>44</v>
      </c>
      <c r="C4291" t="s">
        <v>45</v>
      </c>
      <c r="D4291" t="s">
        <v>37</v>
      </c>
      <c r="E4291" t="s">
        <v>19</v>
      </c>
      <c r="F4291" t="s">
        <v>33</v>
      </c>
      <c r="O4291">
        <v>2030</v>
      </c>
      <c r="P4291">
        <v>7.8840000000000003</v>
      </c>
    </row>
    <row r="4292" spans="1:16" x14ac:dyDescent="0.3">
      <c r="A4292" t="str">
        <f t="shared" si="67"/>
        <v>PA|NewCapacity|RE1|PWRSOLUPE|2030</v>
      </c>
      <c r="B4292" t="s">
        <v>44</v>
      </c>
      <c r="C4292" t="s">
        <v>45</v>
      </c>
      <c r="D4292" t="s">
        <v>37</v>
      </c>
      <c r="E4292" t="s">
        <v>19</v>
      </c>
      <c r="F4292" t="s">
        <v>34</v>
      </c>
      <c r="O4292">
        <v>2030</v>
      </c>
    </row>
    <row r="4293" spans="1:16" x14ac:dyDescent="0.3">
      <c r="A4293" t="str">
        <f t="shared" si="67"/>
        <v>PA|NewCapacity|RE1|PWRSTD|2030</v>
      </c>
      <c r="B4293" t="s">
        <v>44</v>
      </c>
      <c r="C4293" t="s">
        <v>45</v>
      </c>
      <c r="D4293" t="s">
        <v>37</v>
      </c>
      <c r="E4293" t="s">
        <v>19</v>
      </c>
      <c r="F4293" t="s">
        <v>35</v>
      </c>
      <c r="O4293">
        <v>2030</v>
      </c>
    </row>
    <row r="4294" spans="1:16" x14ac:dyDescent="0.3">
      <c r="A4294" t="str">
        <f t="shared" si="67"/>
        <v>PA|NewCapacity|RE1|PWRWNDOFS_FIX|2030</v>
      </c>
      <c r="B4294" t="s">
        <v>44</v>
      </c>
      <c r="C4294" t="s">
        <v>45</v>
      </c>
      <c r="D4294" t="s">
        <v>37</v>
      </c>
      <c r="E4294" t="s">
        <v>19</v>
      </c>
      <c r="F4294" t="s">
        <v>42</v>
      </c>
      <c r="O4294">
        <v>2030</v>
      </c>
    </row>
    <row r="4295" spans="1:16" x14ac:dyDescent="0.3">
      <c r="A4295" t="str">
        <f t="shared" si="67"/>
        <v>PA|NewCapacity|RE1|PWRWNDONS|2030</v>
      </c>
      <c r="B4295" t="s">
        <v>44</v>
      </c>
      <c r="C4295" t="s">
        <v>45</v>
      </c>
      <c r="D4295" t="s">
        <v>37</v>
      </c>
      <c r="E4295" t="s">
        <v>19</v>
      </c>
      <c r="F4295" t="s">
        <v>36</v>
      </c>
      <c r="O4295">
        <v>2030</v>
      </c>
    </row>
    <row r="4296" spans="1:16" x14ac:dyDescent="0.3">
      <c r="A4296" t="str">
        <f t="shared" si="67"/>
        <v>PA|TotalCapacityAnnual|RE1|PWRBGS|2030</v>
      </c>
      <c r="B4296" t="s">
        <v>44</v>
      </c>
      <c r="C4296" t="s">
        <v>45</v>
      </c>
      <c r="D4296" t="s">
        <v>38</v>
      </c>
      <c r="E4296" t="s">
        <v>19</v>
      </c>
      <c r="F4296" t="s">
        <v>20</v>
      </c>
      <c r="O4296">
        <v>2030</v>
      </c>
      <c r="P4296">
        <v>2.5488587520000001E-2</v>
      </c>
    </row>
    <row r="4297" spans="1:16" x14ac:dyDescent="0.3">
      <c r="A4297" t="str">
        <f t="shared" si="67"/>
        <v>PA|TotalCapacityAnnual|RE1|PWRCOA|2030</v>
      </c>
      <c r="B4297" t="s">
        <v>44</v>
      </c>
      <c r="C4297" t="s">
        <v>45</v>
      </c>
      <c r="D4297" t="s">
        <v>38</v>
      </c>
      <c r="E4297" t="s">
        <v>19</v>
      </c>
      <c r="F4297" t="s">
        <v>21</v>
      </c>
      <c r="O4297">
        <v>2030</v>
      </c>
      <c r="P4297">
        <v>19.047744000000002</v>
      </c>
    </row>
    <row r="4298" spans="1:16" x14ac:dyDescent="0.3">
      <c r="A4298" t="str">
        <f t="shared" si="67"/>
        <v>PA|TotalCapacityAnnual|RE1|PWRDSL|2030</v>
      </c>
      <c r="B4298" t="s">
        <v>44</v>
      </c>
      <c r="C4298" t="s">
        <v>45</v>
      </c>
      <c r="D4298" t="s">
        <v>38</v>
      </c>
      <c r="E4298" t="s">
        <v>19</v>
      </c>
      <c r="F4298" t="s">
        <v>22</v>
      </c>
      <c r="O4298">
        <v>2030</v>
      </c>
      <c r="P4298">
        <v>24.944976</v>
      </c>
    </row>
    <row r="4299" spans="1:16" x14ac:dyDescent="0.3">
      <c r="A4299" t="str">
        <f t="shared" si="67"/>
        <v>PA|TotalCapacityAnnual|RE1|PWRFOL|2030</v>
      </c>
      <c r="B4299" t="s">
        <v>44</v>
      </c>
      <c r="C4299" t="s">
        <v>45</v>
      </c>
      <c r="D4299" t="s">
        <v>38</v>
      </c>
      <c r="E4299" t="s">
        <v>19</v>
      </c>
      <c r="F4299" t="s">
        <v>23</v>
      </c>
      <c r="O4299">
        <v>2030</v>
      </c>
      <c r="P4299">
        <v>8.3885759999999987</v>
      </c>
    </row>
    <row r="4300" spans="1:16" x14ac:dyDescent="0.3">
      <c r="A4300" t="str">
        <f t="shared" si="67"/>
        <v>PA|TotalCapacityAnnual|RE1|PWRGEO|2030</v>
      </c>
      <c r="B4300" t="s">
        <v>44</v>
      </c>
      <c r="C4300" t="s">
        <v>45</v>
      </c>
      <c r="D4300" t="s">
        <v>38</v>
      </c>
      <c r="E4300" t="s">
        <v>19</v>
      </c>
      <c r="F4300" t="s">
        <v>46</v>
      </c>
      <c r="O4300">
        <v>2030</v>
      </c>
    </row>
    <row r="4301" spans="1:16" x14ac:dyDescent="0.3">
      <c r="A4301" t="str">
        <f t="shared" si="67"/>
        <v>PA|TotalCapacityAnnual|RE1|PWRHYDDAM|2030</v>
      </c>
      <c r="B4301" t="s">
        <v>44</v>
      </c>
      <c r="C4301" t="s">
        <v>45</v>
      </c>
      <c r="D4301" t="s">
        <v>38</v>
      </c>
      <c r="E4301" t="s">
        <v>19</v>
      </c>
      <c r="F4301" t="s">
        <v>24</v>
      </c>
      <c r="O4301">
        <v>2030</v>
      </c>
      <c r="P4301">
        <v>440.49164800000011</v>
      </c>
    </row>
    <row r="4302" spans="1:16" x14ac:dyDescent="0.3">
      <c r="A4302" t="str">
        <f t="shared" si="67"/>
        <v>PA|TotalCapacityAnnual|RE1|PWRHYDROR|2030</v>
      </c>
      <c r="B4302" t="s">
        <v>44</v>
      </c>
      <c r="C4302" t="s">
        <v>45</v>
      </c>
      <c r="D4302" t="s">
        <v>38</v>
      </c>
      <c r="E4302" t="s">
        <v>19</v>
      </c>
      <c r="F4302" t="s">
        <v>25</v>
      </c>
      <c r="O4302">
        <v>2030</v>
      </c>
      <c r="P4302">
        <v>21.097584000000001</v>
      </c>
    </row>
    <row r="4303" spans="1:16" x14ac:dyDescent="0.3">
      <c r="A4303" t="str">
        <f t="shared" si="67"/>
        <v>PA|TotalCapacityAnnual|RE1|PWRHYDROR_NDC|2030</v>
      </c>
      <c r="B4303" t="s">
        <v>44</v>
      </c>
      <c r="C4303" t="s">
        <v>45</v>
      </c>
      <c r="D4303" t="s">
        <v>38</v>
      </c>
      <c r="E4303" t="s">
        <v>19</v>
      </c>
      <c r="F4303" t="s">
        <v>26</v>
      </c>
      <c r="O4303">
        <v>2030</v>
      </c>
      <c r="P4303">
        <v>29.725108271999989</v>
      </c>
    </row>
    <row r="4304" spans="1:16" x14ac:dyDescent="0.3">
      <c r="A4304" t="str">
        <f t="shared" si="67"/>
        <v>PA|TotalCapacityAnnual|RE1|PWRJET|2030</v>
      </c>
      <c r="B4304" t="s">
        <v>44</v>
      </c>
      <c r="C4304" t="s">
        <v>45</v>
      </c>
      <c r="D4304" t="s">
        <v>38</v>
      </c>
      <c r="E4304" t="s">
        <v>19</v>
      </c>
      <c r="F4304" t="s">
        <v>27</v>
      </c>
      <c r="O4304">
        <v>2030</v>
      </c>
      <c r="P4304">
        <v>1.5768</v>
      </c>
    </row>
    <row r="4305" spans="1:16" x14ac:dyDescent="0.3">
      <c r="A4305" t="str">
        <f t="shared" si="67"/>
        <v>PA|TotalCapacityAnnual|RE1|PWRLPG|2030</v>
      </c>
      <c r="B4305" t="s">
        <v>44</v>
      </c>
      <c r="C4305" t="s">
        <v>45</v>
      </c>
      <c r="D4305" t="s">
        <v>38</v>
      </c>
      <c r="E4305" t="s">
        <v>19</v>
      </c>
      <c r="F4305" t="s">
        <v>28</v>
      </c>
      <c r="O4305">
        <v>2030</v>
      </c>
      <c r="P4305">
        <v>1.639872</v>
      </c>
    </row>
    <row r="4306" spans="1:16" x14ac:dyDescent="0.3">
      <c r="A4306" t="str">
        <f t="shared" si="67"/>
        <v>PA|TotalCapacityAnnual|RE1|PWRNGS_CC|2030</v>
      </c>
      <c r="B4306" t="s">
        <v>44</v>
      </c>
      <c r="C4306" t="s">
        <v>45</v>
      </c>
      <c r="D4306" t="s">
        <v>38</v>
      </c>
      <c r="E4306" t="s">
        <v>19</v>
      </c>
      <c r="F4306" t="s">
        <v>29</v>
      </c>
      <c r="O4306">
        <v>2030</v>
      </c>
      <c r="P4306">
        <v>70.104500000000002</v>
      </c>
    </row>
    <row r="4307" spans="1:16" x14ac:dyDescent="0.3">
      <c r="A4307" t="str">
        <f t="shared" si="67"/>
        <v>PA|TotalCapacityAnnual|RE1|PWRNGS_CS|2030</v>
      </c>
      <c r="B4307" t="s">
        <v>44</v>
      </c>
      <c r="C4307" t="s">
        <v>45</v>
      </c>
      <c r="D4307" t="s">
        <v>38</v>
      </c>
      <c r="E4307" t="s">
        <v>19</v>
      </c>
      <c r="F4307" t="s">
        <v>30</v>
      </c>
      <c r="O4307">
        <v>2030</v>
      </c>
      <c r="P4307">
        <v>23.084351999999999</v>
      </c>
    </row>
    <row r="4308" spans="1:16" x14ac:dyDescent="0.3">
      <c r="A4308" t="str">
        <f t="shared" si="67"/>
        <v>PA|TotalCapacityAnnual|RE1|PWRNUC|2030</v>
      </c>
      <c r="B4308" t="s">
        <v>44</v>
      </c>
      <c r="C4308" t="s">
        <v>45</v>
      </c>
      <c r="D4308" t="s">
        <v>38</v>
      </c>
      <c r="E4308" t="s">
        <v>19</v>
      </c>
      <c r="F4308" t="s">
        <v>47</v>
      </c>
      <c r="O4308">
        <v>2030</v>
      </c>
    </row>
    <row r="4309" spans="1:16" x14ac:dyDescent="0.3">
      <c r="A4309" t="str">
        <f t="shared" si="67"/>
        <v>PA|TotalCapacityAnnual|RE1|PWRSOLRTP|2030</v>
      </c>
      <c r="B4309" t="s">
        <v>44</v>
      </c>
      <c r="C4309" t="s">
        <v>45</v>
      </c>
      <c r="D4309" t="s">
        <v>38</v>
      </c>
      <c r="E4309" t="s">
        <v>19</v>
      </c>
      <c r="F4309" t="s">
        <v>31</v>
      </c>
      <c r="O4309">
        <v>2030</v>
      </c>
      <c r="P4309">
        <v>86.707987127457216</v>
      </c>
    </row>
    <row r="4310" spans="1:16" x14ac:dyDescent="0.3">
      <c r="A4310" t="str">
        <f t="shared" si="67"/>
        <v>PA|TotalCapacityAnnual|RE1|PWRSOLRTP_ZNI|2030</v>
      </c>
      <c r="B4310" t="s">
        <v>44</v>
      </c>
      <c r="C4310" t="s">
        <v>45</v>
      </c>
      <c r="D4310" t="s">
        <v>38</v>
      </c>
      <c r="E4310" t="s">
        <v>19</v>
      </c>
      <c r="F4310" t="s">
        <v>32</v>
      </c>
      <c r="O4310">
        <v>2030</v>
      </c>
      <c r="P4310">
        <v>0.46074095999999998</v>
      </c>
    </row>
    <row r="4311" spans="1:16" x14ac:dyDescent="0.3">
      <c r="A4311" t="str">
        <f t="shared" si="67"/>
        <v>PA|TotalCapacityAnnual|RE1|PWRSOLUGE|2030</v>
      </c>
      <c r="B4311" t="s">
        <v>44</v>
      </c>
      <c r="C4311" t="s">
        <v>45</v>
      </c>
      <c r="D4311" t="s">
        <v>38</v>
      </c>
      <c r="E4311" t="s">
        <v>19</v>
      </c>
      <c r="F4311" t="s">
        <v>33</v>
      </c>
      <c r="O4311">
        <v>2030</v>
      </c>
      <c r="P4311">
        <v>191.79186048</v>
      </c>
    </row>
    <row r="4312" spans="1:16" x14ac:dyDescent="0.3">
      <c r="A4312" t="str">
        <f t="shared" si="67"/>
        <v>PA|TotalCapacityAnnual|RE1|PWRSOLUPE|2030</v>
      </c>
      <c r="B4312" t="s">
        <v>44</v>
      </c>
      <c r="C4312" t="s">
        <v>45</v>
      </c>
      <c r="D4312" t="s">
        <v>38</v>
      </c>
      <c r="E4312" t="s">
        <v>19</v>
      </c>
      <c r="F4312" t="s">
        <v>34</v>
      </c>
      <c r="O4312">
        <v>2030</v>
      </c>
      <c r="P4312">
        <v>39.172600079999931</v>
      </c>
    </row>
    <row r="4313" spans="1:16" x14ac:dyDescent="0.3">
      <c r="A4313" t="str">
        <f t="shared" si="67"/>
        <v>PA|TotalCapacityAnnual|RE1|PWRSTD|2030</v>
      </c>
      <c r="B4313" t="s">
        <v>44</v>
      </c>
      <c r="C4313" t="s">
        <v>45</v>
      </c>
      <c r="D4313" t="s">
        <v>38</v>
      </c>
      <c r="E4313" t="s">
        <v>19</v>
      </c>
      <c r="F4313" t="s">
        <v>35</v>
      </c>
      <c r="O4313">
        <v>2030</v>
      </c>
      <c r="P4313">
        <v>8.163062064</v>
      </c>
    </row>
    <row r="4314" spans="1:16" x14ac:dyDescent="0.3">
      <c r="A4314" t="str">
        <f t="shared" si="67"/>
        <v>PA|TotalCapacityAnnual|RE1|PWRWNDOFS_FIX|2030</v>
      </c>
      <c r="B4314" t="s">
        <v>44</v>
      </c>
      <c r="C4314" t="s">
        <v>45</v>
      </c>
      <c r="D4314" t="s">
        <v>38</v>
      </c>
      <c r="E4314" t="s">
        <v>19</v>
      </c>
      <c r="F4314" t="s">
        <v>42</v>
      </c>
      <c r="O4314">
        <v>2030</v>
      </c>
    </row>
    <row r="4315" spans="1:16" x14ac:dyDescent="0.3">
      <c r="A4315" t="str">
        <f t="shared" si="67"/>
        <v>PA|TotalCapacityAnnual|RE1|PWRWNDONS|2030</v>
      </c>
      <c r="B4315" t="s">
        <v>44</v>
      </c>
      <c r="C4315" t="s">
        <v>45</v>
      </c>
      <c r="D4315" t="s">
        <v>38</v>
      </c>
      <c r="E4315" t="s">
        <v>19</v>
      </c>
      <c r="F4315" t="s">
        <v>36</v>
      </c>
      <c r="O4315">
        <v>2030</v>
      </c>
      <c r="P4315">
        <v>34.635085714285722</v>
      </c>
    </row>
    <row r="4316" spans="1:16" x14ac:dyDescent="0.3">
      <c r="A4316" t="str">
        <f t="shared" si="67"/>
        <v>PA|AccumulatedNewCapacity|RE1|PWRBGS|2031</v>
      </c>
      <c r="B4316" t="s">
        <v>44</v>
      </c>
      <c r="C4316" t="s">
        <v>45</v>
      </c>
      <c r="D4316" t="s">
        <v>18</v>
      </c>
      <c r="E4316" t="s">
        <v>19</v>
      </c>
      <c r="F4316" t="s">
        <v>20</v>
      </c>
      <c r="O4316">
        <v>2031</v>
      </c>
    </row>
    <row r="4317" spans="1:16" x14ac:dyDescent="0.3">
      <c r="A4317" t="str">
        <f t="shared" si="67"/>
        <v>PA|AccumulatedNewCapacity|RE1|PWRCOA|2031</v>
      </c>
      <c r="B4317" t="s">
        <v>44</v>
      </c>
      <c r="C4317" t="s">
        <v>45</v>
      </c>
      <c r="D4317" t="s">
        <v>18</v>
      </c>
      <c r="E4317" t="s">
        <v>19</v>
      </c>
      <c r="F4317" t="s">
        <v>21</v>
      </c>
      <c r="O4317">
        <v>2031</v>
      </c>
    </row>
    <row r="4318" spans="1:16" x14ac:dyDescent="0.3">
      <c r="A4318" t="str">
        <f t="shared" si="67"/>
        <v>PA|AccumulatedNewCapacity|RE1|PWRDSL|2031</v>
      </c>
      <c r="B4318" t="s">
        <v>44</v>
      </c>
      <c r="C4318" t="s">
        <v>45</v>
      </c>
      <c r="D4318" t="s">
        <v>18</v>
      </c>
      <c r="E4318" t="s">
        <v>19</v>
      </c>
      <c r="F4318" t="s">
        <v>22</v>
      </c>
      <c r="O4318">
        <v>2031</v>
      </c>
    </row>
    <row r="4319" spans="1:16" x14ac:dyDescent="0.3">
      <c r="A4319" t="str">
        <f t="shared" si="67"/>
        <v>PA|AccumulatedNewCapacity|RE1|PWRFOL|2031</v>
      </c>
      <c r="B4319" t="s">
        <v>44</v>
      </c>
      <c r="C4319" t="s">
        <v>45</v>
      </c>
      <c r="D4319" t="s">
        <v>18</v>
      </c>
      <c r="E4319" t="s">
        <v>19</v>
      </c>
      <c r="F4319" t="s">
        <v>23</v>
      </c>
      <c r="O4319">
        <v>2031</v>
      </c>
    </row>
    <row r="4320" spans="1:16" x14ac:dyDescent="0.3">
      <c r="A4320" t="str">
        <f t="shared" si="67"/>
        <v>PA|AccumulatedNewCapacity|RE1|PWRGEO|2031</v>
      </c>
      <c r="B4320" t="s">
        <v>44</v>
      </c>
      <c r="C4320" t="s">
        <v>45</v>
      </c>
      <c r="D4320" t="s">
        <v>18</v>
      </c>
      <c r="E4320" t="s">
        <v>19</v>
      </c>
      <c r="F4320" t="s">
        <v>46</v>
      </c>
      <c r="O4320">
        <v>2031</v>
      </c>
    </row>
    <row r="4321" spans="1:16" x14ac:dyDescent="0.3">
      <c r="A4321" t="str">
        <f t="shared" si="67"/>
        <v>PA|AccumulatedNewCapacity|RE1|PWRHYDDAM|2031</v>
      </c>
      <c r="B4321" t="s">
        <v>44</v>
      </c>
      <c r="C4321" t="s">
        <v>45</v>
      </c>
      <c r="D4321" t="s">
        <v>18</v>
      </c>
      <c r="E4321" t="s">
        <v>19</v>
      </c>
      <c r="F4321" t="s">
        <v>24</v>
      </c>
      <c r="O4321">
        <v>2031</v>
      </c>
      <c r="P4321">
        <v>37.840000000000003</v>
      </c>
    </row>
    <row r="4322" spans="1:16" x14ac:dyDescent="0.3">
      <c r="A4322" t="str">
        <f t="shared" si="67"/>
        <v>PA|AccumulatedNewCapacity|RE1|PWRHYDROR|2031</v>
      </c>
      <c r="B4322" t="s">
        <v>44</v>
      </c>
      <c r="C4322" t="s">
        <v>45</v>
      </c>
      <c r="D4322" t="s">
        <v>18</v>
      </c>
      <c r="E4322" t="s">
        <v>19</v>
      </c>
      <c r="F4322" t="s">
        <v>25</v>
      </c>
      <c r="O4322">
        <v>2031</v>
      </c>
    </row>
    <row r="4323" spans="1:16" x14ac:dyDescent="0.3">
      <c r="A4323" t="str">
        <f t="shared" si="67"/>
        <v>PA|AccumulatedNewCapacity|RE1|PWRHYDROR_NDC|2031</v>
      </c>
      <c r="B4323" t="s">
        <v>44</v>
      </c>
      <c r="C4323" t="s">
        <v>45</v>
      </c>
      <c r="D4323" t="s">
        <v>18</v>
      </c>
      <c r="E4323" t="s">
        <v>19</v>
      </c>
      <c r="F4323" t="s">
        <v>26</v>
      </c>
      <c r="O4323">
        <v>2031</v>
      </c>
    </row>
    <row r="4324" spans="1:16" x14ac:dyDescent="0.3">
      <c r="A4324" t="str">
        <f t="shared" si="67"/>
        <v>PA|AccumulatedNewCapacity|RE1|PWRJET|2031</v>
      </c>
      <c r="B4324" t="s">
        <v>44</v>
      </c>
      <c r="C4324" t="s">
        <v>45</v>
      </c>
      <c r="D4324" t="s">
        <v>18</v>
      </c>
      <c r="E4324" t="s">
        <v>19</v>
      </c>
      <c r="F4324" t="s">
        <v>27</v>
      </c>
      <c r="O4324">
        <v>2031</v>
      </c>
    </row>
    <row r="4325" spans="1:16" x14ac:dyDescent="0.3">
      <c r="A4325" t="str">
        <f t="shared" si="67"/>
        <v>PA|AccumulatedNewCapacity|RE1|PWRLPG|2031</v>
      </c>
      <c r="B4325" t="s">
        <v>44</v>
      </c>
      <c r="C4325" t="s">
        <v>45</v>
      </c>
      <c r="D4325" t="s">
        <v>18</v>
      </c>
      <c r="E4325" t="s">
        <v>19</v>
      </c>
      <c r="F4325" t="s">
        <v>28</v>
      </c>
      <c r="O4325">
        <v>2031</v>
      </c>
    </row>
    <row r="4326" spans="1:16" x14ac:dyDescent="0.3">
      <c r="A4326" t="str">
        <f t="shared" si="67"/>
        <v>PA|AccumulatedNewCapacity|RE1|PWRNGS_CC|2031</v>
      </c>
      <c r="B4326" t="s">
        <v>44</v>
      </c>
      <c r="C4326" t="s">
        <v>45</v>
      </c>
      <c r="D4326" t="s">
        <v>18</v>
      </c>
      <c r="E4326" t="s">
        <v>19</v>
      </c>
      <c r="F4326" t="s">
        <v>29</v>
      </c>
      <c r="O4326">
        <v>2031</v>
      </c>
    </row>
    <row r="4327" spans="1:16" x14ac:dyDescent="0.3">
      <c r="A4327" t="str">
        <f t="shared" si="67"/>
        <v>PA|AccumulatedNewCapacity|RE1|PWRNGS_CS|2031</v>
      </c>
      <c r="B4327" t="s">
        <v>44</v>
      </c>
      <c r="C4327" t="s">
        <v>45</v>
      </c>
      <c r="D4327" t="s">
        <v>18</v>
      </c>
      <c r="E4327" t="s">
        <v>19</v>
      </c>
      <c r="F4327" t="s">
        <v>30</v>
      </c>
      <c r="O4327">
        <v>2031</v>
      </c>
    </row>
    <row r="4328" spans="1:16" x14ac:dyDescent="0.3">
      <c r="A4328" t="str">
        <f t="shared" si="67"/>
        <v>PA|AccumulatedNewCapacity|RE1|PWRNUC|2031</v>
      </c>
      <c r="B4328" t="s">
        <v>44</v>
      </c>
      <c r="C4328" t="s">
        <v>45</v>
      </c>
      <c r="D4328" t="s">
        <v>18</v>
      </c>
      <c r="E4328" t="s">
        <v>19</v>
      </c>
      <c r="F4328" t="s">
        <v>47</v>
      </c>
      <c r="O4328">
        <v>2031</v>
      </c>
    </row>
    <row r="4329" spans="1:16" x14ac:dyDescent="0.3">
      <c r="A4329" t="str">
        <f t="shared" si="67"/>
        <v>PA|AccumulatedNewCapacity|RE1|PWRSOLRTP|2031</v>
      </c>
      <c r="B4329" t="s">
        <v>44</v>
      </c>
      <c r="C4329" t="s">
        <v>45</v>
      </c>
      <c r="D4329" t="s">
        <v>18</v>
      </c>
      <c r="E4329" t="s">
        <v>19</v>
      </c>
      <c r="F4329" t="s">
        <v>31</v>
      </c>
      <c r="O4329">
        <v>2031</v>
      </c>
      <c r="P4329">
        <v>76.423253012048221</v>
      </c>
    </row>
    <row r="4330" spans="1:16" x14ac:dyDescent="0.3">
      <c r="A4330" t="str">
        <f t="shared" si="67"/>
        <v>PA|AccumulatedNewCapacity|RE1|PWRSOLRTP_ZNI|2031</v>
      </c>
      <c r="B4330" t="s">
        <v>44</v>
      </c>
      <c r="C4330" t="s">
        <v>45</v>
      </c>
      <c r="D4330" t="s">
        <v>18</v>
      </c>
      <c r="E4330" t="s">
        <v>19</v>
      </c>
      <c r="F4330" t="s">
        <v>32</v>
      </c>
      <c r="O4330">
        <v>2031</v>
      </c>
    </row>
    <row r="4331" spans="1:16" x14ac:dyDescent="0.3">
      <c r="A4331" t="str">
        <f t="shared" si="67"/>
        <v>PA|AccumulatedNewCapacity|RE1|PWRSOLUGE|2031</v>
      </c>
      <c r="B4331" t="s">
        <v>44</v>
      </c>
      <c r="C4331" t="s">
        <v>45</v>
      </c>
      <c r="D4331" t="s">
        <v>18</v>
      </c>
      <c r="E4331" t="s">
        <v>19</v>
      </c>
      <c r="F4331" t="s">
        <v>33</v>
      </c>
      <c r="O4331">
        <v>2031</v>
      </c>
      <c r="P4331">
        <v>143.394192</v>
      </c>
    </row>
    <row r="4332" spans="1:16" x14ac:dyDescent="0.3">
      <c r="A4332" t="str">
        <f t="shared" si="67"/>
        <v>PA|AccumulatedNewCapacity|RE1|PWRSOLUPE|2031</v>
      </c>
      <c r="B4332" t="s">
        <v>44</v>
      </c>
      <c r="C4332" t="s">
        <v>45</v>
      </c>
      <c r="D4332" t="s">
        <v>18</v>
      </c>
      <c r="E4332" t="s">
        <v>19</v>
      </c>
      <c r="F4332" t="s">
        <v>34</v>
      </c>
      <c r="O4332">
        <v>2031</v>
      </c>
      <c r="P4332">
        <v>12.14419823999993</v>
      </c>
    </row>
    <row r="4333" spans="1:16" x14ac:dyDescent="0.3">
      <c r="A4333" t="str">
        <f t="shared" si="67"/>
        <v>PA|AccumulatedNewCapacity|RE1|PWRSTD|2031</v>
      </c>
      <c r="B4333" t="s">
        <v>44</v>
      </c>
      <c r="C4333" t="s">
        <v>45</v>
      </c>
      <c r="D4333" t="s">
        <v>18</v>
      </c>
      <c r="E4333" t="s">
        <v>19</v>
      </c>
      <c r="F4333" t="s">
        <v>35</v>
      </c>
      <c r="O4333">
        <v>2031</v>
      </c>
    </row>
    <row r="4334" spans="1:16" x14ac:dyDescent="0.3">
      <c r="A4334" t="str">
        <f t="shared" si="67"/>
        <v>PA|AccumulatedNewCapacity|RE1|PWRWNDOFS_FIX|2031</v>
      </c>
      <c r="B4334" t="s">
        <v>44</v>
      </c>
      <c r="C4334" t="s">
        <v>45</v>
      </c>
      <c r="D4334" t="s">
        <v>18</v>
      </c>
      <c r="E4334" t="s">
        <v>19</v>
      </c>
      <c r="F4334" t="s">
        <v>42</v>
      </c>
      <c r="O4334">
        <v>2031</v>
      </c>
    </row>
    <row r="4335" spans="1:16" x14ac:dyDescent="0.3">
      <c r="A4335" t="str">
        <f t="shared" si="67"/>
        <v>PA|AccumulatedNewCapacity|RE1|PWRWNDONS|2031</v>
      </c>
      <c r="B4335" t="s">
        <v>44</v>
      </c>
      <c r="C4335" t="s">
        <v>45</v>
      </c>
      <c r="D4335" t="s">
        <v>18</v>
      </c>
      <c r="E4335" t="s">
        <v>19</v>
      </c>
      <c r="F4335" t="s">
        <v>36</v>
      </c>
      <c r="O4335">
        <v>2031</v>
      </c>
      <c r="P4335">
        <v>33.266423314285717</v>
      </c>
    </row>
    <row r="4336" spans="1:16" x14ac:dyDescent="0.3">
      <c r="A4336" t="str">
        <f t="shared" si="67"/>
        <v>PA|NewCapacity|RE1|PWRBGS|2031</v>
      </c>
      <c r="B4336" t="s">
        <v>44</v>
      </c>
      <c r="C4336" t="s">
        <v>45</v>
      </c>
      <c r="D4336" t="s">
        <v>37</v>
      </c>
      <c r="E4336" t="s">
        <v>19</v>
      </c>
      <c r="F4336" t="s">
        <v>20</v>
      </c>
      <c r="O4336">
        <v>2031</v>
      </c>
    </row>
    <row r="4337" spans="1:16" x14ac:dyDescent="0.3">
      <c r="A4337" t="str">
        <f t="shared" si="67"/>
        <v>PA|NewCapacity|RE1|PWRCOA|2031</v>
      </c>
      <c r="B4337" t="s">
        <v>44</v>
      </c>
      <c r="C4337" t="s">
        <v>45</v>
      </c>
      <c r="D4337" t="s">
        <v>37</v>
      </c>
      <c r="E4337" t="s">
        <v>19</v>
      </c>
      <c r="F4337" t="s">
        <v>21</v>
      </c>
      <c r="O4337">
        <v>2031</v>
      </c>
    </row>
    <row r="4338" spans="1:16" x14ac:dyDescent="0.3">
      <c r="A4338" t="str">
        <f t="shared" si="67"/>
        <v>PA|NewCapacity|RE1|PWRDSL|2031</v>
      </c>
      <c r="B4338" t="s">
        <v>44</v>
      </c>
      <c r="C4338" t="s">
        <v>45</v>
      </c>
      <c r="D4338" t="s">
        <v>37</v>
      </c>
      <c r="E4338" t="s">
        <v>19</v>
      </c>
      <c r="F4338" t="s">
        <v>22</v>
      </c>
      <c r="O4338">
        <v>2031</v>
      </c>
    </row>
    <row r="4339" spans="1:16" x14ac:dyDescent="0.3">
      <c r="A4339" t="str">
        <f t="shared" si="67"/>
        <v>PA|NewCapacity|RE1|PWRFOL|2031</v>
      </c>
      <c r="B4339" t="s">
        <v>44</v>
      </c>
      <c r="C4339" t="s">
        <v>45</v>
      </c>
      <c r="D4339" t="s">
        <v>37</v>
      </c>
      <c r="E4339" t="s">
        <v>19</v>
      </c>
      <c r="F4339" t="s">
        <v>23</v>
      </c>
      <c r="O4339">
        <v>2031</v>
      </c>
    </row>
    <row r="4340" spans="1:16" x14ac:dyDescent="0.3">
      <c r="A4340" t="str">
        <f t="shared" si="67"/>
        <v>PA|NewCapacity|RE1|PWRGEO|2031</v>
      </c>
      <c r="B4340" t="s">
        <v>44</v>
      </c>
      <c r="C4340" t="s">
        <v>45</v>
      </c>
      <c r="D4340" t="s">
        <v>37</v>
      </c>
      <c r="E4340" t="s">
        <v>19</v>
      </c>
      <c r="F4340" t="s">
        <v>46</v>
      </c>
      <c r="O4340">
        <v>2031</v>
      </c>
    </row>
    <row r="4341" spans="1:16" x14ac:dyDescent="0.3">
      <c r="A4341" t="str">
        <f t="shared" si="67"/>
        <v>PA|NewCapacity|RE1|PWRHYDDAM|2031</v>
      </c>
      <c r="B4341" t="s">
        <v>44</v>
      </c>
      <c r="C4341" t="s">
        <v>45</v>
      </c>
      <c r="D4341" t="s">
        <v>37</v>
      </c>
      <c r="E4341" t="s">
        <v>19</v>
      </c>
      <c r="F4341" t="s">
        <v>24</v>
      </c>
      <c r="O4341">
        <v>2031</v>
      </c>
    </row>
    <row r="4342" spans="1:16" x14ac:dyDescent="0.3">
      <c r="A4342" t="str">
        <f t="shared" si="67"/>
        <v>PA|NewCapacity|RE1|PWRHYDROR|2031</v>
      </c>
      <c r="B4342" t="s">
        <v>44</v>
      </c>
      <c r="C4342" t="s">
        <v>45</v>
      </c>
      <c r="D4342" t="s">
        <v>37</v>
      </c>
      <c r="E4342" t="s">
        <v>19</v>
      </c>
      <c r="F4342" t="s">
        <v>25</v>
      </c>
      <c r="O4342">
        <v>2031</v>
      </c>
    </row>
    <row r="4343" spans="1:16" x14ac:dyDescent="0.3">
      <c r="A4343" t="str">
        <f t="shared" si="67"/>
        <v>PA|NewCapacity|RE1|PWRHYDROR_NDC|2031</v>
      </c>
      <c r="B4343" t="s">
        <v>44</v>
      </c>
      <c r="C4343" t="s">
        <v>45</v>
      </c>
      <c r="D4343" t="s">
        <v>37</v>
      </c>
      <c r="E4343" t="s">
        <v>19</v>
      </c>
      <c r="F4343" t="s">
        <v>26</v>
      </c>
      <c r="O4343">
        <v>2031</v>
      </c>
    </row>
    <row r="4344" spans="1:16" x14ac:dyDescent="0.3">
      <c r="A4344" t="str">
        <f t="shared" si="67"/>
        <v>PA|NewCapacity|RE1|PWRJET|2031</v>
      </c>
      <c r="B4344" t="s">
        <v>44</v>
      </c>
      <c r="C4344" t="s">
        <v>45</v>
      </c>
      <c r="D4344" t="s">
        <v>37</v>
      </c>
      <c r="E4344" t="s">
        <v>19</v>
      </c>
      <c r="F4344" t="s">
        <v>27</v>
      </c>
      <c r="O4344">
        <v>2031</v>
      </c>
    </row>
    <row r="4345" spans="1:16" x14ac:dyDescent="0.3">
      <c r="A4345" t="str">
        <f t="shared" si="67"/>
        <v>PA|NewCapacity|RE1|PWRLPG|2031</v>
      </c>
      <c r="B4345" t="s">
        <v>44</v>
      </c>
      <c r="C4345" t="s">
        <v>45</v>
      </c>
      <c r="D4345" t="s">
        <v>37</v>
      </c>
      <c r="E4345" t="s">
        <v>19</v>
      </c>
      <c r="F4345" t="s">
        <v>28</v>
      </c>
      <c r="O4345">
        <v>2031</v>
      </c>
    </row>
    <row r="4346" spans="1:16" x14ac:dyDescent="0.3">
      <c r="A4346" t="str">
        <f t="shared" si="67"/>
        <v>PA|NewCapacity|RE1|PWRNGS_CC|2031</v>
      </c>
      <c r="B4346" t="s">
        <v>44</v>
      </c>
      <c r="C4346" t="s">
        <v>45</v>
      </c>
      <c r="D4346" t="s">
        <v>37</v>
      </c>
      <c r="E4346" t="s">
        <v>19</v>
      </c>
      <c r="F4346" t="s">
        <v>29</v>
      </c>
      <c r="O4346">
        <v>2031</v>
      </c>
    </row>
    <row r="4347" spans="1:16" x14ac:dyDescent="0.3">
      <c r="A4347" t="str">
        <f t="shared" si="67"/>
        <v>PA|NewCapacity|RE1|PWRNGS_CS|2031</v>
      </c>
      <c r="B4347" t="s">
        <v>44</v>
      </c>
      <c r="C4347" t="s">
        <v>45</v>
      </c>
      <c r="D4347" t="s">
        <v>37</v>
      </c>
      <c r="E4347" t="s">
        <v>19</v>
      </c>
      <c r="F4347" t="s">
        <v>30</v>
      </c>
      <c r="O4347">
        <v>2031</v>
      </c>
    </row>
    <row r="4348" spans="1:16" x14ac:dyDescent="0.3">
      <c r="A4348" t="str">
        <f t="shared" si="67"/>
        <v>PA|NewCapacity|RE1|PWRNUC|2031</v>
      </c>
      <c r="B4348" t="s">
        <v>44</v>
      </c>
      <c r="C4348" t="s">
        <v>45</v>
      </c>
      <c r="D4348" t="s">
        <v>37</v>
      </c>
      <c r="E4348" t="s">
        <v>19</v>
      </c>
      <c r="F4348" t="s">
        <v>47</v>
      </c>
      <c r="O4348">
        <v>2031</v>
      </c>
    </row>
    <row r="4349" spans="1:16" x14ac:dyDescent="0.3">
      <c r="A4349" t="str">
        <f t="shared" si="67"/>
        <v>PA|NewCapacity|RE1|PWRSOLRTP|2031</v>
      </c>
      <c r="B4349" t="s">
        <v>44</v>
      </c>
      <c r="C4349" t="s">
        <v>45</v>
      </c>
      <c r="D4349" t="s">
        <v>37</v>
      </c>
      <c r="E4349" t="s">
        <v>19</v>
      </c>
      <c r="F4349" t="s">
        <v>31</v>
      </c>
      <c r="O4349">
        <v>2031</v>
      </c>
      <c r="P4349">
        <v>12.999365884591001</v>
      </c>
    </row>
    <row r="4350" spans="1:16" x14ac:dyDescent="0.3">
      <c r="A4350" t="str">
        <f t="shared" si="67"/>
        <v>PA|NewCapacity|RE1|PWRSOLRTP_ZNI|2031</v>
      </c>
      <c r="B4350" t="s">
        <v>44</v>
      </c>
      <c r="C4350" t="s">
        <v>45</v>
      </c>
      <c r="D4350" t="s">
        <v>37</v>
      </c>
      <c r="E4350" t="s">
        <v>19</v>
      </c>
      <c r="F4350" t="s">
        <v>32</v>
      </c>
      <c r="O4350">
        <v>2031</v>
      </c>
    </row>
    <row r="4351" spans="1:16" x14ac:dyDescent="0.3">
      <c r="A4351" t="str">
        <f t="shared" si="67"/>
        <v>PA|NewCapacity|RE1|PWRSOLUGE|2031</v>
      </c>
      <c r="B4351" t="s">
        <v>44</v>
      </c>
      <c r="C4351" t="s">
        <v>45</v>
      </c>
      <c r="D4351" t="s">
        <v>37</v>
      </c>
      <c r="E4351" t="s">
        <v>19</v>
      </c>
      <c r="F4351" t="s">
        <v>33</v>
      </c>
      <c r="O4351">
        <v>2031</v>
      </c>
    </row>
    <row r="4352" spans="1:16" x14ac:dyDescent="0.3">
      <c r="A4352" t="str">
        <f t="shared" si="67"/>
        <v>PA|NewCapacity|RE1|PWRSOLUPE|2031</v>
      </c>
      <c r="B4352" t="s">
        <v>44</v>
      </c>
      <c r="C4352" t="s">
        <v>45</v>
      </c>
      <c r="D4352" t="s">
        <v>37</v>
      </c>
      <c r="E4352" t="s">
        <v>19</v>
      </c>
      <c r="F4352" t="s">
        <v>34</v>
      </c>
      <c r="O4352">
        <v>2031</v>
      </c>
    </row>
    <row r="4353" spans="1:16" x14ac:dyDescent="0.3">
      <c r="A4353" t="str">
        <f t="shared" si="67"/>
        <v>PA|NewCapacity|RE1|PWRSTD|2031</v>
      </c>
      <c r="B4353" t="s">
        <v>44</v>
      </c>
      <c r="C4353" t="s">
        <v>45</v>
      </c>
      <c r="D4353" t="s">
        <v>37</v>
      </c>
      <c r="E4353" t="s">
        <v>19</v>
      </c>
      <c r="F4353" t="s">
        <v>35</v>
      </c>
      <c r="O4353">
        <v>2031</v>
      </c>
    </row>
    <row r="4354" spans="1:16" x14ac:dyDescent="0.3">
      <c r="A4354" t="str">
        <f t="shared" ref="A4354:A4417" si="68">B4354&amp;"|"&amp;D4354&amp;"|"&amp;E4354&amp;"|"&amp;F4354&amp;"|"&amp;O4354</f>
        <v>PA|NewCapacity|RE1|PWRWNDOFS_FIX|2031</v>
      </c>
      <c r="B4354" t="s">
        <v>44</v>
      </c>
      <c r="C4354" t="s">
        <v>45</v>
      </c>
      <c r="D4354" t="s">
        <v>37</v>
      </c>
      <c r="E4354" t="s">
        <v>19</v>
      </c>
      <c r="F4354" t="s">
        <v>42</v>
      </c>
      <c r="O4354">
        <v>2031</v>
      </c>
    </row>
    <row r="4355" spans="1:16" x14ac:dyDescent="0.3">
      <c r="A4355" t="str">
        <f t="shared" si="68"/>
        <v>PA|NewCapacity|RE1|PWRWNDONS|2031</v>
      </c>
      <c r="B4355" t="s">
        <v>44</v>
      </c>
      <c r="C4355" t="s">
        <v>45</v>
      </c>
      <c r="D4355" t="s">
        <v>37</v>
      </c>
      <c r="E4355" t="s">
        <v>19</v>
      </c>
      <c r="F4355" t="s">
        <v>36</v>
      </c>
      <c r="O4355">
        <v>2031</v>
      </c>
    </row>
    <row r="4356" spans="1:16" x14ac:dyDescent="0.3">
      <c r="A4356" t="str">
        <f t="shared" si="68"/>
        <v>PA|TotalCapacityAnnual|RE1|PWRBGS|2031</v>
      </c>
      <c r="B4356" t="s">
        <v>44</v>
      </c>
      <c r="C4356" t="s">
        <v>45</v>
      </c>
      <c r="D4356" t="s">
        <v>38</v>
      </c>
      <c r="E4356" t="s">
        <v>19</v>
      </c>
      <c r="F4356" t="s">
        <v>20</v>
      </c>
      <c r="O4356">
        <v>2031</v>
      </c>
      <c r="P4356">
        <v>2.5488587520000001E-2</v>
      </c>
    </row>
    <row r="4357" spans="1:16" x14ac:dyDescent="0.3">
      <c r="A4357" t="str">
        <f t="shared" si="68"/>
        <v>PA|TotalCapacityAnnual|RE1|PWRCOA|2031</v>
      </c>
      <c r="B4357" t="s">
        <v>44</v>
      </c>
      <c r="C4357" t="s">
        <v>45</v>
      </c>
      <c r="D4357" t="s">
        <v>38</v>
      </c>
      <c r="E4357" t="s">
        <v>19</v>
      </c>
      <c r="F4357" t="s">
        <v>21</v>
      </c>
      <c r="O4357">
        <v>2031</v>
      </c>
      <c r="P4357">
        <v>19.047744000000002</v>
      </c>
    </row>
    <row r="4358" spans="1:16" x14ac:dyDescent="0.3">
      <c r="A4358" t="str">
        <f t="shared" si="68"/>
        <v>PA|TotalCapacityAnnual|RE1|PWRDSL|2031</v>
      </c>
      <c r="B4358" t="s">
        <v>44</v>
      </c>
      <c r="C4358" t="s">
        <v>45</v>
      </c>
      <c r="D4358" t="s">
        <v>38</v>
      </c>
      <c r="E4358" t="s">
        <v>19</v>
      </c>
      <c r="F4358" t="s">
        <v>22</v>
      </c>
      <c r="O4358">
        <v>2031</v>
      </c>
      <c r="P4358">
        <v>24.944976</v>
      </c>
    </row>
    <row r="4359" spans="1:16" x14ac:dyDescent="0.3">
      <c r="A4359" t="str">
        <f t="shared" si="68"/>
        <v>PA|TotalCapacityAnnual|RE1|PWRFOL|2031</v>
      </c>
      <c r="B4359" t="s">
        <v>44</v>
      </c>
      <c r="C4359" t="s">
        <v>45</v>
      </c>
      <c r="D4359" t="s">
        <v>38</v>
      </c>
      <c r="E4359" t="s">
        <v>19</v>
      </c>
      <c r="F4359" t="s">
        <v>23</v>
      </c>
      <c r="O4359">
        <v>2031</v>
      </c>
      <c r="P4359">
        <v>8.3885759999999987</v>
      </c>
    </row>
    <row r="4360" spans="1:16" x14ac:dyDescent="0.3">
      <c r="A4360" t="str">
        <f t="shared" si="68"/>
        <v>PA|TotalCapacityAnnual|RE1|PWRGEO|2031</v>
      </c>
      <c r="B4360" t="s">
        <v>44</v>
      </c>
      <c r="C4360" t="s">
        <v>45</v>
      </c>
      <c r="D4360" t="s">
        <v>38</v>
      </c>
      <c r="E4360" t="s">
        <v>19</v>
      </c>
      <c r="F4360" t="s">
        <v>46</v>
      </c>
      <c r="O4360">
        <v>2031</v>
      </c>
    </row>
    <row r="4361" spans="1:16" x14ac:dyDescent="0.3">
      <c r="A4361" t="str">
        <f t="shared" si="68"/>
        <v>PA|TotalCapacityAnnual|RE1|PWRHYDDAM|2031</v>
      </c>
      <c r="B4361" t="s">
        <v>44</v>
      </c>
      <c r="C4361" t="s">
        <v>45</v>
      </c>
      <c r="D4361" t="s">
        <v>38</v>
      </c>
      <c r="E4361" t="s">
        <v>19</v>
      </c>
      <c r="F4361" t="s">
        <v>24</v>
      </c>
      <c r="O4361">
        <v>2031</v>
      </c>
      <c r="P4361">
        <v>440.49164800000011</v>
      </c>
    </row>
    <row r="4362" spans="1:16" x14ac:dyDescent="0.3">
      <c r="A4362" t="str">
        <f t="shared" si="68"/>
        <v>PA|TotalCapacityAnnual|RE1|PWRHYDROR|2031</v>
      </c>
      <c r="B4362" t="s">
        <v>44</v>
      </c>
      <c r="C4362" t="s">
        <v>45</v>
      </c>
      <c r="D4362" t="s">
        <v>38</v>
      </c>
      <c r="E4362" t="s">
        <v>19</v>
      </c>
      <c r="F4362" t="s">
        <v>25</v>
      </c>
      <c r="O4362">
        <v>2031</v>
      </c>
      <c r="P4362">
        <v>21.097584000000001</v>
      </c>
    </row>
    <row r="4363" spans="1:16" x14ac:dyDescent="0.3">
      <c r="A4363" t="str">
        <f t="shared" si="68"/>
        <v>PA|TotalCapacityAnnual|RE1|PWRHYDROR_NDC|2031</v>
      </c>
      <c r="B4363" t="s">
        <v>44</v>
      </c>
      <c r="C4363" t="s">
        <v>45</v>
      </c>
      <c r="D4363" t="s">
        <v>38</v>
      </c>
      <c r="E4363" t="s">
        <v>19</v>
      </c>
      <c r="F4363" t="s">
        <v>26</v>
      </c>
      <c r="O4363">
        <v>2031</v>
      </c>
      <c r="P4363">
        <v>29.725108271999989</v>
      </c>
    </row>
    <row r="4364" spans="1:16" x14ac:dyDescent="0.3">
      <c r="A4364" t="str">
        <f t="shared" si="68"/>
        <v>PA|TotalCapacityAnnual|RE1|PWRJET|2031</v>
      </c>
      <c r="B4364" t="s">
        <v>44</v>
      </c>
      <c r="C4364" t="s">
        <v>45</v>
      </c>
      <c r="D4364" t="s">
        <v>38</v>
      </c>
      <c r="E4364" t="s">
        <v>19</v>
      </c>
      <c r="F4364" t="s">
        <v>27</v>
      </c>
      <c r="O4364">
        <v>2031</v>
      </c>
      <c r="P4364">
        <v>1.5768</v>
      </c>
    </row>
    <row r="4365" spans="1:16" x14ac:dyDescent="0.3">
      <c r="A4365" t="str">
        <f t="shared" si="68"/>
        <v>PA|TotalCapacityAnnual|RE1|PWRLPG|2031</v>
      </c>
      <c r="B4365" t="s">
        <v>44</v>
      </c>
      <c r="C4365" t="s">
        <v>45</v>
      </c>
      <c r="D4365" t="s">
        <v>38</v>
      </c>
      <c r="E4365" t="s">
        <v>19</v>
      </c>
      <c r="F4365" t="s">
        <v>28</v>
      </c>
      <c r="O4365">
        <v>2031</v>
      </c>
      <c r="P4365">
        <v>1.639872</v>
      </c>
    </row>
    <row r="4366" spans="1:16" x14ac:dyDescent="0.3">
      <c r="A4366" t="str">
        <f t="shared" si="68"/>
        <v>PA|TotalCapacityAnnual|RE1|PWRNGS_CC|2031</v>
      </c>
      <c r="B4366" t="s">
        <v>44</v>
      </c>
      <c r="C4366" t="s">
        <v>45</v>
      </c>
      <c r="D4366" t="s">
        <v>38</v>
      </c>
      <c r="E4366" t="s">
        <v>19</v>
      </c>
      <c r="F4366" t="s">
        <v>29</v>
      </c>
      <c r="O4366">
        <v>2031</v>
      </c>
      <c r="P4366">
        <v>70.104500000000002</v>
      </c>
    </row>
    <row r="4367" spans="1:16" x14ac:dyDescent="0.3">
      <c r="A4367" t="str">
        <f t="shared" si="68"/>
        <v>PA|TotalCapacityAnnual|RE1|PWRNGS_CS|2031</v>
      </c>
      <c r="B4367" t="s">
        <v>44</v>
      </c>
      <c r="C4367" t="s">
        <v>45</v>
      </c>
      <c r="D4367" t="s">
        <v>38</v>
      </c>
      <c r="E4367" t="s">
        <v>19</v>
      </c>
      <c r="F4367" t="s">
        <v>30</v>
      </c>
      <c r="O4367">
        <v>2031</v>
      </c>
      <c r="P4367">
        <v>23.084351999999999</v>
      </c>
    </row>
    <row r="4368" spans="1:16" x14ac:dyDescent="0.3">
      <c r="A4368" t="str">
        <f t="shared" si="68"/>
        <v>PA|TotalCapacityAnnual|RE1|PWRNUC|2031</v>
      </c>
      <c r="B4368" t="s">
        <v>44</v>
      </c>
      <c r="C4368" t="s">
        <v>45</v>
      </c>
      <c r="D4368" t="s">
        <v>38</v>
      </c>
      <c r="E4368" t="s">
        <v>19</v>
      </c>
      <c r="F4368" t="s">
        <v>47</v>
      </c>
      <c r="O4368">
        <v>2031</v>
      </c>
    </row>
    <row r="4369" spans="1:16" x14ac:dyDescent="0.3">
      <c r="A4369" t="str">
        <f t="shared" si="68"/>
        <v>PA|TotalCapacityAnnual|RE1|PWRSOLRTP|2031</v>
      </c>
      <c r="B4369" t="s">
        <v>44</v>
      </c>
      <c r="C4369" t="s">
        <v>45</v>
      </c>
      <c r="D4369" t="s">
        <v>38</v>
      </c>
      <c r="E4369" t="s">
        <v>19</v>
      </c>
      <c r="F4369" t="s">
        <v>31</v>
      </c>
      <c r="O4369">
        <v>2031</v>
      </c>
      <c r="P4369">
        <v>99.707353012048216</v>
      </c>
    </row>
    <row r="4370" spans="1:16" x14ac:dyDescent="0.3">
      <c r="A4370" t="str">
        <f t="shared" si="68"/>
        <v>PA|TotalCapacityAnnual|RE1|PWRSOLRTP_ZNI|2031</v>
      </c>
      <c r="B4370" t="s">
        <v>44</v>
      </c>
      <c r="C4370" t="s">
        <v>45</v>
      </c>
      <c r="D4370" t="s">
        <v>38</v>
      </c>
      <c r="E4370" t="s">
        <v>19</v>
      </c>
      <c r="F4370" t="s">
        <v>32</v>
      </c>
      <c r="O4370">
        <v>2031</v>
      </c>
      <c r="P4370">
        <v>0.46074095999999998</v>
      </c>
    </row>
    <row r="4371" spans="1:16" x14ac:dyDescent="0.3">
      <c r="A4371" t="str">
        <f t="shared" si="68"/>
        <v>PA|TotalCapacityAnnual|RE1|PWRSOLUGE|2031</v>
      </c>
      <c r="B4371" t="s">
        <v>44</v>
      </c>
      <c r="C4371" t="s">
        <v>45</v>
      </c>
      <c r="D4371" t="s">
        <v>38</v>
      </c>
      <c r="E4371" t="s">
        <v>19</v>
      </c>
      <c r="F4371" t="s">
        <v>33</v>
      </c>
      <c r="O4371">
        <v>2031</v>
      </c>
      <c r="P4371">
        <v>191.79186048</v>
      </c>
    </row>
    <row r="4372" spans="1:16" x14ac:dyDescent="0.3">
      <c r="A4372" t="str">
        <f t="shared" si="68"/>
        <v>PA|TotalCapacityAnnual|RE1|PWRSOLUPE|2031</v>
      </c>
      <c r="B4372" t="s">
        <v>44</v>
      </c>
      <c r="C4372" t="s">
        <v>45</v>
      </c>
      <c r="D4372" t="s">
        <v>38</v>
      </c>
      <c r="E4372" t="s">
        <v>19</v>
      </c>
      <c r="F4372" t="s">
        <v>34</v>
      </c>
      <c r="O4372">
        <v>2031</v>
      </c>
      <c r="P4372">
        <v>39.172600079999931</v>
      </c>
    </row>
    <row r="4373" spans="1:16" x14ac:dyDescent="0.3">
      <c r="A4373" t="str">
        <f t="shared" si="68"/>
        <v>PA|TotalCapacityAnnual|RE1|PWRSTD|2031</v>
      </c>
      <c r="B4373" t="s">
        <v>44</v>
      </c>
      <c r="C4373" t="s">
        <v>45</v>
      </c>
      <c r="D4373" t="s">
        <v>38</v>
      </c>
      <c r="E4373" t="s">
        <v>19</v>
      </c>
      <c r="F4373" t="s">
        <v>35</v>
      </c>
      <c r="O4373">
        <v>2031</v>
      </c>
      <c r="P4373">
        <v>8.163062064</v>
      </c>
    </row>
    <row r="4374" spans="1:16" x14ac:dyDescent="0.3">
      <c r="A4374" t="str">
        <f t="shared" si="68"/>
        <v>PA|TotalCapacityAnnual|RE1|PWRWNDOFS_FIX|2031</v>
      </c>
      <c r="B4374" t="s">
        <v>44</v>
      </c>
      <c r="C4374" t="s">
        <v>45</v>
      </c>
      <c r="D4374" t="s">
        <v>38</v>
      </c>
      <c r="E4374" t="s">
        <v>19</v>
      </c>
      <c r="F4374" t="s">
        <v>42</v>
      </c>
      <c r="O4374">
        <v>2031</v>
      </c>
    </row>
    <row r="4375" spans="1:16" x14ac:dyDescent="0.3">
      <c r="A4375" t="str">
        <f t="shared" si="68"/>
        <v>PA|TotalCapacityAnnual|RE1|PWRWNDONS|2031</v>
      </c>
      <c r="B4375" t="s">
        <v>44</v>
      </c>
      <c r="C4375" t="s">
        <v>45</v>
      </c>
      <c r="D4375" t="s">
        <v>38</v>
      </c>
      <c r="E4375" t="s">
        <v>19</v>
      </c>
      <c r="F4375" t="s">
        <v>36</v>
      </c>
      <c r="O4375">
        <v>2031</v>
      </c>
      <c r="P4375">
        <v>34.635085714285722</v>
      </c>
    </row>
    <row r="4376" spans="1:16" x14ac:dyDescent="0.3">
      <c r="A4376" t="str">
        <f t="shared" si="68"/>
        <v>PA|AccumulatedNewCapacity|RE1|PWRBGS|2032</v>
      </c>
      <c r="B4376" t="s">
        <v>44</v>
      </c>
      <c r="C4376" t="s">
        <v>45</v>
      </c>
      <c r="D4376" t="s">
        <v>18</v>
      </c>
      <c r="E4376" t="s">
        <v>19</v>
      </c>
      <c r="F4376" t="s">
        <v>20</v>
      </c>
      <c r="O4376">
        <v>2032</v>
      </c>
    </row>
    <row r="4377" spans="1:16" x14ac:dyDescent="0.3">
      <c r="A4377" t="str">
        <f t="shared" si="68"/>
        <v>PA|AccumulatedNewCapacity|RE1|PWRCOA|2032</v>
      </c>
      <c r="B4377" t="s">
        <v>44</v>
      </c>
      <c r="C4377" t="s">
        <v>45</v>
      </c>
      <c r="D4377" t="s">
        <v>18</v>
      </c>
      <c r="E4377" t="s">
        <v>19</v>
      </c>
      <c r="F4377" t="s">
        <v>21</v>
      </c>
      <c r="O4377">
        <v>2032</v>
      </c>
    </row>
    <row r="4378" spans="1:16" x14ac:dyDescent="0.3">
      <c r="A4378" t="str">
        <f t="shared" si="68"/>
        <v>PA|AccumulatedNewCapacity|RE1|PWRDSL|2032</v>
      </c>
      <c r="B4378" t="s">
        <v>44</v>
      </c>
      <c r="C4378" t="s">
        <v>45</v>
      </c>
      <c r="D4378" t="s">
        <v>18</v>
      </c>
      <c r="E4378" t="s">
        <v>19</v>
      </c>
      <c r="F4378" t="s">
        <v>22</v>
      </c>
      <c r="O4378">
        <v>2032</v>
      </c>
    </row>
    <row r="4379" spans="1:16" x14ac:dyDescent="0.3">
      <c r="A4379" t="str">
        <f t="shared" si="68"/>
        <v>PA|AccumulatedNewCapacity|RE1|PWRFOL|2032</v>
      </c>
      <c r="B4379" t="s">
        <v>44</v>
      </c>
      <c r="C4379" t="s">
        <v>45</v>
      </c>
      <c r="D4379" t="s">
        <v>18</v>
      </c>
      <c r="E4379" t="s">
        <v>19</v>
      </c>
      <c r="F4379" t="s">
        <v>23</v>
      </c>
      <c r="O4379">
        <v>2032</v>
      </c>
    </row>
    <row r="4380" spans="1:16" x14ac:dyDescent="0.3">
      <c r="A4380" t="str">
        <f t="shared" si="68"/>
        <v>PA|AccumulatedNewCapacity|RE1|PWRGEO|2032</v>
      </c>
      <c r="B4380" t="s">
        <v>44</v>
      </c>
      <c r="C4380" t="s">
        <v>45</v>
      </c>
      <c r="D4380" t="s">
        <v>18</v>
      </c>
      <c r="E4380" t="s">
        <v>19</v>
      </c>
      <c r="F4380" t="s">
        <v>46</v>
      </c>
      <c r="O4380">
        <v>2032</v>
      </c>
    </row>
    <row r="4381" spans="1:16" x14ac:dyDescent="0.3">
      <c r="A4381" t="str">
        <f t="shared" si="68"/>
        <v>PA|AccumulatedNewCapacity|RE1|PWRHYDDAM|2032</v>
      </c>
      <c r="B4381" t="s">
        <v>44</v>
      </c>
      <c r="C4381" t="s">
        <v>45</v>
      </c>
      <c r="D4381" t="s">
        <v>18</v>
      </c>
      <c r="E4381" t="s">
        <v>19</v>
      </c>
      <c r="F4381" t="s">
        <v>24</v>
      </c>
      <c r="O4381">
        <v>2032</v>
      </c>
      <c r="P4381">
        <v>37.840000000000003</v>
      </c>
    </row>
    <row r="4382" spans="1:16" x14ac:dyDescent="0.3">
      <c r="A4382" t="str">
        <f t="shared" si="68"/>
        <v>PA|AccumulatedNewCapacity|RE1|PWRHYDROR|2032</v>
      </c>
      <c r="B4382" t="s">
        <v>44</v>
      </c>
      <c r="C4382" t="s">
        <v>45</v>
      </c>
      <c r="D4382" t="s">
        <v>18</v>
      </c>
      <c r="E4382" t="s">
        <v>19</v>
      </c>
      <c r="F4382" t="s">
        <v>25</v>
      </c>
      <c r="O4382">
        <v>2032</v>
      </c>
    </row>
    <row r="4383" spans="1:16" x14ac:dyDescent="0.3">
      <c r="A4383" t="str">
        <f t="shared" si="68"/>
        <v>PA|AccumulatedNewCapacity|RE1|PWRHYDROR_NDC|2032</v>
      </c>
      <c r="B4383" t="s">
        <v>44</v>
      </c>
      <c r="C4383" t="s">
        <v>45</v>
      </c>
      <c r="D4383" t="s">
        <v>18</v>
      </c>
      <c r="E4383" t="s">
        <v>19</v>
      </c>
      <c r="F4383" t="s">
        <v>26</v>
      </c>
      <c r="O4383">
        <v>2032</v>
      </c>
    </row>
    <row r="4384" spans="1:16" x14ac:dyDescent="0.3">
      <c r="A4384" t="str">
        <f t="shared" si="68"/>
        <v>PA|AccumulatedNewCapacity|RE1|PWRJET|2032</v>
      </c>
      <c r="B4384" t="s">
        <v>44</v>
      </c>
      <c r="C4384" t="s">
        <v>45</v>
      </c>
      <c r="D4384" t="s">
        <v>18</v>
      </c>
      <c r="E4384" t="s">
        <v>19</v>
      </c>
      <c r="F4384" t="s">
        <v>27</v>
      </c>
      <c r="O4384">
        <v>2032</v>
      </c>
    </row>
    <row r="4385" spans="1:16" x14ac:dyDescent="0.3">
      <c r="A4385" t="str">
        <f t="shared" si="68"/>
        <v>PA|AccumulatedNewCapacity|RE1|PWRLPG|2032</v>
      </c>
      <c r="B4385" t="s">
        <v>44</v>
      </c>
      <c r="C4385" t="s">
        <v>45</v>
      </c>
      <c r="D4385" t="s">
        <v>18</v>
      </c>
      <c r="E4385" t="s">
        <v>19</v>
      </c>
      <c r="F4385" t="s">
        <v>28</v>
      </c>
      <c r="O4385">
        <v>2032</v>
      </c>
    </row>
    <row r="4386" spans="1:16" x14ac:dyDescent="0.3">
      <c r="A4386" t="str">
        <f t="shared" si="68"/>
        <v>PA|AccumulatedNewCapacity|RE1|PWRNGS_CC|2032</v>
      </c>
      <c r="B4386" t="s">
        <v>44</v>
      </c>
      <c r="C4386" t="s">
        <v>45</v>
      </c>
      <c r="D4386" t="s">
        <v>18</v>
      </c>
      <c r="E4386" t="s">
        <v>19</v>
      </c>
      <c r="F4386" t="s">
        <v>29</v>
      </c>
      <c r="O4386">
        <v>2032</v>
      </c>
    </row>
    <row r="4387" spans="1:16" x14ac:dyDescent="0.3">
      <c r="A4387" t="str">
        <f t="shared" si="68"/>
        <v>PA|AccumulatedNewCapacity|RE1|PWRNGS_CS|2032</v>
      </c>
      <c r="B4387" t="s">
        <v>44</v>
      </c>
      <c r="C4387" t="s">
        <v>45</v>
      </c>
      <c r="D4387" t="s">
        <v>18</v>
      </c>
      <c r="E4387" t="s">
        <v>19</v>
      </c>
      <c r="F4387" t="s">
        <v>30</v>
      </c>
      <c r="O4387">
        <v>2032</v>
      </c>
    </row>
    <row r="4388" spans="1:16" x14ac:dyDescent="0.3">
      <c r="A4388" t="str">
        <f t="shared" si="68"/>
        <v>PA|AccumulatedNewCapacity|RE1|PWRNUC|2032</v>
      </c>
      <c r="B4388" t="s">
        <v>44</v>
      </c>
      <c r="C4388" t="s">
        <v>45</v>
      </c>
      <c r="D4388" t="s">
        <v>18</v>
      </c>
      <c r="E4388" t="s">
        <v>19</v>
      </c>
      <c r="F4388" t="s">
        <v>47</v>
      </c>
      <c r="O4388">
        <v>2032</v>
      </c>
    </row>
    <row r="4389" spans="1:16" x14ac:dyDescent="0.3">
      <c r="A4389" t="str">
        <f t="shared" si="68"/>
        <v>PA|AccumulatedNewCapacity|RE1|PWRSOLRTP|2032</v>
      </c>
      <c r="B4389" t="s">
        <v>44</v>
      </c>
      <c r="C4389" t="s">
        <v>45</v>
      </c>
      <c r="D4389" t="s">
        <v>18</v>
      </c>
      <c r="E4389" t="s">
        <v>19</v>
      </c>
      <c r="F4389" t="s">
        <v>31</v>
      </c>
      <c r="O4389">
        <v>2032</v>
      </c>
      <c r="P4389">
        <v>87.995859226379224</v>
      </c>
    </row>
    <row r="4390" spans="1:16" x14ac:dyDescent="0.3">
      <c r="A4390" t="str">
        <f t="shared" si="68"/>
        <v>PA|AccumulatedNewCapacity|RE1|PWRSOLRTP_ZNI|2032</v>
      </c>
      <c r="B4390" t="s">
        <v>44</v>
      </c>
      <c r="C4390" t="s">
        <v>45</v>
      </c>
      <c r="D4390" t="s">
        <v>18</v>
      </c>
      <c r="E4390" t="s">
        <v>19</v>
      </c>
      <c r="F4390" t="s">
        <v>32</v>
      </c>
      <c r="O4390">
        <v>2032</v>
      </c>
    </row>
    <row r="4391" spans="1:16" x14ac:dyDescent="0.3">
      <c r="A4391" t="str">
        <f t="shared" si="68"/>
        <v>PA|AccumulatedNewCapacity|RE1|PWRSOLUGE|2032</v>
      </c>
      <c r="B4391" t="s">
        <v>44</v>
      </c>
      <c r="C4391" t="s">
        <v>45</v>
      </c>
      <c r="D4391" t="s">
        <v>18</v>
      </c>
      <c r="E4391" t="s">
        <v>19</v>
      </c>
      <c r="F4391" t="s">
        <v>33</v>
      </c>
      <c r="O4391">
        <v>2032</v>
      </c>
      <c r="P4391">
        <v>143.394192</v>
      </c>
    </row>
    <row r="4392" spans="1:16" x14ac:dyDescent="0.3">
      <c r="A4392" t="str">
        <f t="shared" si="68"/>
        <v>PA|AccumulatedNewCapacity|RE1|PWRSOLUPE|2032</v>
      </c>
      <c r="B4392" t="s">
        <v>44</v>
      </c>
      <c r="C4392" t="s">
        <v>45</v>
      </c>
      <c r="D4392" t="s">
        <v>18</v>
      </c>
      <c r="E4392" t="s">
        <v>19</v>
      </c>
      <c r="F4392" t="s">
        <v>34</v>
      </c>
      <c r="O4392">
        <v>2032</v>
      </c>
      <c r="P4392">
        <v>12.14419823999993</v>
      </c>
    </row>
    <row r="4393" spans="1:16" x14ac:dyDescent="0.3">
      <c r="A4393" t="str">
        <f t="shared" si="68"/>
        <v>PA|AccumulatedNewCapacity|RE1|PWRSTD|2032</v>
      </c>
      <c r="B4393" t="s">
        <v>44</v>
      </c>
      <c r="C4393" t="s">
        <v>45</v>
      </c>
      <c r="D4393" t="s">
        <v>18</v>
      </c>
      <c r="E4393" t="s">
        <v>19</v>
      </c>
      <c r="F4393" t="s">
        <v>35</v>
      </c>
      <c r="O4393">
        <v>2032</v>
      </c>
    </row>
    <row r="4394" spans="1:16" x14ac:dyDescent="0.3">
      <c r="A4394" t="str">
        <f t="shared" si="68"/>
        <v>PA|AccumulatedNewCapacity|RE1|PWRWNDOFS_FIX|2032</v>
      </c>
      <c r="B4394" t="s">
        <v>44</v>
      </c>
      <c r="C4394" t="s">
        <v>45</v>
      </c>
      <c r="D4394" t="s">
        <v>18</v>
      </c>
      <c r="E4394" t="s">
        <v>19</v>
      </c>
      <c r="F4394" t="s">
        <v>42</v>
      </c>
      <c r="O4394">
        <v>2032</v>
      </c>
      <c r="P4394">
        <v>1.752</v>
      </c>
    </row>
    <row r="4395" spans="1:16" x14ac:dyDescent="0.3">
      <c r="A4395" t="str">
        <f t="shared" si="68"/>
        <v>PA|AccumulatedNewCapacity|RE1|PWRWNDONS|2032</v>
      </c>
      <c r="B4395" t="s">
        <v>44</v>
      </c>
      <c r="C4395" t="s">
        <v>45</v>
      </c>
      <c r="D4395" t="s">
        <v>18</v>
      </c>
      <c r="E4395" t="s">
        <v>19</v>
      </c>
      <c r="F4395" t="s">
        <v>36</v>
      </c>
      <c r="O4395">
        <v>2032</v>
      </c>
      <c r="P4395">
        <v>33.266423314285717</v>
      </c>
    </row>
    <row r="4396" spans="1:16" x14ac:dyDescent="0.3">
      <c r="A4396" t="str">
        <f t="shared" si="68"/>
        <v>PA|NewCapacity|RE1|PWRBGS|2032</v>
      </c>
      <c r="B4396" t="s">
        <v>44</v>
      </c>
      <c r="C4396" t="s">
        <v>45</v>
      </c>
      <c r="D4396" t="s">
        <v>37</v>
      </c>
      <c r="E4396" t="s">
        <v>19</v>
      </c>
      <c r="F4396" t="s">
        <v>20</v>
      </c>
      <c r="O4396">
        <v>2032</v>
      </c>
    </row>
    <row r="4397" spans="1:16" x14ac:dyDescent="0.3">
      <c r="A4397" t="str">
        <f t="shared" si="68"/>
        <v>PA|NewCapacity|RE1|PWRCOA|2032</v>
      </c>
      <c r="B4397" t="s">
        <v>44</v>
      </c>
      <c r="C4397" t="s">
        <v>45</v>
      </c>
      <c r="D4397" t="s">
        <v>37</v>
      </c>
      <c r="E4397" t="s">
        <v>19</v>
      </c>
      <c r="F4397" t="s">
        <v>21</v>
      </c>
      <c r="O4397">
        <v>2032</v>
      </c>
    </row>
    <row r="4398" spans="1:16" x14ac:dyDescent="0.3">
      <c r="A4398" t="str">
        <f t="shared" si="68"/>
        <v>PA|NewCapacity|RE1|PWRDSL|2032</v>
      </c>
      <c r="B4398" t="s">
        <v>44</v>
      </c>
      <c r="C4398" t="s">
        <v>45</v>
      </c>
      <c r="D4398" t="s">
        <v>37</v>
      </c>
      <c r="E4398" t="s">
        <v>19</v>
      </c>
      <c r="F4398" t="s">
        <v>22</v>
      </c>
      <c r="O4398">
        <v>2032</v>
      </c>
    </row>
    <row r="4399" spans="1:16" x14ac:dyDescent="0.3">
      <c r="A4399" t="str">
        <f t="shared" si="68"/>
        <v>PA|NewCapacity|RE1|PWRFOL|2032</v>
      </c>
      <c r="B4399" t="s">
        <v>44</v>
      </c>
      <c r="C4399" t="s">
        <v>45</v>
      </c>
      <c r="D4399" t="s">
        <v>37</v>
      </c>
      <c r="E4399" t="s">
        <v>19</v>
      </c>
      <c r="F4399" t="s">
        <v>23</v>
      </c>
      <c r="O4399">
        <v>2032</v>
      </c>
    </row>
    <row r="4400" spans="1:16" x14ac:dyDescent="0.3">
      <c r="A4400" t="str">
        <f t="shared" si="68"/>
        <v>PA|NewCapacity|RE1|PWRGEO|2032</v>
      </c>
      <c r="B4400" t="s">
        <v>44</v>
      </c>
      <c r="C4400" t="s">
        <v>45</v>
      </c>
      <c r="D4400" t="s">
        <v>37</v>
      </c>
      <c r="E4400" t="s">
        <v>19</v>
      </c>
      <c r="F4400" t="s">
        <v>46</v>
      </c>
      <c r="O4400">
        <v>2032</v>
      </c>
    </row>
    <row r="4401" spans="1:16" x14ac:dyDescent="0.3">
      <c r="A4401" t="str">
        <f t="shared" si="68"/>
        <v>PA|NewCapacity|RE1|PWRHYDDAM|2032</v>
      </c>
      <c r="B4401" t="s">
        <v>44</v>
      </c>
      <c r="C4401" t="s">
        <v>45</v>
      </c>
      <c r="D4401" t="s">
        <v>37</v>
      </c>
      <c r="E4401" t="s">
        <v>19</v>
      </c>
      <c r="F4401" t="s">
        <v>24</v>
      </c>
      <c r="O4401">
        <v>2032</v>
      </c>
    </row>
    <row r="4402" spans="1:16" x14ac:dyDescent="0.3">
      <c r="A4402" t="str">
        <f t="shared" si="68"/>
        <v>PA|NewCapacity|RE1|PWRHYDROR|2032</v>
      </c>
      <c r="B4402" t="s">
        <v>44</v>
      </c>
      <c r="C4402" t="s">
        <v>45</v>
      </c>
      <c r="D4402" t="s">
        <v>37</v>
      </c>
      <c r="E4402" t="s">
        <v>19</v>
      </c>
      <c r="F4402" t="s">
        <v>25</v>
      </c>
      <c r="O4402">
        <v>2032</v>
      </c>
    </row>
    <row r="4403" spans="1:16" x14ac:dyDescent="0.3">
      <c r="A4403" t="str">
        <f t="shared" si="68"/>
        <v>PA|NewCapacity|RE1|PWRHYDROR_NDC|2032</v>
      </c>
      <c r="B4403" t="s">
        <v>44</v>
      </c>
      <c r="C4403" t="s">
        <v>45</v>
      </c>
      <c r="D4403" t="s">
        <v>37</v>
      </c>
      <c r="E4403" t="s">
        <v>19</v>
      </c>
      <c r="F4403" t="s">
        <v>26</v>
      </c>
      <c r="O4403">
        <v>2032</v>
      </c>
    </row>
    <row r="4404" spans="1:16" x14ac:dyDescent="0.3">
      <c r="A4404" t="str">
        <f t="shared" si="68"/>
        <v>PA|NewCapacity|RE1|PWRJET|2032</v>
      </c>
      <c r="B4404" t="s">
        <v>44</v>
      </c>
      <c r="C4404" t="s">
        <v>45</v>
      </c>
      <c r="D4404" t="s">
        <v>37</v>
      </c>
      <c r="E4404" t="s">
        <v>19</v>
      </c>
      <c r="F4404" t="s">
        <v>27</v>
      </c>
      <c r="O4404">
        <v>2032</v>
      </c>
    </row>
    <row r="4405" spans="1:16" x14ac:dyDescent="0.3">
      <c r="A4405" t="str">
        <f t="shared" si="68"/>
        <v>PA|NewCapacity|RE1|PWRLPG|2032</v>
      </c>
      <c r="B4405" t="s">
        <v>44</v>
      </c>
      <c r="C4405" t="s">
        <v>45</v>
      </c>
      <c r="D4405" t="s">
        <v>37</v>
      </c>
      <c r="E4405" t="s">
        <v>19</v>
      </c>
      <c r="F4405" t="s">
        <v>28</v>
      </c>
      <c r="O4405">
        <v>2032</v>
      </c>
    </row>
    <row r="4406" spans="1:16" x14ac:dyDescent="0.3">
      <c r="A4406" t="str">
        <f t="shared" si="68"/>
        <v>PA|NewCapacity|RE1|PWRNGS_CC|2032</v>
      </c>
      <c r="B4406" t="s">
        <v>44</v>
      </c>
      <c r="C4406" t="s">
        <v>45</v>
      </c>
      <c r="D4406" t="s">
        <v>37</v>
      </c>
      <c r="E4406" t="s">
        <v>19</v>
      </c>
      <c r="F4406" t="s">
        <v>29</v>
      </c>
      <c r="O4406">
        <v>2032</v>
      </c>
    </row>
    <row r="4407" spans="1:16" x14ac:dyDescent="0.3">
      <c r="A4407" t="str">
        <f t="shared" si="68"/>
        <v>PA|NewCapacity|RE1|PWRNGS_CS|2032</v>
      </c>
      <c r="B4407" t="s">
        <v>44</v>
      </c>
      <c r="C4407" t="s">
        <v>45</v>
      </c>
      <c r="D4407" t="s">
        <v>37</v>
      </c>
      <c r="E4407" t="s">
        <v>19</v>
      </c>
      <c r="F4407" t="s">
        <v>30</v>
      </c>
      <c r="O4407">
        <v>2032</v>
      </c>
    </row>
    <row r="4408" spans="1:16" x14ac:dyDescent="0.3">
      <c r="A4408" t="str">
        <f t="shared" si="68"/>
        <v>PA|NewCapacity|RE1|PWRNUC|2032</v>
      </c>
      <c r="B4408" t="s">
        <v>44</v>
      </c>
      <c r="C4408" t="s">
        <v>45</v>
      </c>
      <c r="D4408" t="s">
        <v>37</v>
      </c>
      <c r="E4408" t="s">
        <v>19</v>
      </c>
      <c r="F4408" t="s">
        <v>47</v>
      </c>
      <c r="O4408">
        <v>2032</v>
      </c>
    </row>
    <row r="4409" spans="1:16" x14ac:dyDescent="0.3">
      <c r="A4409" t="str">
        <f t="shared" si="68"/>
        <v>PA|NewCapacity|RE1|PWRSOLRTP|2032</v>
      </c>
      <c r="B4409" t="s">
        <v>44</v>
      </c>
      <c r="C4409" t="s">
        <v>45</v>
      </c>
      <c r="D4409" t="s">
        <v>37</v>
      </c>
      <c r="E4409" t="s">
        <v>19</v>
      </c>
      <c r="F4409" t="s">
        <v>31</v>
      </c>
      <c r="O4409">
        <v>2032</v>
      </c>
      <c r="P4409">
        <v>11.57260621433101</v>
      </c>
    </row>
    <row r="4410" spans="1:16" x14ac:dyDescent="0.3">
      <c r="A4410" t="str">
        <f t="shared" si="68"/>
        <v>PA|NewCapacity|RE1|PWRSOLRTP_ZNI|2032</v>
      </c>
      <c r="B4410" t="s">
        <v>44</v>
      </c>
      <c r="C4410" t="s">
        <v>45</v>
      </c>
      <c r="D4410" t="s">
        <v>37</v>
      </c>
      <c r="E4410" t="s">
        <v>19</v>
      </c>
      <c r="F4410" t="s">
        <v>32</v>
      </c>
      <c r="O4410">
        <v>2032</v>
      </c>
    </row>
    <row r="4411" spans="1:16" x14ac:dyDescent="0.3">
      <c r="A4411" t="str">
        <f t="shared" si="68"/>
        <v>PA|NewCapacity|RE1|PWRSOLUGE|2032</v>
      </c>
      <c r="B4411" t="s">
        <v>44</v>
      </c>
      <c r="C4411" t="s">
        <v>45</v>
      </c>
      <c r="D4411" t="s">
        <v>37</v>
      </c>
      <c r="E4411" t="s">
        <v>19</v>
      </c>
      <c r="F4411" t="s">
        <v>33</v>
      </c>
      <c r="O4411">
        <v>2032</v>
      </c>
    </row>
    <row r="4412" spans="1:16" x14ac:dyDescent="0.3">
      <c r="A4412" t="str">
        <f t="shared" si="68"/>
        <v>PA|NewCapacity|RE1|PWRSOLUPE|2032</v>
      </c>
      <c r="B4412" t="s">
        <v>44</v>
      </c>
      <c r="C4412" t="s">
        <v>45</v>
      </c>
      <c r="D4412" t="s">
        <v>37</v>
      </c>
      <c r="E4412" t="s">
        <v>19</v>
      </c>
      <c r="F4412" t="s">
        <v>34</v>
      </c>
      <c r="O4412">
        <v>2032</v>
      </c>
    </row>
    <row r="4413" spans="1:16" x14ac:dyDescent="0.3">
      <c r="A4413" t="str">
        <f t="shared" si="68"/>
        <v>PA|NewCapacity|RE1|PWRSTD|2032</v>
      </c>
      <c r="B4413" t="s">
        <v>44</v>
      </c>
      <c r="C4413" t="s">
        <v>45</v>
      </c>
      <c r="D4413" t="s">
        <v>37</v>
      </c>
      <c r="E4413" t="s">
        <v>19</v>
      </c>
      <c r="F4413" t="s">
        <v>35</v>
      </c>
      <c r="O4413">
        <v>2032</v>
      </c>
    </row>
    <row r="4414" spans="1:16" x14ac:dyDescent="0.3">
      <c r="A4414" t="str">
        <f t="shared" si="68"/>
        <v>PA|NewCapacity|RE1|PWRWNDOFS_FIX|2032</v>
      </c>
      <c r="B4414" t="s">
        <v>44</v>
      </c>
      <c r="C4414" t="s">
        <v>45</v>
      </c>
      <c r="D4414" t="s">
        <v>37</v>
      </c>
      <c r="E4414" t="s">
        <v>19</v>
      </c>
      <c r="F4414" t="s">
        <v>42</v>
      </c>
      <c r="O4414">
        <v>2032</v>
      </c>
      <c r="P4414">
        <v>1.752</v>
      </c>
    </row>
    <row r="4415" spans="1:16" x14ac:dyDescent="0.3">
      <c r="A4415" t="str">
        <f t="shared" si="68"/>
        <v>PA|NewCapacity|RE1|PWRWNDONS|2032</v>
      </c>
      <c r="B4415" t="s">
        <v>44</v>
      </c>
      <c r="C4415" t="s">
        <v>45</v>
      </c>
      <c r="D4415" t="s">
        <v>37</v>
      </c>
      <c r="E4415" t="s">
        <v>19</v>
      </c>
      <c r="F4415" t="s">
        <v>36</v>
      </c>
      <c r="O4415">
        <v>2032</v>
      </c>
    </row>
    <row r="4416" spans="1:16" x14ac:dyDescent="0.3">
      <c r="A4416" t="str">
        <f t="shared" si="68"/>
        <v>PA|TotalCapacityAnnual|RE1|PWRBGS|2032</v>
      </c>
      <c r="B4416" t="s">
        <v>44</v>
      </c>
      <c r="C4416" t="s">
        <v>45</v>
      </c>
      <c r="D4416" t="s">
        <v>38</v>
      </c>
      <c r="E4416" t="s">
        <v>19</v>
      </c>
      <c r="F4416" t="s">
        <v>20</v>
      </c>
      <c r="O4416">
        <v>2032</v>
      </c>
      <c r="P4416">
        <v>2.5488587520000001E-2</v>
      </c>
    </row>
    <row r="4417" spans="1:16" x14ac:dyDescent="0.3">
      <c r="A4417" t="str">
        <f t="shared" si="68"/>
        <v>PA|TotalCapacityAnnual|RE1|PWRCOA|2032</v>
      </c>
      <c r="B4417" t="s">
        <v>44</v>
      </c>
      <c r="C4417" t="s">
        <v>45</v>
      </c>
      <c r="D4417" t="s">
        <v>38</v>
      </c>
      <c r="E4417" t="s">
        <v>19</v>
      </c>
      <c r="F4417" t="s">
        <v>21</v>
      </c>
      <c r="O4417">
        <v>2032</v>
      </c>
      <c r="P4417">
        <v>13.87584</v>
      </c>
    </row>
    <row r="4418" spans="1:16" x14ac:dyDescent="0.3">
      <c r="A4418" t="str">
        <f t="shared" ref="A4418:A4481" si="69">B4418&amp;"|"&amp;D4418&amp;"|"&amp;E4418&amp;"|"&amp;F4418&amp;"|"&amp;O4418</f>
        <v>PA|TotalCapacityAnnual|RE1|PWRDSL|2032</v>
      </c>
      <c r="B4418" t="s">
        <v>44</v>
      </c>
      <c r="C4418" t="s">
        <v>45</v>
      </c>
      <c r="D4418" t="s">
        <v>38</v>
      </c>
      <c r="E4418" t="s">
        <v>19</v>
      </c>
      <c r="F4418" t="s">
        <v>22</v>
      </c>
      <c r="O4418">
        <v>2032</v>
      </c>
      <c r="P4418">
        <v>24.944976</v>
      </c>
    </row>
    <row r="4419" spans="1:16" x14ac:dyDescent="0.3">
      <c r="A4419" t="str">
        <f t="shared" si="69"/>
        <v>PA|TotalCapacityAnnual|RE1|PWRFOL|2032</v>
      </c>
      <c r="B4419" t="s">
        <v>44</v>
      </c>
      <c r="C4419" t="s">
        <v>45</v>
      </c>
      <c r="D4419" t="s">
        <v>38</v>
      </c>
      <c r="E4419" t="s">
        <v>19</v>
      </c>
      <c r="F4419" t="s">
        <v>23</v>
      </c>
      <c r="O4419">
        <v>2032</v>
      </c>
      <c r="P4419">
        <v>8.3885759999999987</v>
      </c>
    </row>
    <row r="4420" spans="1:16" x14ac:dyDescent="0.3">
      <c r="A4420" t="str">
        <f t="shared" si="69"/>
        <v>PA|TotalCapacityAnnual|RE1|PWRGEO|2032</v>
      </c>
      <c r="B4420" t="s">
        <v>44</v>
      </c>
      <c r="C4420" t="s">
        <v>45</v>
      </c>
      <c r="D4420" t="s">
        <v>38</v>
      </c>
      <c r="E4420" t="s">
        <v>19</v>
      </c>
      <c r="F4420" t="s">
        <v>46</v>
      </c>
      <c r="O4420">
        <v>2032</v>
      </c>
    </row>
    <row r="4421" spans="1:16" x14ac:dyDescent="0.3">
      <c r="A4421" t="str">
        <f t="shared" si="69"/>
        <v>PA|TotalCapacityAnnual|RE1|PWRHYDDAM|2032</v>
      </c>
      <c r="B4421" t="s">
        <v>44</v>
      </c>
      <c r="C4421" t="s">
        <v>45</v>
      </c>
      <c r="D4421" t="s">
        <v>38</v>
      </c>
      <c r="E4421" t="s">
        <v>19</v>
      </c>
      <c r="F4421" t="s">
        <v>24</v>
      </c>
      <c r="O4421">
        <v>2032</v>
      </c>
      <c r="P4421">
        <v>440.49164800000011</v>
      </c>
    </row>
    <row r="4422" spans="1:16" x14ac:dyDescent="0.3">
      <c r="A4422" t="str">
        <f t="shared" si="69"/>
        <v>PA|TotalCapacityAnnual|RE1|PWRHYDROR|2032</v>
      </c>
      <c r="B4422" t="s">
        <v>44</v>
      </c>
      <c r="C4422" t="s">
        <v>45</v>
      </c>
      <c r="D4422" t="s">
        <v>38</v>
      </c>
      <c r="E4422" t="s">
        <v>19</v>
      </c>
      <c r="F4422" t="s">
        <v>25</v>
      </c>
      <c r="O4422">
        <v>2032</v>
      </c>
      <c r="P4422">
        <v>21.097584000000001</v>
      </c>
    </row>
    <row r="4423" spans="1:16" x14ac:dyDescent="0.3">
      <c r="A4423" t="str">
        <f t="shared" si="69"/>
        <v>PA|TotalCapacityAnnual|RE1|PWRHYDROR_NDC|2032</v>
      </c>
      <c r="B4423" t="s">
        <v>44</v>
      </c>
      <c r="C4423" t="s">
        <v>45</v>
      </c>
      <c r="D4423" t="s">
        <v>38</v>
      </c>
      <c r="E4423" t="s">
        <v>19</v>
      </c>
      <c r="F4423" t="s">
        <v>26</v>
      </c>
      <c r="O4423">
        <v>2032</v>
      </c>
      <c r="P4423">
        <v>29.725108271999989</v>
      </c>
    </row>
    <row r="4424" spans="1:16" x14ac:dyDescent="0.3">
      <c r="A4424" t="str">
        <f t="shared" si="69"/>
        <v>PA|TotalCapacityAnnual|RE1|PWRJET|2032</v>
      </c>
      <c r="B4424" t="s">
        <v>44</v>
      </c>
      <c r="C4424" t="s">
        <v>45</v>
      </c>
      <c r="D4424" t="s">
        <v>38</v>
      </c>
      <c r="E4424" t="s">
        <v>19</v>
      </c>
      <c r="F4424" t="s">
        <v>27</v>
      </c>
      <c r="O4424">
        <v>2032</v>
      </c>
      <c r="P4424">
        <v>1.5768</v>
      </c>
    </row>
    <row r="4425" spans="1:16" x14ac:dyDescent="0.3">
      <c r="A4425" t="str">
        <f t="shared" si="69"/>
        <v>PA|TotalCapacityAnnual|RE1|PWRLPG|2032</v>
      </c>
      <c r="B4425" t="s">
        <v>44</v>
      </c>
      <c r="C4425" t="s">
        <v>45</v>
      </c>
      <c r="D4425" t="s">
        <v>38</v>
      </c>
      <c r="E4425" t="s">
        <v>19</v>
      </c>
      <c r="F4425" t="s">
        <v>28</v>
      </c>
      <c r="O4425">
        <v>2032</v>
      </c>
      <c r="P4425">
        <v>1.639872</v>
      </c>
    </row>
    <row r="4426" spans="1:16" x14ac:dyDescent="0.3">
      <c r="A4426" t="str">
        <f t="shared" si="69"/>
        <v>PA|TotalCapacityAnnual|RE1|PWRNGS_CC|2032</v>
      </c>
      <c r="B4426" t="s">
        <v>44</v>
      </c>
      <c r="C4426" t="s">
        <v>45</v>
      </c>
      <c r="D4426" t="s">
        <v>38</v>
      </c>
      <c r="E4426" t="s">
        <v>19</v>
      </c>
      <c r="F4426" t="s">
        <v>29</v>
      </c>
      <c r="O4426">
        <v>2032</v>
      </c>
      <c r="P4426">
        <v>70.104500000000002</v>
      </c>
    </row>
    <row r="4427" spans="1:16" x14ac:dyDescent="0.3">
      <c r="A4427" t="str">
        <f t="shared" si="69"/>
        <v>PA|TotalCapacityAnnual|RE1|PWRNGS_CS|2032</v>
      </c>
      <c r="B4427" t="s">
        <v>44</v>
      </c>
      <c r="C4427" t="s">
        <v>45</v>
      </c>
      <c r="D4427" t="s">
        <v>38</v>
      </c>
      <c r="E4427" t="s">
        <v>19</v>
      </c>
      <c r="F4427" t="s">
        <v>30</v>
      </c>
      <c r="O4427">
        <v>2032</v>
      </c>
      <c r="P4427">
        <v>23.084351999999999</v>
      </c>
    </row>
    <row r="4428" spans="1:16" x14ac:dyDescent="0.3">
      <c r="A4428" t="str">
        <f t="shared" si="69"/>
        <v>PA|TotalCapacityAnnual|RE1|PWRNUC|2032</v>
      </c>
      <c r="B4428" t="s">
        <v>44</v>
      </c>
      <c r="C4428" t="s">
        <v>45</v>
      </c>
      <c r="D4428" t="s">
        <v>38</v>
      </c>
      <c r="E4428" t="s">
        <v>19</v>
      </c>
      <c r="F4428" t="s">
        <v>47</v>
      </c>
      <c r="O4428">
        <v>2032</v>
      </c>
    </row>
    <row r="4429" spans="1:16" x14ac:dyDescent="0.3">
      <c r="A4429" t="str">
        <f t="shared" si="69"/>
        <v>PA|TotalCapacityAnnual|RE1|PWRSOLRTP|2032</v>
      </c>
      <c r="B4429" t="s">
        <v>44</v>
      </c>
      <c r="C4429" t="s">
        <v>45</v>
      </c>
      <c r="D4429" t="s">
        <v>38</v>
      </c>
      <c r="E4429" t="s">
        <v>19</v>
      </c>
      <c r="F4429" t="s">
        <v>31</v>
      </c>
      <c r="O4429">
        <v>2032</v>
      </c>
      <c r="P4429">
        <v>111.27995922637921</v>
      </c>
    </row>
    <row r="4430" spans="1:16" x14ac:dyDescent="0.3">
      <c r="A4430" t="str">
        <f t="shared" si="69"/>
        <v>PA|TotalCapacityAnnual|RE1|PWRSOLRTP_ZNI|2032</v>
      </c>
      <c r="B4430" t="s">
        <v>44</v>
      </c>
      <c r="C4430" t="s">
        <v>45</v>
      </c>
      <c r="D4430" t="s">
        <v>38</v>
      </c>
      <c r="E4430" t="s">
        <v>19</v>
      </c>
      <c r="F4430" t="s">
        <v>32</v>
      </c>
      <c r="O4430">
        <v>2032</v>
      </c>
      <c r="P4430">
        <v>0.46074095999999998</v>
      </c>
    </row>
    <row r="4431" spans="1:16" x14ac:dyDescent="0.3">
      <c r="A4431" t="str">
        <f t="shared" si="69"/>
        <v>PA|TotalCapacityAnnual|RE1|PWRSOLUGE|2032</v>
      </c>
      <c r="B4431" t="s">
        <v>44</v>
      </c>
      <c r="C4431" t="s">
        <v>45</v>
      </c>
      <c r="D4431" t="s">
        <v>38</v>
      </c>
      <c r="E4431" t="s">
        <v>19</v>
      </c>
      <c r="F4431" t="s">
        <v>33</v>
      </c>
      <c r="O4431">
        <v>2032</v>
      </c>
      <c r="P4431">
        <v>191.79186048</v>
      </c>
    </row>
    <row r="4432" spans="1:16" x14ac:dyDescent="0.3">
      <c r="A4432" t="str">
        <f t="shared" si="69"/>
        <v>PA|TotalCapacityAnnual|RE1|PWRSOLUPE|2032</v>
      </c>
      <c r="B4432" t="s">
        <v>44</v>
      </c>
      <c r="C4432" t="s">
        <v>45</v>
      </c>
      <c r="D4432" t="s">
        <v>38</v>
      </c>
      <c r="E4432" t="s">
        <v>19</v>
      </c>
      <c r="F4432" t="s">
        <v>34</v>
      </c>
      <c r="O4432">
        <v>2032</v>
      </c>
      <c r="P4432">
        <v>39.172600079999931</v>
      </c>
    </row>
    <row r="4433" spans="1:16" x14ac:dyDescent="0.3">
      <c r="A4433" t="str">
        <f t="shared" si="69"/>
        <v>PA|TotalCapacityAnnual|RE1|PWRSTD|2032</v>
      </c>
      <c r="B4433" t="s">
        <v>44</v>
      </c>
      <c r="C4433" t="s">
        <v>45</v>
      </c>
      <c r="D4433" t="s">
        <v>38</v>
      </c>
      <c r="E4433" t="s">
        <v>19</v>
      </c>
      <c r="F4433" t="s">
        <v>35</v>
      </c>
      <c r="O4433">
        <v>2032</v>
      </c>
      <c r="P4433">
        <v>8.163062064</v>
      </c>
    </row>
    <row r="4434" spans="1:16" x14ac:dyDescent="0.3">
      <c r="A4434" t="str">
        <f t="shared" si="69"/>
        <v>PA|TotalCapacityAnnual|RE1|PWRWNDOFS_FIX|2032</v>
      </c>
      <c r="B4434" t="s">
        <v>44</v>
      </c>
      <c r="C4434" t="s">
        <v>45</v>
      </c>
      <c r="D4434" t="s">
        <v>38</v>
      </c>
      <c r="E4434" t="s">
        <v>19</v>
      </c>
      <c r="F4434" t="s">
        <v>42</v>
      </c>
      <c r="O4434">
        <v>2032</v>
      </c>
      <c r="P4434">
        <v>1.752</v>
      </c>
    </row>
    <row r="4435" spans="1:16" x14ac:dyDescent="0.3">
      <c r="A4435" t="str">
        <f t="shared" si="69"/>
        <v>PA|TotalCapacityAnnual|RE1|PWRWNDONS|2032</v>
      </c>
      <c r="B4435" t="s">
        <v>44</v>
      </c>
      <c r="C4435" t="s">
        <v>45</v>
      </c>
      <c r="D4435" t="s">
        <v>38</v>
      </c>
      <c r="E4435" t="s">
        <v>19</v>
      </c>
      <c r="F4435" t="s">
        <v>36</v>
      </c>
      <c r="O4435">
        <v>2032</v>
      </c>
      <c r="P4435">
        <v>34.635085714285722</v>
      </c>
    </row>
    <row r="4436" spans="1:16" x14ac:dyDescent="0.3">
      <c r="A4436" t="str">
        <f t="shared" si="69"/>
        <v>PA|AccumulatedNewCapacity|RE1|PWRBGS|2033</v>
      </c>
      <c r="B4436" t="s">
        <v>44</v>
      </c>
      <c r="C4436" t="s">
        <v>45</v>
      </c>
      <c r="D4436" t="s">
        <v>18</v>
      </c>
      <c r="E4436" t="s">
        <v>19</v>
      </c>
      <c r="F4436" t="s">
        <v>20</v>
      </c>
      <c r="O4436">
        <v>2033</v>
      </c>
    </row>
    <row r="4437" spans="1:16" x14ac:dyDescent="0.3">
      <c r="A4437" t="str">
        <f t="shared" si="69"/>
        <v>PA|AccumulatedNewCapacity|RE1|PWRCOA|2033</v>
      </c>
      <c r="B4437" t="s">
        <v>44</v>
      </c>
      <c r="C4437" t="s">
        <v>45</v>
      </c>
      <c r="D4437" t="s">
        <v>18</v>
      </c>
      <c r="E4437" t="s">
        <v>19</v>
      </c>
      <c r="F4437" t="s">
        <v>21</v>
      </c>
      <c r="O4437">
        <v>2033</v>
      </c>
    </row>
    <row r="4438" spans="1:16" x14ac:dyDescent="0.3">
      <c r="A4438" t="str">
        <f t="shared" si="69"/>
        <v>PA|AccumulatedNewCapacity|RE1|PWRDSL|2033</v>
      </c>
      <c r="B4438" t="s">
        <v>44</v>
      </c>
      <c r="C4438" t="s">
        <v>45</v>
      </c>
      <c r="D4438" t="s">
        <v>18</v>
      </c>
      <c r="E4438" t="s">
        <v>19</v>
      </c>
      <c r="F4438" t="s">
        <v>22</v>
      </c>
      <c r="O4438">
        <v>2033</v>
      </c>
    </row>
    <row r="4439" spans="1:16" x14ac:dyDescent="0.3">
      <c r="A4439" t="str">
        <f t="shared" si="69"/>
        <v>PA|AccumulatedNewCapacity|RE1|PWRFOL|2033</v>
      </c>
      <c r="B4439" t="s">
        <v>44</v>
      </c>
      <c r="C4439" t="s">
        <v>45</v>
      </c>
      <c r="D4439" t="s">
        <v>18</v>
      </c>
      <c r="E4439" t="s">
        <v>19</v>
      </c>
      <c r="F4439" t="s">
        <v>23</v>
      </c>
      <c r="O4439">
        <v>2033</v>
      </c>
    </row>
    <row r="4440" spans="1:16" x14ac:dyDescent="0.3">
      <c r="A4440" t="str">
        <f t="shared" si="69"/>
        <v>PA|AccumulatedNewCapacity|RE1|PWRGEO|2033</v>
      </c>
      <c r="B4440" t="s">
        <v>44</v>
      </c>
      <c r="C4440" t="s">
        <v>45</v>
      </c>
      <c r="D4440" t="s">
        <v>18</v>
      </c>
      <c r="E4440" t="s">
        <v>19</v>
      </c>
      <c r="F4440" t="s">
        <v>46</v>
      </c>
      <c r="O4440">
        <v>2033</v>
      </c>
    </row>
    <row r="4441" spans="1:16" x14ac:dyDescent="0.3">
      <c r="A4441" t="str">
        <f t="shared" si="69"/>
        <v>PA|AccumulatedNewCapacity|RE1|PWRHYDDAM|2033</v>
      </c>
      <c r="B4441" t="s">
        <v>44</v>
      </c>
      <c r="C4441" t="s">
        <v>45</v>
      </c>
      <c r="D4441" t="s">
        <v>18</v>
      </c>
      <c r="E4441" t="s">
        <v>19</v>
      </c>
      <c r="F4441" t="s">
        <v>24</v>
      </c>
      <c r="O4441">
        <v>2033</v>
      </c>
      <c r="P4441">
        <v>37.840000000000003</v>
      </c>
    </row>
    <row r="4442" spans="1:16" x14ac:dyDescent="0.3">
      <c r="A4442" t="str">
        <f t="shared" si="69"/>
        <v>PA|AccumulatedNewCapacity|RE1|PWRHYDROR|2033</v>
      </c>
      <c r="B4442" t="s">
        <v>44</v>
      </c>
      <c r="C4442" t="s">
        <v>45</v>
      </c>
      <c r="D4442" t="s">
        <v>18</v>
      </c>
      <c r="E4442" t="s">
        <v>19</v>
      </c>
      <c r="F4442" t="s">
        <v>25</v>
      </c>
      <c r="O4442">
        <v>2033</v>
      </c>
    </row>
    <row r="4443" spans="1:16" x14ac:dyDescent="0.3">
      <c r="A4443" t="str">
        <f t="shared" si="69"/>
        <v>PA|AccumulatedNewCapacity|RE1|PWRHYDROR_NDC|2033</v>
      </c>
      <c r="B4443" t="s">
        <v>44</v>
      </c>
      <c r="C4443" t="s">
        <v>45</v>
      </c>
      <c r="D4443" t="s">
        <v>18</v>
      </c>
      <c r="E4443" t="s">
        <v>19</v>
      </c>
      <c r="F4443" t="s">
        <v>26</v>
      </c>
      <c r="O4443">
        <v>2033</v>
      </c>
    </row>
    <row r="4444" spans="1:16" x14ac:dyDescent="0.3">
      <c r="A4444" t="str">
        <f t="shared" si="69"/>
        <v>PA|AccumulatedNewCapacity|RE1|PWRJET|2033</v>
      </c>
      <c r="B4444" t="s">
        <v>44</v>
      </c>
      <c r="C4444" t="s">
        <v>45</v>
      </c>
      <c r="D4444" t="s">
        <v>18</v>
      </c>
      <c r="E4444" t="s">
        <v>19</v>
      </c>
      <c r="F4444" t="s">
        <v>27</v>
      </c>
      <c r="O4444">
        <v>2033</v>
      </c>
    </row>
    <row r="4445" spans="1:16" x14ac:dyDescent="0.3">
      <c r="A4445" t="str">
        <f t="shared" si="69"/>
        <v>PA|AccumulatedNewCapacity|RE1|PWRLPG|2033</v>
      </c>
      <c r="B4445" t="s">
        <v>44</v>
      </c>
      <c r="C4445" t="s">
        <v>45</v>
      </c>
      <c r="D4445" t="s">
        <v>18</v>
      </c>
      <c r="E4445" t="s">
        <v>19</v>
      </c>
      <c r="F4445" t="s">
        <v>28</v>
      </c>
      <c r="O4445">
        <v>2033</v>
      </c>
    </row>
    <row r="4446" spans="1:16" x14ac:dyDescent="0.3">
      <c r="A4446" t="str">
        <f t="shared" si="69"/>
        <v>PA|AccumulatedNewCapacity|RE1|PWRNGS_CC|2033</v>
      </c>
      <c r="B4446" t="s">
        <v>44</v>
      </c>
      <c r="C4446" t="s">
        <v>45</v>
      </c>
      <c r="D4446" t="s">
        <v>18</v>
      </c>
      <c r="E4446" t="s">
        <v>19</v>
      </c>
      <c r="F4446" t="s">
        <v>29</v>
      </c>
      <c r="O4446">
        <v>2033</v>
      </c>
    </row>
    <row r="4447" spans="1:16" x14ac:dyDescent="0.3">
      <c r="A4447" t="str">
        <f t="shared" si="69"/>
        <v>PA|AccumulatedNewCapacity|RE1|PWRNGS_CS|2033</v>
      </c>
      <c r="B4447" t="s">
        <v>44</v>
      </c>
      <c r="C4447" t="s">
        <v>45</v>
      </c>
      <c r="D4447" t="s">
        <v>18</v>
      </c>
      <c r="E4447" t="s">
        <v>19</v>
      </c>
      <c r="F4447" t="s">
        <v>30</v>
      </c>
      <c r="O4447">
        <v>2033</v>
      </c>
    </row>
    <row r="4448" spans="1:16" x14ac:dyDescent="0.3">
      <c r="A4448" t="str">
        <f t="shared" si="69"/>
        <v>PA|AccumulatedNewCapacity|RE1|PWRNUC|2033</v>
      </c>
      <c r="B4448" t="s">
        <v>44</v>
      </c>
      <c r="C4448" t="s">
        <v>45</v>
      </c>
      <c r="D4448" t="s">
        <v>18</v>
      </c>
      <c r="E4448" t="s">
        <v>19</v>
      </c>
      <c r="F4448" t="s">
        <v>47</v>
      </c>
      <c r="O4448">
        <v>2033</v>
      </c>
    </row>
    <row r="4449" spans="1:16" x14ac:dyDescent="0.3">
      <c r="A4449" t="str">
        <f t="shared" si="69"/>
        <v>PA|AccumulatedNewCapacity|RE1|PWRSOLRTP|2033</v>
      </c>
      <c r="B4449" t="s">
        <v>44</v>
      </c>
      <c r="C4449" t="s">
        <v>45</v>
      </c>
      <c r="D4449" t="s">
        <v>18</v>
      </c>
      <c r="E4449" t="s">
        <v>19</v>
      </c>
      <c r="F4449" t="s">
        <v>31</v>
      </c>
      <c r="O4449">
        <v>2033</v>
      </c>
      <c r="P4449">
        <v>98.141705770450244</v>
      </c>
    </row>
    <row r="4450" spans="1:16" x14ac:dyDescent="0.3">
      <c r="A4450" t="str">
        <f t="shared" si="69"/>
        <v>PA|AccumulatedNewCapacity|RE1|PWRSOLRTP_ZNI|2033</v>
      </c>
      <c r="B4450" t="s">
        <v>44</v>
      </c>
      <c r="C4450" t="s">
        <v>45</v>
      </c>
      <c r="D4450" t="s">
        <v>18</v>
      </c>
      <c r="E4450" t="s">
        <v>19</v>
      </c>
      <c r="F4450" t="s">
        <v>32</v>
      </c>
      <c r="O4450">
        <v>2033</v>
      </c>
    </row>
    <row r="4451" spans="1:16" x14ac:dyDescent="0.3">
      <c r="A4451" t="str">
        <f t="shared" si="69"/>
        <v>PA|AccumulatedNewCapacity|RE1|PWRSOLUGE|2033</v>
      </c>
      <c r="B4451" t="s">
        <v>44</v>
      </c>
      <c r="C4451" t="s">
        <v>45</v>
      </c>
      <c r="D4451" t="s">
        <v>18</v>
      </c>
      <c r="E4451" t="s">
        <v>19</v>
      </c>
      <c r="F4451" t="s">
        <v>33</v>
      </c>
      <c r="O4451">
        <v>2033</v>
      </c>
      <c r="P4451">
        <v>143.394192</v>
      </c>
    </row>
    <row r="4452" spans="1:16" x14ac:dyDescent="0.3">
      <c r="A4452" t="str">
        <f t="shared" si="69"/>
        <v>PA|AccumulatedNewCapacity|RE1|PWRSOLUPE|2033</v>
      </c>
      <c r="B4452" t="s">
        <v>44</v>
      </c>
      <c r="C4452" t="s">
        <v>45</v>
      </c>
      <c r="D4452" t="s">
        <v>18</v>
      </c>
      <c r="E4452" t="s">
        <v>19</v>
      </c>
      <c r="F4452" t="s">
        <v>34</v>
      </c>
      <c r="O4452">
        <v>2033</v>
      </c>
      <c r="P4452">
        <v>12.14419823999993</v>
      </c>
    </row>
    <row r="4453" spans="1:16" x14ac:dyDescent="0.3">
      <c r="A4453" t="str">
        <f t="shared" si="69"/>
        <v>PA|AccumulatedNewCapacity|RE1|PWRSTD|2033</v>
      </c>
      <c r="B4453" t="s">
        <v>44</v>
      </c>
      <c r="C4453" t="s">
        <v>45</v>
      </c>
      <c r="D4453" t="s">
        <v>18</v>
      </c>
      <c r="E4453" t="s">
        <v>19</v>
      </c>
      <c r="F4453" t="s">
        <v>35</v>
      </c>
      <c r="O4453">
        <v>2033</v>
      </c>
    </row>
    <row r="4454" spans="1:16" x14ac:dyDescent="0.3">
      <c r="A4454" t="str">
        <f t="shared" si="69"/>
        <v>PA|AccumulatedNewCapacity|RE1|PWRWNDOFS_FIX|2033</v>
      </c>
      <c r="B4454" t="s">
        <v>44</v>
      </c>
      <c r="C4454" t="s">
        <v>45</v>
      </c>
      <c r="D4454" t="s">
        <v>18</v>
      </c>
      <c r="E4454" t="s">
        <v>19</v>
      </c>
      <c r="F4454" t="s">
        <v>42</v>
      </c>
      <c r="O4454">
        <v>2033</v>
      </c>
      <c r="P4454">
        <v>3.504</v>
      </c>
    </row>
    <row r="4455" spans="1:16" x14ac:dyDescent="0.3">
      <c r="A4455" t="str">
        <f t="shared" si="69"/>
        <v>PA|AccumulatedNewCapacity|RE1|PWRWNDONS|2033</v>
      </c>
      <c r="B4455" t="s">
        <v>44</v>
      </c>
      <c r="C4455" t="s">
        <v>45</v>
      </c>
      <c r="D4455" t="s">
        <v>18</v>
      </c>
      <c r="E4455" t="s">
        <v>19</v>
      </c>
      <c r="F4455" t="s">
        <v>36</v>
      </c>
      <c r="O4455">
        <v>2033</v>
      </c>
      <c r="P4455">
        <v>33.266423314285717</v>
      </c>
    </row>
    <row r="4456" spans="1:16" x14ac:dyDescent="0.3">
      <c r="A4456" t="str">
        <f t="shared" si="69"/>
        <v>PA|NewCapacity|RE1|PWRBGS|2033</v>
      </c>
      <c r="B4456" t="s">
        <v>44</v>
      </c>
      <c r="C4456" t="s">
        <v>45</v>
      </c>
      <c r="D4456" t="s">
        <v>37</v>
      </c>
      <c r="E4456" t="s">
        <v>19</v>
      </c>
      <c r="F4456" t="s">
        <v>20</v>
      </c>
      <c r="O4456">
        <v>2033</v>
      </c>
    </row>
    <row r="4457" spans="1:16" x14ac:dyDescent="0.3">
      <c r="A4457" t="str">
        <f t="shared" si="69"/>
        <v>PA|NewCapacity|RE1|PWRCOA|2033</v>
      </c>
      <c r="B4457" t="s">
        <v>44</v>
      </c>
      <c r="C4457" t="s">
        <v>45</v>
      </c>
      <c r="D4457" t="s">
        <v>37</v>
      </c>
      <c r="E4457" t="s">
        <v>19</v>
      </c>
      <c r="F4457" t="s">
        <v>21</v>
      </c>
      <c r="O4457">
        <v>2033</v>
      </c>
    </row>
    <row r="4458" spans="1:16" x14ac:dyDescent="0.3">
      <c r="A4458" t="str">
        <f t="shared" si="69"/>
        <v>PA|NewCapacity|RE1|PWRDSL|2033</v>
      </c>
      <c r="B4458" t="s">
        <v>44</v>
      </c>
      <c r="C4458" t="s">
        <v>45</v>
      </c>
      <c r="D4458" t="s">
        <v>37</v>
      </c>
      <c r="E4458" t="s">
        <v>19</v>
      </c>
      <c r="F4458" t="s">
        <v>22</v>
      </c>
      <c r="O4458">
        <v>2033</v>
      </c>
    </row>
    <row r="4459" spans="1:16" x14ac:dyDescent="0.3">
      <c r="A4459" t="str">
        <f t="shared" si="69"/>
        <v>PA|NewCapacity|RE1|PWRFOL|2033</v>
      </c>
      <c r="B4459" t="s">
        <v>44</v>
      </c>
      <c r="C4459" t="s">
        <v>45</v>
      </c>
      <c r="D4459" t="s">
        <v>37</v>
      </c>
      <c r="E4459" t="s">
        <v>19</v>
      </c>
      <c r="F4459" t="s">
        <v>23</v>
      </c>
      <c r="O4459">
        <v>2033</v>
      </c>
    </row>
    <row r="4460" spans="1:16" x14ac:dyDescent="0.3">
      <c r="A4460" t="str">
        <f t="shared" si="69"/>
        <v>PA|NewCapacity|RE1|PWRGEO|2033</v>
      </c>
      <c r="B4460" t="s">
        <v>44</v>
      </c>
      <c r="C4460" t="s">
        <v>45</v>
      </c>
      <c r="D4460" t="s">
        <v>37</v>
      </c>
      <c r="E4460" t="s">
        <v>19</v>
      </c>
      <c r="F4460" t="s">
        <v>46</v>
      </c>
      <c r="O4460">
        <v>2033</v>
      </c>
    </row>
    <row r="4461" spans="1:16" x14ac:dyDescent="0.3">
      <c r="A4461" t="str">
        <f t="shared" si="69"/>
        <v>PA|NewCapacity|RE1|PWRHYDDAM|2033</v>
      </c>
      <c r="B4461" t="s">
        <v>44</v>
      </c>
      <c r="C4461" t="s">
        <v>45</v>
      </c>
      <c r="D4461" t="s">
        <v>37</v>
      </c>
      <c r="E4461" t="s">
        <v>19</v>
      </c>
      <c r="F4461" t="s">
        <v>24</v>
      </c>
      <c r="O4461">
        <v>2033</v>
      </c>
    </row>
    <row r="4462" spans="1:16" x14ac:dyDescent="0.3">
      <c r="A4462" t="str">
        <f t="shared" si="69"/>
        <v>PA|NewCapacity|RE1|PWRHYDROR|2033</v>
      </c>
      <c r="B4462" t="s">
        <v>44</v>
      </c>
      <c r="C4462" t="s">
        <v>45</v>
      </c>
      <c r="D4462" t="s">
        <v>37</v>
      </c>
      <c r="E4462" t="s">
        <v>19</v>
      </c>
      <c r="F4462" t="s">
        <v>25</v>
      </c>
      <c r="O4462">
        <v>2033</v>
      </c>
    </row>
    <row r="4463" spans="1:16" x14ac:dyDescent="0.3">
      <c r="A4463" t="str">
        <f t="shared" si="69"/>
        <v>PA|NewCapacity|RE1|PWRHYDROR_NDC|2033</v>
      </c>
      <c r="B4463" t="s">
        <v>44</v>
      </c>
      <c r="C4463" t="s">
        <v>45</v>
      </c>
      <c r="D4463" t="s">
        <v>37</v>
      </c>
      <c r="E4463" t="s">
        <v>19</v>
      </c>
      <c r="F4463" t="s">
        <v>26</v>
      </c>
      <c r="O4463">
        <v>2033</v>
      </c>
    </row>
    <row r="4464" spans="1:16" x14ac:dyDescent="0.3">
      <c r="A4464" t="str">
        <f t="shared" si="69"/>
        <v>PA|NewCapacity|RE1|PWRJET|2033</v>
      </c>
      <c r="B4464" t="s">
        <v>44</v>
      </c>
      <c r="C4464" t="s">
        <v>45</v>
      </c>
      <c r="D4464" t="s">
        <v>37</v>
      </c>
      <c r="E4464" t="s">
        <v>19</v>
      </c>
      <c r="F4464" t="s">
        <v>27</v>
      </c>
      <c r="O4464">
        <v>2033</v>
      </c>
    </row>
    <row r="4465" spans="1:16" x14ac:dyDescent="0.3">
      <c r="A4465" t="str">
        <f t="shared" si="69"/>
        <v>PA|NewCapacity|RE1|PWRLPG|2033</v>
      </c>
      <c r="B4465" t="s">
        <v>44</v>
      </c>
      <c r="C4465" t="s">
        <v>45</v>
      </c>
      <c r="D4465" t="s">
        <v>37</v>
      </c>
      <c r="E4465" t="s">
        <v>19</v>
      </c>
      <c r="F4465" t="s">
        <v>28</v>
      </c>
      <c r="O4465">
        <v>2033</v>
      </c>
    </row>
    <row r="4466" spans="1:16" x14ac:dyDescent="0.3">
      <c r="A4466" t="str">
        <f t="shared" si="69"/>
        <v>PA|NewCapacity|RE1|PWRNGS_CC|2033</v>
      </c>
      <c r="B4466" t="s">
        <v>44</v>
      </c>
      <c r="C4466" t="s">
        <v>45</v>
      </c>
      <c r="D4466" t="s">
        <v>37</v>
      </c>
      <c r="E4466" t="s">
        <v>19</v>
      </c>
      <c r="F4466" t="s">
        <v>29</v>
      </c>
      <c r="O4466">
        <v>2033</v>
      </c>
    </row>
    <row r="4467" spans="1:16" x14ac:dyDescent="0.3">
      <c r="A4467" t="str">
        <f t="shared" si="69"/>
        <v>PA|NewCapacity|RE1|PWRNGS_CS|2033</v>
      </c>
      <c r="B4467" t="s">
        <v>44</v>
      </c>
      <c r="C4467" t="s">
        <v>45</v>
      </c>
      <c r="D4467" t="s">
        <v>37</v>
      </c>
      <c r="E4467" t="s">
        <v>19</v>
      </c>
      <c r="F4467" t="s">
        <v>30</v>
      </c>
      <c r="O4467">
        <v>2033</v>
      </c>
    </row>
    <row r="4468" spans="1:16" x14ac:dyDescent="0.3">
      <c r="A4468" t="str">
        <f t="shared" si="69"/>
        <v>PA|NewCapacity|RE1|PWRNUC|2033</v>
      </c>
      <c r="B4468" t="s">
        <v>44</v>
      </c>
      <c r="C4468" t="s">
        <v>45</v>
      </c>
      <c r="D4468" t="s">
        <v>37</v>
      </c>
      <c r="E4468" t="s">
        <v>19</v>
      </c>
      <c r="F4468" t="s">
        <v>47</v>
      </c>
      <c r="O4468">
        <v>2033</v>
      </c>
    </row>
    <row r="4469" spans="1:16" x14ac:dyDescent="0.3">
      <c r="A4469" t="str">
        <f t="shared" si="69"/>
        <v>PA|NewCapacity|RE1|PWRSOLRTP|2033</v>
      </c>
      <c r="B4469" t="s">
        <v>44</v>
      </c>
      <c r="C4469" t="s">
        <v>45</v>
      </c>
      <c r="D4469" t="s">
        <v>37</v>
      </c>
      <c r="E4469" t="s">
        <v>19</v>
      </c>
      <c r="F4469" t="s">
        <v>31</v>
      </c>
      <c r="O4469">
        <v>2033</v>
      </c>
      <c r="P4469">
        <v>10.14584654407102</v>
      </c>
    </row>
    <row r="4470" spans="1:16" x14ac:dyDescent="0.3">
      <c r="A4470" t="str">
        <f t="shared" si="69"/>
        <v>PA|NewCapacity|RE1|PWRSOLRTP_ZNI|2033</v>
      </c>
      <c r="B4470" t="s">
        <v>44</v>
      </c>
      <c r="C4470" t="s">
        <v>45</v>
      </c>
      <c r="D4470" t="s">
        <v>37</v>
      </c>
      <c r="E4470" t="s">
        <v>19</v>
      </c>
      <c r="F4470" t="s">
        <v>32</v>
      </c>
      <c r="O4470">
        <v>2033</v>
      </c>
    </row>
    <row r="4471" spans="1:16" x14ac:dyDescent="0.3">
      <c r="A4471" t="str">
        <f t="shared" si="69"/>
        <v>PA|NewCapacity|RE1|PWRSOLUGE|2033</v>
      </c>
      <c r="B4471" t="s">
        <v>44</v>
      </c>
      <c r="C4471" t="s">
        <v>45</v>
      </c>
      <c r="D4471" t="s">
        <v>37</v>
      </c>
      <c r="E4471" t="s">
        <v>19</v>
      </c>
      <c r="F4471" t="s">
        <v>33</v>
      </c>
      <c r="O4471">
        <v>2033</v>
      </c>
    </row>
    <row r="4472" spans="1:16" x14ac:dyDescent="0.3">
      <c r="A4472" t="str">
        <f t="shared" si="69"/>
        <v>PA|NewCapacity|RE1|PWRSOLUPE|2033</v>
      </c>
      <c r="B4472" t="s">
        <v>44</v>
      </c>
      <c r="C4472" t="s">
        <v>45</v>
      </c>
      <c r="D4472" t="s">
        <v>37</v>
      </c>
      <c r="E4472" t="s">
        <v>19</v>
      </c>
      <c r="F4472" t="s">
        <v>34</v>
      </c>
      <c r="O4472">
        <v>2033</v>
      </c>
    </row>
    <row r="4473" spans="1:16" x14ac:dyDescent="0.3">
      <c r="A4473" t="str">
        <f t="shared" si="69"/>
        <v>PA|NewCapacity|RE1|PWRSTD|2033</v>
      </c>
      <c r="B4473" t="s">
        <v>44</v>
      </c>
      <c r="C4473" t="s">
        <v>45</v>
      </c>
      <c r="D4473" t="s">
        <v>37</v>
      </c>
      <c r="E4473" t="s">
        <v>19</v>
      </c>
      <c r="F4473" t="s">
        <v>35</v>
      </c>
      <c r="O4473">
        <v>2033</v>
      </c>
    </row>
    <row r="4474" spans="1:16" x14ac:dyDescent="0.3">
      <c r="A4474" t="str">
        <f t="shared" si="69"/>
        <v>PA|NewCapacity|RE1|PWRWNDOFS_FIX|2033</v>
      </c>
      <c r="B4474" t="s">
        <v>44</v>
      </c>
      <c r="C4474" t="s">
        <v>45</v>
      </c>
      <c r="D4474" t="s">
        <v>37</v>
      </c>
      <c r="E4474" t="s">
        <v>19</v>
      </c>
      <c r="F4474" t="s">
        <v>42</v>
      </c>
      <c r="O4474">
        <v>2033</v>
      </c>
      <c r="P4474">
        <v>1.752</v>
      </c>
    </row>
    <row r="4475" spans="1:16" x14ac:dyDescent="0.3">
      <c r="A4475" t="str">
        <f t="shared" si="69"/>
        <v>PA|NewCapacity|RE1|PWRWNDONS|2033</v>
      </c>
      <c r="B4475" t="s">
        <v>44</v>
      </c>
      <c r="C4475" t="s">
        <v>45</v>
      </c>
      <c r="D4475" t="s">
        <v>37</v>
      </c>
      <c r="E4475" t="s">
        <v>19</v>
      </c>
      <c r="F4475" t="s">
        <v>36</v>
      </c>
      <c r="O4475">
        <v>2033</v>
      </c>
    </row>
    <row r="4476" spans="1:16" x14ac:dyDescent="0.3">
      <c r="A4476" t="str">
        <f t="shared" si="69"/>
        <v>PA|TotalCapacityAnnual|RE1|PWRBGS|2033</v>
      </c>
      <c r="B4476" t="s">
        <v>44</v>
      </c>
      <c r="C4476" t="s">
        <v>45</v>
      </c>
      <c r="D4476" t="s">
        <v>38</v>
      </c>
      <c r="E4476" t="s">
        <v>19</v>
      </c>
      <c r="F4476" t="s">
        <v>20</v>
      </c>
      <c r="O4476">
        <v>2033</v>
      </c>
      <c r="P4476">
        <v>2.5488587520000001E-2</v>
      </c>
    </row>
    <row r="4477" spans="1:16" x14ac:dyDescent="0.3">
      <c r="A4477" t="str">
        <f t="shared" si="69"/>
        <v>PA|TotalCapacityAnnual|RE1|PWRCOA|2033</v>
      </c>
      <c r="B4477" t="s">
        <v>44</v>
      </c>
      <c r="C4477" t="s">
        <v>45</v>
      </c>
      <c r="D4477" t="s">
        <v>38</v>
      </c>
      <c r="E4477" t="s">
        <v>19</v>
      </c>
      <c r="F4477" t="s">
        <v>21</v>
      </c>
      <c r="O4477">
        <v>2033</v>
      </c>
      <c r="P4477">
        <v>13.87584</v>
      </c>
    </row>
    <row r="4478" spans="1:16" x14ac:dyDescent="0.3">
      <c r="A4478" t="str">
        <f t="shared" si="69"/>
        <v>PA|TotalCapacityAnnual|RE1|PWRDSL|2033</v>
      </c>
      <c r="B4478" t="s">
        <v>44</v>
      </c>
      <c r="C4478" t="s">
        <v>45</v>
      </c>
      <c r="D4478" t="s">
        <v>38</v>
      </c>
      <c r="E4478" t="s">
        <v>19</v>
      </c>
      <c r="F4478" t="s">
        <v>22</v>
      </c>
      <c r="O4478">
        <v>2033</v>
      </c>
      <c r="P4478">
        <v>24.944976</v>
      </c>
    </row>
    <row r="4479" spans="1:16" x14ac:dyDescent="0.3">
      <c r="A4479" t="str">
        <f t="shared" si="69"/>
        <v>PA|TotalCapacityAnnual|RE1|PWRFOL|2033</v>
      </c>
      <c r="B4479" t="s">
        <v>44</v>
      </c>
      <c r="C4479" t="s">
        <v>45</v>
      </c>
      <c r="D4479" t="s">
        <v>38</v>
      </c>
      <c r="E4479" t="s">
        <v>19</v>
      </c>
      <c r="F4479" t="s">
        <v>23</v>
      </c>
      <c r="O4479">
        <v>2033</v>
      </c>
      <c r="P4479">
        <v>8.3885759999999987</v>
      </c>
    </row>
    <row r="4480" spans="1:16" x14ac:dyDescent="0.3">
      <c r="A4480" t="str">
        <f t="shared" si="69"/>
        <v>PA|TotalCapacityAnnual|RE1|PWRGEO|2033</v>
      </c>
      <c r="B4480" t="s">
        <v>44</v>
      </c>
      <c r="C4480" t="s">
        <v>45</v>
      </c>
      <c r="D4480" t="s">
        <v>38</v>
      </c>
      <c r="E4480" t="s">
        <v>19</v>
      </c>
      <c r="F4480" t="s">
        <v>46</v>
      </c>
      <c r="O4480">
        <v>2033</v>
      </c>
    </row>
    <row r="4481" spans="1:16" x14ac:dyDescent="0.3">
      <c r="A4481" t="str">
        <f t="shared" si="69"/>
        <v>PA|TotalCapacityAnnual|RE1|PWRHYDDAM|2033</v>
      </c>
      <c r="B4481" t="s">
        <v>44</v>
      </c>
      <c r="C4481" t="s">
        <v>45</v>
      </c>
      <c r="D4481" t="s">
        <v>38</v>
      </c>
      <c r="E4481" t="s">
        <v>19</v>
      </c>
      <c r="F4481" t="s">
        <v>24</v>
      </c>
      <c r="O4481">
        <v>2033</v>
      </c>
      <c r="P4481">
        <v>440.49164800000011</v>
      </c>
    </row>
    <row r="4482" spans="1:16" x14ac:dyDescent="0.3">
      <c r="A4482" t="str">
        <f t="shared" ref="A4482:A4545" si="70">B4482&amp;"|"&amp;D4482&amp;"|"&amp;E4482&amp;"|"&amp;F4482&amp;"|"&amp;O4482</f>
        <v>PA|TotalCapacityAnnual|RE1|PWRHYDROR|2033</v>
      </c>
      <c r="B4482" t="s">
        <v>44</v>
      </c>
      <c r="C4482" t="s">
        <v>45</v>
      </c>
      <c r="D4482" t="s">
        <v>38</v>
      </c>
      <c r="E4482" t="s">
        <v>19</v>
      </c>
      <c r="F4482" t="s">
        <v>25</v>
      </c>
      <c r="O4482">
        <v>2033</v>
      </c>
      <c r="P4482">
        <v>21.097584000000001</v>
      </c>
    </row>
    <row r="4483" spans="1:16" x14ac:dyDescent="0.3">
      <c r="A4483" t="str">
        <f t="shared" si="70"/>
        <v>PA|TotalCapacityAnnual|RE1|PWRHYDROR_NDC|2033</v>
      </c>
      <c r="B4483" t="s">
        <v>44</v>
      </c>
      <c r="C4483" t="s">
        <v>45</v>
      </c>
      <c r="D4483" t="s">
        <v>38</v>
      </c>
      <c r="E4483" t="s">
        <v>19</v>
      </c>
      <c r="F4483" t="s">
        <v>26</v>
      </c>
      <c r="O4483">
        <v>2033</v>
      </c>
      <c r="P4483">
        <v>29.725108271999989</v>
      </c>
    </row>
    <row r="4484" spans="1:16" x14ac:dyDescent="0.3">
      <c r="A4484" t="str">
        <f t="shared" si="70"/>
        <v>PA|TotalCapacityAnnual|RE1|PWRJET|2033</v>
      </c>
      <c r="B4484" t="s">
        <v>44</v>
      </c>
      <c r="C4484" t="s">
        <v>45</v>
      </c>
      <c r="D4484" t="s">
        <v>38</v>
      </c>
      <c r="E4484" t="s">
        <v>19</v>
      </c>
      <c r="F4484" t="s">
        <v>27</v>
      </c>
      <c r="O4484">
        <v>2033</v>
      </c>
      <c r="P4484">
        <v>1.5768</v>
      </c>
    </row>
    <row r="4485" spans="1:16" x14ac:dyDescent="0.3">
      <c r="A4485" t="str">
        <f t="shared" si="70"/>
        <v>PA|TotalCapacityAnnual|RE1|PWRLPG|2033</v>
      </c>
      <c r="B4485" t="s">
        <v>44</v>
      </c>
      <c r="C4485" t="s">
        <v>45</v>
      </c>
      <c r="D4485" t="s">
        <v>38</v>
      </c>
      <c r="E4485" t="s">
        <v>19</v>
      </c>
      <c r="F4485" t="s">
        <v>28</v>
      </c>
      <c r="O4485">
        <v>2033</v>
      </c>
      <c r="P4485">
        <v>1.639872</v>
      </c>
    </row>
    <row r="4486" spans="1:16" x14ac:dyDescent="0.3">
      <c r="A4486" t="str">
        <f t="shared" si="70"/>
        <v>PA|TotalCapacityAnnual|RE1|PWRNGS_CC|2033</v>
      </c>
      <c r="B4486" t="s">
        <v>44</v>
      </c>
      <c r="C4486" t="s">
        <v>45</v>
      </c>
      <c r="D4486" t="s">
        <v>38</v>
      </c>
      <c r="E4486" t="s">
        <v>19</v>
      </c>
      <c r="F4486" t="s">
        <v>29</v>
      </c>
      <c r="O4486">
        <v>2033</v>
      </c>
      <c r="P4486">
        <v>70.104500000000002</v>
      </c>
    </row>
    <row r="4487" spans="1:16" x14ac:dyDescent="0.3">
      <c r="A4487" t="str">
        <f t="shared" si="70"/>
        <v>PA|TotalCapacityAnnual|RE1|PWRNGS_CS|2033</v>
      </c>
      <c r="B4487" t="s">
        <v>44</v>
      </c>
      <c r="C4487" t="s">
        <v>45</v>
      </c>
      <c r="D4487" t="s">
        <v>38</v>
      </c>
      <c r="E4487" t="s">
        <v>19</v>
      </c>
      <c r="F4487" t="s">
        <v>30</v>
      </c>
      <c r="O4487">
        <v>2033</v>
      </c>
      <c r="P4487">
        <v>23.084351999999999</v>
      </c>
    </row>
    <row r="4488" spans="1:16" x14ac:dyDescent="0.3">
      <c r="A4488" t="str">
        <f t="shared" si="70"/>
        <v>PA|TotalCapacityAnnual|RE1|PWRNUC|2033</v>
      </c>
      <c r="B4488" t="s">
        <v>44</v>
      </c>
      <c r="C4488" t="s">
        <v>45</v>
      </c>
      <c r="D4488" t="s">
        <v>38</v>
      </c>
      <c r="E4488" t="s">
        <v>19</v>
      </c>
      <c r="F4488" t="s">
        <v>47</v>
      </c>
      <c r="O4488">
        <v>2033</v>
      </c>
    </row>
    <row r="4489" spans="1:16" x14ac:dyDescent="0.3">
      <c r="A4489" t="str">
        <f t="shared" si="70"/>
        <v>PA|TotalCapacityAnnual|RE1|PWRSOLRTP|2033</v>
      </c>
      <c r="B4489" t="s">
        <v>44</v>
      </c>
      <c r="C4489" t="s">
        <v>45</v>
      </c>
      <c r="D4489" t="s">
        <v>38</v>
      </c>
      <c r="E4489" t="s">
        <v>19</v>
      </c>
      <c r="F4489" t="s">
        <v>31</v>
      </c>
      <c r="O4489">
        <v>2033</v>
      </c>
      <c r="P4489">
        <v>121.4258057704502</v>
      </c>
    </row>
    <row r="4490" spans="1:16" x14ac:dyDescent="0.3">
      <c r="A4490" t="str">
        <f t="shared" si="70"/>
        <v>PA|TotalCapacityAnnual|RE1|PWRSOLRTP_ZNI|2033</v>
      </c>
      <c r="B4490" t="s">
        <v>44</v>
      </c>
      <c r="C4490" t="s">
        <v>45</v>
      </c>
      <c r="D4490" t="s">
        <v>38</v>
      </c>
      <c r="E4490" t="s">
        <v>19</v>
      </c>
      <c r="F4490" t="s">
        <v>32</v>
      </c>
      <c r="O4490">
        <v>2033</v>
      </c>
      <c r="P4490">
        <v>0.46074095999999998</v>
      </c>
    </row>
    <row r="4491" spans="1:16" x14ac:dyDescent="0.3">
      <c r="A4491" t="str">
        <f t="shared" si="70"/>
        <v>PA|TotalCapacityAnnual|RE1|PWRSOLUGE|2033</v>
      </c>
      <c r="B4491" t="s">
        <v>44</v>
      </c>
      <c r="C4491" t="s">
        <v>45</v>
      </c>
      <c r="D4491" t="s">
        <v>38</v>
      </c>
      <c r="E4491" t="s">
        <v>19</v>
      </c>
      <c r="F4491" t="s">
        <v>33</v>
      </c>
      <c r="O4491">
        <v>2033</v>
      </c>
      <c r="P4491">
        <v>191.79186048</v>
      </c>
    </row>
    <row r="4492" spans="1:16" x14ac:dyDescent="0.3">
      <c r="A4492" t="str">
        <f t="shared" si="70"/>
        <v>PA|TotalCapacityAnnual|RE1|PWRSOLUPE|2033</v>
      </c>
      <c r="B4492" t="s">
        <v>44</v>
      </c>
      <c r="C4492" t="s">
        <v>45</v>
      </c>
      <c r="D4492" t="s">
        <v>38</v>
      </c>
      <c r="E4492" t="s">
        <v>19</v>
      </c>
      <c r="F4492" t="s">
        <v>34</v>
      </c>
      <c r="O4492">
        <v>2033</v>
      </c>
      <c r="P4492">
        <v>39.172600079999931</v>
      </c>
    </row>
    <row r="4493" spans="1:16" x14ac:dyDescent="0.3">
      <c r="A4493" t="str">
        <f t="shared" si="70"/>
        <v>PA|TotalCapacityAnnual|RE1|PWRSTD|2033</v>
      </c>
      <c r="B4493" t="s">
        <v>44</v>
      </c>
      <c r="C4493" t="s">
        <v>45</v>
      </c>
      <c r="D4493" t="s">
        <v>38</v>
      </c>
      <c r="E4493" t="s">
        <v>19</v>
      </c>
      <c r="F4493" t="s">
        <v>35</v>
      </c>
      <c r="O4493">
        <v>2033</v>
      </c>
      <c r="P4493">
        <v>8.163062064</v>
      </c>
    </row>
    <row r="4494" spans="1:16" x14ac:dyDescent="0.3">
      <c r="A4494" t="str">
        <f t="shared" si="70"/>
        <v>PA|TotalCapacityAnnual|RE1|PWRWNDOFS_FIX|2033</v>
      </c>
      <c r="B4494" t="s">
        <v>44</v>
      </c>
      <c r="C4494" t="s">
        <v>45</v>
      </c>
      <c r="D4494" t="s">
        <v>38</v>
      </c>
      <c r="E4494" t="s">
        <v>19</v>
      </c>
      <c r="F4494" t="s">
        <v>42</v>
      </c>
      <c r="O4494">
        <v>2033</v>
      </c>
      <c r="P4494">
        <v>3.504</v>
      </c>
    </row>
    <row r="4495" spans="1:16" x14ac:dyDescent="0.3">
      <c r="A4495" t="str">
        <f t="shared" si="70"/>
        <v>PA|TotalCapacityAnnual|RE1|PWRWNDONS|2033</v>
      </c>
      <c r="B4495" t="s">
        <v>44</v>
      </c>
      <c r="C4495" t="s">
        <v>45</v>
      </c>
      <c r="D4495" t="s">
        <v>38</v>
      </c>
      <c r="E4495" t="s">
        <v>19</v>
      </c>
      <c r="F4495" t="s">
        <v>36</v>
      </c>
      <c r="O4495">
        <v>2033</v>
      </c>
      <c r="P4495">
        <v>34.635085714285722</v>
      </c>
    </row>
    <row r="4496" spans="1:16" x14ac:dyDescent="0.3">
      <c r="A4496" t="str">
        <f t="shared" si="70"/>
        <v>PA|AccumulatedNewCapacity|RE1|PWRBGS|2034</v>
      </c>
      <c r="B4496" t="s">
        <v>44</v>
      </c>
      <c r="C4496" t="s">
        <v>45</v>
      </c>
      <c r="D4496" t="s">
        <v>18</v>
      </c>
      <c r="E4496" t="s">
        <v>19</v>
      </c>
      <c r="F4496" t="s">
        <v>20</v>
      </c>
      <c r="O4496">
        <v>2034</v>
      </c>
    </row>
    <row r="4497" spans="1:16" x14ac:dyDescent="0.3">
      <c r="A4497" t="str">
        <f t="shared" si="70"/>
        <v>PA|AccumulatedNewCapacity|RE1|PWRCOA|2034</v>
      </c>
      <c r="B4497" t="s">
        <v>44</v>
      </c>
      <c r="C4497" t="s">
        <v>45</v>
      </c>
      <c r="D4497" t="s">
        <v>18</v>
      </c>
      <c r="E4497" t="s">
        <v>19</v>
      </c>
      <c r="F4497" t="s">
        <v>21</v>
      </c>
      <c r="O4497">
        <v>2034</v>
      </c>
    </row>
    <row r="4498" spans="1:16" x14ac:dyDescent="0.3">
      <c r="A4498" t="str">
        <f t="shared" si="70"/>
        <v>PA|AccumulatedNewCapacity|RE1|PWRDSL|2034</v>
      </c>
      <c r="B4498" t="s">
        <v>44</v>
      </c>
      <c r="C4498" t="s">
        <v>45</v>
      </c>
      <c r="D4498" t="s">
        <v>18</v>
      </c>
      <c r="E4498" t="s">
        <v>19</v>
      </c>
      <c r="F4498" t="s">
        <v>22</v>
      </c>
      <c r="O4498">
        <v>2034</v>
      </c>
    </row>
    <row r="4499" spans="1:16" x14ac:dyDescent="0.3">
      <c r="A4499" t="str">
        <f t="shared" si="70"/>
        <v>PA|AccumulatedNewCapacity|RE1|PWRFOL|2034</v>
      </c>
      <c r="B4499" t="s">
        <v>44</v>
      </c>
      <c r="C4499" t="s">
        <v>45</v>
      </c>
      <c r="D4499" t="s">
        <v>18</v>
      </c>
      <c r="E4499" t="s">
        <v>19</v>
      </c>
      <c r="F4499" t="s">
        <v>23</v>
      </c>
      <c r="O4499">
        <v>2034</v>
      </c>
    </row>
    <row r="4500" spans="1:16" x14ac:dyDescent="0.3">
      <c r="A4500" t="str">
        <f t="shared" si="70"/>
        <v>PA|AccumulatedNewCapacity|RE1|PWRGEO|2034</v>
      </c>
      <c r="B4500" t="s">
        <v>44</v>
      </c>
      <c r="C4500" t="s">
        <v>45</v>
      </c>
      <c r="D4500" t="s">
        <v>18</v>
      </c>
      <c r="E4500" t="s">
        <v>19</v>
      </c>
      <c r="F4500" t="s">
        <v>46</v>
      </c>
      <c r="O4500">
        <v>2034</v>
      </c>
    </row>
    <row r="4501" spans="1:16" x14ac:dyDescent="0.3">
      <c r="A4501" t="str">
        <f t="shared" si="70"/>
        <v>PA|AccumulatedNewCapacity|RE1|PWRHYDDAM|2034</v>
      </c>
      <c r="B4501" t="s">
        <v>44</v>
      </c>
      <c r="C4501" t="s">
        <v>45</v>
      </c>
      <c r="D4501" t="s">
        <v>18</v>
      </c>
      <c r="E4501" t="s">
        <v>19</v>
      </c>
      <c r="F4501" t="s">
        <v>24</v>
      </c>
      <c r="O4501">
        <v>2034</v>
      </c>
      <c r="P4501">
        <v>37.840000000000003</v>
      </c>
    </row>
    <row r="4502" spans="1:16" x14ac:dyDescent="0.3">
      <c r="A4502" t="str">
        <f t="shared" si="70"/>
        <v>PA|AccumulatedNewCapacity|RE1|PWRHYDROR|2034</v>
      </c>
      <c r="B4502" t="s">
        <v>44</v>
      </c>
      <c r="C4502" t="s">
        <v>45</v>
      </c>
      <c r="D4502" t="s">
        <v>18</v>
      </c>
      <c r="E4502" t="s">
        <v>19</v>
      </c>
      <c r="F4502" t="s">
        <v>25</v>
      </c>
      <c r="O4502">
        <v>2034</v>
      </c>
    </row>
    <row r="4503" spans="1:16" x14ac:dyDescent="0.3">
      <c r="A4503" t="str">
        <f t="shared" si="70"/>
        <v>PA|AccumulatedNewCapacity|RE1|PWRHYDROR_NDC|2034</v>
      </c>
      <c r="B4503" t="s">
        <v>44</v>
      </c>
      <c r="C4503" t="s">
        <v>45</v>
      </c>
      <c r="D4503" t="s">
        <v>18</v>
      </c>
      <c r="E4503" t="s">
        <v>19</v>
      </c>
      <c r="F4503" t="s">
        <v>26</v>
      </c>
      <c r="O4503">
        <v>2034</v>
      </c>
    </row>
    <row r="4504" spans="1:16" x14ac:dyDescent="0.3">
      <c r="A4504" t="str">
        <f t="shared" si="70"/>
        <v>PA|AccumulatedNewCapacity|RE1|PWRJET|2034</v>
      </c>
      <c r="B4504" t="s">
        <v>44</v>
      </c>
      <c r="C4504" t="s">
        <v>45</v>
      </c>
      <c r="D4504" t="s">
        <v>18</v>
      </c>
      <c r="E4504" t="s">
        <v>19</v>
      </c>
      <c r="F4504" t="s">
        <v>27</v>
      </c>
      <c r="O4504">
        <v>2034</v>
      </c>
    </row>
    <row r="4505" spans="1:16" x14ac:dyDescent="0.3">
      <c r="A4505" t="str">
        <f t="shared" si="70"/>
        <v>PA|AccumulatedNewCapacity|RE1|PWRLPG|2034</v>
      </c>
      <c r="B4505" t="s">
        <v>44</v>
      </c>
      <c r="C4505" t="s">
        <v>45</v>
      </c>
      <c r="D4505" t="s">
        <v>18</v>
      </c>
      <c r="E4505" t="s">
        <v>19</v>
      </c>
      <c r="F4505" t="s">
        <v>28</v>
      </c>
      <c r="O4505">
        <v>2034</v>
      </c>
    </row>
    <row r="4506" spans="1:16" x14ac:dyDescent="0.3">
      <c r="A4506" t="str">
        <f t="shared" si="70"/>
        <v>PA|AccumulatedNewCapacity|RE1|PWRNGS_CC|2034</v>
      </c>
      <c r="B4506" t="s">
        <v>44</v>
      </c>
      <c r="C4506" t="s">
        <v>45</v>
      </c>
      <c r="D4506" t="s">
        <v>18</v>
      </c>
      <c r="E4506" t="s">
        <v>19</v>
      </c>
      <c r="F4506" t="s">
        <v>29</v>
      </c>
      <c r="O4506">
        <v>2034</v>
      </c>
    </row>
    <row r="4507" spans="1:16" x14ac:dyDescent="0.3">
      <c r="A4507" t="str">
        <f t="shared" si="70"/>
        <v>PA|AccumulatedNewCapacity|RE1|PWRNGS_CS|2034</v>
      </c>
      <c r="B4507" t="s">
        <v>44</v>
      </c>
      <c r="C4507" t="s">
        <v>45</v>
      </c>
      <c r="D4507" t="s">
        <v>18</v>
      </c>
      <c r="E4507" t="s">
        <v>19</v>
      </c>
      <c r="F4507" t="s">
        <v>30</v>
      </c>
      <c r="O4507">
        <v>2034</v>
      </c>
    </row>
    <row r="4508" spans="1:16" x14ac:dyDescent="0.3">
      <c r="A4508" t="str">
        <f t="shared" si="70"/>
        <v>PA|AccumulatedNewCapacity|RE1|PWRNUC|2034</v>
      </c>
      <c r="B4508" t="s">
        <v>44</v>
      </c>
      <c r="C4508" t="s">
        <v>45</v>
      </c>
      <c r="D4508" t="s">
        <v>18</v>
      </c>
      <c r="E4508" t="s">
        <v>19</v>
      </c>
      <c r="F4508" t="s">
        <v>47</v>
      </c>
      <c r="O4508">
        <v>2034</v>
      </c>
    </row>
    <row r="4509" spans="1:16" x14ac:dyDescent="0.3">
      <c r="A4509" t="str">
        <f t="shared" si="70"/>
        <v>PA|AccumulatedNewCapacity|RE1|PWRSOLRTP|2034</v>
      </c>
      <c r="B4509" t="s">
        <v>44</v>
      </c>
      <c r="C4509" t="s">
        <v>45</v>
      </c>
      <c r="D4509" t="s">
        <v>18</v>
      </c>
      <c r="E4509" t="s">
        <v>19</v>
      </c>
      <c r="F4509" t="s">
        <v>31</v>
      </c>
      <c r="O4509">
        <v>2034</v>
      </c>
      <c r="P4509">
        <v>107.0193214965124</v>
      </c>
    </row>
    <row r="4510" spans="1:16" x14ac:dyDescent="0.3">
      <c r="A4510" t="str">
        <f t="shared" si="70"/>
        <v>PA|AccumulatedNewCapacity|RE1|PWRSOLRTP_ZNI|2034</v>
      </c>
      <c r="B4510" t="s">
        <v>44</v>
      </c>
      <c r="C4510" t="s">
        <v>45</v>
      </c>
      <c r="D4510" t="s">
        <v>18</v>
      </c>
      <c r="E4510" t="s">
        <v>19</v>
      </c>
      <c r="F4510" t="s">
        <v>32</v>
      </c>
      <c r="O4510">
        <v>2034</v>
      </c>
    </row>
    <row r="4511" spans="1:16" x14ac:dyDescent="0.3">
      <c r="A4511" t="str">
        <f t="shared" si="70"/>
        <v>PA|AccumulatedNewCapacity|RE1|PWRSOLUGE|2034</v>
      </c>
      <c r="B4511" t="s">
        <v>44</v>
      </c>
      <c r="C4511" t="s">
        <v>45</v>
      </c>
      <c r="D4511" t="s">
        <v>18</v>
      </c>
      <c r="E4511" t="s">
        <v>19</v>
      </c>
      <c r="F4511" t="s">
        <v>33</v>
      </c>
      <c r="O4511">
        <v>2034</v>
      </c>
      <c r="P4511">
        <v>143.394192</v>
      </c>
    </row>
    <row r="4512" spans="1:16" x14ac:dyDescent="0.3">
      <c r="A4512" t="str">
        <f t="shared" si="70"/>
        <v>PA|AccumulatedNewCapacity|RE1|PWRSOLUPE|2034</v>
      </c>
      <c r="B4512" t="s">
        <v>44</v>
      </c>
      <c r="C4512" t="s">
        <v>45</v>
      </c>
      <c r="D4512" t="s">
        <v>18</v>
      </c>
      <c r="E4512" t="s">
        <v>19</v>
      </c>
      <c r="F4512" t="s">
        <v>34</v>
      </c>
      <c r="O4512">
        <v>2034</v>
      </c>
      <c r="P4512">
        <v>12.14419823999993</v>
      </c>
    </row>
    <row r="4513" spans="1:16" x14ac:dyDescent="0.3">
      <c r="A4513" t="str">
        <f t="shared" si="70"/>
        <v>PA|AccumulatedNewCapacity|RE1|PWRSTD|2034</v>
      </c>
      <c r="B4513" t="s">
        <v>44</v>
      </c>
      <c r="C4513" t="s">
        <v>45</v>
      </c>
      <c r="D4513" t="s">
        <v>18</v>
      </c>
      <c r="E4513" t="s">
        <v>19</v>
      </c>
      <c r="F4513" t="s">
        <v>35</v>
      </c>
      <c r="O4513">
        <v>2034</v>
      </c>
    </row>
    <row r="4514" spans="1:16" x14ac:dyDescent="0.3">
      <c r="A4514" t="str">
        <f t="shared" si="70"/>
        <v>PA|AccumulatedNewCapacity|RE1|PWRWNDOFS_FIX|2034</v>
      </c>
      <c r="B4514" t="s">
        <v>44</v>
      </c>
      <c r="C4514" t="s">
        <v>45</v>
      </c>
      <c r="D4514" t="s">
        <v>18</v>
      </c>
      <c r="E4514" t="s">
        <v>19</v>
      </c>
      <c r="F4514" t="s">
        <v>42</v>
      </c>
      <c r="O4514">
        <v>2034</v>
      </c>
      <c r="P4514">
        <v>5.2560000000000002</v>
      </c>
    </row>
    <row r="4515" spans="1:16" x14ac:dyDescent="0.3">
      <c r="A4515" t="str">
        <f t="shared" si="70"/>
        <v>PA|AccumulatedNewCapacity|RE1|PWRWNDONS|2034</v>
      </c>
      <c r="B4515" t="s">
        <v>44</v>
      </c>
      <c r="C4515" t="s">
        <v>45</v>
      </c>
      <c r="D4515" t="s">
        <v>18</v>
      </c>
      <c r="E4515" t="s">
        <v>19</v>
      </c>
      <c r="F4515" t="s">
        <v>36</v>
      </c>
      <c r="O4515">
        <v>2034</v>
      </c>
      <c r="P4515">
        <v>64.536926395785827</v>
      </c>
    </row>
    <row r="4516" spans="1:16" x14ac:dyDescent="0.3">
      <c r="A4516" t="str">
        <f t="shared" si="70"/>
        <v>PA|NewCapacity|RE1|PWRBGS|2034</v>
      </c>
      <c r="B4516" t="s">
        <v>44</v>
      </c>
      <c r="C4516" t="s">
        <v>45</v>
      </c>
      <c r="D4516" t="s">
        <v>37</v>
      </c>
      <c r="E4516" t="s">
        <v>19</v>
      </c>
      <c r="F4516" t="s">
        <v>20</v>
      </c>
      <c r="O4516">
        <v>2034</v>
      </c>
    </row>
    <row r="4517" spans="1:16" x14ac:dyDescent="0.3">
      <c r="A4517" t="str">
        <f t="shared" si="70"/>
        <v>PA|NewCapacity|RE1|PWRCOA|2034</v>
      </c>
      <c r="B4517" t="s">
        <v>44</v>
      </c>
      <c r="C4517" t="s">
        <v>45</v>
      </c>
      <c r="D4517" t="s">
        <v>37</v>
      </c>
      <c r="E4517" t="s">
        <v>19</v>
      </c>
      <c r="F4517" t="s">
        <v>21</v>
      </c>
      <c r="O4517">
        <v>2034</v>
      </c>
    </row>
    <row r="4518" spans="1:16" x14ac:dyDescent="0.3">
      <c r="A4518" t="str">
        <f t="shared" si="70"/>
        <v>PA|NewCapacity|RE1|PWRDSL|2034</v>
      </c>
      <c r="B4518" t="s">
        <v>44</v>
      </c>
      <c r="C4518" t="s">
        <v>45</v>
      </c>
      <c r="D4518" t="s">
        <v>37</v>
      </c>
      <c r="E4518" t="s">
        <v>19</v>
      </c>
      <c r="F4518" t="s">
        <v>22</v>
      </c>
      <c r="O4518">
        <v>2034</v>
      </c>
    </row>
    <row r="4519" spans="1:16" x14ac:dyDescent="0.3">
      <c r="A4519" t="str">
        <f t="shared" si="70"/>
        <v>PA|NewCapacity|RE1|PWRFOL|2034</v>
      </c>
      <c r="B4519" t="s">
        <v>44</v>
      </c>
      <c r="C4519" t="s">
        <v>45</v>
      </c>
      <c r="D4519" t="s">
        <v>37</v>
      </c>
      <c r="E4519" t="s">
        <v>19</v>
      </c>
      <c r="F4519" t="s">
        <v>23</v>
      </c>
      <c r="O4519">
        <v>2034</v>
      </c>
    </row>
    <row r="4520" spans="1:16" x14ac:dyDescent="0.3">
      <c r="A4520" t="str">
        <f t="shared" si="70"/>
        <v>PA|NewCapacity|RE1|PWRGEO|2034</v>
      </c>
      <c r="B4520" t="s">
        <v>44</v>
      </c>
      <c r="C4520" t="s">
        <v>45</v>
      </c>
      <c r="D4520" t="s">
        <v>37</v>
      </c>
      <c r="E4520" t="s">
        <v>19</v>
      </c>
      <c r="F4520" t="s">
        <v>46</v>
      </c>
      <c r="O4520">
        <v>2034</v>
      </c>
    </row>
    <row r="4521" spans="1:16" x14ac:dyDescent="0.3">
      <c r="A4521" t="str">
        <f t="shared" si="70"/>
        <v>PA|NewCapacity|RE1|PWRHYDDAM|2034</v>
      </c>
      <c r="B4521" t="s">
        <v>44</v>
      </c>
      <c r="C4521" t="s">
        <v>45</v>
      </c>
      <c r="D4521" t="s">
        <v>37</v>
      </c>
      <c r="E4521" t="s">
        <v>19</v>
      </c>
      <c r="F4521" t="s">
        <v>24</v>
      </c>
      <c r="O4521">
        <v>2034</v>
      </c>
    </row>
    <row r="4522" spans="1:16" x14ac:dyDescent="0.3">
      <c r="A4522" t="str">
        <f t="shared" si="70"/>
        <v>PA|NewCapacity|RE1|PWRHYDROR|2034</v>
      </c>
      <c r="B4522" t="s">
        <v>44</v>
      </c>
      <c r="C4522" t="s">
        <v>45</v>
      </c>
      <c r="D4522" t="s">
        <v>37</v>
      </c>
      <c r="E4522" t="s">
        <v>19</v>
      </c>
      <c r="F4522" t="s">
        <v>25</v>
      </c>
      <c r="O4522">
        <v>2034</v>
      </c>
    </row>
    <row r="4523" spans="1:16" x14ac:dyDescent="0.3">
      <c r="A4523" t="str">
        <f t="shared" si="70"/>
        <v>PA|NewCapacity|RE1|PWRHYDROR_NDC|2034</v>
      </c>
      <c r="B4523" t="s">
        <v>44</v>
      </c>
      <c r="C4523" t="s">
        <v>45</v>
      </c>
      <c r="D4523" t="s">
        <v>37</v>
      </c>
      <c r="E4523" t="s">
        <v>19</v>
      </c>
      <c r="F4523" t="s">
        <v>26</v>
      </c>
      <c r="O4523">
        <v>2034</v>
      </c>
    </row>
    <row r="4524" spans="1:16" x14ac:dyDescent="0.3">
      <c r="A4524" t="str">
        <f t="shared" si="70"/>
        <v>PA|NewCapacity|RE1|PWRJET|2034</v>
      </c>
      <c r="B4524" t="s">
        <v>44</v>
      </c>
      <c r="C4524" t="s">
        <v>45</v>
      </c>
      <c r="D4524" t="s">
        <v>37</v>
      </c>
      <c r="E4524" t="s">
        <v>19</v>
      </c>
      <c r="F4524" t="s">
        <v>27</v>
      </c>
      <c r="O4524">
        <v>2034</v>
      </c>
    </row>
    <row r="4525" spans="1:16" x14ac:dyDescent="0.3">
      <c r="A4525" t="str">
        <f t="shared" si="70"/>
        <v>PA|NewCapacity|RE1|PWRLPG|2034</v>
      </c>
      <c r="B4525" t="s">
        <v>44</v>
      </c>
      <c r="C4525" t="s">
        <v>45</v>
      </c>
      <c r="D4525" t="s">
        <v>37</v>
      </c>
      <c r="E4525" t="s">
        <v>19</v>
      </c>
      <c r="F4525" t="s">
        <v>28</v>
      </c>
      <c r="O4525">
        <v>2034</v>
      </c>
    </row>
    <row r="4526" spans="1:16" x14ac:dyDescent="0.3">
      <c r="A4526" t="str">
        <f t="shared" si="70"/>
        <v>PA|NewCapacity|RE1|PWRNGS_CC|2034</v>
      </c>
      <c r="B4526" t="s">
        <v>44</v>
      </c>
      <c r="C4526" t="s">
        <v>45</v>
      </c>
      <c r="D4526" t="s">
        <v>37</v>
      </c>
      <c r="E4526" t="s">
        <v>19</v>
      </c>
      <c r="F4526" t="s">
        <v>29</v>
      </c>
      <c r="O4526">
        <v>2034</v>
      </c>
    </row>
    <row r="4527" spans="1:16" x14ac:dyDescent="0.3">
      <c r="A4527" t="str">
        <f t="shared" si="70"/>
        <v>PA|NewCapacity|RE1|PWRNGS_CS|2034</v>
      </c>
      <c r="B4527" t="s">
        <v>44</v>
      </c>
      <c r="C4527" t="s">
        <v>45</v>
      </c>
      <c r="D4527" t="s">
        <v>37</v>
      </c>
      <c r="E4527" t="s">
        <v>19</v>
      </c>
      <c r="F4527" t="s">
        <v>30</v>
      </c>
      <c r="O4527">
        <v>2034</v>
      </c>
    </row>
    <row r="4528" spans="1:16" x14ac:dyDescent="0.3">
      <c r="A4528" t="str">
        <f t="shared" si="70"/>
        <v>PA|NewCapacity|RE1|PWRNUC|2034</v>
      </c>
      <c r="B4528" t="s">
        <v>44</v>
      </c>
      <c r="C4528" t="s">
        <v>45</v>
      </c>
      <c r="D4528" t="s">
        <v>37</v>
      </c>
      <c r="E4528" t="s">
        <v>19</v>
      </c>
      <c r="F4528" t="s">
        <v>47</v>
      </c>
      <c r="O4528">
        <v>2034</v>
      </c>
    </row>
    <row r="4529" spans="1:16" x14ac:dyDescent="0.3">
      <c r="A4529" t="str">
        <f t="shared" si="70"/>
        <v>PA|NewCapacity|RE1|PWRSOLRTP|2034</v>
      </c>
      <c r="B4529" t="s">
        <v>44</v>
      </c>
      <c r="C4529" t="s">
        <v>45</v>
      </c>
      <c r="D4529" t="s">
        <v>37</v>
      </c>
      <c r="E4529" t="s">
        <v>19</v>
      </c>
      <c r="F4529" t="s">
        <v>31</v>
      </c>
      <c r="O4529">
        <v>2034</v>
      </c>
      <c r="P4529">
        <v>8.8776157260621442</v>
      </c>
    </row>
    <row r="4530" spans="1:16" x14ac:dyDescent="0.3">
      <c r="A4530" t="str">
        <f t="shared" si="70"/>
        <v>PA|NewCapacity|RE1|PWRSOLRTP_ZNI|2034</v>
      </c>
      <c r="B4530" t="s">
        <v>44</v>
      </c>
      <c r="C4530" t="s">
        <v>45</v>
      </c>
      <c r="D4530" t="s">
        <v>37</v>
      </c>
      <c r="E4530" t="s">
        <v>19</v>
      </c>
      <c r="F4530" t="s">
        <v>32</v>
      </c>
      <c r="O4530">
        <v>2034</v>
      </c>
    </row>
    <row r="4531" spans="1:16" x14ac:dyDescent="0.3">
      <c r="A4531" t="str">
        <f t="shared" si="70"/>
        <v>PA|NewCapacity|RE1|PWRSOLUGE|2034</v>
      </c>
      <c r="B4531" t="s">
        <v>44</v>
      </c>
      <c r="C4531" t="s">
        <v>45</v>
      </c>
      <c r="D4531" t="s">
        <v>37</v>
      </c>
      <c r="E4531" t="s">
        <v>19</v>
      </c>
      <c r="F4531" t="s">
        <v>33</v>
      </c>
      <c r="O4531">
        <v>2034</v>
      </c>
    </row>
    <row r="4532" spans="1:16" x14ac:dyDescent="0.3">
      <c r="A4532" t="str">
        <f t="shared" si="70"/>
        <v>PA|NewCapacity|RE1|PWRSOLUPE|2034</v>
      </c>
      <c r="B4532" t="s">
        <v>44</v>
      </c>
      <c r="C4532" t="s">
        <v>45</v>
      </c>
      <c r="D4532" t="s">
        <v>37</v>
      </c>
      <c r="E4532" t="s">
        <v>19</v>
      </c>
      <c r="F4532" t="s">
        <v>34</v>
      </c>
      <c r="O4532">
        <v>2034</v>
      </c>
    </row>
    <row r="4533" spans="1:16" x14ac:dyDescent="0.3">
      <c r="A4533" t="str">
        <f t="shared" si="70"/>
        <v>PA|NewCapacity|RE1|PWRSTD|2034</v>
      </c>
      <c r="B4533" t="s">
        <v>44</v>
      </c>
      <c r="C4533" t="s">
        <v>45</v>
      </c>
      <c r="D4533" t="s">
        <v>37</v>
      </c>
      <c r="E4533" t="s">
        <v>19</v>
      </c>
      <c r="F4533" t="s">
        <v>35</v>
      </c>
      <c r="O4533">
        <v>2034</v>
      </c>
    </row>
    <row r="4534" spans="1:16" x14ac:dyDescent="0.3">
      <c r="A4534" t="str">
        <f t="shared" si="70"/>
        <v>PA|NewCapacity|RE1|PWRWNDOFS_FIX|2034</v>
      </c>
      <c r="B4534" t="s">
        <v>44</v>
      </c>
      <c r="C4534" t="s">
        <v>45</v>
      </c>
      <c r="D4534" t="s">
        <v>37</v>
      </c>
      <c r="E4534" t="s">
        <v>19</v>
      </c>
      <c r="F4534" t="s">
        <v>42</v>
      </c>
      <c r="O4534">
        <v>2034</v>
      </c>
      <c r="P4534">
        <v>1.752</v>
      </c>
    </row>
    <row r="4535" spans="1:16" x14ac:dyDescent="0.3">
      <c r="A4535" t="str">
        <f t="shared" si="70"/>
        <v>PA|NewCapacity|RE1|PWRWNDONS|2034</v>
      </c>
      <c r="B4535" t="s">
        <v>44</v>
      </c>
      <c r="C4535" t="s">
        <v>45</v>
      </c>
      <c r="D4535" t="s">
        <v>37</v>
      </c>
      <c r="E4535" t="s">
        <v>19</v>
      </c>
      <c r="F4535" t="s">
        <v>36</v>
      </c>
      <c r="O4535">
        <v>2034</v>
      </c>
      <c r="P4535">
        <v>31.270503081500099</v>
      </c>
    </row>
    <row r="4536" spans="1:16" x14ac:dyDescent="0.3">
      <c r="A4536" t="str">
        <f t="shared" si="70"/>
        <v>PA|TotalCapacityAnnual|RE1|PWRBGS|2034</v>
      </c>
      <c r="B4536" t="s">
        <v>44</v>
      </c>
      <c r="C4536" t="s">
        <v>45</v>
      </c>
      <c r="D4536" t="s">
        <v>38</v>
      </c>
      <c r="E4536" t="s">
        <v>19</v>
      </c>
      <c r="F4536" t="s">
        <v>20</v>
      </c>
      <c r="O4536">
        <v>2034</v>
      </c>
      <c r="P4536">
        <v>2.5488587520000001E-2</v>
      </c>
    </row>
    <row r="4537" spans="1:16" x14ac:dyDescent="0.3">
      <c r="A4537" t="str">
        <f t="shared" si="70"/>
        <v>PA|TotalCapacityAnnual|RE1|PWRCOA|2034</v>
      </c>
      <c r="B4537" t="s">
        <v>44</v>
      </c>
      <c r="C4537" t="s">
        <v>45</v>
      </c>
      <c r="D4537" t="s">
        <v>38</v>
      </c>
      <c r="E4537" t="s">
        <v>19</v>
      </c>
      <c r="F4537" t="s">
        <v>21</v>
      </c>
      <c r="O4537">
        <v>2034</v>
      </c>
      <c r="P4537">
        <v>13.87584</v>
      </c>
    </row>
    <row r="4538" spans="1:16" x14ac:dyDescent="0.3">
      <c r="A4538" t="str">
        <f t="shared" si="70"/>
        <v>PA|TotalCapacityAnnual|RE1|PWRDSL|2034</v>
      </c>
      <c r="B4538" t="s">
        <v>44</v>
      </c>
      <c r="C4538" t="s">
        <v>45</v>
      </c>
      <c r="D4538" t="s">
        <v>38</v>
      </c>
      <c r="E4538" t="s">
        <v>19</v>
      </c>
      <c r="F4538" t="s">
        <v>22</v>
      </c>
      <c r="O4538">
        <v>2034</v>
      </c>
      <c r="P4538">
        <v>24.944976</v>
      </c>
    </row>
    <row r="4539" spans="1:16" x14ac:dyDescent="0.3">
      <c r="A4539" t="str">
        <f t="shared" si="70"/>
        <v>PA|TotalCapacityAnnual|RE1|PWRFOL|2034</v>
      </c>
      <c r="B4539" t="s">
        <v>44</v>
      </c>
      <c r="C4539" t="s">
        <v>45</v>
      </c>
      <c r="D4539" t="s">
        <v>38</v>
      </c>
      <c r="E4539" t="s">
        <v>19</v>
      </c>
      <c r="F4539" t="s">
        <v>23</v>
      </c>
      <c r="O4539">
        <v>2034</v>
      </c>
      <c r="P4539">
        <v>8.3885759999999987</v>
      </c>
    </row>
    <row r="4540" spans="1:16" x14ac:dyDescent="0.3">
      <c r="A4540" t="str">
        <f t="shared" si="70"/>
        <v>PA|TotalCapacityAnnual|RE1|PWRGEO|2034</v>
      </c>
      <c r="B4540" t="s">
        <v>44</v>
      </c>
      <c r="C4540" t="s">
        <v>45</v>
      </c>
      <c r="D4540" t="s">
        <v>38</v>
      </c>
      <c r="E4540" t="s">
        <v>19</v>
      </c>
      <c r="F4540" t="s">
        <v>46</v>
      </c>
      <c r="O4540">
        <v>2034</v>
      </c>
    </row>
    <row r="4541" spans="1:16" x14ac:dyDescent="0.3">
      <c r="A4541" t="str">
        <f t="shared" si="70"/>
        <v>PA|TotalCapacityAnnual|RE1|PWRHYDDAM|2034</v>
      </c>
      <c r="B4541" t="s">
        <v>44</v>
      </c>
      <c r="C4541" t="s">
        <v>45</v>
      </c>
      <c r="D4541" t="s">
        <v>38</v>
      </c>
      <c r="E4541" t="s">
        <v>19</v>
      </c>
      <c r="F4541" t="s">
        <v>24</v>
      </c>
      <c r="O4541">
        <v>2034</v>
      </c>
      <c r="P4541">
        <v>440.49164800000011</v>
      </c>
    </row>
    <row r="4542" spans="1:16" x14ac:dyDescent="0.3">
      <c r="A4542" t="str">
        <f t="shared" si="70"/>
        <v>PA|TotalCapacityAnnual|RE1|PWRHYDROR|2034</v>
      </c>
      <c r="B4542" t="s">
        <v>44</v>
      </c>
      <c r="C4542" t="s">
        <v>45</v>
      </c>
      <c r="D4542" t="s">
        <v>38</v>
      </c>
      <c r="E4542" t="s">
        <v>19</v>
      </c>
      <c r="F4542" t="s">
        <v>25</v>
      </c>
      <c r="O4542">
        <v>2034</v>
      </c>
      <c r="P4542">
        <v>21.097584000000001</v>
      </c>
    </row>
    <row r="4543" spans="1:16" x14ac:dyDescent="0.3">
      <c r="A4543" t="str">
        <f t="shared" si="70"/>
        <v>PA|TotalCapacityAnnual|RE1|PWRHYDROR_NDC|2034</v>
      </c>
      <c r="B4543" t="s">
        <v>44</v>
      </c>
      <c r="C4543" t="s">
        <v>45</v>
      </c>
      <c r="D4543" t="s">
        <v>38</v>
      </c>
      <c r="E4543" t="s">
        <v>19</v>
      </c>
      <c r="F4543" t="s">
        <v>26</v>
      </c>
      <c r="O4543">
        <v>2034</v>
      </c>
      <c r="P4543">
        <v>29.725108271999989</v>
      </c>
    </row>
    <row r="4544" spans="1:16" x14ac:dyDescent="0.3">
      <c r="A4544" t="str">
        <f t="shared" si="70"/>
        <v>PA|TotalCapacityAnnual|RE1|PWRJET|2034</v>
      </c>
      <c r="B4544" t="s">
        <v>44</v>
      </c>
      <c r="C4544" t="s">
        <v>45</v>
      </c>
      <c r="D4544" t="s">
        <v>38</v>
      </c>
      <c r="E4544" t="s">
        <v>19</v>
      </c>
      <c r="F4544" t="s">
        <v>27</v>
      </c>
      <c r="O4544">
        <v>2034</v>
      </c>
      <c r="P4544">
        <v>1.5768</v>
      </c>
    </row>
    <row r="4545" spans="1:16" x14ac:dyDescent="0.3">
      <c r="A4545" t="str">
        <f t="shared" si="70"/>
        <v>PA|TotalCapacityAnnual|RE1|PWRLPG|2034</v>
      </c>
      <c r="B4545" t="s">
        <v>44</v>
      </c>
      <c r="C4545" t="s">
        <v>45</v>
      </c>
      <c r="D4545" t="s">
        <v>38</v>
      </c>
      <c r="E4545" t="s">
        <v>19</v>
      </c>
      <c r="F4545" t="s">
        <v>28</v>
      </c>
      <c r="O4545">
        <v>2034</v>
      </c>
      <c r="P4545">
        <v>1.639872</v>
      </c>
    </row>
    <row r="4546" spans="1:16" x14ac:dyDescent="0.3">
      <c r="A4546" t="str">
        <f t="shared" ref="A4546:A4609" si="71">B4546&amp;"|"&amp;D4546&amp;"|"&amp;E4546&amp;"|"&amp;F4546&amp;"|"&amp;O4546</f>
        <v>PA|TotalCapacityAnnual|RE1|PWRNGS_CC|2034</v>
      </c>
      <c r="B4546" t="s">
        <v>44</v>
      </c>
      <c r="C4546" t="s">
        <v>45</v>
      </c>
      <c r="D4546" t="s">
        <v>38</v>
      </c>
      <c r="E4546" t="s">
        <v>19</v>
      </c>
      <c r="F4546" t="s">
        <v>29</v>
      </c>
      <c r="O4546">
        <v>2034</v>
      </c>
      <c r="P4546">
        <v>70.104500000000002</v>
      </c>
    </row>
    <row r="4547" spans="1:16" x14ac:dyDescent="0.3">
      <c r="A4547" t="str">
        <f t="shared" si="71"/>
        <v>PA|TotalCapacityAnnual|RE1|PWRNGS_CS|2034</v>
      </c>
      <c r="B4547" t="s">
        <v>44</v>
      </c>
      <c r="C4547" t="s">
        <v>45</v>
      </c>
      <c r="D4547" t="s">
        <v>38</v>
      </c>
      <c r="E4547" t="s">
        <v>19</v>
      </c>
      <c r="F4547" t="s">
        <v>30</v>
      </c>
      <c r="O4547">
        <v>2034</v>
      </c>
      <c r="P4547">
        <v>23.084351999999999</v>
      </c>
    </row>
    <row r="4548" spans="1:16" x14ac:dyDescent="0.3">
      <c r="A4548" t="str">
        <f t="shared" si="71"/>
        <v>PA|TotalCapacityAnnual|RE1|PWRNUC|2034</v>
      </c>
      <c r="B4548" t="s">
        <v>44</v>
      </c>
      <c r="C4548" t="s">
        <v>45</v>
      </c>
      <c r="D4548" t="s">
        <v>38</v>
      </c>
      <c r="E4548" t="s">
        <v>19</v>
      </c>
      <c r="F4548" t="s">
        <v>47</v>
      </c>
      <c r="O4548">
        <v>2034</v>
      </c>
    </row>
    <row r="4549" spans="1:16" x14ac:dyDescent="0.3">
      <c r="A4549" t="str">
        <f t="shared" si="71"/>
        <v>PA|TotalCapacityAnnual|RE1|PWRSOLRTP|2034</v>
      </c>
      <c r="B4549" t="s">
        <v>44</v>
      </c>
      <c r="C4549" t="s">
        <v>45</v>
      </c>
      <c r="D4549" t="s">
        <v>38</v>
      </c>
      <c r="E4549" t="s">
        <v>19</v>
      </c>
      <c r="F4549" t="s">
        <v>31</v>
      </c>
      <c r="O4549">
        <v>2034</v>
      </c>
      <c r="P4549">
        <v>130.30342149651241</v>
      </c>
    </row>
    <row r="4550" spans="1:16" x14ac:dyDescent="0.3">
      <c r="A4550" t="str">
        <f t="shared" si="71"/>
        <v>PA|TotalCapacityAnnual|RE1|PWRSOLRTP_ZNI|2034</v>
      </c>
      <c r="B4550" t="s">
        <v>44</v>
      </c>
      <c r="C4550" t="s">
        <v>45</v>
      </c>
      <c r="D4550" t="s">
        <v>38</v>
      </c>
      <c r="E4550" t="s">
        <v>19</v>
      </c>
      <c r="F4550" t="s">
        <v>32</v>
      </c>
      <c r="O4550">
        <v>2034</v>
      </c>
      <c r="P4550">
        <v>0.46074095999999998</v>
      </c>
    </row>
    <row r="4551" spans="1:16" x14ac:dyDescent="0.3">
      <c r="A4551" t="str">
        <f t="shared" si="71"/>
        <v>PA|TotalCapacityAnnual|RE1|PWRSOLUGE|2034</v>
      </c>
      <c r="B4551" t="s">
        <v>44</v>
      </c>
      <c r="C4551" t="s">
        <v>45</v>
      </c>
      <c r="D4551" t="s">
        <v>38</v>
      </c>
      <c r="E4551" t="s">
        <v>19</v>
      </c>
      <c r="F4551" t="s">
        <v>33</v>
      </c>
      <c r="O4551">
        <v>2034</v>
      </c>
      <c r="P4551">
        <v>191.79186048</v>
      </c>
    </row>
    <row r="4552" spans="1:16" x14ac:dyDescent="0.3">
      <c r="A4552" t="str">
        <f t="shared" si="71"/>
        <v>PA|TotalCapacityAnnual|RE1|PWRSOLUPE|2034</v>
      </c>
      <c r="B4552" t="s">
        <v>44</v>
      </c>
      <c r="C4552" t="s">
        <v>45</v>
      </c>
      <c r="D4552" t="s">
        <v>38</v>
      </c>
      <c r="E4552" t="s">
        <v>19</v>
      </c>
      <c r="F4552" t="s">
        <v>34</v>
      </c>
      <c r="O4552">
        <v>2034</v>
      </c>
      <c r="P4552">
        <v>39.172600079999931</v>
      </c>
    </row>
    <row r="4553" spans="1:16" x14ac:dyDescent="0.3">
      <c r="A4553" t="str">
        <f t="shared" si="71"/>
        <v>PA|TotalCapacityAnnual|RE1|PWRSTD|2034</v>
      </c>
      <c r="B4553" t="s">
        <v>44</v>
      </c>
      <c r="C4553" t="s">
        <v>45</v>
      </c>
      <c r="D4553" t="s">
        <v>38</v>
      </c>
      <c r="E4553" t="s">
        <v>19</v>
      </c>
      <c r="F4553" t="s">
        <v>35</v>
      </c>
      <c r="O4553">
        <v>2034</v>
      </c>
      <c r="P4553">
        <v>8.163062064</v>
      </c>
    </row>
    <row r="4554" spans="1:16" x14ac:dyDescent="0.3">
      <c r="A4554" t="str">
        <f t="shared" si="71"/>
        <v>PA|TotalCapacityAnnual|RE1|PWRWNDOFS_FIX|2034</v>
      </c>
      <c r="B4554" t="s">
        <v>44</v>
      </c>
      <c r="C4554" t="s">
        <v>45</v>
      </c>
      <c r="D4554" t="s">
        <v>38</v>
      </c>
      <c r="E4554" t="s">
        <v>19</v>
      </c>
      <c r="F4554" t="s">
        <v>42</v>
      </c>
      <c r="O4554">
        <v>2034</v>
      </c>
      <c r="P4554">
        <v>5.2560000000000002</v>
      </c>
    </row>
    <row r="4555" spans="1:16" x14ac:dyDescent="0.3">
      <c r="A4555" t="str">
        <f t="shared" si="71"/>
        <v>PA|TotalCapacityAnnual|RE1|PWRWNDONS|2034</v>
      </c>
      <c r="B4555" t="s">
        <v>44</v>
      </c>
      <c r="C4555" t="s">
        <v>45</v>
      </c>
      <c r="D4555" t="s">
        <v>38</v>
      </c>
      <c r="E4555" t="s">
        <v>19</v>
      </c>
      <c r="F4555" t="s">
        <v>36</v>
      </c>
      <c r="O4555">
        <v>2034</v>
      </c>
      <c r="P4555">
        <v>65.905588795785832</v>
      </c>
    </row>
    <row r="4556" spans="1:16" x14ac:dyDescent="0.3">
      <c r="A4556" t="str">
        <f t="shared" si="71"/>
        <v>PA|AccumulatedNewCapacity|RE1|PWRBGS|2035</v>
      </c>
      <c r="B4556" t="s">
        <v>44</v>
      </c>
      <c r="C4556" t="s">
        <v>45</v>
      </c>
      <c r="D4556" t="s">
        <v>18</v>
      </c>
      <c r="E4556" t="s">
        <v>19</v>
      </c>
      <c r="F4556" t="s">
        <v>20</v>
      </c>
      <c r="O4556">
        <v>2035</v>
      </c>
    </row>
    <row r="4557" spans="1:16" x14ac:dyDescent="0.3">
      <c r="A4557" t="str">
        <f t="shared" si="71"/>
        <v>PA|AccumulatedNewCapacity|RE1|PWRCOA|2035</v>
      </c>
      <c r="B4557" t="s">
        <v>44</v>
      </c>
      <c r="C4557" t="s">
        <v>45</v>
      </c>
      <c r="D4557" t="s">
        <v>18</v>
      </c>
      <c r="E4557" t="s">
        <v>19</v>
      </c>
      <c r="F4557" t="s">
        <v>21</v>
      </c>
      <c r="O4557">
        <v>2035</v>
      </c>
    </row>
    <row r="4558" spans="1:16" x14ac:dyDescent="0.3">
      <c r="A4558" t="str">
        <f t="shared" si="71"/>
        <v>PA|AccumulatedNewCapacity|RE1|PWRDSL|2035</v>
      </c>
      <c r="B4558" t="s">
        <v>44</v>
      </c>
      <c r="C4558" t="s">
        <v>45</v>
      </c>
      <c r="D4558" t="s">
        <v>18</v>
      </c>
      <c r="E4558" t="s">
        <v>19</v>
      </c>
      <c r="F4558" t="s">
        <v>22</v>
      </c>
      <c r="O4558">
        <v>2035</v>
      </c>
    </row>
    <row r="4559" spans="1:16" x14ac:dyDescent="0.3">
      <c r="A4559" t="str">
        <f t="shared" si="71"/>
        <v>PA|AccumulatedNewCapacity|RE1|PWRFOL|2035</v>
      </c>
      <c r="B4559" t="s">
        <v>44</v>
      </c>
      <c r="C4559" t="s">
        <v>45</v>
      </c>
      <c r="D4559" t="s">
        <v>18</v>
      </c>
      <c r="E4559" t="s">
        <v>19</v>
      </c>
      <c r="F4559" t="s">
        <v>23</v>
      </c>
      <c r="O4559">
        <v>2035</v>
      </c>
    </row>
    <row r="4560" spans="1:16" x14ac:dyDescent="0.3">
      <c r="A4560" t="str">
        <f t="shared" si="71"/>
        <v>PA|AccumulatedNewCapacity|RE1|PWRGEO|2035</v>
      </c>
      <c r="B4560" t="s">
        <v>44</v>
      </c>
      <c r="C4560" t="s">
        <v>45</v>
      </c>
      <c r="D4560" t="s">
        <v>18</v>
      </c>
      <c r="E4560" t="s">
        <v>19</v>
      </c>
      <c r="F4560" t="s">
        <v>46</v>
      </c>
      <c r="O4560">
        <v>2035</v>
      </c>
    </row>
    <row r="4561" spans="1:16" x14ac:dyDescent="0.3">
      <c r="A4561" t="str">
        <f t="shared" si="71"/>
        <v>PA|AccumulatedNewCapacity|RE1|PWRHYDDAM|2035</v>
      </c>
      <c r="B4561" t="s">
        <v>44</v>
      </c>
      <c r="C4561" t="s">
        <v>45</v>
      </c>
      <c r="D4561" t="s">
        <v>18</v>
      </c>
      <c r="E4561" t="s">
        <v>19</v>
      </c>
      <c r="F4561" t="s">
        <v>24</v>
      </c>
      <c r="O4561">
        <v>2035</v>
      </c>
      <c r="P4561">
        <v>37.840000000000003</v>
      </c>
    </row>
    <row r="4562" spans="1:16" x14ac:dyDescent="0.3">
      <c r="A4562" t="str">
        <f t="shared" si="71"/>
        <v>PA|AccumulatedNewCapacity|RE1|PWRHYDROR|2035</v>
      </c>
      <c r="B4562" t="s">
        <v>44</v>
      </c>
      <c r="C4562" t="s">
        <v>45</v>
      </c>
      <c r="D4562" t="s">
        <v>18</v>
      </c>
      <c r="E4562" t="s">
        <v>19</v>
      </c>
      <c r="F4562" t="s">
        <v>25</v>
      </c>
      <c r="O4562">
        <v>2035</v>
      </c>
    </row>
    <row r="4563" spans="1:16" x14ac:dyDescent="0.3">
      <c r="A4563" t="str">
        <f t="shared" si="71"/>
        <v>PA|AccumulatedNewCapacity|RE1|PWRHYDROR_NDC|2035</v>
      </c>
      <c r="B4563" t="s">
        <v>44</v>
      </c>
      <c r="C4563" t="s">
        <v>45</v>
      </c>
      <c r="D4563" t="s">
        <v>18</v>
      </c>
      <c r="E4563" t="s">
        <v>19</v>
      </c>
      <c r="F4563" t="s">
        <v>26</v>
      </c>
      <c r="O4563">
        <v>2035</v>
      </c>
    </row>
    <row r="4564" spans="1:16" x14ac:dyDescent="0.3">
      <c r="A4564" t="str">
        <f t="shared" si="71"/>
        <v>PA|AccumulatedNewCapacity|RE1|PWRJET|2035</v>
      </c>
      <c r="B4564" t="s">
        <v>44</v>
      </c>
      <c r="C4564" t="s">
        <v>45</v>
      </c>
      <c r="D4564" t="s">
        <v>18</v>
      </c>
      <c r="E4564" t="s">
        <v>19</v>
      </c>
      <c r="F4564" t="s">
        <v>27</v>
      </c>
      <c r="O4564">
        <v>2035</v>
      </c>
    </row>
    <row r="4565" spans="1:16" x14ac:dyDescent="0.3">
      <c r="A4565" t="str">
        <f t="shared" si="71"/>
        <v>PA|AccumulatedNewCapacity|RE1|PWRLPG|2035</v>
      </c>
      <c r="B4565" t="s">
        <v>44</v>
      </c>
      <c r="C4565" t="s">
        <v>45</v>
      </c>
      <c r="D4565" t="s">
        <v>18</v>
      </c>
      <c r="E4565" t="s">
        <v>19</v>
      </c>
      <c r="F4565" t="s">
        <v>28</v>
      </c>
      <c r="O4565">
        <v>2035</v>
      </c>
    </row>
    <row r="4566" spans="1:16" x14ac:dyDescent="0.3">
      <c r="A4566" t="str">
        <f t="shared" si="71"/>
        <v>PA|AccumulatedNewCapacity|RE1|PWRNGS_CC|2035</v>
      </c>
      <c r="B4566" t="s">
        <v>44</v>
      </c>
      <c r="C4566" t="s">
        <v>45</v>
      </c>
      <c r="D4566" t="s">
        <v>18</v>
      </c>
      <c r="E4566" t="s">
        <v>19</v>
      </c>
      <c r="F4566" t="s">
        <v>29</v>
      </c>
      <c r="O4566">
        <v>2035</v>
      </c>
    </row>
    <row r="4567" spans="1:16" x14ac:dyDescent="0.3">
      <c r="A4567" t="str">
        <f t="shared" si="71"/>
        <v>PA|AccumulatedNewCapacity|RE1|PWRNGS_CS|2035</v>
      </c>
      <c r="B4567" t="s">
        <v>44</v>
      </c>
      <c r="C4567" t="s">
        <v>45</v>
      </c>
      <c r="D4567" t="s">
        <v>18</v>
      </c>
      <c r="E4567" t="s">
        <v>19</v>
      </c>
      <c r="F4567" t="s">
        <v>30</v>
      </c>
      <c r="O4567">
        <v>2035</v>
      </c>
    </row>
    <row r="4568" spans="1:16" x14ac:dyDescent="0.3">
      <c r="A4568" t="str">
        <f t="shared" si="71"/>
        <v>PA|AccumulatedNewCapacity|RE1|PWRNUC|2035</v>
      </c>
      <c r="B4568" t="s">
        <v>44</v>
      </c>
      <c r="C4568" t="s">
        <v>45</v>
      </c>
      <c r="D4568" t="s">
        <v>18</v>
      </c>
      <c r="E4568" t="s">
        <v>19</v>
      </c>
      <c r="F4568" t="s">
        <v>47</v>
      </c>
      <c r="O4568">
        <v>2035</v>
      </c>
    </row>
    <row r="4569" spans="1:16" x14ac:dyDescent="0.3">
      <c r="A4569" t="str">
        <f t="shared" si="71"/>
        <v>PA|AccumulatedNewCapacity|RE1|PWRSOLRTP|2035</v>
      </c>
      <c r="B4569" t="s">
        <v>44</v>
      </c>
      <c r="C4569" t="s">
        <v>45</v>
      </c>
      <c r="D4569" t="s">
        <v>18</v>
      </c>
      <c r="E4569" t="s">
        <v>19</v>
      </c>
      <c r="F4569" t="s">
        <v>31</v>
      </c>
      <c r="O4569">
        <v>2035</v>
      </c>
      <c r="P4569">
        <v>114.4701775523146</v>
      </c>
    </row>
    <row r="4570" spans="1:16" x14ac:dyDescent="0.3">
      <c r="A4570" t="str">
        <f t="shared" si="71"/>
        <v>PA|AccumulatedNewCapacity|RE1|PWRSOLRTP_ZNI|2035</v>
      </c>
      <c r="B4570" t="s">
        <v>44</v>
      </c>
      <c r="C4570" t="s">
        <v>45</v>
      </c>
      <c r="D4570" t="s">
        <v>18</v>
      </c>
      <c r="E4570" t="s">
        <v>19</v>
      </c>
      <c r="F4570" t="s">
        <v>32</v>
      </c>
      <c r="O4570">
        <v>2035</v>
      </c>
    </row>
    <row r="4571" spans="1:16" x14ac:dyDescent="0.3">
      <c r="A4571" t="str">
        <f t="shared" si="71"/>
        <v>PA|AccumulatedNewCapacity|RE1|PWRSOLUGE|2035</v>
      </c>
      <c r="B4571" t="s">
        <v>44</v>
      </c>
      <c r="C4571" t="s">
        <v>45</v>
      </c>
      <c r="D4571" t="s">
        <v>18</v>
      </c>
      <c r="E4571" t="s">
        <v>19</v>
      </c>
      <c r="F4571" t="s">
        <v>33</v>
      </c>
      <c r="O4571">
        <v>2035</v>
      </c>
      <c r="P4571">
        <v>143.394192</v>
      </c>
    </row>
    <row r="4572" spans="1:16" x14ac:dyDescent="0.3">
      <c r="A4572" t="str">
        <f t="shared" si="71"/>
        <v>PA|AccumulatedNewCapacity|RE1|PWRSOLUPE|2035</v>
      </c>
      <c r="B4572" t="s">
        <v>44</v>
      </c>
      <c r="C4572" t="s">
        <v>45</v>
      </c>
      <c r="D4572" t="s">
        <v>18</v>
      </c>
      <c r="E4572" t="s">
        <v>19</v>
      </c>
      <c r="F4572" t="s">
        <v>34</v>
      </c>
      <c r="O4572">
        <v>2035</v>
      </c>
      <c r="P4572">
        <v>12.14419823999993</v>
      </c>
    </row>
    <row r="4573" spans="1:16" x14ac:dyDescent="0.3">
      <c r="A4573" t="str">
        <f t="shared" si="71"/>
        <v>PA|AccumulatedNewCapacity|RE1|PWRSTD|2035</v>
      </c>
      <c r="B4573" t="s">
        <v>44</v>
      </c>
      <c r="C4573" t="s">
        <v>45</v>
      </c>
      <c r="D4573" t="s">
        <v>18</v>
      </c>
      <c r="E4573" t="s">
        <v>19</v>
      </c>
      <c r="F4573" t="s">
        <v>35</v>
      </c>
      <c r="O4573">
        <v>2035</v>
      </c>
    </row>
    <row r="4574" spans="1:16" x14ac:dyDescent="0.3">
      <c r="A4574" t="str">
        <f t="shared" si="71"/>
        <v>PA|AccumulatedNewCapacity|RE1|PWRWNDOFS_FIX|2035</v>
      </c>
      <c r="B4574" t="s">
        <v>44</v>
      </c>
      <c r="C4574" t="s">
        <v>45</v>
      </c>
      <c r="D4574" t="s">
        <v>18</v>
      </c>
      <c r="E4574" t="s">
        <v>19</v>
      </c>
      <c r="F4574" t="s">
        <v>42</v>
      </c>
      <c r="O4574">
        <v>2035</v>
      </c>
      <c r="P4574">
        <v>7.008</v>
      </c>
    </row>
    <row r="4575" spans="1:16" x14ac:dyDescent="0.3">
      <c r="A4575" t="str">
        <f t="shared" si="71"/>
        <v>PA|AccumulatedNewCapacity|RE1|PWRWNDONS|2035</v>
      </c>
      <c r="B4575" t="s">
        <v>44</v>
      </c>
      <c r="C4575" t="s">
        <v>45</v>
      </c>
      <c r="D4575" t="s">
        <v>18</v>
      </c>
      <c r="E4575" t="s">
        <v>19</v>
      </c>
      <c r="F4575" t="s">
        <v>36</v>
      </c>
      <c r="O4575">
        <v>2035</v>
      </c>
      <c r="P4575">
        <v>111.8469263957858</v>
      </c>
    </row>
    <row r="4576" spans="1:16" x14ac:dyDescent="0.3">
      <c r="A4576" t="str">
        <f t="shared" si="71"/>
        <v>PA|NewCapacity|RE1|PWRBGS|2035</v>
      </c>
      <c r="B4576" t="s">
        <v>44</v>
      </c>
      <c r="C4576" t="s">
        <v>45</v>
      </c>
      <c r="D4576" t="s">
        <v>37</v>
      </c>
      <c r="E4576" t="s">
        <v>19</v>
      </c>
      <c r="F4576" t="s">
        <v>20</v>
      </c>
      <c r="O4576">
        <v>2035</v>
      </c>
    </row>
    <row r="4577" spans="1:16" x14ac:dyDescent="0.3">
      <c r="A4577" t="str">
        <f t="shared" si="71"/>
        <v>PA|NewCapacity|RE1|PWRCOA|2035</v>
      </c>
      <c r="B4577" t="s">
        <v>44</v>
      </c>
      <c r="C4577" t="s">
        <v>45</v>
      </c>
      <c r="D4577" t="s">
        <v>37</v>
      </c>
      <c r="E4577" t="s">
        <v>19</v>
      </c>
      <c r="F4577" t="s">
        <v>21</v>
      </c>
      <c r="O4577">
        <v>2035</v>
      </c>
    </row>
    <row r="4578" spans="1:16" x14ac:dyDescent="0.3">
      <c r="A4578" t="str">
        <f t="shared" si="71"/>
        <v>PA|NewCapacity|RE1|PWRDSL|2035</v>
      </c>
      <c r="B4578" t="s">
        <v>44</v>
      </c>
      <c r="C4578" t="s">
        <v>45</v>
      </c>
      <c r="D4578" t="s">
        <v>37</v>
      </c>
      <c r="E4578" t="s">
        <v>19</v>
      </c>
      <c r="F4578" t="s">
        <v>22</v>
      </c>
      <c r="O4578">
        <v>2035</v>
      </c>
    </row>
    <row r="4579" spans="1:16" x14ac:dyDescent="0.3">
      <c r="A4579" t="str">
        <f t="shared" si="71"/>
        <v>PA|NewCapacity|RE1|PWRFOL|2035</v>
      </c>
      <c r="B4579" t="s">
        <v>44</v>
      </c>
      <c r="C4579" t="s">
        <v>45</v>
      </c>
      <c r="D4579" t="s">
        <v>37</v>
      </c>
      <c r="E4579" t="s">
        <v>19</v>
      </c>
      <c r="F4579" t="s">
        <v>23</v>
      </c>
      <c r="O4579">
        <v>2035</v>
      </c>
    </row>
    <row r="4580" spans="1:16" x14ac:dyDescent="0.3">
      <c r="A4580" t="str">
        <f t="shared" si="71"/>
        <v>PA|NewCapacity|RE1|PWRGEO|2035</v>
      </c>
      <c r="B4580" t="s">
        <v>44</v>
      </c>
      <c r="C4580" t="s">
        <v>45</v>
      </c>
      <c r="D4580" t="s">
        <v>37</v>
      </c>
      <c r="E4580" t="s">
        <v>19</v>
      </c>
      <c r="F4580" t="s">
        <v>46</v>
      </c>
      <c r="O4580">
        <v>2035</v>
      </c>
    </row>
    <row r="4581" spans="1:16" x14ac:dyDescent="0.3">
      <c r="A4581" t="str">
        <f t="shared" si="71"/>
        <v>PA|NewCapacity|RE1|PWRHYDDAM|2035</v>
      </c>
      <c r="B4581" t="s">
        <v>44</v>
      </c>
      <c r="C4581" t="s">
        <v>45</v>
      </c>
      <c r="D4581" t="s">
        <v>37</v>
      </c>
      <c r="E4581" t="s">
        <v>19</v>
      </c>
      <c r="F4581" t="s">
        <v>24</v>
      </c>
      <c r="O4581">
        <v>2035</v>
      </c>
    </row>
    <row r="4582" spans="1:16" x14ac:dyDescent="0.3">
      <c r="A4582" t="str">
        <f t="shared" si="71"/>
        <v>PA|NewCapacity|RE1|PWRHYDROR|2035</v>
      </c>
      <c r="B4582" t="s">
        <v>44</v>
      </c>
      <c r="C4582" t="s">
        <v>45</v>
      </c>
      <c r="D4582" t="s">
        <v>37</v>
      </c>
      <c r="E4582" t="s">
        <v>19</v>
      </c>
      <c r="F4582" t="s">
        <v>25</v>
      </c>
      <c r="O4582">
        <v>2035</v>
      </c>
    </row>
    <row r="4583" spans="1:16" x14ac:dyDescent="0.3">
      <c r="A4583" t="str">
        <f t="shared" si="71"/>
        <v>PA|NewCapacity|RE1|PWRHYDROR_NDC|2035</v>
      </c>
      <c r="B4583" t="s">
        <v>44</v>
      </c>
      <c r="C4583" t="s">
        <v>45</v>
      </c>
      <c r="D4583" t="s">
        <v>37</v>
      </c>
      <c r="E4583" t="s">
        <v>19</v>
      </c>
      <c r="F4583" t="s">
        <v>26</v>
      </c>
      <c r="O4583">
        <v>2035</v>
      </c>
    </row>
    <row r="4584" spans="1:16" x14ac:dyDescent="0.3">
      <c r="A4584" t="str">
        <f t="shared" si="71"/>
        <v>PA|NewCapacity|RE1|PWRJET|2035</v>
      </c>
      <c r="B4584" t="s">
        <v>44</v>
      </c>
      <c r="C4584" t="s">
        <v>45</v>
      </c>
      <c r="D4584" t="s">
        <v>37</v>
      </c>
      <c r="E4584" t="s">
        <v>19</v>
      </c>
      <c r="F4584" t="s">
        <v>27</v>
      </c>
      <c r="O4584">
        <v>2035</v>
      </c>
    </row>
    <row r="4585" spans="1:16" x14ac:dyDescent="0.3">
      <c r="A4585" t="str">
        <f t="shared" si="71"/>
        <v>PA|NewCapacity|RE1|PWRLPG|2035</v>
      </c>
      <c r="B4585" t="s">
        <v>44</v>
      </c>
      <c r="C4585" t="s">
        <v>45</v>
      </c>
      <c r="D4585" t="s">
        <v>37</v>
      </c>
      <c r="E4585" t="s">
        <v>19</v>
      </c>
      <c r="F4585" t="s">
        <v>28</v>
      </c>
      <c r="O4585">
        <v>2035</v>
      </c>
    </row>
    <row r="4586" spans="1:16" x14ac:dyDescent="0.3">
      <c r="A4586" t="str">
        <f t="shared" si="71"/>
        <v>PA|NewCapacity|RE1|PWRNGS_CC|2035</v>
      </c>
      <c r="B4586" t="s">
        <v>44</v>
      </c>
      <c r="C4586" t="s">
        <v>45</v>
      </c>
      <c r="D4586" t="s">
        <v>37</v>
      </c>
      <c r="E4586" t="s">
        <v>19</v>
      </c>
      <c r="F4586" t="s">
        <v>29</v>
      </c>
      <c r="O4586">
        <v>2035</v>
      </c>
    </row>
    <row r="4587" spans="1:16" x14ac:dyDescent="0.3">
      <c r="A4587" t="str">
        <f t="shared" si="71"/>
        <v>PA|NewCapacity|RE1|PWRNGS_CS|2035</v>
      </c>
      <c r="B4587" t="s">
        <v>44</v>
      </c>
      <c r="C4587" t="s">
        <v>45</v>
      </c>
      <c r="D4587" t="s">
        <v>37</v>
      </c>
      <c r="E4587" t="s">
        <v>19</v>
      </c>
      <c r="F4587" t="s">
        <v>30</v>
      </c>
      <c r="O4587">
        <v>2035</v>
      </c>
    </row>
    <row r="4588" spans="1:16" x14ac:dyDescent="0.3">
      <c r="A4588" t="str">
        <f t="shared" si="71"/>
        <v>PA|NewCapacity|RE1|PWRNUC|2035</v>
      </c>
      <c r="B4588" t="s">
        <v>44</v>
      </c>
      <c r="C4588" t="s">
        <v>45</v>
      </c>
      <c r="D4588" t="s">
        <v>37</v>
      </c>
      <c r="E4588" t="s">
        <v>19</v>
      </c>
      <c r="F4588" t="s">
        <v>47</v>
      </c>
      <c r="O4588">
        <v>2035</v>
      </c>
    </row>
    <row r="4589" spans="1:16" x14ac:dyDescent="0.3">
      <c r="A4589" t="str">
        <f t="shared" si="71"/>
        <v>PA|NewCapacity|RE1|PWRSOLRTP|2035</v>
      </c>
      <c r="B4589" t="s">
        <v>44</v>
      </c>
      <c r="C4589" t="s">
        <v>45</v>
      </c>
      <c r="D4589" t="s">
        <v>37</v>
      </c>
      <c r="E4589" t="s">
        <v>19</v>
      </c>
      <c r="F4589" t="s">
        <v>31</v>
      </c>
      <c r="O4589">
        <v>2035</v>
      </c>
      <c r="P4589">
        <v>7.4508560558021566</v>
      </c>
    </row>
    <row r="4590" spans="1:16" x14ac:dyDescent="0.3">
      <c r="A4590" t="str">
        <f t="shared" si="71"/>
        <v>PA|NewCapacity|RE1|PWRSOLRTP_ZNI|2035</v>
      </c>
      <c r="B4590" t="s">
        <v>44</v>
      </c>
      <c r="C4590" t="s">
        <v>45</v>
      </c>
      <c r="D4590" t="s">
        <v>37</v>
      </c>
      <c r="E4590" t="s">
        <v>19</v>
      </c>
      <c r="F4590" t="s">
        <v>32</v>
      </c>
      <c r="O4590">
        <v>2035</v>
      </c>
    </row>
    <row r="4591" spans="1:16" x14ac:dyDescent="0.3">
      <c r="A4591" t="str">
        <f t="shared" si="71"/>
        <v>PA|NewCapacity|RE1|PWRSOLUGE|2035</v>
      </c>
      <c r="B4591" t="s">
        <v>44</v>
      </c>
      <c r="C4591" t="s">
        <v>45</v>
      </c>
      <c r="D4591" t="s">
        <v>37</v>
      </c>
      <c r="E4591" t="s">
        <v>19</v>
      </c>
      <c r="F4591" t="s">
        <v>33</v>
      </c>
      <c r="O4591">
        <v>2035</v>
      </c>
    </row>
    <row r="4592" spans="1:16" x14ac:dyDescent="0.3">
      <c r="A4592" t="str">
        <f t="shared" si="71"/>
        <v>PA|NewCapacity|RE1|PWRSOLUPE|2035</v>
      </c>
      <c r="B4592" t="s">
        <v>44</v>
      </c>
      <c r="C4592" t="s">
        <v>45</v>
      </c>
      <c r="D4592" t="s">
        <v>37</v>
      </c>
      <c r="E4592" t="s">
        <v>19</v>
      </c>
      <c r="F4592" t="s">
        <v>34</v>
      </c>
      <c r="O4592">
        <v>2035</v>
      </c>
    </row>
    <row r="4593" spans="1:16" x14ac:dyDescent="0.3">
      <c r="A4593" t="str">
        <f t="shared" si="71"/>
        <v>PA|NewCapacity|RE1|PWRSTD|2035</v>
      </c>
      <c r="B4593" t="s">
        <v>44</v>
      </c>
      <c r="C4593" t="s">
        <v>45</v>
      </c>
      <c r="D4593" t="s">
        <v>37</v>
      </c>
      <c r="E4593" t="s">
        <v>19</v>
      </c>
      <c r="F4593" t="s">
        <v>35</v>
      </c>
      <c r="O4593">
        <v>2035</v>
      </c>
    </row>
    <row r="4594" spans="1:16" x14ac:dyDescent="0.3">
      <c r="A4594" t="str">
        <f t="shared" si="71"/>
        <v>PA|NewCapacity|RE1|PWRWNDOFS_FIX|2035</v>
      </c>
      <c r="B4594" t="s">
        <v>44</v>
      </c>
      <c r="C4594" t="s">
        <v>45</v>
      </c>
      <c r="D4594" t="s">
        <v>37</v>
      </c>
      <c r="E4594" t="s">
        <v>19</v>
      </c>
      <c r="F4594" t="s">
        <v>42</v>
      </c>
      <c r="O4594">
        <v>2035</v>
      </c>
      <c r="P4594">
        <v>1.752</v>
      </c>
    </row>
    <row r="4595" spans="1:16" x14ac:dyDescent="0.3">
      <c r="A4595" t="str">
        <f t="shared" si="71"/>
        <v>PA|NewCapacity|RE1|PWRWNDONS|2035</v>
      </c>
      <c r="B4595" t="s">
        <v>44</v>
      </c>
      <c r="C4595" t="s">
        <v>45</v>
      </c>
      <c r="D4595" t="s">
        <v>37</v>
      </c>
      <c r="E4595" t="s">
        <v>19</v>
      </c>
      <c r="F4595" t="s">
        <v>36</v>
      </c>
      <c r="O4595">
        <v>2035</v>
      </c>
      <c r="P4595">
        <v>47.31</v>
      </c>
    </row>
    <row r="4596" spans="1:16" x14ac:dyDescent="0.3">
      <c r="A4596" t="str">
        <f t="shared" si="71"/>
        <v>PA|TotalCapacityAnnual|RE1|PWRBGS|2035</v>
      </c>
      <c r="B4596" t="s">
        <v>44</v>
      </c>
      <c r="C4596" t="s">
        <v>45</v>
      </c>
      <c r="D4596" t="s">
        <v>38</v>
      </c>
      <c r="E4596" t="s">
        <v>19</v>
      </c>
      <c r="F4596" t="s">
        <v>20</v>
      </c>
      <c r="O4596">
        <v>2035</v>
      </c>
      <c r="P4596">
        <v>2.5488587520000001E-2</v>
      </c>
    </row>
    <row r="4597" spans="1:16" x14ac:dyDescent="0.3">
      <c r="A4597" t="str">
        <f t="shared" si="71"/>
        <v>PA|TotalCapacityAnnual|RE1|PWRCOA|2035</v>
      </c>
      <c r="B4597" t="s">
        <v>44</v>
      </c>
      <c r="C4597" t="s">
        <v>45</v>
      </c>
      <c r="D4597" t="s">
        <v>38</v>
      </c>
      <c r="E4597" t="s">
        <v>19</v>
      </c>
      <c r="F4597" t="s">
        <v>21</v>
      </c>
      <c r="O4597">
        <v>2035</v>
      </c>
    </row>
    <row r="4598" spans="1:16" x14ac:dyDescent="0.3">
      <c r="A4598" t="str">
        <f t="shared" si="71"/>
        <v>PA|TotalCapacityAnnual|RE1|PWRDSL|2035</v>
      </c>
      <c r="B4598" t="s">
        <v>44</v>
      </c>
      <c r="C4598" t="s">
        <v>45</v>
      </c>
      <c r="D4598" t="s">
        <v>38</v>
      </c>
      <c r="E4598" t="s">
        <v>19</v>
      </c>
      <c r="F4598" t="s">
        <v>22</v>
      </c>
      <c r="O4598">
        <v>2035</v>
      </c>
      <c r="P4598">
        <v>24.944976</v>
      </c>
    </row>
    <row r="4599" spans="1:16" x14ac:dyDescent="0.3">
      <c r="A4599" t="str">
        <f t="shared" si="71"/>
        <v>PA|TotalCapacityAnnual|RE1|PWRFOL|2035</v>
      </c>
      <c r="B4599" t="s">
        <v>44</v>
      </c>
      <c r="C4599" t="s">
        <v>45</v>
      </c>
      <c r="D4599" t="s">
        <v>38</v>
      </c>
      <c r="E4599" t="s">
        <v>19</v>
      </c>
      <c r="F4599" t="s">
        <v>23</v>
      </c>
      <c r="O4599">
        <v>2035</v>
      </c>
      <c r="P4599">
        <v>8.3885759999999987</v>
      </c>
    </row>
    <row r="4600" spans="1:16" x14ac:dyDescent="0.3">
      <c r="A4600" t="str">
        <f t="shared" si="71"/>
        <v>PA|TotalCapacityAnnual|RE1|PWRGEO|2035</v>
      </c>
      <c r="B4600" t="s">
        <v>44</v>
      </c>
      <c r="C4600" t="s">
        <v>45</v>
      </c>
      <c r="D4600" t="s">
        <v>38</v>
      </c>
      <c r="E4600" t="s">
        <v>19</v>
      </c>
      <c r="F4600" t="s">
        <v>46</v>
      </c>
      <c r="O4600">
        <v>2035</v>
      </c>
    </row>
    <row r="4601" spans="1:16" x14ac:dyDescent="0.3">
      <c r="A4601" t="str">
        <f t="shared" si="71"/>
        <v>PA|TotalCapacityAnnual|RE1|PWRHYDDAM|2035</v>
      </c>
      <c r="B4601" t="s">
        <v>44</v>
      </c>
      <c r="C4601" t="s">
        <v>45</v>
      </c>
      <c r="D4601" t="s">
        <v>38</v>
      </c>
      <c r="E4601" t="s">
        <v>19</v>
      </c>
      <c r="F4601" t="s">
        <v>24</v>
      </c>
      <c r="O4601">
        <v>2035</v>
      </c>
      <c r="P4601">
        <v>440.49164800000011</v>
      </c>
    </row>
    <row r="4602" spans="1:16" x14ac:dyDescent="0.3">
      <c r="A4602" t="str">
        <f t="shared" si="71"/>
        <v>PA|TotalCapacityAnnual|RE1|PWRHYDROR|2035</v>
      </c>
      <c r="B4602" t="s">
        <v>44</v>
      </c>
      <c r="C4602" t="s">
        <v>45</v>
      </c>
      <c r="D4602" t="s">
        <v>38</v>
      </c>
      <c r="E4602" t="s">
        <v>19</v>
      </c>
      <c r="F4602" t="s">
        <v>25</v>
      </c>
      <c r="O4602">
        <v>2035</v>
      </c>
      <c r="P4602">
        <v>21.097584000000001</v>
      </c>
    </row>
    <row r="4603" spans="1:16" x14ac:dyDescent="0.3">
      <c r="A4603" t="str">
        <f t="shared" si="71"/>
        <v>PA|TotalCapacityAnnual|RE1|PWRHYDROR_NDC|2035</v>
      </c>
      <c r="B4603" t="s">
        <v>44</v>
      </c>
      <c r="C4603" t="s">
        <v>45</v>
      </c>
      <c r="D4603" t="s">
        <v>38</v>
      </c>
      <c r="E4603" t="s">
        <v>19</v>
      </c>
      <c r="F4603" t="s">
        <v>26</v>
      </c>
      <c r="O4603">
        <v>2035</v>
      </c>
      <c r="P4603">
        <v>29.725108271999989</v>
      </c>
    </row>
    <row r="4604" spans="1:16" x14ac:dyDescent="0.3">
      <c r="A4604" t="str">
        <f t="shared" si="71"/>
        <v>PA|TotalCapacityAnnual|RE1|PWRJET|2035</v>
      </c>
      <c r="B4604" t="s">
        <v>44</v>
      </c>
      <c r="C4604" t="s">
        <v>45</v>
      </c>
      <c r="D4604" t="s">
        <v>38</v>
      </c>
      <c r="E4604" t="s">
        <v>19</v>
      </c>
      <c r="F4604" t="s">
        <v>27</v>
      </c>
      <c r="O4604">
        <v>2035</v>
      </c>
      <c r="P4604">
        <v>1.5768</v>
      </c>
    </row>
    <row r="4605" spans="1:16" x14ac:dyDescent="0.3">
      <c r="A4605" t="str">
        <f t="shared" si="71"/>
        <v>PA|TotalCapacityAnnual|RE1|PWRLPG|2035</v>
      </c>
      <c r="B4605" t="s">
        <v>44</v>
      </c>
      <c r="C4605" t="s">
        <v>45</v>
      </c>
      <c r="D4605" t="s">
        <v>38</v>
      </c>
      <c r="E4605" t="s">
        <v>19</v>
      </c>
      <c r="F4605" t="s">
        <v>28</v>
      </c>
      <c r="O4605">
        <v>2035</v>
      </c>
      <c r="P4605">
        <v>1.639872</v>
      </c>
    </row>
    <row r="4606" spans="1:16" x14ac:dyDescent="0.3">
      <c r="A4606" t="str">
        <f t="shared" si="71"/>
        <v>PA|TotalCapacityAnnual|RE1|PWRNGS_CC|2035</v>
      </c>
      <c r="B4606" t="s">
        <v>44</v>
      </c>
      <c r="C4606" t="s">
        <v>45</v>
      </c>
      <c r="D4606" t="s">
        <v>38</v>
      </c>
      <c r="E4606" t="s">
        <v>19</v>
      </c>
      <c r="F4606" t="s">
        <v>29</v>
      </c>
      <c r="O4606">
        <v>2035</v>
      </c>
      <c r="P4606">
        <v>70.104500000000002</v>
      </c>
    </row>
    <row r="4607" spans="1:16" x14ac:dyDescent="0.3">
      <c r="A4607" t="str">
        <f t="shared" si="71"/>
        <v>PA|TotalCapacityAnnual|RE1|PWRNGS_CS|2035</v>
      </c>
      <c r="B4607" t="s">
        <v>44</v>
      </c>
      <c r="C4607" t="s">
        <v>45</v>
      </c>
      <c r="D4607" t="s">
        <v>38</v>
      </c>
      <c r="E4607" t="s">
        <v>19</v>
      </c>
      <c r="F4607" t="s">
        <v>30</v>
      </c>
      <c r="O4607">
        <v>2035</v>
      </c>
      <c r="P4607">
        <v>23.084351999999999</v>
      </c>
    </row>
    <row r="4608" spans="1:16" x14ac:dyDescent="0.3">
      <c r="A4608" t="str">
        <f t="shared" si="71"/>
        <v>PA|TotalCapacityAnnual|RE1|PWRNUC|2035</v>
      </c>
      <c r="B4608" t="s">
        <v>44</v>
      </c>
      <c r="C4608" t="s">
        <v>45</v>
      </c>
      <c r="D4608" t="s">
        <v>38</v>
      </c>
      <c r="E4608" t="s">
        <v>19</v>
      </c>
      <c r="F4608" t="s">
        <v>47</v>
      </c>
      <c r="O4608">
        <v>2035</v>
      </c>
    </row>
    <row r="4609" spans="1:16" x14ac:dyDescent="0.3">
      <c r="A4609" t="str">
        <f t="shared" si="71"/>
        <v>PA|TotalCapacityAnnual|RE1|PWRSOLRTP|2035</v>
      </c>
      <c r="B4609" t="s">
        <v>44</v>
      </c>
      <c r="C4609" t="s">
        <v>45</v>
      </c>
      <c r="D4609" t="s">
        <v>38</v>
      </c>
      <c r="E4609" t="s">
        <v>19</v>
      </c>
      <c r="F4609" t="s">
        <v>31</v>
      </c>
      <c r="O4609">
        <v>2035</v>
      </c>
      <c r="P4609">
        <v>137.75427755231459</v>
      </c>
    </row>
    <row r="4610" spans="1:16" x14ac:dyDescent="0.3">
      <c r="A4610" t="str">
        <f t="shared" ref="A4610:A4673" si="72">B4610&amp;"|"&amp;D4610&amp;"|"&amp;E4610&amp;"|"&amp;F4610&amp;"|"&amp;O4610</f>
        <v>PA|TotalCapacityAnnual|RE1|PWRSOLRTP_ZNI|2035</v>
      </c>
      <c r="B4610" t="s">
        <v>44</v>
      </c>
      <c r="C4610" t="s">
        <v>45</v>
      </c>
      <c r="D4610" t="s">
        <v>38</v>
      </c>
      <c r="E4610" t="s">
        <v>19</v>
      </c>
      <c r="F4610" t="s">
        <v>32</v>
      </c>
      <c r="O4610">
        <v>2035</v>
      </c>
      <c r="P4610">
        <v>0.46074095999999998</v>
      </c>
    </row>
    <row r="4611" spans="1:16" x14ac:dyDescent="0.3">
      <c r="A4611" t="str">
        <f t="shared" si="72"/>
        <v>PA|TotalCapacityAnnual|RE1|PWRSOLUGE|2035</v>
      </c>
      <c r="B4611" t="s">
        <v>44</v>
      </c>
      <c r="C4611" t="s">
        <v>45</v>
      </c>
      <c r="D4611" t="s">
        <v>38</v>
      </c>
      <c r="E4611" t="s">
        <v>19</v>
      </c>
      <c r="F4611" t="s">
        <v>33</v>
      </c>
      <c r="O4611">
        <v>2035</v>
      </c>
      <c r="P4611">
        <v>191.79186048</v>
      </c>
    </row>
    <row r="4612" spans="1:16" x14ac:dyDescent="0.3">
      <c r="A4612" t="str">
        <f t="shared" si="72"/>
        <v>PA|TotalCapacityAnnual|RE1|PWRSOLUPE|2035</v>
      </c>
      <c r="B4612" t="s">
        <v>44</v>
      </c>
      <c r="C4612" t="s">
        <v>45</v>
      </c>
      <c r="D4612" t="s">
        <v>38</v>
      </c>
      <c r="E4612" t="s">
        <v>19</v>
      </c>
      <c r="F4612" t="s">
        <v>34</v>
      </c>
      <c r="O4612">
        <v>2035</v>
      </c>
      <c r="P4612">
        <v>39.172600079999931</v>
      </c>
    </row>
    <row r="4613" spans="1:16" x14ac:dyDescent="0.3">
      <c r="A4613" t="str">
        <f t="shared" si="72"/>
        <v>PA|TotalCapacityAnnual|RE1|PWRSTD|2035</v>
      </c>
      <c r="B4613" t="s">
        <v>44</v>
      </c>
      <c r="C4613" t="s">
        <v>45</v>
      </c>
      <c r="D4613" t="s">
        <v>38</v>
      </c>
      <c r="E4613" t="s">
        <v>19</v>
      </c>
      <c r="F4613" t="s">
        <v>35</v>
      </c>
      <c r="O4613">
        <v>2035</v>
      </c>
      <c r="P4613">
        <v>8.163062064</v>
      </c>
    </row>
    <row r="4614" spans="1:16" x14ac:dyDescent="0.3">
      <c r="A4614" t="str">
        <f t="shared" si="72"/>
        <v>PA|TotalCapacityAnnual|RE1|PWRWNDOFS_FIX|2035</v>
      </c>
      <c r="B4614" t="s">
        <v>44</v>
      </c>
      <c r="C4614" t="s">
        <v>45</v>
      </c>
      <c r="D4614" t="s">
        <v>38</v>
      </c>
      <c r="E4614" t="s">
        <v>19</v>
      </c>
      <c r="F4614" t="s">
        <v>42</v>
      </c>
      <c r="O4614">
        <v>2035</v>
      </c>
      <c r="P4614">
        <v>7.008</v>
      </c>
    </row>
    <row r="4615" spans="1:16" x14ac:dyDescent="0.3">
      <c r="A4615" t="str">
        <f t="shared" si="72"/>
        <v>PA|TotalCapacityAnnual|RE1|PWRWNDONS|2035</v>
      </c>
      <c r="B4615" t="s">
        <v>44</v>
      </c>
      <c r="C4615" t="s">
        <v>45</v>
      </c>
      <c r="D4615" t="s">
        <v>38</v>
      </c>
      <c r="E4615" t="s">
        <v>19</v>
      </c>
      <c r="F4615" t="s">
        <v>36</v>
      </c>
      <c r="O4615">
        <v>2035</v>
      </c>
      <c r="P4615">
        <v>113.21558879578581</v>
      </c>
    </row>
    <row r="4616" spans="1:16" x14ac:dyDescent="0.3">
      <c r="A4616" t="str">
        <f t="shared" si="72"/>
        <v>PA|AccumulatedNewCapacity|RE1|PWRBGS|2036</v>
      </c>
      <c r="B4616" t="s">
        <v>44</v>
      </c>
      <c r="C4616" t="s">
        <v>45</v>
      </c>
      <c r="D4616" t="s">
        <v>18</v>
      </c>
      <c r="E4616" t="s">
        <v>19</v>
      </c>
      <c r="F4616" t="s">
        <v>20</v>
      </c>
      <c r="O4616">
        <v>2036</v>
      </c>
    </row>
    <row r="4617" spans="1:16" x14ac:dyDescent="0.3">
      <c r="A4617" t="str">
        <f t="shared" si="72"/>
        <v>PA|AccumulatedNewCapacity|RE1|PWRCOA|2036</v>
      </c>
      <c r="B4617" t="s">
        <v>44</v>
      </c>
      <c r="C4617" t="s">
        <v>45</v>
      </c>
      <c r="D4617" t="s">
        <v>18</v>
      </c>
      <c r="E4617" t="s">
        <v>19</v>
      </c>
      <c r="F4617" t="s">
        <v>21</v>
      </c>
      <c r="O4617">
        <v>2036</v>
      </c>
    </row>
    <row r="4618" spans="1:16" x14ac:dyDescent="0.3">
      <c r="A4618" t="str">
        <f t="shared" si="72"/>
        <v>PA|AccumulatedNewCapacity|RE1|PWRDSL|2036</v>
      </c>
      <c r="B4618" t="s">
        <v>44</v>
      </c>
      <c r="C4618" t="s">
        <v>45</v>
      </c>
      <c r="D4618" t="s">
        <v>18</v>
      </c>
      <c r="E4618" t="s">
        <v>19</v>
      </c>
      <c r="F4618" t="s">
        <v>22</v>
      </c>
      <c r="O4618">
        <v>2036</v>
      </c>
    </row>
    <row r="4619" spans="1:16" x14ac:dyDescent="0.3">
      <c r="A4619" t="str">
        <f t="shared" si="72"/>
        <v>PA|AccumulatedNewCapacity|RE1|PWRFOL|2036</v>
      </c>
      <c r="B4619" t="s">
        <v>44</v>
      </c>
      <c r="C4619" t="s">
        <v>45</v>
      </c>
      <c r="D4619" t="s">
        <v>18</v>
      </c>
      <c r="E4619" t="s">
        <v>19</v>
      </c>
      <c r="F4619" t="s">
        <v>23</v>
      </c>
      <c r="O4619">
        <v>2036</v>
      </c>
    </row>
    <row r="4620" spans="1:16" x14ac:dyDescent="0.3">
      <c r="A4620" t="str">
        <f t="shared" si="72"/>
        <v>PA|AccumulatedNewCapacity|RE1|PWRGEO|2036</v>
      </c>
      <c r="B4620" t="s">
        <v>44</v>
      </c>
      <c r="C4620" t="s">
        <v>45</v>
      </c>
      <c r="D4620" t="s">
        <v>18</v>
      </c>
      <c r="E4620" t="s">
        <v>19</v>
      </c>
      <c r="F4620" t="s">
        <v>46</v>
      </c>
      <c r="O4620">
        <v>2036</v>
      </c>
    </row>
    <row r="4621" spans="1:16" x14ac:dyDescent="0.3">
      <c r="A4621" t="str">
        <f t="shared" si="72"/>
        <v>PA|AccumulatedNewCapacity|RE1|PWRHYDDAM|2036</v>
      </c>
      <c r="B4621" t="s">
        <v>44</v>
      </c>
      <c r="C4621" t="s">
        <v>45</v>
      </c>
      <c r="D4621" t="s">
        <v>18</v>
      </c>
      <c r="E4621" t="s">
        <v>19</v>
      </c>
      <c r="F4621" t="s">
        <v>24</v>
      </c>
      <c r="O4621">
        <v>2036</v>
      </c>
      <c r="P4621">
        <v>37.840000000000003</v>
      </c>
    </row>
    <row r="4622" spans="1:16" x14ac:dyDescent="0.3">
      <c r="A4622" t="str">
        <f t="shared" si="72"/>
        <v>PA|AccumulatedNewCapacity|RE1|PWRHYDROR|2036</v>
      </c>
      <c r="B4622" t="s">
        <v>44</v>
      </c>
      <c r="C4622" t="s">
        <v>45</v>
      </c>
      <c r="D4622" t="s">
        <v>18</v>
      </c>
      <c r="E4622" t="s">
        <v>19</v>
      </c>
      <c r="F4622" t="s">
        <v>25</v>
      </c>
      <c r="O4622">
        <v>2036</v>
      </c>
    </row>
    <row r="4623" spans="1:16" x14ac:dyDescent="0.3">
      <c r="A4623" t="str">
        <f t="shared" si="72"/>
        <v>PA|AccumulatedNewCapacity|RE1|PWRHYDROR_NDC|2036</v>
      </c>
      <c r="B4623" t="s">
        <v>44</v>
      </c>
      <c r="C4623" t="s">
        <v>45</v>
      </c>
      <c r="D4623" t="s">
        <v>18</v>
      </c>
      <c r="E4623" t="s">
        <v>19</v>
      </c>
      <c r="F4623" t="s">
        <v>26</v>
      </c>
      <c r="O4623">
        <v>2036</v>
      </c>
    </row>
    <row r="4624" spans="1:16" x14ac:dyDescent="0.3">
      <c r="A4624" t="str">
        <f t="shared" si="72"/>
        <v>PA|AccumulatedNewCapacity|RE1|PWRJET|2036</v>
      </c>
      <c r="B4624" t="s">
        <v>44</v>
      </c>
      <c r="C4624" t="s">
        <v>45</v>
      </c>
      <c r="D4624" t="s">
        <v>18</v>
      </c>
      <c r="E4624" t="s">
        <v>19</v>
      </c>
      <c r="F4624" t="s">
        <v>27</v>
      </c>
      <c r="O4624">
        <v>2036</v>
      </c>
    </row>
    <row r="4625" spans="1:16" x14ac:dyDescent="0.3">
      <c r="A4625" t="str">
        <f t="shared" si="72"/>
        <v>PA|AccumulatedNewCapacity|RE1|PWRLPG|2036</v>
      </c>
      <c r="B4625" t="s">
        <v>44</v>
      </c>
      <c r="C4625" t="s">
        <v>45</v>
      </c>
      <c r="D4625" t="s">
        <v>18</v>
      </c>
      <c r="E4625" t="s">
        <v>19</v>
      </c>
      <c r="F4625" t="s">
        <v>28</v>
      </c>
      <c r="O4625">
        <v>2036</v>
      </c>
    </row>
    <row r="4626" spans="1:16" x14ac:dyDescent="0.3">
      <c r="A4626" t="str">
        <f t="shared" si="72"/>
        <v>PA|AccumulatedNewCapacity|RE1|PWRNGS_CC|2036</v>
      </c>
      <c r="B4626" t="s">
        <v>44</v>
      </c>
      <c r="C4626" t="s">
        <v>45</v>
      </c>
      <c r="D4626" t="s">
        <v>18</v>
      </c>
      <c r="E4626" t="s">
        <v>19</v>
      </c>
      <c r="F4626" t="s">
        <v>29</v>
      </c>
      <c r="O4626">
        <v>2036</v>
      </c>
    </row>
    <row r="4627" spans="1:16" x14ac:dyDescent="0.3">
      <c r="A4627" t="str">
        <f t="shared" si="72"/>
        <v>PA|AccumulatedNewCapacity|RE1|PWRNGS_CS|2036</v>
      </c>
      <c r="B4627" t="s">
        <v>44</v>
      </c>
      <c r="C4627" t="s">
        <v>45</v>
      </c>
      <c r="D4627" t="s">
        <v>18</v>
      </c>
      <c r="E4627" t="s">
        <v>19</v>
      </c>
      <c r="F4627" t="s">
        <v>30</v>
      </c>
      <c r="O4627">
        <v>2036</v>
      </c>
    </row>
    <row r="4628" spans="1:16" x14ac:dyDescent="0.3">
      <c r="A4628" t="str">
        <f t="shared" si="72"/>
        <v>PA|AccumulatedNewCapacity|RE1|PWRNUC|2036</v>
      </c>
      <c r="B4628" t="s">
        <v>44</v>
      </c>
      <c r="C4628" t="s">
        <v>45</v>
      </c>
      <c r="D4628" t="s">
        <v>18</v>
      </c>
      <c r="E4628" t="s">
        <v>19</v>
      </c>
      <c r="F4628" t="s">
        <v>47</v>
      </c>
      <c r="O4628">
        <v>2036</v>
      </c>
    </row>
    <row r="4629" spans="1:16" x14ac:dyDescent="0.3">
      <c r="A4629" t="str">
        <f t="shared" si="72"/>
        <v>PA|AccumulatedNewCapacity|RE1|PWRSOLRTP|2036</v>
      </c>
      <c r="B4629" t="s">
        <v>44</v>
      </c>
      <c r="C4629" t="s">
        <v>45</v>
      </c>
      <c r="D4629" t="s">
        <v>18</v>
      </c>
      <c r="E4629" t="s">
        <v>19</v>
      </c>
      <c r="F4629" t="s">
        <v>31</v>
      </c>
      <c r="O4629">
        <v>2036</v>
      </c>
      <c r="P4629">
        <v>120.6528027901078</v>
      </c>
    </row>
    <row r="4630" spans="1:16" x14ac:dyDescent="0.3">
      <c r="A4630" t="str">
        <f t="shared" si="72"/>
        <v>PA|AccumulatedNewCapacity|RE1|PWRSOLRTP_ZNI|2036</v>
      </c>
      <c r="B4630" t="s">
        <v>44</v>
      </c>
      <c r="C4630" t="s">
        <v>45</v>
      </c>
      <c r="D4630" t="s">
        <v>18</v>
      </c>
      <c r="E4630" t="s">
        <v>19</v>
      </c>
      <c r="F4630" t="s">
        <v>32</v>
      </c>
      <c r="O4630">
        <v>2036</v>
      </c>
    </row>
    <row r="4631" spans="1:16" x14ac:dyDescent="0.3">
      <c r="A4631" t="str">
        <f t="shared" si="72"/>
        <v>PA|AccumulatedNewCapacity|RE1|PWRSOLUGE|2036</v>
      </c>
      <c r="B4631" t="s">
        <v>44</v>
      </c>
      <c r="C4631" t="s">
        <v>45</v>
      </c>
      <c r="D4631" t="s">
        <v>18</v>
      </c>
      <c r="E4631" t="s">
        <v>19</v>
      </c>
      <c r="F4631" t="s">
        <v>33</v>
      </c>
      <c r="O4631">
        <v>2036</v>
      </c>
      <c r="P4631">
        <v>143.394192</v>
      </c>
    </row>
    <row r="4632" spans="1:16" x14ac:dyDescent="0.3">
      <c r="A4632" t="str">
        <f t="shared" si="72"/>
        <v>PA|AccumulatedNewCapacity|RE1|PWRSOLUPE|2036</v>
      </c>
      <c r="B4632" t="s">
        <v>44</v>
      </c>
      <c r="C4632" t="s">
        <v>45</v>
      </c>
      <c r="D4632" t="s">
        <v>18</v>
      </c>
      <c r="E4632" t="s">
        <v>19</v>
      </c>
      <c r="F4632" t="s">
        <v>34</v>
      </c>
      <c r="O4632">
        <v>2036</v>
      </c>
      <c r="P4632">
        <v>12.14419823999993</v>
      </c>
    </row>
    <row r="4633" spans="1:16" x14ac:dyDescent="0.3">
      <c r="A4633" t="str">
        <f t="shared" si="72"/>
        <v>PA|AccumulatedNewCapacity|RE1|PWRSTD|2036</v>
      </c>
      <c r="B4633" t="s">
        <v>44</v>
      </c>
      <c r="C4633" t="s">
        <v>45</v>
      </c>
      <c r="D4633" t="s">
        <v>18</v>
      </c>
      <c r="E4633" t="s">
        <v>19</v>
      </c>
      <c r="F4633" t="s">
        <v>35</v>
      </c>
      <c r="O4633">
        <v>2036</v>
      </c>
    </row>
    <row r="4634" spans="1:16" x14ac:dyDescent="0.3">
      <c r="A4634" t="str">
        <f t="shared" si="72"/>
        <v>PA|AccumulatedNewCapacity|RE1|PWRWNDOFS_FIX|2036</v>
      </c>
      <c r="B4634" t="s">
        <v>44</v>
      </c>
      <c r="C4634" t="s">
        <v>45</v>
      </c>
      <c r="D4634" t="s">
        <v>18</v>
      </c>
      <c r="E4634" t="s">
        <v>19</v>
      </c>
      <c r="F4634" t="s">
        <v>42</v>
      </c>
      <c r="O4634">
        <v>2036</v>
      </c>
      <c r="P4634">
        <v>8.76</v>
      </c>
    </row>
    <row r="4635" spans="1:16" x14ac:dyDescent="0.3">
      <c r="A4635" t="str">
        <f t="shared" si="72"/>
        <v>PA|AccumulatedNewCapacity|RE1|PWRWNDONS|2036</v>
      </c>
      <c r="B4635" t="s">
        <v>44</v>
      </c>
      <c r="C4635" t="s">
        <v>45</v>
      </c>
      <c r="D4635" t="s">
        <v>18</v>
      </c>
      <c r="E4635" t="s">
        <v>19</v>
      </c>
      <c r="F4635" t="s">
        <v>36</v>
      </c>
      <c r="O4635">
        <v>2036</v>
      </c>
      <c r="P4635">
        <v>159.1569263957858</v>
      </c>
    </row>
    <row r="4636" spans="1:16" x14ac:dyDescent="0.3">
      <c r="A4636" t="str">
        <f t="shared" si="72"/>
        <v>PA|NewCapacity|RE1|PWRBGS|2036</v>
      </c>
      <c r="B4636" t="s">
        <v>44</v>
      </c>
      <c r="C4636" t="s">
        <v>45</v>
      </c>
      <c r="D4636" t="s">
        <v>37</v>
      </c>
      <c r="E4636" t="s">
        <v>19</v>
      </c>
      <c r="F4636" t="s">
        <v>20</v>
      </c>
      <c r="O4636">
        <v>2036</v>
      </c>
    </row>
    <row r="4637" spans="1:16" x14ac:dyDescent="0.3">
      <c r="A4637" t="str">
        <f t="shared" si="72"/>
        <v>PA|NewCapacity|RE1|PWRCOA|2036</v>
      </c>
      <c r="B4637" t="s">
        <v>44</v>
      </c>
      <c r="C4637" t="s">
        <v>45</v>
      </c>
      <c r="D4637" t="s">
        <v>37</v>
      </c>
      <c r="E4637" t="s">
        <v>19</v>
      </c>
      <c r="F4637" t="s">
        <v>21</v>
      </c>
      <c r="O4637">
        <v>2036</v>
      </c>
    </row>
    <row r="4638" spans="1:16" x14ac:dyDescent="0.3">
      <c r="A4638" t="str">
        <f t="shared" si="72"/>
        <v>PA|NewCapacity|RE1|PWRDSL|2036</v>
      </c>
      <c r="B4638" t="s">
        <v>44</v>
      </c>
      <c r="C4638" t="s">
        <v>45</v>
      </c>
      <c r="D4638" t="s">
        <v>37</v>
      </c>
      <c r="E4638" t="s">
        <v>19</v>
      </c>
      <c r="F4638" t="s">
        <v>22</v>
      </c>
      <c r="O4638">
        <v>2036</v>
      </c>
    </row>
    <row r="4639" spans="1:16" x14ac:dyDescent="0.3">
      <c r="A4639" t="str">
        <f t="shared" si="72"/>
        <v>PA|NewCapacity|RE1|PWRFOL|2036</v>
      </c>
      <c r="B4639" t="s">
        <v>44</v>
      </c>
      <c r="C4639" t="s">
        <v>45</v>
      </c>
      <c r="D4639" t="s">
        <v>37</v>
      </c>
      <c r="E4639" t="s">
        <v>19</v>
      </c>
      <c r="F4639" t="s">
        <v>23</v>
      </c>
      <c r="O4639">
        <v>2036</v>
      </c>
    </row>
    <row r="4640" spans="1:16" x14ac:dyDescent="0.3">
      <c r="A4640" t="str">
        <f t="shared" si="72"/>
        <v>PA|NewCapacity|RE1|PWRGEO|2036</v>
      </c>
      <c r="B4640" t="s">
        <v>44</v>
      </c>
      <c r="C4640" t="s">
        <v>45</v>
      </c>
      <c r="D4640" t="s">
        <v>37</v>
      </c>
      <c r="E4640" t="s">
        <v>19</v>
      </c>
      <c r="F4640" t="s">
        <v>46</v>
      </c>
      <c r="O4640">
        <v>2036</v>
      </c>
    </row>
    <row r="4641" spans="1:16" x14ac:dyDescent="0.3">
      <c r="A4641" t="str">
        <f t="shared" si="72"/>
        <v>PA|NewCapacity|RE1|PWRHYDDAM|2036</v>
      </c>
      <c r="B4641" t="s">
        <v>44</v>
      </c>
      <c r="C4641" t="s">
        <v>45</v>
      </c>
      <c r="D4641" t="s">
        <v>37</v>
      </c>
      <c r="E4641" t="s">
        <v>19</v>
      </c>
      <c r="F4641" t="s">
        <v>24</v>
      </c>
      <c r="O4641">
        <v>2036</v>
      </c>
    </row>
    <row r="4642" spans="1:16" x14ac:dyDescent="0.3">
      <c r="A4642" t="str">
        <f t="shared" si="72"/>
        <v>PA|NewCapacity|RE1|PWRHYDROR|2036</v>
      </c>
      <c r="B4642" t="s">
        <v>44</v>
      </c>
      <c r="C4642" t="s">
        <v>45</v>
      </c>
      <c r="D4642" t="s">
        <v>37</v>
      </c>
      <c r="E4642" t="s">
        <v>19</v>
      </c>
      <c r="F4642" t="s">
        <v>25</v>
      </c>
      <c r="O4642">
        <v>2036</v>
      </c>
    </row>
    <row r="4643" spans="1:16" x14ac:dyDescent="0.3">
      <c r="A4643" t="str">
        <f t="shared" si="72"/>
        <v>PA|NewCapacity|RE1|PWRHYDROR_NDC|2036</v>
      </c>
      <c r="B4643" t="s">
        <v>44</v>
      </c>
      <c r="C4643" t="s">
        <v>45</v>
      </c>
      <c r="D4643" t="s">
        <v>37</v>
      </c>
      <c r="E4643" t="s">
        <v>19</v>
      </c>
      <c r="F4643" t="s">
        <v>26</v>
      </c>
      <c r="O4643">
        <v>2036</v>
      </c>
    </row>
    <row r="4644" spans="1:16" x14ac:dyDescent="0.3">
      <c r="A4644" t="str">
        <f t="shared" si="72"/>
        <v>PA|NewCapacity|RE1|PWRJET|2036</v>
      </c>
      <c r="B4644" t="s">
        <v>44</v>
      </c>
      <c r="C4644" t="s">
        <v>45</v>
      </c>
      <c r="D4644" t="s">
        <v>37</v>
      </c>
      <c r="E4644" t="s">
        <v>19</v>
      </c>
      <c r="F4644" t="s">
        <v>27</v>
      </c>
      <c r="O4644">
        <v>2036</v>
      </c>
    </row>
    <row r="4645" spans="1:16" x14ac:dyDescent="0.3">
      <c r="A4645" t="str">
        <f t="shared" si="72"/>
        <v>PA|NewCapacity|RE1|PWRLPG|2036</v>
      </c>
      <c r="B4645" t="s">
        <v>44</v>
      </c>
      <c r="C4645" t="s">
        <v>45</v>
      </c>
      <c r="D4645" t="s">
        <v>37</v>
      </c>
      <c r="E4645" t="s">
        <v>19</v>
      </c>
      <c r="F4645" t="s">
        <v>28</v>
      </c>
      <c r="O4645">
        <v>2036</v>
      </c>
    </row>
    <row r="4646" spans="1:16" x14ac:dyDescent="0.3">
      <c r="A4646" t="str">
        <f t="shared" si="72"/>
        <v>PA|NewCapacity|RE1|PWRNGS_CC|2036</v>
      </c>
      <c r="B4646" t="s">
        <v>44</v>
      </c>
      <c r="C4646" t="s">
        <v>45</v>
      </c>
      <c r="D4646" t="s">
        <v>37</v>
      </c>
      <c r="E4646" t="s">
        <v>19</v>
      </c>
      <c r="F4646" t="s">
        <v>29</v>
      </c>
      <c r="O4646">
        <v>2036</v>
      </c>
    </row>
    <row r="4647" spans="1:16" x14ac:dyDescent="0.3">
      <c r="A4647" t="str">
        <f t="shared" si="72"/>
        <v>PA|NewCapacity|RE1|PWRNGS_CS|2036</v>
      </c>
      <c r="B4647" t="s">
        <v>44</v>
      </c>
      <c r="C4647" t="s">
        <v>45</v>
      </c>
      <c r="D4647" t="s">
        <v>37</v>
      </c>
      <c r="E4647" t="s">
        <v>19</v>
      </c>
      <c r="F4647" t="s">
        <v>30</v>
      </c>
      <c r="O4647">
        <v>2036</v>
      </c>
    </row>
    <row r="4648" spans="1:16" x14ac:dyDescent="0.3">
      <c r="A4648" t="str">
        <f t="shared" si="72"/>
        <v>PA|NewCapacity|RE1|PWRNUC|2036</v>
      </c>
      <c r="B4648" t="s">
        <v>44</v>
      </c>
      <c r="C4648" t="s">
        <v>45</v>
      </c>
      <c r="D4648" t="s">
        <v>37</v>
      </c>
      <c r="E4648" t="s">
        <v>19</v>
      </c>
      <c r="F4648" t="s">
        <v>47</v>
      </c>
      <c r="O4648">
        <v>2036</v>
      </c>
    </row>
    <row r="4649" spans="1:16" x14ac:dyDescent="0.3">
      <c r="A4649" t="str">
        <f t="shared" si="72"/>
        <v>PA|NewCapacity|RE1|PWRSOLRTP|2036</v>
      </c>
      <c r="B4649" t="s">
        <v>44</v>
      </c>
      <c r="C4649" t="s">
        <v>45</v>
      </c>
      <c r="D4649" t="s">
        <v>37</v>
      </c>
      <c r="E4649" t="s">
        <v>19</v>
      </c>
      <c r="F4649" t="s">
        <v>31</v>
      </c>
      <c r="O4649">
        <v>2036</v>
      </c>
      <c r="P4649">
        <v>6.1826252377932782</v>
      </c>
    </row>
    <row r="4650" spans="1:16" x14ac:dyDescent="0.3">
      <c r="A4650" t="str">
        <f t="shared" si="72"/>
        <v>PA|NewCapacity|RE1|PWRSOLRTP_ZNI|2036</v>
      </c>
      <c r="B4650" t="s">
        <v>44</v>
      </c>
      <c r="C4650" t="s">
        <v>45</v>
      </c>
      <c r="D4650" t="s">
        <v>37</v>
      </c>
      <c r="E4650" t="s">
        <v>19</v>
      </c>
      <c r="F4650" t="s">
        <v>32</v>
      </c>
      <c r="O4650">
        <v>2036</v>
      </c>
    </row>
    <row r="4651" spans="1:16" x14ac:dyDescent="0.3">
      <c r="A4651" t="str">
        <f t="shared" si="72"/>
        <v>PA|NewCapacity|RE1|PWRSOLUGE|2036</v>
      </c>
      <c r="B4651" t="s">
        <v>44</v>
      </c>
      <c r="C4651" t="s">
        <v>45</v>
      </c>
      <c r="D4651" t="s">
        <v>37</v>
      </c>
      <c r="E4651" t="s">
        <v>19</v>
      </c>
      <c r="F4651" t="s">
        <v>33</v>
      </c>
      <c r="O4651">
        <v>2036</v>
      </c>
    </row>
    <row r="4652" spans="1:16" x14ac:dyDescent="0.3">
      <c r="A4652" t="str">
        <f t="shared" si="72"/>
        <v>PA|NewCapacity|RE1|PWRSOLUPE|2036</v>
      </c>
      <c r="B4652" t="s">
        <v>44</v>
      </c>
      <c r="C4652" t="s">
        <v>45</v>
      </c>
      <c r="D4652" t="s">
        <v>37</v>
      </c>
      <c r="E4652" t="s">
        <v>19</v>
      </c>
      <c r="F4652" t="s">
        <v>34</v>
      </c>
      <c r="O4652">
        <v>2036</v>
      </c>
    </row>
    <row r="4653" spans="1:16" x14ac:dyDescent="0.3">
      <c r="A4653" t="str">
        <f t="shared" si="72"/>
        <v>PA|NewCapacity|RE1|PWRSTD|2036</v>
      </c>
      <c r="B4653" t="s">
        <v>44</v>
      </c>
      <c r="C4653" t="s">
        <v>45</v>
      </c>
      <c r="D4653" t="s">
        <v>37</v>
      </c>
      <c r="E4653" t="s">
        <v>19</v>
      </c>
      <c r="F4653" t="s">
        <v>35</v>
      </c>
      <c r="O4653">
        <v>2036</v>
      </c>
    </row>
    <row r="4654" spans="1:16" x14ac:dyDescent="0.3">
      <c r="A4654" t="str">
        <f t="shared" si="72"/>
        <v>PA|NewCapacity|RE1|PWRWNDOFS_FIX|2036</v>
      </c>
      <c r="B4654" t="s">
        <v>44</v>
      </c>
      <c r="C4654" t="s">
        <v>45</v>
      </c>
      <c r="D4654" t="s">
        <v>37</v>
      </c>
      <c r="E4654" t="s">
        <v>19</v>
      </c>
      <c r="F4654" t="s">
        <v>42</v>
      </c>
      <c r="O4654">
        <v>2036</v>
      </c>
      <c r="P4654">
        <v>1.752</v>
      </c>
    </row>
    <row r="4655" spans="1:16" x14ac:dyDescent="0.3">
      <c r="A4655" t="str">
        <f t="shared" si="72"/>
        <v>PA|NewCapacity|RE1|PWRWNDONS|2036</v>
      </c>
      <c r="B4655" t="s">
        <v>44</v>
      </c>
      <c r="C4655" t="s">
        <v>45</v>
      </c>
      <c r="D4655" t="s">
        <v>37</v>
      </c>
      <c r="E4655" t="s">
        <v>19</v>
      </c>
      <c r="F4655" t="s">
        <v>36</v>
      </c>
      <c r="O4655">
        <v>2036</v>
      </c>
      <c r="P4655">
        <v>47.31</v>
      </c>
    </row>
    <row r="4656" spans="1:16" x14ac:dyDescent="0.3">
      <c r="A4656" t="str">
        <f t="shared" si="72"/>
        <v>PA|TotalCapacityAnnual|RE1|PWRBGS|2036</v>
      </c>
      <c r="B4656" t="s">
        <v>44</v>
      </c>
      <c r="C4656" t="s">
        <v>45</v>
      </c>
      <c r="D4656" t="s">
        <v>38</v>
      </c>
      <c r="E4656" t="s">
        <v>19</v>
      </c>
      <c r="F4656" t="s">
        <v>20</v>
      </c>
      <c r="O4656">
        <v>2036</v>
      </c>
      <c r="P4656">
        <v>2.5488587520000001E-2</v>
      </c>
    </row>
    <row r="4657" spans="1:16" x14ac:dyDescent="0.3">
      <c r="A4657" t="str">
        <f t="shared" si="72"/>
        <v>PA|TotalCapacityAnnual|RE1|PWRCOA|2036</v>
      </c>
      <c r="B4657" t="s">
        <v>44</v>
      </c>
      <c r="C4657" t="s">
        <v>45</v>
      </c>
      <c r="D4657" t="s">
        <v>38</v>
      </c>
      <c r="E4657" t="s">
        <v>19</v>
      </c>
      <c r="F4657" t="s">
        <v>21</v>
      </c>
      <c r="O4657">
        <v>2036</v>
      </c>
    </row>
    <row r="4658" spans="1:16" x14ac:dyDescent="0.3">
      <c r="A4658" t="str">
        <f t="shared" si="72"/>
        <v>PA|TotalCapacityAnnual|RE1|PWRDSL|2036</v>
      </c>
      <c r="B4658" t="s">
        <v>44</v>
      </c>
      <c r="C4658" t="s">
        <v>45</v>
      </c>
      <c r="D4658" t="s">
        <v>38</v>
      </c>
      <c r="E4658" t="s">
        <v>19</v>
      </c>
      <c r="F4658" t="s">
        <v>22</v>
      </c>
      <c r="O4658">
        <v>2036</v>
      </c>
      <c r="P4658">
        <v>24.944976</v>
      </c>
    </row>
    <row r="4659" spans="1:16" x14ac:dyDescent="0.3">
      <c r="A4659" t="str">
        <f t="shared" si="72"/>
        <v>PA|TotalCapacityAnnual|RE1|PWRFOL|2036</v>
      </c>
      <c r="B4659" t="s">
        <v>44</v>
      </c>
      <c r="C4659" t="s">
        <v>45</v>
      </c>
      <c r="D4659" t="s">
        <v>38</v>
      </c>
      <c r="E4659" t="s">
        <v>19</v>
      </c>
      <c r="F4659" t="s">
        <v>23</v>
      </c>
      <c r="O4659">
        <v>2036</v>
      </c>
      <c r="P4659">
        <v>8.3885759999999987</v>
      </c>
    </row>
    <row r="4660" spans="1:16" x14ac:dyDescent="0.3">
      <c r="A4660" t="str">
        <f t="shared" si="72"/>
        <v>PA|TotalCapacityAnnual|RE1|PWRGEO|2036</v>
      </c>
      <c r="B4660" t="s">
        <v>44</v>
      </c>
      <c r="C4660" t="s">
        <v>45</v>
      </c>
      <c r="D4660" t="s">
        <v>38</v>
      </c>
      <c r="E4660" t="s">
        <v>19</v>
      </c>
      <c r="F4660" t="s">
        <v>46</v>
      </c>
      <c r="O4660">
        <v>2036</v>
      </c>
    </row>
    <row r="4661" spans="1:16" x14ac:dyDescent="0.3">
      <c r="A4661" t="str">
        <f t="shared" si="72"/>
        <v>PA|TotalCapacityAnnual|RE1|PWRHYDDAM|2036</v>
      </c>
      <c r="B4661" t="s">
        <v>44</v>
      </c>
      <c r="C4661" t="s">
        <v>45</v>
      </c>
      <c r="D4661" t="s">
        <v>38</v>
      </c>
      <c r="E4661" t="s">
        <v>19</v>
      </c>
      <c r="F4661" t="s">
        <v>24</v>
      </c>
      <c r="O4661">
        <v>2036</v>
      </c>
      <c r="P4661">
        <v>440.49164800000011</v>
      </c>
    </row>
    <row r="4662" spans="1:16" x14ac:dyDescent="0.3">
      <c r="A4662" t="str">
        <f t="shared" si="72"/>
        <v>PA|TotalCapacityAnnual|RE1|PWRHYDROR|2036</v>
      </c>
      <c r="B4662" t="s">
        <v>44</v>
      </c>
      <c r="C4662" t="s">
        <v>45</v>
      </c>
      <c r="D4662" t="s">
        <v>38</v>
      </c>
      <c r="E4662" t="s">
        <v>19</v>
      </c>
      <c r="F4662" t="s">
        <v>25</v>
      </c>
      <c r="O4662">
        <v>2036</v>
      </c>
      <c r="P4662">
        <v>21.097584000000001</v>
      </c>
    </row>
    <row r="4663" spans="1:16" x14ac:dyDescent="0.3">
      <c r="A4663" t="str">
        <f t="shared" si="72"/>
        <v>PA|TotalCapacityAnnual|RE1|PWRHYDROR_NDC|2036</v>
      </c>
      <c r="B4663" t="s">
        <v>44</v>
      </c>
      <c r="C4663" t="s">
        <v>45</v>
      </c>
      <c r="D4663" t="s">
        <v>38</v>
      </c>
      <c r="E4663" t="s">
        <v>19</v>
      </c>
      <c r="F4663" t="s">
        <v>26</v>
      </c>
      <c r="O4663">
        <v>2036</v>
      </c>
      <c r="P4663">
        <v>29.725108271999989</v>
      </c>
    </row>
    <row r="4664" spans="1:16" x14ac:dyDescent="0.3">
      <c r="A4664" t="str">
        <f t="shared" si="72"/>
        <v>PA|TotalCapacityAnnual|RE1|PWRJET|2036</v>
      </c>
      <c r="B4664" t="s">
        <v>44</v>
      </c>
      <c r="C4664" t="s">
        <v>45</v>
      </c>
      <c r="D4664" t="s">
        <v>38</v>
      </c>
      <c r="E4664" t="s">
        <v>19</v>
      </c>
      <c r="F4664" t="s">
        <v>27</v>
      </c>
      <c r="O4664">
        <v>2036</v>
      </c>
      <c r="P4664">
        <v>1.5768</v>
      </c>
    </row>
    <row r="4665" spans="1:16" x14ac:dyDescent="0.3">
      <c r="A4665" t="str">
        <f t="shared" si="72"/>
        <v>PA|TotalCapacityAnnual|RE1|PWRLPG|2036</v>
      </c>
      <c r="B4665" t="s">
        <v>44</v>
      </c>
      <c r="C4665" t="s">
        <v>45</v>
      </c>
      <c r="D4665" t="s">
        <v>38</v>
      </c>
      <c r="E4665" t="s">
        <v>19</v>
      </c>
      <c r="F4665" t="s">
        <v>28</v>
      </c>
      <c r="O4665">
        <v>2036</v>
      </c>
      <c r="P4665">
        <v>1.639872</v>
      </c>
    </row>
    <row r="4666" spans="1:16" x14ac:dyDescent="0.3">
      <c r="A4666" t="str">
        <f t="shared" si="72"/>
        <v>PA|TotalCapacityAnnual|RE1|PWRNGS_CC|2036</v>
      </c>
      <c r="B4666" t="s">
        <v>44</v>
      </c>
      <c r="C4666" t="s">
        <v>45</v>
      </c>
      <c r="D4666" t="s">
        <v>38</v>
      </c>
      <c r="E4666" t="s">
        <v>19</v>
      </c>
      <c r="F4666" t="s">
        <v>29</v>
      </c>
      <c r="O4666">
        <v>2036</v>
      </c>
      <c r="P4666">
        <v>70.104500000000002</v>
      </c>
    </row>
    <row r="4667" spans="1:16" x14ac:dyDescent="0.3">
      <c r="A4667" t="str">
        <f t="shared" si="72"/>
        <v>PA|TotalCapacityAnnual|RE1|PWRNGS_CS|2036</v>
      </c>
      <c r="B4667" t="s">
        <v>44</v>
      </c>
      <c r="C4667" t="s">
        <v>45</v>
      </c>
      <c r="D4667" t="s">
        <v>38</v>
      </c>
      <c r="E4667" t="s">
        <v>19</v>
      </c>
      <c r="F4667" t="s">
        <v>30</v>
      </c>
      <c r="O4667">
        <v>2036</v>
      </c>
      <c r="P4667">
        <v>23.084351999999999</v>
      </c>
    </row>
    <row r="4668" spans="1:16" x14ac:dyDescent="0.3">
      <c r="A4668" t="str">
        <f t="shared" si="72"/>
        <v>PA|TotalCapacityAnnual|RE1|PWRNUC|2036</v>
      </c>
      <c r="B4668" t="s">
        <v>44</v>
      </c>
      <c r="C4668" t="s">
        <v>45</v>
      </c>
      <c r="D4668" t="s">
        <v>38</v>
      </c>
      <c r="E4668" t="s">
        <v>19</v>
      </c>
      <c r="F4668" t="s">
        <v>47</v>
      </c>
      <c r="O4668">
        <v>2036</v>
      </c>
    </row>
    <row r="4669" spans="1:16" x14ac:dyDescent="0.3">
      <c r="A4669" t="str">
        <f t="shared" si="72"/>
        <v>PA|TotalCapacityAnnual|RE1|PWRSOLRTP|2036</v>
      </c>
      <c r="B4669" t="s">
        <v>44</v>
      </c>
      <c r="C4669" t="s">
        <v>45</v>
      </c>
      <c r="D4669" t="s">
        <v>38</v>
      </c>
      <c r="E4669" t="s">
        <v>19</v>
      </c>
      <c r="F4669" t="s">
        <v>31</v>
      </c>
      <c r="O4669">
        <v>2036</v>
      </c>
      <c r="P4669">
        <v>143.93690279010781</v>
      </c>
    </row>
    <row r="4670" spans="1:16" x14ac:dyDescent="0.3">
      <c r="A4670" t="str">
        <f t="shared" si="72"/>
        <v>PA|TotalCapacityAnnual|RE1|PWRSOLRTP_ZNI|2036</v>
      </c>
      <c r="B4670" t="s">
        <v>44</v>
      </c>
      <c r="C4670" t="s">
        <v>45</v>
      </c>
      <c r="D4670" t="s">
        <v>38</v>
      </c>
      <c r="E4670" t="s">
        <v>19</v>
      </c>
      <c r="F4670" t="s">
        <v>32</v>
      </c>
      <c r="O4670">
        <v>2036</v>
      </c>
      <c r="P4670">
        <v>0.46074095999999998</v>
      </c>
    </row>
    <row r="4671" spans="1:16" x14ac:dyDescent="0.3">
      <c r="A4671" t="str">
        <f t="shared" si="72"/>
        <v>PA|TotalCapacityAnnual|RE1|PWRSOLUGE|2036</v>
      </c>
      <c r="B4671" t="s">
        <v>44</v>
      </c>
      <c r="C4671" t="s">
        <v>45</v>
      </c>
      <c r="D4671" t="s">
        <v>38</v>
      </c>
      <c r="E4671" t="s">
        <v>19</v>
      </c>
      <c r="F4671" t="s">
        <v>33</v>
      </c>
      <c r="O4671">
        <v>2036</v>
      </c>
      <c r="P4671">
        <v>191.79186048</v>
      </c>
    </row>
    <row r="4672" spans="1:16" x14ac:dyDescent="0.3">
      <c r="A4672" t="str">
        <f t="shared" si="72"/>
        <v>PA|TotalCapacityAnnual|RE1|PWRSOLUPE|2036</v>
      </c>
      <c r="B4672" t="s">
        <v>44</v>
      </c>
      <c r="C4672" t="s">
        <v>45</v>
      </c>
      <c r="D4672" t="s">
        <v>38</v>
      </c>
      <c r="E4672" t="s">
        <v>19</v>
      </c>
      <c r="F4672" t="s">
        <v>34</v>
      </c>
      <c r="O4672">
        <v>2036</v>
      </c>
      <c r="P4672">
        <v>39.172600079999931</v>
      </c>
    </row>
    <row r="4673" spans="1:16" x14ac:dyDescent="0.3">
      <c r="A4673" t="str">
        <f t="shared" si="72"/>
        <v>PA|TotalCapacityAnnual|RE1|PWRSTD|2036</v>
      </c>
      <c r="B4673" t="s">
        <v>44</v>
      </c>
      <c r="C4673" t="s">
        <v>45</v>
      </c>
      <c r="D4673" t="s">
        <v>38</v>
      </c>
      <c r="E4673" t="s">
        <v>19</v>
      </c>
      <c r="F4673" t="s">
        <v>35</v>
      </c>
      <c r="O4673">
        <v>2036</v>
      </c>
      <c r="P4673">
        <v>8.163062064</v>
      </c>
    </row>
    <row r="4674" spans="1:16" x14ac:dyDescent="0.3">
      <c r="A4674" t="str">
        <f t="shared" ref="A4674:A4737" si="73">B4674&amp;"|"&amp;D4674&amp;"|"&amp;E4674&amp;"|"&amp;F4674&amp;"|"&amp;O4674</f>
        <v>PA|TotalCapacityAnnual|RE1|PWRWNDOFS_FIX|2036</v>
      </c>
      <c r="B4674" t="s">
        <v>44</v>
      </c>
      <c r="C4674" t="s">
        <v>45</v>
      </c>
      <c r="D4674" t="s">
        <v>38</v>
      </c>
      <c r="E4674" t="s">
        <v>19</v>
      </c>
      <c r="F4674" t="s">
        <v>42</v>
      </c>
      <c r="O4674">
        <v>2036</v>
      </c>
      <c r="P4674">
        <v>8.76</v>
      </c>
    </row>
    <row r="4675" spans="1:16" x14ac:dyDescent="0.3">
      <c r="A4675" t="str">
        <f t="shared" si="73"/>
        <v>PA|TotalCapacityAnnual|RE1|PWRWNDONS|2036</v>
      </c>
      <c r="B4675" t="s">
        <v>44</v>
      </c>
      <c r="C4675" t="s">
        <v>45</v>
      </c>
      <c r="D4675" t="s">
        <v>38</v>
      </c>
      <c r="E4675" t="s">
        <v>19</v>
      </c>
      <c r="F4675" t="s">
        <v>36</v>
      </c>
      <c r="O4675">
        <v>2036</v>
      </c>
      <c r="P4675">
        <v>160.52558879578581</v>
      </c>
    </row>
    <row r="4676" spans="1:16" x14ac:dyDescent="0.3">
      <c r="A4676" t="str">
        <f t="shared" si="73"/>
        <v>PA|AccumulatedNewCapacity|RE1|PWRBGS|2037</v>
      </c>
      <c r="B4676" t="s">
        <v>44</v>
      </c>
      <c r="C4676" t="s">
        <v>45</v>
      </c>
      <c r="D4676" t="s">
        <v>18</v>
      </c>
      <c r="E4676" t="s">
        <v>19</v>
      </c>
      <c r="F4676" t="s">
        <v>20</v>
      </c>
      <c r="O4676">
        <v>2037</v>
      </c>
    </row>
    <row r="4677" spans="1:16" x14ac:dyDescent="0.3">
      <c r="A4677" t="str">
        <f t="shared" si="73"/>
        <v>PA|AccumulatedNewCapacity|RE1|PWRCOA|2037</v>
      </c>
      <c r="B4677" t="s">
        <v>44</v>
      </c>
      <c r="C4677" t="s">
        <v>45</v>
      </c>
      <c r="D4677" t="s">
        <v>18</v>
      </c>
      <c r="E4677" t="s">
        <v>19</v>
      </c>
      <c r="F4677" t="s">
        <v>21</v>
      </c>
      <c r="O4677">
        <v>2037</v>
      </c>
    </row>
    <row r="4678" spans="1:16" x14ac:dyDescent="0.3">
      <c r="A4678" t="str">
        <f t="shared" si="73"/>
        <v>PA|AccumulatedNewCapacity|RE1|PWRDSL|2037</v>
      </c>
      <c r="B4678" t="s">
        <v>44</v>
      </c>
      <c r="C4678" t="s">
        <v>45</v>
      </c>
      <c r="D4678" t="s">
        <v>18</v>
      </c>
      <c r="E4678" t="s">
        <v>19</v>
      </c>
      <c r="F4678" t="s">
        <v>22</v>
      </c>
      <c r="O4678">
        <v>2037</v>
      </c>
    </row>
    <row r="4679" spans="1:16" x14ac:dyDescent="0.3">
      <c r="A4679" t="str">
        <f t="shared" si="73"/>
        <v>PA|AccumulatedNewCapacity|RE1|PWRFOL|2037</v>
      </c>
      <c r="B4679" t="s">
        <v>44</v>
      </c>
      <c r="C4679" t="s">
        <v>45</v>
      </c>
      <c r="D4679" t="s">
        <v>18</v>
      </c>
      <c r="E4679" t="s">
        <v>19</v>
      </c>
      <c r="F4679" t="s">
        <v>23</v>
      </c>
      <c r="O4679">
        <v>2037</v>
      </c>
    </row>
    <row r="4680" spans="1:16" x14ac:dyDescent="0.3">
      <c r="A4680" t="str">
        <f t="shared" si="73"/>
        <v>PA|AccumulatedNewCapacity|RE1|PWRGEO|2037</v>
      </c>
      <c r="B4680" t="s">
        <v>44</v>
      </c>
      <c r="C4680" t="s">
        <v>45</v>
      </c>
      <c r="D4680" t="s">
        <v>18</v>
      </c>
      <c r="E4680" t="s">
        <v>19</v>
      </c>
      <c r="F4680" t="s">
        <v>46</v>
      </c>
      <c r="O4680">
        <v>2037</v>
      </c>
    </row>
    <row r="4681" spans="1:16" x14ac:dyDescent="0.3">
      <c r="A4681" t="str">
        <f t="shared" si="73"/>
        <v>PA|AccumulatedNewCapacity|RE1|PWRHYDDAM|2037</v>
      </c>
      <c r="B4681" t="s">
        <v>44</v>
      </c>
      <c r="C4681" t="s">
        <v>45</v>
      </c>
      <c r="D4681" t="s">
        <v>18</v>
      </c>
      <c r="E4681" t="s">
        <v>19</v>
      </c>
      <c r="F4681" t="s">
        <v>24</v>
      </c>
      <c r="O4681">
        <v>2037</v>
      </c>
      <c r="P4681">
        <v>37.840000000000003</v>
      </c>
    </row>
    <row r="4682" spans="1:16" x14ac:dyDescent="0.3">
      <c r="A4682" t="str">
        <f t="shared" si="73"/>
        <v>PA|AccumulatedNewCapacity|RE1|PWRHYDROR|2037</v>
      </c>
      <c r="B4682" t="s">
        <v>44</v>
      </c>
      <c r="C4682" t="s">
        <v>45</v>
      </c>
      <c r="D4682" t="s">
        <v>18</v>
      </c>
      <c r="E4682" t="s">
        <v>19</v>
      </c>
      <c r="F4682" t="s">
        <v>25</v>
      </c>
      <c r="O4682">
        <v>2037</v>
      </c>
    </row>
    <row r="4683" spans="1:16" x14ac:dyDescent="0.3">
      <c r="A4683" t="str">
        <f t="shared" si="73"/>
        <v>PA|AccumulatedNewCapacity|RE1|PWRHYDROR_NDC|2037</v>
      </c>
      <c r="B4683" t="s">
        <v>44</v>
      </c>
      <c r="C4683" t="s">
        <v>45</v>
      </c>
      <c r="D4683" t="s">
        <v>18</v>
      </c>
      <c r="E4683" t="s">
        <v>19</v>
      </c>
      <c r="F4683" t="s">
        <v>26</v>
      </c>
      <c r="O4683">
        <v>2037</v>
      </c>
    </row>
    <row r="4684" spans="1:16" x14ac:dyDescent="0.3">
      <c r="A4684" t="str">
        <f t="shared" si="73"/>
        <v>PA|AccumulatedNewCapacity|RE1|PWRJET|2037</v>
      </c>
      <c r="B4684" t="s">
        <v>44</v>
      </c>
      <c r="C4684" t="s">
        <v>45</v>
      </c>
      <c r="D4684" t="s">
        <v>18</v>
      </c>
      <c r="E4684" t="s">
        <v>19</v>
      </c>
      <c r="F4684" t="s">
        <v>27</v>
      </c>
      <c r="O4684">
        <v>2037</v>
      </c>
    </row>
    <row r="4685" spans="1:16" x14ac:dyDescent="0.3">
      <c r="A4685" t="str">
        <f t="shared" si="73"/>
        <v>PA|AccumulatedNewCapacity|RE1|PWRLPG|2037</v>
      </c>
      <c r="B4685" t="s">
        <v>44</v>
      </c>
      <c r="C4685" t="s">
        <v>45</v>
      </c>
      <c r="D4685" t="s">
        <v>18</v>
      </c>
      <c r="E4685" t="s">
        <v>19</v>
      </c>
      <c r="F4685" t="s">
        <v>28</v>
      </c>
      <c r="O4685">
        <v>2037</v>
      </c>
    </row>
    <row r="4686" spans="1:16" x14ac:dyDescent="0.3">
      <c r="A4686" t="str">
        <f t="shared" si="73"/>
        <v>PA|AccumulatedNewCapacity|RE1|PWRNGS_CC|2037</v>
      </c>
      <c r="B4686" t="s">
        <v>44</v>
      </c>
      <c r="C4686" t="s">
        <v>45</v>
      </c>
      <c r="D4686" t="s">
        <v>18</v>
      </c>
      <c r="E4686" t="s">
        <v>19</v>
      </c>
      <c r="F4686" t="s">
        <v>29</v>
      </c>
      <c r="O4686">
        <v>2037</v>
      </c>
    </row>
    <row r="4687" spans="1:16" x14ac:dyDescent="0.3">
      <c r="A4687" t="str">
        <f t="shared" si="73"/>
        <v>PA|AccumulatedNewCapacity|RE1|PWRNGS_CS|2037</v>
      </c>
      <c r="B4687" t="s">
        <v>44</v>
      </c>
      <c r="C4687" t="s">
        <v>45</v>
      </c>
      <c r="D4687" t="s">
        <v>18</v>
      </c>
      <c r="E4687" t="s">
        <v>19</v>
      </c>
      <c r="F4687" t="s">
        <v>30</v>
      </c>
      <c r="O4687">
        <v>2037</v>
      </c>
    </row>
    <row r="4688" spans="1:16" x14ac:dyDescent="0.3">
      <c r="A4688" t="str">
        <f t="shared" si="73"/>
        <v>PA|AccumulatedNewCapacity|RE1|PWRNUC|2037</v>
      </c>
      <c r="B4688" t="s">
        <v>44</v>
      </c>
      <c r="C4688" t="s">
        <v>45</v>
      </c>
      <c r="D4688" t="s">
        <v>18</v>
      </c>
      <c r="E4688" t="s">
        <v>19</v>
      </c>
      <c r="F4688" t="s">
        <v>47</v>
      </c>
      <c r="O4688">
        <v>2037</v>
      </c>
    </row>
    <row r="4689" spans="1:16" x14ac:dyDescent="0.3">
      <c r="A4689" t="str">
        <f t="shared" si="73"/>
        <v>PA|AccumulatedNewCapacity|RE1|PWRSOLRTP|2037</v>
      </c>
      <c r="B4689" t="s">
        <v>44</v>
      </c>
      <c r="C4689" t="s">
        <v>45</v>
      </c>
      <c r="D4689" t="s">
        <v>18</v>
      </c>
      <c r="E4689" t="s">
        <v>19</v>
      </c>
      <c r="F4689" t="s">
        <v>31</v>
      </c>
      <c r="O4689">
        <v>2037</v>
      </c>
      <c r="P4689">
        <v>125.72572606214329</v>
      </c>
    </row>
    <row r="4690" spans="1:16" x14ac:dyDescent="0.3">
      <c r="A4690" t="str">
        <f t="shared" si="73"/>
        <v>PA|AccumulatedNewCapacity|RE1|PWRSOLRTP_ZNI|2037</v>
      </c>
      <c r="B4690" t="s">
        <v>44</v>
      </c>
      <c r="C4690" t="s">
        <v>45</v>
      </c>
      <c r="D4690" t="s">
        <v>18</v>
      </c>
      <c r="E4690" t="s">
        <v>19</v>
      </c>
      <c r="F4690" t="s">
        <v>32</v>
      </c>
      <c r="O4690">
        <v>2037</v>
      </c>
    </row>
    <row r="4691" spans="1:16" x14ac:dyDescent="0.3">
      <c r="A4691" t="str">
        <f t="shared" si="73"/>
        <v>PA|AccumulatedNewCapacity|RE1|PWRSOLUGE|2037</v>
      </c>
      <c r="B4691" t="s">
        <v>44</v>
      </c>
      <c r="C4691" t="s">
        <v>45</v>
      </c>
      <c r="D4691" t="s">
        <v>18</v>
      </c>
      <c r="E4691" t="s">
        <v>19</v>
      </c>
      <c r="F4691" t="s">
        <v>33</v>
      </c>
      <c r="O4691">
        <v>2037</v>
      </c>
      <c r="P4691">
        <v>143.394192</v>
      </c>
    </row>
    <row r="4692" spans="1:16" x14ac:dyDescent="0.3">
      <c r="A4692" t="str">
        <f t="shared" si="73"/>
        <v>PA|AccumulatedNewCapacity|RE1|PWRSOLUPE|2037</v>
      </c>
      <c r="B4692" t="s">
        <v>44</v>
      </c>
      <c r="C4692" t="s">
        <v>45</v>
      </c>
      <c r="D4692" t="s">
        <v>18</v>
      </c>
      <c r="E4692" t="s">
        <v>19</v>
      </c>
      <c r="F4692" t="s">
        <v>34</v>
      </c>
      <c r="O4692">
        <v>2037</v>
      </c>
      <c r="P4692">
        <v>12.14419823999993</v>
      </c>
    </row>
    <row r="4693" spans="1:16" x14ac:dyDescent="0.3">
      <c r="A4693" t="str">
        <f t="shared" si="73"/>
        <v>PA|AccumulatedNewCapacity|RE1|PWRSTD|2037</v>
      </c>
      <c r="B4693" t="s">
        <v>44</v>
      </c>
      <c r="C4693" t="s">
        <v>45</v>
      </c>
      <c r="D4693" t="s">
        <v>18</v>
      </c>
      <c r="E4693" t="s">
        <v>19</v>
      </c>
      <c r="F4693" t="s">
        <v>35</v>
      </c>
      <c r="O4693">
        <v>2037</v>
      </c>
    </row>
    <row r="4694" spans="1:16" x14ac:dyDescent="0.3">
      <c r="A4694" t="str">
        <f t="shared" si="73"/>
        <v>PA|AccumulatedNewCapacity|RE1|PWRWNDOFS_FIX|2037</v>
      </c>
      <c r="B4694" t="s">
        <v>44</v>
      </c>
      <c r="C4694" t="s">
        <v>45</v>
      </c>
      <c r="D4694" t="s">
        <v>18</v>
      </c>
      <c r="E4694" t="s">
        <v>19</v>
      </c>
      <c r="F4694" t="s">
        <v>42</v>
      </c>
      <c r="O4694">
        <v>2037</v>
      </c>
      <c r="P4694">
        <v>10.512</v>
      </c>
    </row>
    <row r="4695" spans="1:16" x14ac:dyDescent="0.3">
      <c r="A4695" t="str">
        <f t="shared" si="73"/>
        <v>PA|AccumulatedNewCapacity|RE1|PWRWNDONS|2037</v>
      </c>
      <c r="B4695" t="s">
        <v>44</v>
      </c>
      <c r="C4695" t="s">
        <v>45</v>
      </c>
      <c r="D4695" t="s">
        <v>18</v>
      </c>
      <c r="E4695" t="s">
        <v>19</v>
      </c>
      <c r="F4695" t="s">
        <v>36</v>
      </c>
      <c r="O4695">
        <v>2037</v>
      </c>
      <c r="P4695">
        <v>160.58802851083539</v>
      </c>
    </row>
    <row r="4696" spans="1:16" x14ac:dyDescent="0.3">
      <c r="A4696" t="str">
        <f t="shared" si="73"/>
        <v>PA|NewCapacity|RE1|PWRBGS|2037</v>
      </c>
      <c r="B4696" t="s">
        <v>44</v>
      </c>
      <c r="C4696" t="s">
        <v>45</v>
      </c>
      <c r="D4696" t="s">
        <v>37</v>
      </c>
      <c r="E4696" t="s">
        <v>19</v>
      </c>
      <c r="F4696" t="s">
        <v>20</v>
      </c>
      <c r="O4696">
        <v>2037</v>
      </c>
    </row>
    <row r="4697" spans="1:16" x14ac:dyDescent="0.3">
      <c r="A4697" t="str">
        <f t="shared" si="73"/>
        <v>PA|NewCapacity|RE1|PWRCOA|2037</v>
      </c>
      <c r="B4697" t="s">
        <v>44</v>
      </c>
      <c r="C4697" t="s">
        <v>45</v>
      </c>
      <c r="D4697" t="s">
        <v>37</v>
      </c>
      <c r="E4697" t="s">
        <v>19</v>
      </c>
      <c r="F4697" t="s">
        <v>21</v>
      </c>
      <c r="O4697">
        <v>2037</v>
      </c>
    </row>
    <row r="4698" spans="1:16" x14ac:dyDescent="0.3">
      <c r="A4698" t="str">
        <f t="shared" si="73"/>
        <v>PA|NewCapacity|RE1|PWRDSL|2037</v>
      </c>
      <c r="B4698" t="s">
        <v>44</v>
      </c>
      <c r="C4698" t="s">
        <v>45</v>
      </c>
      <c r="D4698" t="s">
        <v>37</v>
      </c>
      <c r="E4698" t="s">
        <v>19</v>
      </c>
      <c r="F4698" t="s">
        <v>22</v>
      </c>
      <c r="O4698">
        <v>2037</v>
      </c>
    </row>
    <row r="4699" spans="1:16" x14ac:dyDescent="0.3">
      <c r="A4699" t="str">
        <f t="shared" si="73"/>
        <v>PA|NewCapacity|RE1|PWRFOL|2037</v>
      </c>
      <c r="B4699" t="s">
        <v>44</v>
      </c>
      <c r="C4699" t="s">
        <v>45</v>
      </c>
      <c r="D4699" t="s">
        <v>37</v>
      </c>
      <c r="E4699" t="s">
        <v>19</v>
      </c>
      <c r="F4699" t="s">
        <v>23</v>
      </c>
      <c r="O4699">
        <v>2037</v>
      </c>
    </row>
    <row r="4700" spans="1:16" x14ac:dyDescent="0.3">
      <c r="A4700" t="str">
        <f t="shared" si="73"/>
        <v>PA|NewCapacity|RE1|PWRGEO|2037</v>
      </c>
      <c r="B4700" t="s">
        <v>44</v>
      </c>
      <c r="C4700" t="s">
        <v>45</v>
      </c>
      <c r="D4700" t="s">
        <v>37</v>
      </c>
      <c r="E4700" t="s">
        <v>19</v>
      </c>
      <c r="F4700" t="s">
        <v>46</v>
      </c>
      <c r="O4700">
        <v>2037</v>
      </c>
    </row>
    <row r="4701" spans="1:16" x14ac:dyDescent="0.3">
      <c r="A4701" t="str">
        <f t="shared" si="73"/>
        <v>PA|NewCapacity|RE1|PWRHYDDAM|2037</v>
      </c>
      <c r="B4701" t="s">
        <v>44</v>
      </c>
      <c r="C4701" t="s">
        <v>45</v>
      </c>
      <c r="D4701" t="s">
        <v>37</v>
      </c>
      <c r="E4701" t="s">
        <v>19</v>
      </c>
      <c r="F4701" t="s">
        <v>24</v>
      </c>
      <c r="O4701">
        <v>2037</v>
      </c>
    </row>
    <row r="4702" spans="1:16" x14ac:dyDescent="0.3">
      <c r="A4702" t="str">
        <f t="shared" si="73"/>
        <v>PA|NewCapacity|RE1|PWRHYDROR|2037</v>
      </c>
      <c r="B4702" t="s">
        <v>44</v>
      </c>
      <c r="C4702" t="s">
        <v>45</v>
      </c>
      <c r="D4702" t="s">
        <v>37</v>
      </c>
      <c r="E4702" t="s">
        <v>19</v>
      </c>
      <c r="F4702" t="s">
        <v>25</v>
      </c>
      <c r="O4702">
        <v>2037</v>
      </c>
    </row>
    <row r="4703" spans="1:16" x14ac:dyDescent="0.3">
      <c r="A4703" t="str">
        <f t="shared" si="73"/>
        <v>PA|NewCapacity|RE1|PWRHYDROR_NDC|2037</v>
      </c>
      <c r="B4703" t="s">
        <v>44</v>
      </c>
      <c r="C4703" t="s">
        <v>45</v>
      </c>
      <c r="D4703" t="s">
        <v>37</v>
      </c>
      <c r="E4703" t="s">
        <v>19</v>
      </c>
      <c r="F4703" t="s">
        <v>26</v>
      </c>
      <c r="O4703">
        <v>2037</v>
      </c>
    </row>
    <row r="4704" spans="1:16" x14ac:dyDescent="0.3">
      <c r="A4704" t="str">
        <f t="shared" si="73"/>
        <v>PA|NewCapacity|RE1|PWRJET|2037</v>
      </c>
      <c r="B4704" t="s">
        <v>44</v>
      </c>
      <c r="C4704" t="s">
        <v>45</v>
      </c>
      <c r="D4704" t="s">
        <v>37</v>
      </c>
      <c r="E4704" t="s">
        <v>19</v>
      </c>
      <c r="F4704" t="s">
        <v>27</v>
      </c>
      <c r="O4704">
        <v>2037</v>
      </c>
    </row>
    <row r="4705" spans="1:16" x14ac:dyDescent="0.3">
      <c r="A4705" t="str">
        <f t="shared" si="73"/>
        <v>PA|NewCapacity|RE1|PWRLPG|2037</v>
      </c>
      <c r="B4705" t="s">
        <v>44</v>
      </c>
      <c r="C4705" t="s">
        <v>45</v>
      </c>
      <c r="D4705" t="s">
        <v>37</v>
      </c>
      <c r="E4705" t="s">
        <v>19</v>
      </c>
      <c r="F4705" t="s">
        <v>28</v>
      </c>
      <c r="O4705">
        <v>2037</v>
      </c>
    </row>
    <row r="4706" spans="1:16" x14ac:dyDescent="0.3">
      <c r="A4706" t="str">
        <f t="shared" si="73"/>
        <v>PA|NewCapacity|RE1|PWRNGS_CC|2037</v>
      </c>
      <c r="B4706" t="s">
        <v>44</v>
      </c>
      <c r="C4706" t="s">
        <v>45</v>
      </c>
      <c r="D4706" t="s">
        <v>37</v>
      </c>
      <c r="E4706" t="s">
        <v>19</v>
      </c>
      <c r="F4706" t="s">
        <v>29</v>
      </c>
      <c r="O4706">
        <v>2037</v>
      </c>
    </row>
    <row r="4707" spans="1:16" x14ac:dyDescent="0.3">
      <c r="A4707" t="str">
        <f t="shared" si="73"/>
        <v>PA|NewCapacity|RE1|PWRNGS_CS|2037</v>
      </c>
      <c r="B4707" t="s">
        <v>44</v>
      </c>
      <c r="C4707" t="s">
        <v>45</v>
      </c>
      <c r="D4707" t="s">
        <v>37</v>
      </c>
      <c r="E4707" t="s">
        <v>19</v>
      </c>
      <c r="F4707" t="s">
        <v>30</v>
      </c>
      <c r="O4707">
        <v>2037</v>
      </c>
    </row>
    <row r="4708" spans="1:16" x14ac:dyDescent="0.3">
      <c r="A4708" t="str">
        <f t="shared" si="73"/>
        <v>PA|NewCapacity|RE1|PWRNUC|2037</v>
      </c>
      <c r="B4708" t="s">
        <v>44</v>
      </c>
      <c r="C4708" t="s">
        <v>45</v>
      </c>
      <c r="D4708" t="s">
        <v>37</v>
      </c>
      <c r="E4708" t="s">
        <v>19</v>
      </c>
      <c r="F4708" t="s">
        <v>47</v>
      </c>
      <c r="O4708">
        <v>2037</v>
      </c>
    </row>
    <row r="4709" spans="1:16" x14ac:dyDescent="0.3">
      <c r="A4709" t="str">
        <f t="shared" si="73"/>
        <v>PA|NewCapacity|RE1|PWRSOLRTP|2037</v>
      </c>
      <c r="B4709" t="s">
        <v>44</v>
      </c>
      <c r="C4709" t="s">
        <v>45</v>
      </c>
      <c r="D4709" t="s">
        <v>37</v>
      </c>
      <c r="E4709" t="s">
        <v>19</v>
      </c>
      <c r="F4709" t="s">
        <v>31</v>
      </c>
      <c r="O4709">
        <v>2037</v>
      </c>
      <c r="P4709">
        <v>5.0729232720355109</v>
      </c>
    </row>
    <row r="4710" spans="1:16" x14ac:dyDescent="0.3">
      <c r="A4710" t="str">
        <f t="shared" si="73"/>
        <v>PA|NewCapacity|RE1|PWRSOLRTP_ZNI|2037</v>
      </c>
      <c r="B4710" t="s">
        <v>44</v>
      </c>
      <c r="C4710" t="s">
        <v>45</v>
      </c>
      <c r="D4710" t="s">
        <v>37</v>
      </c>
      <c r="E4710" t="s">
        <v>19</v>
      </c>
      <c r="F4710" t="s">
        <v>32</v>
      </c>
      <c r="O4710">
        <v>2037</v>
      </c>
    </row>
    <row r="4711" spans="1:16" x14ac:dyDescent="0.3">
      <c r="A4711" t="str">
        <f t="shared" si="73"/>
        <v>PA|NewCapacity|RE1|PWRSOLUGE|2037</v>
      </c>
      <c r="B4711" t="s">
        <v>44</v>
      </c>
      <c r="C4711" t="s">
        <v>45</v>
      </c>
      <c r="D4711" t="s">
        <v>37</v>
      </c>
      <c r="E4711" t="s">
        <v>19</v>
      </c>
      <c r="F4711" t="s">
        <v>33</v>
      </c>
      <c r="O4711">
        <v>2037</v>
      </c>
    </row>
    <row r="4712" spans="1:16" x14ac:dyDescent="0.3">
      <c r="A4712" t="str">
        <f t="shared" si="73"/>
        <v>PA|NewCapacity|RE1|PWRSOLUPE|2037</v>
      </c>
      <c r="B4712" t="s">
        <v>44</v>
      </c>
      <c r="C4712" t="s">
        <v>45</v>
      </c>
      <c r="D4712" t="s">
        <v>37</v>
      </c>
      <c r="E4712" t="s">
        <v>19</v>
      </c>
      <c r="F4712" t="s">
        <v>34</v>
      </c>
      <c r="O4712">
        <v>2037</v>
      </c>
    </row>
    <row r="4713" spans="1:16" x14ac:dyDescent="0.3">
      <c r="A4713" t="str">
        <f t="shared" si="73"/>
        <v>PA|NewCapacity|RE1|PWRSTD|2037</v>
      </c>
      <c r="B4713" t="s">
        <v>44</v>
      </c>
      <c r="C4713" t="s">
        <v>45</v>
      </c>
      <c r="D4713" t="s">
        <v>37</v>
      </c>
      <c r="E4713" t="s">
        <v>19</v>
      </c>
      <c r="F4713" t="s">
        <v>35</v>
      </c>
      <c r="O4713">
        <v>2037</v>
      </c>
    </row>
    <row r="4714" spans="1:16" x14ac:dyDescent="0.3">
      <c r="A4714" t="str">
        <f t="shared" si="73"/>
        <v>PA|NewCapacity|RE1|PWRWNDOFS_FIX|2037</v>
      </c>
      <c r="B4714" t="s">
        <v>44</v>
      </c>
      <c r="C4714" t="s">
        <v>45</v>
      </c>
      <c r="D4714" t="s">
        <v>37</v>
      </c>
      <c r="E4714" t="s">
        <v>19</v>
      </c>
      <c r="F4714" t="s">
        <v>42</v>
      </c>
      <c r="O4714">
        <v>2037</v>
      </c>
      <c r="P4714">
        <v>1.752</v>
      </c>
    </row>
    <row r="4715" spans="1:16" x14ac:dyDescent="0.3">
      <c r="A4715" t="str">
        <f t="shared" si="73"/>
        <v>PA|NewCapacity|RE1|PWRWNDONS|2037</v>
      </c>
      <c r="B4715" t="s">
        <v>44</v>
      </c>
      <c r="C4715" t="s">
        <v>45</v>
      </c>
      <c r="D4715" t="s">
        <v>37</v>
      </c>
      <c r="E4715" t="s">
        <v>19</v>
      </c>
      <c r="F4715" t="s">
        <v>36</v>
      </c>
      <c r="O4715">
        <v>2037</v>
      </c>
      <c r="P4715">
        <v>1.431102115049619</v>
      </c>
    </row>
    <row r="4716" spans="1:16" x14ac:dyDescent="0.3">
      <c r="A4716" t="str">
        <f t="shared" si="73"/>
        <v>PA|TotalCapacityAnnual|RE1|PWRBGS|2037</v>
      </c>
      <c r="B4716" t="s">
        <v>44</v>
      </c>
      <c r="C4716" t="s">
        <v>45</v>
      </c>
      <c r="D4716" t="s">
        <v>38</v>
      </c>
      <c r="E4716" t="s">
        <v>19</v>
      </c>
      <c r="F4716" t="s">
        <v>20</v>
      </c>
      <c r="O4716">
        <v>2037</v>
      </c>
      <c r="P4716">
        <v>2.5488587520000001E-2</v>
      </c>
    </row>
    <row r="4717" spans="1:16" x14ac:dyDescent="0.3">
      <c r="A4717" t="str">
        <f t="shared" si="73"/>
        <v>PA|TotalCapacityAnnual|RE1|PWRCOA|2037</v>
      </c>
      <c r="B4717" t="s">
        <v>44</v>
      </c>
      <c r="C4717" t="s">
        <v>45</v>
      </c>
      <c r="D4717" t="s">
        <v>38</v>
      </c>
      <c r="E4717" t="s">
        <v>19</v>
      </c>
      <c r="F4717" t="s">
        <v>21</v>
      </c>
      <c r="O4717">
        <v>2037</v>
      </c>
    </row>
    <row r="4718" spans="1:16" x14ac:dyDescent="0.3">
      <c r="A4718" t="str">
        <f t="shared" si="73"/>
        <v>PA|TotalCapacityAnnual|RE1|PWRDSL|2037</v>
      </c>
      <c r="B4718" t="s">
        <v>44</v>
      </c>
      <c r="C4718" t="s">
        <v>45</v>
      </c>
      <c r="D4718" t="s">
        <v>38</v>
      </c>
      <c r="E4718" t="s">
        <v>19</v>
      </c>
      <c r="F4718" t="s">
        <v>22</v>
      </c>
      <c r="O4718">
        <v>2037</v>
      </c>
      <c r="P4718">
        <v>24.944976</v>
      </c>
    </row>
    <row r="4719" spans="1:16" x14ac:dyDescent="0.3">
      <c r="A4719" t="str">
        <f t="shared" si="73"/>
        <v>PA|TotalCapacityAnnual|RE1|PWRFOL|2037</v>
      </c>
      <c r="B4719" t="s">
        <v>44</v>
      </c>
      <c r="C4719" t="s">
        <v>45</v>
      </c>
      <c r="D4719" t="s">
        <v>38</v>
      </c>
      <c r="E4719" t="s">
        <v>19</v>
      </c>
      <c r="F4719" t="s">
        <v>23</v>
      </c>
      <c r="O4719">
        <v>2037</v>
      </c>
      <c r="P4719">
        <v>8.3885759999999987</v>
      </c>
    </row>
    <row r="4720" spans="1:16" x14ac:dyDescent="0.3">
      <c r="A4720" t="str">
        <f t="shared" si="73"/>
        <v>PA|TotalCapacityAnnual|RE1|PWRGEO|2037</v>
      </c>
      <c r="B4720" t="s">
        <v>44</v>
      </c>
      <c r="C4720" t="s">
        <v>45</v>
      </c>
      <c r="D4720" t="s">
        <v>38</v>
      </c>
      <c r="E4720" t="s">
        <v>19</v>
      </c>
      <c r="F4720" t="s">
        <v>46</v>
      </c>
      <c r="O4720">
        <v>2037</v>
      </c>
    </row>
    <row r="4721" spans="1:16" x14ac:dyDescent="0.3">
      <c r="A4721" t="str">
        <f t="shared" si="73"/>
        <v>PA|TotalCapacityAnnual|RE1|PWRHYDDAM|2037</v>
      </c>
      <c r="B4721" t="s">
        <v>44</v>
      </c>
      <c r="C4721" t="s">
        <v>45</v>
      </c>
      <c r="D4721" t="s">
        <v>38</v>
      </c>
      <c r="E4721" t="s">
        <v>19</v>
      </c>
      <c r="F4721" t="s">
        <v>24</v>
      </c>
      <c r="O4721">
        <v>2037</v>
      </c>
      <c r="P4721">
        <v>440.49164800000011</v>
      </c>
    </row>
    <row r="4722" spans="1:16" x14ac:dyDescent="0.3">
      <c r="A4722" t="str">
        <f t="shared" si="73"/>
        <v>PA|TotalCapacityAnnual|RE1|PWRHYDROR|2037</v>
      </c>
      <c r="B4722" t="s">
        <v>44</v>
      </c>
      <c r="C4722" t="s">
        <v>45</v>
      </c>
      <c r="D4722" t="s">
        <v>38</v>
      </c>
      <c r="E4722" t="s">
        <v>19</v>
      </c>
      <c r="F4722" t="s">
        <v>25</v>
      </c>
      <c r="O4722">
        <v>2037</v>
      </c>
      <c r="P4722">
        <v>21.097584000000001</v>
      </c>
    </row>
    <row r="4723" spans="1:16" x14ac:dyDescent="0.3">
      <c r="A4723" t="str">
        <f t="shared" si="73"/>
        <v>PA|TotalCapacityAnnual|RE1|PWRHYDROR_NDC|2037</v>
      </c>
      <c r="B4723" t="s">
        <v>44</v>
      </c>
      <c r="C4723" t="s">
        <v>45</v>
      </c>
      <c r="D4723" t="s">
        <v>38</v>
      </c>
      <c r="E4723" t="s">
        <v>19</v>
      </c>
      <c r="F4723" t="s">
        <v>26</v>
      </c>
      <c r="O4723">
        <v>2037</v>
      </c>
      <c r="P4723">
        <v>29.725108271999989</v>
      </c>
    </row>
    <row r="4724" spans="1:16" x14ac:dyDescent="0.3">
      <c r="A4724" t="str">
        <f t="shared" si="73"/>
        <v>PA|TotalCapacityAnnual|RE1|PWRJET|2037</v>
      </c>
      <c r="B4724" t="s">
        <v>44</v>
      </c>
      <c r="C4724" t="s">
        <v>45</v>
      </c>
      <c r="D4724" t="s">
        <v>38</v>
      </c>
      <c r="E4724" t="s">
        <v>19</v>
      </c>
      <c r="F4724" t="s">
        <v>27</v>
      </c>
      <c r="O4724">
        <v>2037</v>
      </c>
      <c r="P4724">
        <v>1.5768</v>
      </c>
    </row>
    <row r="4725" spans="1:16" x14ac:dyDescent="0.3">
      <c r="A4725" t="str">
        <f t="shared" si="73"/>
        <v>PA|TotalCapacityAnnual|RE1|PWRLPG|2037</v>
      </c>
      <c r="B4725" t="s">
        <v>44</v>
      </c>
      <c r="C4725" t="s">
        <v>45</v>
      </c>
      <c r="D4725" t="s">
        <v>38</v>
      </c>
      <c r="E4725" t="s">
        <v>19</v>
      </c>
      <c r="F4725" t="s">
        <v>28</v>
      </c>
      <c r="O4725">
        <v>2037</v>
      </c>
      <c r="P4725">
        <v>1.639872</v>
      </c>
    </row>
    <row r="4726" spans="1:16" x14ac:dyDescent="0.3">
      <c r="A4726" t="str">
        <f t="shared" si="73"/>
        <v>PA|TotalCapacityAnnual|RE1|PWRNGS_CC|2037</v>
      </c>
      <c r="B4726" t="s">
        <v>44</v>
      </c>
      <c r="C4726" t="s">
        <v>45</v>
      </c>
      <c r="D4726" t="s">
        <v>38</v>
      </c>
      <c r="E4726" t="s">
        <v>19</v>
      </c>
      <c r="F4726" t="s">
        <v>29</v>
      </c>
      <c r="O4726">
        <v>2037</v>
      </c>
      <c r="P4726">
        <v>70.104500000000002</v>
      </c>
    </row>
    <row r="4727" spans="1:16" x14ac:dyDescent="0.3">
      <c r="A4727" t="str">
        <f t="shared" si="73"/>
        <v>PA|TotalCapacityAnnual|RE1|PWRNGS_CS|2037</v>
      </c>
      <c r="B4727" t="s">
        <v>44</v>
      </c>
      <c r="C4727" t="s">
        <v>45</v>
      </c>
      <c r="D4727" t="s">
        <v>38</v>
      </c>
      <c r="E4727" t="s">
        <v>19</v>
      </c>
      <c r="F4727" t="s">
        <v>30</v>
      </c>
      <c r="O4727">
        <v>2037</v>
      </c>
      <c r="P4727">
        <v>23.084351999999999</v>
      </c>
    </row>
    <row r="4728" spans="1:16" x14ac:dyDescent="0.3">
      <c r="A4728" t="str">
        <f t="shared" si="73"/>
        <v>PA|TotalCapacityAnnual|RE1|PWRNUC|2037</v>
      </c>
      <c r="B4728" t="s">
        <v>44</v>
      </c>
      <c r="C4728" t="s">
        <v>45</v>
      </c>
      <c r="D4728" t="s">
        <v>38</v>
      </c>
      <c r="E4728" t="s">
        <v>19</v>
      </c>
      <c r="F4728" t="s">
        <v>47</v>
      </c>
      <c r="O4728">
        <v>2037</v>
      </c>
    </row>
    <row r="4729" spans="1:16" x14ac:dyDescent="0.3">
      <c r="A4729" t="str">
        <f t="shared" si="73"/>
        <v>PA|TotalCapacityAnnual|RE1|PWRSOLRTP|2037</v>
      </c>
      <c r="B4729" t="s">
        <v>44</v>
      </c>
      <c r="C4729" t="s">
        <v>45</v>
      </c>
      <c r="D4729" t="s">
        <v>38</v>
      </c>
      <c r="E4729" t="s">
        <v>19</v>
      </c>
      <c r="F4729" t="s">
        <v>31</v>
      </c>
      <c r="O4729">
        <v>2037</v>
      </c>
      <c r="P4729">
        <v>149.0098260621433</v>
      </c>
    </row>
    <row r="4730" spans="1:16" x14ac:dyDescent="0.3">
      <c r="A4730" t="str">
        <f t="shared" si="73"/>
        <v>PA|TotalCapacityAnnual|RE1|PWRSOLRTP_ZNI|2037</v>
      </c>
      <c r="B4730" t="s">
        <v>44</v>
      </c>
      <c r="C4730" t="s">
        <v>45</v>
      </c>
      <c r="D4730" t="s">
        <v>38</v>
      </c>
      <c r="E4730" t="s">
        <v>19</v>
      </c>
      <c r="F4730" t="s">
        <v>32</v>
      </c>
      <c r="O4730">
        <v>2037</v>
      </c>
      <c r="P4730">
        <v>0.46074095999999998</v>
      </c>
    </row>
    <row r="4731" spans="1:16" x14ac:dyDescent="0.3">
      <c r="A4731" t="str">
        <f t="shared" si="73"/>
        <v>PA|TotalCapacityAnnual|RE1|PWRSOLUGE|2037</v>
      </c>
      <c r="B4731" t="s">
        <v>44</v>
      </c>
      <c r="C4731" t="s">
        <v>45</v>
      </c>
      <c r="D4731" t="s">
        <v>38</v>
      </c>
      <c r="E4731" t="s">
        <v>19</v>
      </c>
      <c r="F4731" t="s">
        <v>33</v>
      </c>
      <c r="O4731">
        <v>2037</v>
      </c>
      <c r="P4731">
        <v>191.79186048</v>
      </c>
    </row>
    <row r="4732" spans="1:16" x14ac:dyDescent="0.3">
      <c r="A4732" t="str">
        <f t="shared" si="73"/>
        <v>PA|TotalCapacityAnnual|RE1|PWRSOLUPE|2037</v>
      </c>
      <c r="B4732" t="s">
        <v>44</v>
      </c>
      <c r="C4732" t="s">
        <v>45</v>
      </c>
      <c r="D4732" t="s">
        <v>38</v>
      </c>
      <c r="E4732" t="s">
        <v>19</v>
      </c>
      <c r="F4732" t="s">
        <v>34</v>
      </c>
      <c r="O4732">
        <v>2037</v>
      </c>
      <c r="P4732">
        <v>39.172600079999931</v>
      </c>
    </row>
    <row r="4733" spans="1:16" x14ac:dyDescent="0.3">
      <c r="A4733" t="str">
        <f t="shared" si="73"/>
        <v>PA|TotalCapacityAnnual|RE1|PWRSTD|2037</v>
      </c>
      <c r="B4733" t="s">
        <v>44</v>
      </c>
      <c r="C4733" t="s">
        <v>45</v>
      </c>
      <c r="D4733" t="s">
        <v>38</v>
      </c>
      <c r="E4733" t="s">
        <v>19</v>
      </c>
      <c r="F4733" t="s">
        <v>35</v>
      </c>
      <c r="O4733">
        <v>2037</v>
      </c>
      <c r="P4733">
        <v>8.163062064</v>
      </c>
    </row>
    <row r="4734" spans="1:16" x14ac:dyDescent="0.3">
      <c r="A4734" t="str">
        <f t="shared" si="73"/>
        <v>PA|TotalCapacityAnnual|RE1|PWRWNDOFS_FIX|2037</v>
      </c>
      <c r="B4734" t="s">
        <v>44</v>
      </c>
      <c r="C4734" t="s">
        <v>45</v>
      </c>
      <c r="D4734" t="s">
        <v>38</v>
      </c>
      <c r="E4734" t="s">
        <v>19</v>
      </c>
      <c r="F4734" t="s">
        <v>42</v>
      </c>
      <c r="O4734">
        <v>2037</v>
      </c>
      <c r="P4734">
        <v>10.512</v>
      </c>
    </row>
    <row r="4735" spans="1:16" x14ac:dyDescent="0.3">
      <c r="A4735" t="str">
        <f t="shared" si="73"/>
        <v>PA|TotalCapacityAnnual|RE1|PWRWNDONS|2037</v>
      </c>
      <c r="B4735" t="s">
        <v>44</v>
      </c>
      <c r="C4735" t="s">
        <v>45</v>
      </c>
      <c r="D4735" t="s">
        <v>38</v>
      </c>
      <c r="E4735" t="s">
        <v>19</v>
      </c>
      <c r="F4735" t="s">
        <v>36</v>
      </c>
      <c r="O4735">
        <v>2037</v>
      </c>
      <c r="P4735">
        <v>161.95669091083539</v>
      </c>
    </row>
    <row r="4736" spans="1:16" x14ac:dyDescent="0.3">
      <c r="A4736" t="str">
        <f t="shared" si="73"/>
        <v>PA|AccumulatedNewCapacity|RE1|PWRBGS|2038</v>
      </c>
      <c r="B4736" t="s">
        <v>44</v>
      </c>
      <c r="C4736" t="s">
        <v>45</v>
      </c>
      <c r="D4736" t="s">
        <v>18</v>
      </c>
      <c r="E4736" t="s">
        <v>19</v>
      </c>
      <c r="F4736" t="s">
        <v>20</v>
      </c>
      <c r="O4736">
        <v>2038</v>
      </c>
    </row>
    <row r="4737" spans="1:16" x14ac:dyDescent="0.3">
      <c r="A4737" t="str">
        <f t="shared" si="73"/>
        <v>PA|AccumulatedNewCapacity|RE1|PWRCOA|2038</v>
      </c>
      <c r="B4737" t="s">
        <v>44</v>
      </c>
      <c r="C4737" t="s">
        <v>45</v>
      </c>
      <c r="D4737" t="s">
        <v>18</v>
      </c>
      <c r="E4737" t="s">
        <v>19</v>
      </c>
      <c r="F4737" t="s">
        <v>21</v>
      </c>
      <c r="O4737">
        <v>2038</v>
      </c>
    </row>
    <row r="4738" spans="1:16" x14ac:dyDescent="0.3">
      <c r="A4738" t="str">
        <f t="shared" ref="A4738:A4801" si="74">B4738&amp;"|"&amp;D4738&amp;"|"&amp;E4738&amp;"|"&amp;F4738&amp;"|"&amp;O4738</f>
        <v>PA|AccumulatedNewCapacity|RE1|PWRDSL|2038</v>
      </c>
      <c r="B4738" t="s">
        <v>44</v>
      </c>
      <c r="C4738" t="s">
        <v>45</v>
      </c>
      <c r="D4738" t="s">
        <v>18</v>
      </c>
      <c r="E4738" t="s">
        <v>19</v>
      </c>
      <c r="F4738" t="s">
        <v>22</v>
      </c>
      <c r="O4738">
        <v>2038</v>
      </c>
    </row>
    <row r="4739" spans="1:16" x14ac:dyDescent="0.3">
      <c r="A4739" t="str">
        <f t="shared" si="74"/>
        <v>PA|AccumulatedNewCapacity|RE1|PWRFOL|2038</v>
      </c>
      <c r="B4739" t="s">
        <v>44</v>
      </c>
      <c r="C4739" t="s">
        <v>45</v>
      </c>
      <c r="D4739" t="s">
        <v>18</v>
      </c>
      <c r="E4739" t="s">
        <v>19</v>
      </c>
      <c r="F4739" t="s">
        <v>23</v>
      </c>
      <c r="O4739">
        <v>2038</v>
      </c>
    </row>
    <row r="4740" spans="1:16" x14ac:dyDescent="0.3">
      <c r="A4740" t="str">
        <f t="shared" si="74"/>
        <v>PA|AccumulatedNewCapacity|RE1|PWRGEO|2038</v>
      </c>
      <c r="B4740" t="s">
        <v>44</v>
      </c>
      <c r="C4740" t="s">
        <v>45</v>
      </c>
      <c r="D4740" t="s">
        <v>18</v>
      </c>
      <c r="E4740" t="s">
        <v>19</v>
      </c>
      <c r="F4740" t="s">
        <v>46</v>
      </c>
      <c r="O4740">
        <v>2038</v>
      </c>
    </row>
    <row r="4741" spans="1:16" x14ac:dyDescent="0.3">
      <c r="A4741" t="str">
        <f t="shared" si="74"/>
        <v>PA|AccumulatedNewCapacity|RE1|PWRHYDDAM|2038</v>
      </c>
      <c r="B4741" t="s">
        <v>44</v>
      </c>
      <c r="C4741" t="s">
        <v>45</v>
      </c>
      <c r="D4741" t="s">
        <v>18</v>
      </c>
      <c r="E4741" t="s">
        <v>19</v>
      </c>
      <c r="F4741" t="s">
        <v>24</v>
      </c>
      <c r="O4741">
        <v>2038</v>
      </c>
      <c r="P4741">
        <v>37.840000000000003</v>
      </c>
    </row>
    <row r="4742" spans="1:16" x14ac:dyDescent="0.3">
      <c r="A4742" t="str">
        <f t="shared" si="74"/>
        <v>PA|AccumulatedNewCapacity|RE1|PWRHYDROR|2038</v>
      </c>
      <c r="B4742" t="s">
        <v>44</v>
      </c>
      <c r="C4742" t="s">
        <v>45</v>
      </c>
      <c r="D4742" t="s">
        <v>18</v>
      </c>
      <c r="E4742" t="s">
        <v>19</v>
      </c>
      <c r="F4742" t="s">
        <v>25</v>
      </c>
      <c r="O4742">
        <v>2038</v>
      </c>
    </row>
    <row r="4743" spans="1:16" x14ac:dyDescent="0.3">
      <c r="A4743" t="str">
        <f t="shared" si="74"/>
        <v>PA|AccumulatedNewCapacity|RE1|PWRHYDROR_NDC|2038</v>
      </c>
      <c r="B4743" t="s">
        <v>44</v>
      </c>
      <c r="C4743" t="s">
        <v>45</v>
      </c>
      <c r="D4743" t="s">
        <v>18</v>
      </c>
      <c r="E4743" t="s">
        <v>19</v>
      </c>
      <c r="F4743" t="s">
        <v>26</v>
      </c>
      <c r="O4743">
        <v>2038</v>
      </c>
    </row>
    <row r="4744" spans="1:16" x14ac:dyDescent="0.3">
      <c r="A4744" t="str">
        <f t="shared" si="74"/>
        <v>PA|AccumulatedNewCapacity|RE1|PWRJET|2038</v>
      </c>
      <c r="B4744" t="s">
        <v>44</v>
      </c>
      <c r="C4744" t="s">
        <v>45</v>
      </c>
      <c r="D4744" t="s">
        <v>18</v>
      </c>
      <c r="E4744" t="s">
        <v>19</v>
      </c>
      <c r="F4744" t="s">
        <v>27</v>
      </c>
      <c r="O4744">
        <v>2038</v>
      </c>
    </row>
    <row r="4745" spans="1:16" x14ac:dyDescent="0.3">
      <c r="A4745" t="str">
        <f t="shared" si="74"/>
        <v>PA|AccumulatedNewCapacity|RE1|PWRLPG|2038</v>
      </c>
      <c r="B4745" t="s">
        <v>44</v>
      </c>
      <c r="C4745" t="s">
        <v>45</v>
      </c>
      <c r="D4745" t="s">
        <v>18</v>
      </c>
      <c r="E4745" t="s">
        <v>19</v>
      </c>
      <c r="F4745" t="s">
        <v>28</v>
      </c>
      <c r="O4745">
        <v>2038</v>
      </c>
    </row>
    <row r="4746" spans="1:16" x14ac:dyDescent="0.3">
      <c r="A4746" t="str">
        <f t="shared" si="74"/>
        <v>PA|AccumulatedNewCapacity|RE1|PWRNGS_CC|2038</v>
      </c>
      <c r="B4746" t="s">
        <v>44</v>
      </c>
      <c r="C4746" t="s">
        <v>45</v>
      </c>
      <c r="D4746" t="s">
        <v>18</v>
      </c>
      <c r="E4746" t="s">
        <v>19</v>
      </c>
      <c r="F4746" t="s">
        <v>29</v>
      </c>
      <c r="O4746">
        <v>2038</v>
      </c>
    </row>
    <row r="4747" spans="1:16" x14ac:dyDescent="0.3">
      <c r="A4747" t="str">
        <f t="shared" si="74"/>
        <v>PA|AccumulatedNewCapacity|RE1|PWRNGS_CS|2038</v>
      </c>
      <c r="B4747" t="s">
        <v>44</v>
      </c>
      <c r="C4747" t="s">
        <v>45</v>
      </c>
      <c r="D4747" t="s">
        <v>18</v>
      </c>
      <c r="E4747" t="s">
        <v>19</v>
      </c>
      <c r="F4747" t="s">
        <v>30</v>
      </c>
      <c r="O4747">
        <v>2038</v>
      </c>
    </row>
    <row r="4748" spans="1:16" x14ac:dyDescent="0.3">
      <c r="A4748" t="str">
        <f t="shared" si="74"/>
        <v>PA|AccumulatedNewCapacity|RE1|PWRNUC|2038</v>
      </c>
      <c r="B4748" t="s">
        <v>44</v>
      </c>
      <c r="C4748" t="s">
        <v>45</v>
      </c>
      <c r="D4748" t="s">
        <v>18</v>
      </c>
      <c r="E4748" t="s">
        <v>19</v>
      </c>
      <c r="F4748" t="s">
        <v>47</v>
      </c>
      <c r="O4748">
        <v>2038</v>
      </c>
      <c r="P4748">
        <v>9.5120000000000005</v>
      </c>
    </row>
    <row r="4749" spans="1:16" x14ac:dyDescent="0.3">
      <c r="A4749" t="str">
        <f t="shared" si="74"/>
        <v>PA|AccumulatedNewCapacity|RE1|PWRSOLRTP|2038</v>
      </c>
      <c r="B4749" t="s">
        <v>44</v>
      </c>
      <c r="C4749" t="s">
        <v>45</v>
      </c>
      <c r="D4749" t="s">
        <v>18</v>
      </c>
      <c r="E4749" t="s">
        <v>19</v>
      </c>
      <c r="F4749" t="s">
        <v>31</v>
      </c>
      <c r="O4749">
        <v>2038</v>
      </c>
      <c r="P4749">
        <v>129.84747622067221</v>
      </c>
    </row>
    <row r="4750" spans="1:16" x14ac:dyDescent="0.3">
      <c r="A4750" t="str">
        <f t="shared" si="74"/>
        <v>PA|AccumulatedNewCapacity|RE1|PWRSOLRTP_ZNI|2038</v>
      </c>
      <c r="B4750" t="s">
        <v>44</v>
      </c>
      <c r="C4750" t="s">
        <v>45</v>
      </c>
      <c r="D4750" t="s">
        <v>18</v>
      </c>
      <c r="E4750" t="s">
        <v>19</v>
      </c>
      <c r="F4750" t="s">
        <v>32</v>
      </c>
      <c r="O4750">
        <v>2038</v>
      </c>
    </row>
    <row r="4751" spans="1:16" x14ac:dyDescent="0.3">
      <c r="A4751" t="str">
        <f t="shared" si="74"/>
        <v>PA|AccumulatedNewCapacity|RE1|PWRSOLUGE|2038</v>
      </c>
      <c r="B4751" t="s">
        <v>44</v>
      </c>
      <c r="C4751" t="s">
        <v>45</v>
      </c>
      <c r="D4751" t="s">
        <v>18</v>
      </c>
      <c r="E4751" t="s">
        <v>19</v>
      </c>
      <c r="F4751" t="s">
        <v>33</v>
      </c>
      <c r="O4751">
        <v>2038</v>
      </c>
      <c r="P4751">
        <v>143.394192</v>
      </c>
    </row>
    <row r="4752" spans="1:16" x14ac:dyDescent="0.3">
      <c r="A4752" t="str">
        <f t="shared" si="74"/>
        <v>PA|AccumulatedNewCapacity|RE1|PWRSOLUPE|2038</v>
      </c>
      <c r="B4752" t="s">
        <v>44</v>
      </c>
      <c r="C4752" t="s">
        <v>45</v>
      </c>
      <c r="D4752" t="s">
        <v>18</v>
      </c>
      <c r="E4752" t="s">
        <v>19</v>
      </c>
      <c r="F4752" t="s">
        <v>34</v>
      </c>
      <c r="O4752">
        <v>2038</v>
      </c>
      <c r="P4752">
        <v>12.14419823999993</v>
      </c>
    </row>
    <row r="4753" spans="1:16" x14ac:dyDescent="0.3">
      <c r="A4753" t="str">
        <f t="shared" si="74"/>
        <v>PA|AccumulatedNewCapacity|RE1|PWRSTD|2038</v>
      </c>
      <c r="B4753" t="s">
        <v>44</v>
      </c>
      <c r="C4753" t="s">
        <v>45</v>
      </c>
      <c r="D4753" t="s">
        <v>18</v>
      </c>
      <c r="E4753" t="s">
        <v>19</v>
      </c>
      <c r="F4753" t="s">
        <v>35</v>
      </c>
      <c r="O4753">
        <v>2038</v>
      </c>
    </row>
    <row r="4754" spans="1:16" x14ac:dyDescent="0.3">
      <c r="A4754" t="str">
        <f t="shared" si="74"/>
        <v>PA|AccumulatedNewCapacity|RE1|PWRWNDOFS_FIX|2038</v>
      </c>
      <c r="B4754" t="s">
        <v>44</v>
      </c>
      <c r="C4754" t="s">
        <v>45</v>
      </c>
      <c r="D4754" t="s">
        <v>18</v>
      </c>
      <c r="E4754" t="s">
        <v>19</v>
      </c>
      <c r="F4754" t="s">
        <v>42</v>
      </c>
      <c r="O4754">
        <v>2038</v>
      </c>
      <c r="P4754">
        <v>12.263999999999999</v>
      </c>
    </row>
    <row r="4755" spans="1:16" x14ac:dyDescent="0.3">
      <c r="A4755" t="str">
        <f t="shared" si="74"/>
        <v>PA|AccumulatedNewCapacity|RE1|PWRWNDONS|2038</v>
      </c>
      <c r="B4755" t="s">
        <v>44</v>
      </c>
      <c r="C4755" t="s">
        <v>45</v>
      </c>
      <c r="D4755" t="s">
        <v>18</v>
      </c>
      <c r="E4755" t="s">
        <v>19</v>
      </c>
      <c r="F4755" t="s">
        <v>36</v>
      </c>
      <c r="O4755">
        <v>2038</v>
      </c>
      <c r="P4755">
        <v>160.58802851083539</v>
      </c>
    </row>
    <row r="4756" spans="1:16" x14ac:dyDescent="0.3">
      <c r="A4756" t="str">
        <f t="shared" si="74"/>
        <v>PA|NewCapacity|RE1|PWRBGS|2038</v>
      </c>
      <c r="B4756" t="s">
        <v>44</v>
      </c>
      <c r="C4756" t="s">
        <v>45</v>
      </c>
      <c r="D4756" t="s">
        <v>37</v>
      </c>
      <c r="E4756" t="s">
        <v>19</v>
      </c>
      <c r="F4756" t="s">
        <v>20</v>
      </c>
      <c r="O4756">
        <v>2038</v>
      </c>
    </row>
    <row r="4757" spans="1:16" x14ac:dyDescent="0.3">
      <c r="A4757" t="str">
        <f t="shared" si="74"/>
        <v>PA|NewCapacity|RE1|PWRCOA|2038</v>
      </c>
      <c r="B4757" t="s">
        <v>44</v>
      </c>
      <c r="C4757" t="s">
        <v>45</v>
      </c>
      <c r="D4757" t="s">
        <v>37</v>
      </c>
      <c r="E4757" t="s">
        <v>19</v>
      </c>
      <c r="F4757" t="s">
        <v>21</v>
      </c>
      <c r="O4757">
        <v>2038</v>
      </c>
    </row>
    <row r="4758" spans="1:16" x14ac:dyDescent="0.3">
      <c r="A4758" t="str">
        <f t="shared" si="74"/>
        <v>PA|NewCapacity|RE1|PWRDSL|2038</v>
      </c>
      <c r="B4758" t="s">
        <v>44</v>
      </c>
      <c r="C4758" t="s">
        <v>45</v>
      </c>
      <c r="D4758" t="s">
        <v>37</v>
      </c>
      <c r="E4758" t="s">
        <v>19</v>
      </c>
      <c r="F4758" t="s">
        <v>22</v>
      </c>
      <c r="O4758">
        <v>2038</v>
      </c>
    </row>
    <row r="4759" spans="1:16" x14ac:dyDescent="0.3">
      <c r="A4759" t="str">
        <f t="shared" si="74"/>
        <v>PA|NewCapacity|RE1|PWRFOL|2038</v>
      </c>
      <c r="B4759" t="s">
        <v>44</v>
      </c>
      <c r="C4759" t="s">
        <v>45</v>
      </c>
      <c r="D4759" t="s">
        <v>37</v>
      </c>
      <c r="E4759" t="s">
        <v>19</v>
      </c>
      <c r="F4759" t="s">
        <v>23</v>
      </c>
      <c r="O4759">
        <v>2038</v>
      </c>
    </row>
    <row r="4760" spans="1:16" x14ac:dyDescent="0.3">
      <c r="A4760" t="str">
        <f t="shared" si="74"/>
        <v>PA|NewCapacity|RE1|PWRGEO|2038</v>
      </c>
      <c r="B4760" t="s">
        <v>44</v>
      </c>
      <c r="C4760" t="s">
        <v>45</v>
      </c>
      <c r="D4760" t="s">
        <v>37</v>
      </c>
      <c r="E4760" t="s">
        <v>19</v>
      </c>
      <c r="F4760" t="s">
        <v>46</v>
      </c>
      <c r="O4760">
        <v>2038</v>
      </c>
    </row>
    <row r="4761" spans="1:16" x14ac:dyDescent="0.3">
      <c r="A4761" t="str">
        <f t="shared" si="74"/>
        <v>PA|NewCapacity|RE1|PWRHYDDAM|2038</v>
      </c>
      <c r="B4761" t="s">
        <v>44</v>
      </c>
      <c r="C4761" t="s">
        <v>45</v>
      </c>
      <c r="D4761" t="s">
        <v>37</v>
      </c>
      <c r="E4761" t="s">
        <v>19</v>
      </c>
      <c r="F4761" t="s">
        <v>24</v>
      </c>
      <c r="O4761">
        <v>2038</v>
      </c>
    </row>
    <row r="4762" spans="1:16" x14ac:dyDescent="0.3">
      <c r="A4762" t="str">
        <f t="shared" si="74"/>
        <v>PA|NewCapacity|RE1|PWRHYDROR|2038</v>
      </c>
      <c r="B4762" t="s">
        <v>44</v>
      </c>
      <c r="C4762" t="s">
        <v>45</v>
      </c>
      <c r="D4762" t="s">
        <v>37</v>
      </c>
      <c r="E4762" t="s">
        <v>19</v>
      </c>
      <c r="F4762" t="s">
        <v>25</v>
      </c>
      <c r="O4762">
        <v>2038</v>
      </c>
    </row>
    <row r="4763" spans="1:16" x14ac:dyDescent="0.3">
      <c r="A4763" t="str">
        <f t="shared" si="74"/>
        <v>PA|NewCapacity|RE1|PWRHYDROR_NDC|2038</v>
      </c>
      <c r="B4763" t="s">
        <v>44</v>
      </c>
      <c r="C4763" t="s">
        <v>45</v>
      </c>
      <c r="D4763" t="s">
        <v>37</v>
      </c>
      <c r="E4763" t="s">
        <v>19</v>
      </c>
      <c r="F4763" t="s">
        <v>26</v>
      </c>
      <c r="O4763">
        <v>2038</v>
      </c>
    </row>
    <row r="4764" spans="1:16" x14ac:dyDescent="0.3">
      <c r="A4764" t="str">
        <f t="shared" si="74"/>
        <v>PA|NewCapacity|RE1|PWRJET|2038</v>
      </c>
      <c r="B4764" t="s">
        <v>44</v>
      </c>
      <c r="C4764" t="s">
        <v>45</v>
      </c>
      <c r="D4764" t="s">
        <v>37</v>
      </c>
      <c r="E4764" t="s">
        <v>19</v>
      </c>
      <c r="F4764" t="s">
        <v>27</v>
      </c>
      <c r="O4764">
        <v>2038</v>
      </c>
    </row>
    <row r="4765" spans="1:16" x14ac:dyDescent="0.3">
      <c r="A4765" t="str">
        <f t="shared" si="74"/>
        <v>PA|NewCapacity|RE1|PWRLPG|2038</v>
      </c>
      <c r="B4765" t="s">
        <v>44</v>
      </c>
      <c r="C4765" t="s">
        <v>45</v>
      </c>
      <c r="D4765" t="s">
        <v>37</v>
      </c>
      <c r="E4765" t="s">
        <v>19</v>
      </c>
      <c r="F4765" t="s">
        <v>28</v>
      </c>
      <c r="O4765">
        <v>2038</v>
      </c>
    </row>
    <row r="4766" spans="1:16" x14ac:dyDescent="0.3">
      <c r="A4766" t="str">
        <f t="shared" si="74"/>
        <v>PA|NewCapacity|RE1|PWRNGS_CC|2038</v>
      </c>
      <c r="B4766" t="s">
        <v>44</v>
      </c>
      <c r="C4766" t="s">
        <v>45</v>
      </c>
      <c r="D4766" t="s">
        <v>37</v>
      </c>
      <c r="E4766" t="s">
        <v>19</v>
      </c>
      <c r="F4766" t="s">
        <v>29</v>
      </c>
      <c r="O4766">
        <v>2038</v>
      </c>
    </row>
    <row r="4767" spans="1:16" x14ac:dyDescent="0.3">
      <c r="A4767" t="str">
        <f t="shared" si="74"/>
        <v>PA|NewCapacity|RE1|PWRNGS_CS|2038</v>
      </c>
      <c r="B4767" t="s">
        <v>44</v>
      </c>
      <c r="C4767" t="s">
        <v>45</v>
      </c>
      <c r="D4767" t="s">
        <v>37</v>
      </c>
      <c r="E4767" t="s">
        <v>19</v>
      </c>
      <c r="F4767" t="s">
        <v>30</v>
      </c>
      <c r="O4767">
        <v>2038</v>
      </c>
    </row>
    <row r="4768" spans="1:16" x14ac:dyDescent="0.3">
      <c r="A4768" t="str">
        <f t="shared" si="74"/>
        <v>PA|NewCapacity|RE1|PWRNUC|2038</v>
      </c>
      <c r="B4768" t="s">
        <v>44</v>
      </c>
      <c r="C4768" t="s">
        <v>45</v>
      </c>
      <c r="D4768" t="s">
        <v>37</v>
      </c>
      <c r="E4768" t="s">
        <v>19</v>
      </c>
      <c r="F4768" t="s">
        <v>47</v>
      </c>
      <c r="O4768">
        <v>2038</v>
      </c>
      <c r="P4768">
        <v>9.5120000000000005</v>
      </c>
    </row>
    <row r="4769" spans="1:16" x14ac:dyDescent="0.3">
      <c r="A4769" t="str">
        <f t="shared" si="74"/>
        <v>PA|NewCapacity|RE1|PWRSOLRTP|2038</v>
      </c>
      <c r="B4769" t="s">
        <v>44</v>
      </c>
      <c r="C4769" t="s">
        <v>45</v>
      </c>
      <c r="D4769" t="s">
        <v>37</v>
      </c>
      <c r="E4769" t="s">
        <v>19</v>
      </c>
      <c r="F4769" t="s">
        <v>31</v>
      </c>
      <c r="O4769">
        <v>2038</v>
      </c>
      <c r="P4769">
        <v>4.1217501585288527</v>
      </c>
    </row>
    <row r="4770" spans="1:16" x14ac:dyDescent="0.3">
      <c r="A4770" t="str">
        <f t="shared" si="74"/>
        <v>PA|NewCapacity|RE1|PWRSOLRTP_ZNI|2038</v>
      </c>
      <c r="B4770" t="s">
        <v>44</v>
      </c>
      <c r="C4770" t="s">
        <v>45</v>
      </c>
      <c r="D4770" t="s">
        <v>37</v>
      </c>
      <c r="E4770" t="s">
        <v>19</v>
      </c>
      <c r="F4770" t="s">
        <v>32</v>
      </c>
      <c r="O4770">
        <v>2038</v>
      </c>
    </row>
    <row r="4771" spans="1:16" x14ac:dyDescent="0.3">
      <c r="A4771" t="str">
        <f t="shared" si="74"/>
        <v>PA|NewCapacity|RE1|PWRSOLUGE|2038</v>
      </c>
      <c r="B4771" t="s">
        <v>44</v>
      </c>
      <c r="C4771" t="s">
        <v>45</v>
      </c>
      <c r="D4771" t="s">
        <v>37</v>
      </c>
      <c r="E4771" t="s">
        <v>19</v>
      </c>
      <c r="F4771" t="s">
        <v>33</v>
      </c>
      <c r="O4771">
        <v>2038</v>
      </c>
    </row>
    <row r="4772" spans="1:16" x14ac:dyDescent="0.3">
      <c r="A4772" t="str">
        <f t="shared" si="74"/>
        <v>PA|NewCapacity|RE1|PWRSOLUPE|2038</v>
      </c>
      <c r="B4772" t="s">
        <v>44</v>
      </c>
      <c r="C4772" t="s">
        <v>45</v>
      </c>
      <c r="D4772" t="s">
        <v>37</v>
      </c>
      <c r="E4772" t="s">
        <v>19</v>
      </c>
      <c r="F4772" t="s">
        <v>34</v>
      </c>
      <c r="O4772">
        <v>2038</v>
      </c>
    </row>
    <row r="4773" spans="1:16" x14ac:dyDescent="0.3">
      <c r="A4773" t="str">
        <f t="shared" si="74"/>
        <v>PA|NewCapacity|RE1|PWRSTD|2038</v>
      </c>
      <c r="B4773" t="s">
        <v>44</v>
      </c>
      <c r="C4773" t="s">
        <v>45</v>
      </c>
      <c r="D4773" t="s">
        <v>37</v>
      </c>
      <c r="E4773" t="s">
        <v>19</v>
      </c>
      <c r="F4773" t="s">
        <v>35</v>
      </c>
      <c r="O4773">
        <v>2038</v>
      </c>
    </row>
    <row r="4774" spans="1:16" x14ac:dyDescent="0.3">
      <c r="A4774" t="str">
        <f t="shared" si="74"/>
        <v>PA|NewCapacity|RE1|PWRWNDOFS_FIX|2038</v>
      </c>
      <c r="B4774" t="s">
        <v>44</v>
      </c>
      <c r="C4774" t="s">
        <v>45</v>
      </c>
      <c r="D4774" t="s">
        <v>37</v>
      </c>
      <c r="E4774" t="s">
        <v>19</v>
      </c>
      <c r="F4774" t="s">
        <v>42</v>
      </c>
      <c r="O4774">
        <v>2038</v>
      </c>
      <c r="P4774">
        <v>1.752</v>
      </c>
    </row>
    <row r="4775" spans="1:16" x14ac:dyDescent="0.3">
      <c r="A4775" t="str">
        <f t="shared" si="74"/>
        <v>PA|NewCapacity|RE1|PWRWNDONS|2038</v>
      </c>
      <c r="B4775" t="s">
        <v>44</v>
      </c>
      <c r="C4775" t="s">
        <v>45</v>
      </c>
      <c r="D4775" t="s">
        <v>37</v>
      </c>
      <c r="E4775" t="s">
        <v>19</v>
      </c>
      <c r="F4775" t="s">
        <v>36</v>
      </c>
      <c r="O4775">
        <v>2038</v>
      </c>
    </row>
    <row r="4776" spans="1:16" x14ac:dyDescent="0.3">
      <c r="A4776" t="str">
        <f t="shared" si="74"/>
        <v>PA|TotalCapacityAnnual|RE1|PWRBGS|2038</v>
      </c>
      <c r="B4776" t="s">
        <v>44</v>
      </c>
      <c r="C4776" t="s">
        <v>45</v>
      </c>
      <c r="D4776" t="s">
        <v>38</v>
      </c>
      <c r="E4776" t="s">
        <v>19</v>
      </c>
      <c r="F4776" t="s">
        <v>20</v>
      </c>
      <c r="O4776">
        <v>2038</v>
      </c>
      <c r="P4776">
        <v>2.5488587520000001E-2</v>
      </c>
    </row>
    <row r="4777" spans="1:16" x14ac:dyDescent="0.3">
      <c r="A4777" t="str">
        <f t="shared" si="74"/>
        <v>PA|TotalCapacityAnnual|RE1|PWRCOA|2038</v>
      </c>
      <c r="B4777" t="s">
        <v>44</v>
      </c>
      <c r="C4777" t="s">
        <v>45</v>
      </c>
      <c r="D4777" t="s">
        <v>38</v>
      </c>
      <c r="E4777" t="s">
        <v>19</v>
      </c>
      <c r="F4777" t="s">
        <v>21</v>
      </c>
      <c r="O4777">
        <v>2038</v>
      </c>
    </row>
    <row r="4778" spans="1:16" x14ac:dyDescent="0.3">
      <c r="A4778" t="str">
        <f t="shared" si="74"/>
        <v>PA|TotalCapacityAnnual|RE1|PWRDSL|2038</v>
      </c>
      <c r="B4778" t="s">
        <v>44</v>
      </c>
      <c r="C4778" t="s">
        <v>45</v>
      </c>
      <c r="D4778" t="s">
        <v>38</v>
      </c>
      <c r="E4778" t="s">
        <v>19</v>
      </c>
      <c r="F4778" t="s">
        <v>22</v>
      </c>
      <c r="O4778">
        <v>2038</v>
      </c>
      <c r="P4778">
        <v>24.944976</v>
      </c>
    </row>
    <row r="4779" spans="1:16" x14ac:dyDescent="0.3">
      <c r="A4779" t="str">
        <f t="shared" si="74"/>
        <v>PA|TotalCapacityAnnual|RE1|PWRFOL|2038</v>
      </c>
      <c r="B4779" t="s">
        <v>44</v>
      </c>
      <c r="C4779" t="s">
        <v>45</v>
      </c>
      <c r="D4779" t="s">
        <v>38</v>
      </c>
      <c r="E4779" t="s">
        <v>19</v>
      </c>
      <c r="F4779" t="s">
        <v>23</v>
      </c>
      <c r="O4779">
        <v>2038</v>
      </c>
      <c r="P4779">
        <v>8.3885759999999987</v>
      </c>
    </row>
    <row r="4780" spans="1:16" x14ac:dyDescent="0.3">
      <c r="A4780" t="str">
        <f t="shared" si="74"/>
        <v>PA|TotalCapacityAnnual|RE1|PWRGEO|2038</v>
      </c>
      <c r="B4780" t="s">
        <v>44</v>
      </c>
      <c r="C4780" t="s">
        <v>45</v>
      </c>
      <c r="D4780" t="s">
        <v>38</v>
      </c>
      <c r="E4780" t="s">
        <v>19</v>
      </c>
      <c r="F4780" t="s">
        <v>46</v>
      </c>
      <c r="O4780">
        <v>2038</v>
      </c>
    </row>
    <row r="4781" spans="1:16" x14ac:dyDescent="0.3">
      <c r="A4781" t="str">
        <f t="shared" si="74"/>
        <v>PA|TotalCapacityAnnual|RE1|PWRHYDDAM|2038</v>
      </c>
      <c r="B4781" t="s">
        <v>44</v>
      </c>
      <c r="C4781" t="s">
        <v>45</v>
      </c>
      <c r="D4781" t="s">
        <v>38</v>
      </c>
      <c r="E4781" t="s">
        <v>19</v>
      </c>
      <c r="F4781" t="s">
        <v>24</v>
      </c>
      <c r="O4781">
        <v>2038</v>
      </c>
      <c r="P4781">
        <v>440.49164800000011</v>
      </c>
    </row>
    <row r="4782" spans="1:16" x14ac:dyDescent="0.3">
      <c r="A4782" t="str">
        <f t="shared" si="74"/>
        <v>PA|TotalCapacityAnnual|RE1|PWRHYDROR|2038</v>
      </c>
      <c r="B4782" t="s">
        <v>44</v>
      </c>
      <c r="C4782" t="s">
        <v>45</v>
      </c>
      <c r="D4782" t="s">
        <v>38</v>
      </c>
      <c r="E4782" t="s">
        <v>19</v>
      </c>
      <c r="F4782" t="s">
        <v>25</v>
      </c>
      <c r="O4782">
        <v>2038</v>
      </c>
      <c r="P4782">
        <v>21.097584000000001</v>
      </c>
    </row>
    <row r="4783" spans="1:16" x14ac:dyDescent="0.3">
      <c r="A4783" t="str">
        <f t="shared" si="74"/>
        <v>PA|TotalCapacityAnnual|RE1|PWRHYDROR_NDC|2038</v>
      </c>
      <c r="B4783" t="s">
        <v>44</v>
      </c>
      <c r="C4783" t="s">
        <v>45</v>
      </c>
      <c r="D4783" t="s">
        <v>38</v>
      </c>
      <c r="E4783" t="s">
        <v>19</v>
      </c>
      <c r="F4783" t="s">
        <v>26</v>
      </c>
      <c r="O4783">
        <v>2038</v>
      </c>
      <c r="P4783">
        <v>29.725108271999989</v>
      </c>
    </row>
    <row r="4784" spans="1:16" x14ac:dyDescent="0.3">
      <c r="A4784" t="str">
        <f t="shared" si="74"/>
        <v>PA|TotalCapacityAnnual|RE1|PWRJET|2038</v>
      </c>
      <c r="B4784" t="s">
        <v>44</v>
      </c>
      <c r="C4784" t="s">
        <v>45</v>
      </c>
      <c r="D4784" t="s">
        <v>38</v>
      </c>
      <c r="E4784" t="s">
        <v>19</v>
      </c>
      <c r="F4784" t="s">
        <v>27</v>
      </c>
      <c r="O4784">
        <v>2038</v>
      </c>
      <c r="P4784">
        <v>1.5768</v>
      </c>
    </row>
    <row r="4785" spans="1:16" x14ac:dyDescent="0.3">
      <c r="A4785" t="str">
        <f t="shared" si="74"/>
        <v>PA|TotalCapacityAnnual|RE1|PWRLPG|2038</v>
      </c>
      <c r="B4785" t="s">
        <v>44</v>
      </c>
      <c r="C4785" t="s">
        <v>45</v>
      </c>
      <c r="D4785" t="s">
        <v>38</v>
      </c>
      <c r="E4785" t="s">
        <v>19</v>
      </c>
      <c r="F4785" t="s">
        <v>28</v>
      </c>
      <c r="O4785">
        <v>2038</v>
      </c>
      <c r="P4785">
        <v>1.639872</v>
      </c>
    </row>
    <row r="4786" spans="1:16" x14ac:dyDescent="0.3">
      <c r="A4786" t="str">
        <f t="shared" si="74"/>
        <v>PA|TotalCapacityAnnual|RE1|PWRNGS_CC|2038</v>
      </c>
      <c r="B4786" t="s">
        <v>44</v>
      </c>
      <c r="C4786" t="s">
        <v>45</v>
      </c>
      <c r="D4786" t="s">
        <v>38</v>
      </c>
      <c r="E4786" t="s">
        <v>19</v>
      </c>
      <c r="F4786" t="s">
        <v>29</v>
      </c>
      <c r="O4786">
        <v>2038</v>
      </c>
      <c r="P4786">
        <v>70.104500000000002</v>
      </c>
    </row>
    <row r="4787" spans="1:16" x14ac:dyDescent="0.3">
      <c r="A4787" t="str">
        <f t="shared" si="74"/>
        <v>PA|TotalCapacityAnnual|RE1|PWRNGS_CS|2038</v>
      </c>
      <c r="B4787" t="s">
        <v>44</v>
      </c>
      <c r="C4787" t="s">
        <v>45</v>
      </c>
      <c r="D4787" t="s">
        <v>38</v>
      </c>
      <c r="E4787" t="s">
        <v>19</v>
      </c>
      <c r="F4787" t="s">
        <v>30</v>
      </c>
      <c r="O4787">
        <v>2038</v>
      </c>
      <c r="P4787">
        <v>23.084351999999999</v>
      </c>
    </row>
    <row r="4788" spans="1:16" x14ac:dyDescent="0.3">
      <c r="A4788" t="str">
        <f t="shared" si="74"/>
        <v>PA|TotalCapacityAnnual|RE1|PWRNUC|2038</v>
      </c>
      <c r="B4788" t="s">
        <v>44</v>
      </c>
      <c r="C4788" t="s">
        <v>45</v>
      </c>
      <c r="D4788" t="s">
        <v>38</v>
      </c>
      <c r="E4788" t="s">
        <v>19</v>
      </c>
      <c r="F4788" t="s">
        <v>47</v>
      </c>
      <c r="O4788">
        <v>2038</v>
      </c>
      <c r="P4788">
        <v>9.5120000000000005</v>
      </c>
    </row>
    <row r="4789" spans="1:16" x14ac:dyDescent="0.3">
      <c r="A4789" t="str">
        <f t="shared" si="74"/>
        <v>PA|TotalCapacityAnnual|RE1|PWRSOLRTP|2038</v>
      </c>
      <c r="B4789" t="s">
        <v>44</v>
      </c>
      <c r="C4789" t="s">
        <v>45</v>
      </c>
      <c r="D4789" t="s">
        <v>38</v>
      </c>
      <c r="E4789" t="s">
        <v>19</v>
      </c>
      <c r="F4789" t="s">
        <v>31</v>
      </c>
      <c r="O4789">
        <v>2038</v>
      </c>
      <c r="P4789">
        <v>153.1315762206722</v>
      </c>
    </row>
    <row r="4790" spans="1:16" x14ac:dyDescent="0.3">
      <c r="A4790" t="str">
        <f t="shared" si="74"/>
        <v>PA|TotalCapacityAnnual|RE1|PWRSOLRTP_ZNI|2038</v>
      </c>
      <c r="B4790" t="s">
        <v>44</v>
      </c>
      <c r="C4790" t="s">
        <v>45</v>
      </c>
      <c r="D4790" t="s">
        <v>38</v>
      </c>
      <c r="E4790" t="s">
        <v>19</v>
      </c>
      <c r="F4790" t="s">
        <v>32</v>
      </c>
      <c r="O4790">
        <v>2038</v>
      </c>
      <c r="P4790">
        <v>0.46074095999999998</v>
      </c>
    </row>
    <row r="4791" spans="1:16" x14ac:dyDescent="0.3">
      <c r="A4791" t="str">
        <f t="shared" si="74"/>
        <v>PA|TotalCapacityAnnual|RE1|PWRSOLUGE|2038</v>
      </c>
      <c r="B4791" t="s">
        <v>44</v>
      </c>
      <c r="C4791" t="s">
        <v>45</v>
      </c>
      <c r="D4791" t="s">
        <v>38</v>
      </c>
      <c r="E4791" t="s">
        <v>19</v>
      </c>
      <c r="F4791" t="s">
        <v>33</v>
      </c>
      <c r="O4791">
        <v>2038</v>
      </c>
      <c r="P4791">
        <v>191.79186048</v>
      </c>
    </row>
    <row r="4792" spans="1:16" x14ac:dyDescent="0.3">
      <c r="A4792" t="str">
        <f t="shared" si="74"/>
        <v>PA|TotalCapacityAnnual|RE1|PWRSOLUPE|2038</v>
      </c>
      <c r="B4792" t="s">
        <v>44</v>
      </c>
      <c r="C4792" t="s">
        <v>45</v>
      </c>
      <c r="D4792" t="s">
        <v>38</v>
      </c>
      <c r="E4792" t="s">
        <v>19</v>
      </c>
      <c r="F4792" t="s">
        <v>34</v>
      </c>
      <c r="O4792">
        <v>2038</v>
      </c>
      <c r="P4792">
        <v>39.172600079999931</v>
      </c>
    </row>
    <row r="4793" spans="1:16" x14ac:dyDescent="0.3">
      <c r="A4793" t="str">
        <f t="shared" si="74"/>
        <v>PA|TotalCapacityAnnual|RE1|PWRSTD|2038</v>
      </c>
      <c r="B4793" t="s">
        <v>44</v>
      </c>
      <c r="C4793" t="s">
        <v>45</v>
      </c>
      <c r="D4793" t="s">
        <v>38</v>
      </c>
      <c r="E4793" t="s">
        <v>19</v>
      </c>
      <c r="F4793" t="s">
        <v>35</v>
      </c>
      <c r="O4793">
        <v>2038</v>
      </c>
      <c r="P4793">
        <v>8.163062064</v>
      </c>
    </row>
    <row r="4794" spans="1:16" x14ac:dyDescent="0.3">
      <c r="A4794" t="str">
        <f t="shared" si="74"/>
        <v>PA|TotalCapacityAnnual|RE1|PWRWNDOFS_FIX|2038</v>
      </c>
      <c r="B4794" t="s">
        <v>44</v>
      </c>
      <c r="C4794" t="s">
        <v>45</v>
      </c>
      <c r="D4794" t="s">
        <v>38</v>
      </c>
      <c r="E4794" t="s">
        <v>19</v>
      </c>
      <c r="F4794" t="s">
        <v>42</v>
      </c>
      <c r="O4794">
        <v>2038</v>
      </c>
      <c r="P4794">
        <v>12.263999999999999</v>
      </c>
    </row>
    <row r="4795" spans="1:16" x14ac:dyDescent="0.3">
      <c r="A4795" t="str">
        <f t="shared" si="74"/>
        <v>PA|TotalCapacityAnnual|RE1|PWRWNDONS|2038</v>
      </c>
      <c r="B4795" t="s">
        <v>44</v>
      </c>
      <c r="C4795" t="s">
        <v>45</v>
      </c>
      <c r="D4795" t="s">
        <v>38</v>
      </c>
      <c r="E4795" t="s">
        <v>19</v>
      </c>
      <c r="F4795" t="s">
        <v>36</v>
      </c>
      <c r="O4795">
        <v>2038</v>
      </c>
      <c r="P4795">
        <v>161.95669091083539</v>
      </c>
    </row>
    <row r="4796" spans="1:16" x14ac:dyDescent="0.3">
      <c r="A4796" t="str">
        <f t="shared" si="74"/>
        <v>PA|AccumulatedNewCapacity|RE1|PWRBGS|2039</v>
      </c>
      <c r="B4796" t="s">
        <v>44</v>
      </c>
      <c r="C4796" t="s">
        <v>45</v>
      </c>
      <c r="D4796" t="s">
        <v>18</v>
      </c>
      <c r="E4796" t="s">
        <v>19</v>
      </c>
      <c r="F4796" t="s">
        <v>20</v>
      </c>
      <c r="O4796">
        <v>2039</v>
      </c>
    </row>
    <row r="4797" spans="1:16" x14ac:dyDescent="0.3">
      <c r="A4797" t="str">
        <f t="shared" si="74"/>
        <v>PA|AccumulatedNewCapacity|RE1|PWRCOA|2039</v>
      </c>
      <c r="B4797" t="s">
        <v>44</v>
      </c>
      <c r="C4797" t="s">
        <v>45</v>
      </c>
      <c r="D4797" t="s">
        <v>18</v>
      </c>
      <c r="E4797" t="s">
        <v>19</v>
      </c>
      <c r="F4797" t="s">
        <v>21</v>
      </c>
      <c r="O4797">
        <v>2039</v>
      </c>
    </row>
    <row r="4798" spans="1:16" x14ac:dyDescent="0.3">
      <c r="A4798" t="str">
        <f t="shared" si="74"/>
        <v>PA|AccumulatedNewCapacity|RE1|PWRDSL|2039</v>
      </c>
      <c r="B4798" t="s">
        <v>44</v>
      </c>
      <c r="C4798" t="s">
        <v>45</v>
      </c>
      <c r="D4798" t="s">
        <v>18</v>
      </c>
      <c r="E4798" t="s">
        <v>19</v>
      </c>
      <c r="F4798" t="s">
        <v>22</v>
      </c>
      <c r="O4798">
        <v>2039</v>
      </c>
    </row>
    <row r="4799" spans="1:16" x14ac:dyDescent="0.3">
      <c r="A4799" t="str">
        <f t="shared" si="74"/>
        <v>PA|AccumulatedNewCapacity|RE1|PWRFOL|2039</v>
      </c>
      <c r="B4799" t="s">
        <v>44</v>
      </c>
      <c r="C4799" t="s">
        <v>45</v>
      </c>
      <c r="D4799" t="s">
        <v>18</v>
      </c>
      <c r="E4799" t="s">
        <v>19</v>
      </c>
      <c r="F4799" t="s">
        <v>23</v>
      </c>
      <c r="O4799">
        <v>2039</v>
      </c>
    </row>
    <row r="4800" spans="1:16" x14ac:dyDescent="0.3">
      <c r="A4800" t="str">
        <f t="shared" si="74"/>
        <v>PA|AccumulatedNewCapacity|RE1|PWRGEO|2039</v>
      </c>
      <c r="B4800" t="s">
        <v>44</v>
      </c>
      <c r="C4800" t="s">
        <v>45</v>
      </c>
      <c r="D4800" t="s">
        <v>18</v>
      </c>
      <c r="E4800" t="s">
        <v>19</v>
      </c>
      <c r="F4800" t="s">
        <v>46</v>
      </c>
      <c r="O4800">
        <v>2039</v>
      </c>
    </row>
    <row r="4801" spans="1:16" x14ac:dyDescent="0.3">
      <c r="A4801" t="str">
        <f t="shared" si="74"/>
        <v>PA|AccumulatedNewCapacity|RE1|PWRHYDDAM|2039</v>
      </c>
      <c r="B4801" t="s">
        <v>44</v>
      </c>
      <c r="C4801" t="s">
        <v>45</v>
      </c>
      <c r="D4801" t="s">
        <v>18</v>
      </c>
      <c r="E4801" t="s">
        <v>19</v>
      </c>
      <c r="F4801" t="s">
        <v>24</v>
      </c>
      <c r="O4801">
        <v>2039</v>
      </c>
      <c r="P4801">
        <v>37.840000000000003</v>
      </c>
    </row>
    <row r="4802" spans="1:16" x14ac:dyDescent="0.3">
      <c r="A4802" t="str">
        <f t="shared" ref="A4802:A4865" si="75">B4802&amp;"|"&amp;D4802&amp;"|"&amp;E4802&amp;"|"&amp;F4802&amp;"|"&amp;O4802</f>
        <v>PA|AccumulatedNewCapacity|RE1|PWRHYDROR|2039</v>
      </c>
      <c r="B4802" t="s">
        <v>44</v>
      </c>
      <c r="C4802" t="s">
        <v>45</v>
      </c>
      <c r="D4802" t="s">
        <v>18</v>
      </c>
      <c r="E4802" t="s">
        <v>19</v>
      </c>
      <c r="F4802" t="s">
        <v>25</v>
      </c>
      <c r="O4802">
        <v>2039</v>
      </c>
    </row>
    <row r="4803" spans="1:16" x14ac:dyDescent="0.3">
      <c r="A4803" t="str">
        <f t="shared" si="75"/>
        <v>PA|AccumulatedNewCapacity|RE1|PWRHYDROR_NDC|2039</v>
      </c>
      <c r="B4803" t="s">
        <v>44</v>
      </c>
      <c r="C4803" t="s">
        <v>45</v>
      </c>
      <c r="D4803" t="s">
        <v>18</v>
      </c>
      <c r="E4803" t="s">
        <v>19</v>
      </c>
      <c r="F4803" t="s">
        <v>26</v>
      </c>
      <c r="O4803">
        <v>2039</v>
      </c>
    </row>
    <row r="4804" spans="1:16" x14ac:dyDescent="0.3">
      <c r="A4804" t="str">
        <f t="shared" si="75"/>
        <v>PA|AccumulatedNewCapacity|RE1|PWRJET|2039</v>
      </c>
      <c r="B4804" t="s">
        <v>44</v>
      </c>
      <c r="C4804" t="s">
        <v>45</v>
      </c>
      <c r="D4804" t="s">
        <v>18</v>
      </c>
      <c r="E4804" t="s">
        <v>19</v>
      </c>
      <c r="F4804" t="s">
        <v>27</v>
      </c>
      <c r="O4804">
        <v>2039</v>
      </c>
    </row>
    <row r="4805" spans="1:16" x14ac:dyDescent="0.3">
      <c r="A4805" t="str">
        <f t="shared" si="75"/>
        <v>PA|AccumulatedNewCapacity|RE1|PWRLPG|2039</v>
      </c>
      <c r="B4805" t="s">
        <v>44</v>
      </c>
      <c r="C4805" t="s">
        <v>45</v>
      </c>
      <c r="D4805" t="s">
        <v>18</v>
      </c>
      <c r="E4805" t="s">
        <v>19</v>
      </c>
      <c r="F4805" t="s">
        <v>28</v>
      </c>
      <c r="O4805">
        <v>2039</v>
      </c>
    </row>
    <row r="4806" spans="1:16" x14ac:dyDescent="0.3">
      <c r="A4806" t="str">
        <f t="shared" si="75"/>
        <v>PA|AccumulatedNewCapacity|RE1|PWRNGS_CC|2039</v>
      </c>
      <c r="B4806" t="s">
        <v>44</v>
      </c>
      <c r="C4806" t="s">
        <v>45</v>
      </c>
      <c r="D4806" t="s">
        <v>18</v>
      </c>
      <c r="E4806" t="s">
        <v>19</v>
      </c>
      <c r="F4806" t="s">
        <v>29</v>
      </c>
      <c r="O4806">
        <v>2039</v>
      </c>
    </row>
    <row r="4807" spans="1:16" x14ac:dyDescent="0.3">
      <c r="A4807" t="str">
        <f t="shared" si="75"/>
        <v>PA|AccumulatedNewCapacity|RE1|PWRNGS_CS|2039</v>
      </c>
      <c r="B4807" t="s">
        <v>44</v>
      </c>
      <c r="C4807" t="s">
        <v>45</v>
      </c>
      <c r="D4807" t="s">
        <v>18</v>
      </c>
      <c r="E4807" t="s">
        <v>19</v>
      </c>
      <c r="F4807" t="s">
        <v>30</v>
      </c>
      <c r="O4807">
        <v>2039</v>
      </c>
    </row>
    <row r="4808" spans="1:16" x14ac:dyDescent="0.3">
      <c r="A4808" t="str">
        <f t="shared" si="75"/>
        <v>PA|AccumulatedNewCapacity|RE1|PWRNUC|2039</v>
      </c>
      <c r="B4808" t="s">
        <v>44</v>
      </c>
      <c r="C4808" t="s">
        <v>45</v>
      </c>
      <c r="D4808" t="s">
        <v>18</v>
      </c>
      <c r="E4808" t="s">
        <v>19</v>
      </c>
      <c r="F4808" t="s">
        <v>47</v>
      </c>
      <c r="O4808">
        <v>2039</v>
      </c>
      <c r="P4808">
        <v>9.5120000000000005</v>
      </c>
    </row>
    <row r="4809" spans="1:16" x14ac:dyDescent="0.3">
      <c r="A4809" t="str">
        <f t="shared" si="75"/>
        <v>PA|AccumulatedNewCapacity|RE1|PWRSOLRTP|2039</v>
      </c>
      <c r="B4809" t="s">
        <v>44</v>
      </c>
      <c r="C4809" t="s">
        <v>45</v>
      </c>
      <c r="D4809" t="s">
        <v>18</v>
      </c>
      <c r="E4809" t="s">
        <v>19</v>
      </c>
      <c r="F4809" t="s">
        <v>31</v>
      </c>
      <c r="O4809">
        <v>2039</v>
      </c>
      <c r="P4809">
        <v>133.33511097019661</v>
      </c>
    </row>
    <row r="4810" spans="1:16" x14ac:dyDescent="0.3">
      <c r="A4810" t="str">
        <f t="shared" si="75"/>
        <v>PA|AccumulatedNewCapacity|RE1|PWRSOLRTP_ZNI|2039</v>
      </c>
      <c r="B4810" t="s">
        <v>44</v>
      </c>
      <c r="C4810" t="s">
        <v>45</v>
      </c>
      <c r="D4810" t="s">
        <v>18</v>
      </c>
      <c r="E4810" t="s">
        <v>19</v>
      </c>
      <c r="F4810" t="s">
        <v>32</v>
      </c>
      <c r="O4810">
        <v>2039</v>
      </c>
    </row>
    <row r="4811" spans="1:16" x14ac:dyDescent="0.3">
      <c r="A4811" t="str">
        <f t="shared" si="75"/>
        <v>PA|AccumulatedNewCapacity|RE1|PWRSOLUGE|2039</v>
      </c>
      <c r="B4811" t="s">
        <v>44</v>
      </c>
      <c r="C4811" t="s">
        <v>45</v>
      </c>
      <c r="D4811" t="s">
        <v>18</v>
      </c>
      <c r="E4811" t="s">
        <v>19</v>
      </c>
      <c r="F4811" t="s">
        <v>33</v>
      </c>
      <c r="O4811">
        <v>2039</v>
      </c>
      <c r="P4811">
        <v>143.394192</v>
      </c>
    </row>
    <row r="4812" spans="1:16" x14ac:dyDescent="0.3">
      <c r="A4812" t="str">
        <f t="shared" si="75"/>
        <v>PA|AccumulatedNewCapacity|RE1|PWRSOLUPE|2039</v>
      </c>
      <c r="B4812" t="s">
        <v>44</v>
      </c>
      <c r="C4812" t="s">
        <v>45</v>
      </c>
      <c r="D4812" t="s">
        <v>18</v>
      </c>
      <c r="E4812" t="s">
        <v>19</v>
      </c>
      <c r="F4812" t="s">
        <v>34</v>
      </c>
      <c r="O4812">
        <v>2039</v>
      </c>
      <c r="P4812">
        <v>12.14419823999993</v>
      </c>
    </row>
    <row r="4813" spans="1:16" x14ac:dyDescent="0.3">
      <c r="A4813" t="str">
        <f t="shared" si="75"/>
        <v>PA|AccumulatedNewCapacity|RE1|PWRSTD|2039</v>
      </c>
      <c r="B4813" t="s">
        <v>44</v>
      </c>
      <c r="C4813" t="s">
        <v>45</v>
      </c>
      <c r="D4813" t="s">
        <v>18</v>
      </c>
      <c r="E4813" t="s">
        <v>19</v>
      </c>
      <c r="F4813" t="s">
        <v>35</v>
      </c>
      <c r="O4813">
        <v>2039</v>
      </c>
    </row>
    <row r="4814" spans="1:16" x14ac:dyDescent="0.3">
      <c r="A4814" t="str">
        <f t="shared" si="75"/>
        <v>PA|AccumulatedNewCapacity|RE1|PWRWNDOFS_FIX|2039</v>
      </c>
      <c r="B4814" t="s">
        <v>44</v>
      </c>
      <c r="C4814" t="s">
        <v>45</v>
      </c>
      <c r="D4814" t="s">
        <v>18</v>
      </c>
      <c r="E4814" t="s">
        <v>19</v>
      </c>
      <c r="F4814" t="s">
        <v>42</v>
      </c>
      <c r="O4814">
        <v>2039</v>
      </c>
      <c r="P4814">
        <v>14.016</v>
      </c>
    </row>
    <row r="4815" spans="1:16" x14ac:dyDescent="0.3">
      <c r="A4815" t="str">
        <f t="shared" si="75"/>
        <v>PA|AccumulatedNewCapacity|RE1|PWRWNDONS|2039</v>
      </c>
      <c r="B4815" t="s">
        <v>44</v>
      </c>
      <c r="C4815" t="s">
        <v>45</v>
      </c>
      <c r="D4815" t="s">
        <v>18</v>
      </c>
      <c r="E4815" t="s">
        <v>19</v>
      </c>
      <c r="F4815" t="s">
        <v>36</v>
      </c>
      <c r="O4815">
        <v>2039</v>
      </c>
      <c r="P4815">
        <v>186.28626433862959</v>
      </c>
    </row>
    <row r="4816" spans="1:16" x14ac:dyDescent="0.3">
      <c r="A4816" t="str">
        <f t="shared" si="75"/>
        <v>PA|NewCapacity|RE1|PWRBGS|2039</v>
      </c>
      <c r="B4816" t="s">
        <v>44</v>
      </c>
      <c r="C4816" t="s">
        <v>45</v>
      </c>
      <c r="D4816" t="s">
        <v>37</v>
      </c>
      <c r="E4816" t="s">
        <v>19</v>
      </c>
      <c r="F4816" t="s">
        <v>20</v>
      </c>
      <c r="O4816">
        <v>2039</v>
      </c>
    </row>
    <row r="4817" spans="1:16" x14ac:dyDescent="0.3">
      <c r="A4817" t="str">
        <f t="shared" si="75"/>
        <v>PA|NewCapacity|RE1|PWRCOA|2039</v>
      </c>
      <c r="B4817" t="s">
        <v>44</v>
      </c>
      <c r="C4817" t="s">
        <v>45</v>
      </c>
      <c r="D4817" t="s">
        <v>37</v>
      </c>
      <c r="E4817" t="s">
        <v>19</v>
      </c>
      <c r="F4817" t="s">
        <v>21</v>
      </c>
      <c r="O4817">
        <v>2039</v>
      </c>
    </row>
    <row r="4818" spans="1:16" x14ac:dyDescent="0.3">
      <c r="A4818" t="str">
        <f t="shared" si="75"/>
        <v>PA|NewCapacity|RE1|PWRDSL|2039</v>
      </c>
      <c r="B4818" t="s">
        <v>44</v>
      </c>
      <c r="C4818" t="s">
        <v>45</v>
      </c>
      <c r="D4818" t="s">
        <v>37</v>
      </c>
      <c r="E4818" t="s">
        <v>19</v>
      </c>
      <c r="F4818" t="s">
        <v>22</v>
      </c>
      <c r="O4818">
        <v>2039</v>
      </c>
    </row>
    <row r="4819" spans="1:16" x14ac:dyDescent="0.3">
      <c r="A4819" t="str">
        <f t="shared" si="75"/>
        <v>PA|NewCapacity|RE1|PWRFOL|2039</v>
      </c>
      <c r="B4819" t="s">
        <v>44</v>
      </c>
      <c r="C4819" t="s">
        <v>45</v>
      </c>
      <c r="D4819" t="s">
        <v>37</v>
      </c>
      <c r="E4819" t="s">
        <v>19</v>
      </c>
      <c r="F4819" t="s">
        <v>23</v>
      </c>
      <c r="O4819">
        <v>2039</v>
      </c>
    </row>
    <row r="4820" spans="1:16" x14ac:dyDescent="0.3">
      <c r="A4820" t="str">
        <f t="shared" si="75"/>
        <v>PA|NewCapacity|RE1|PWRGEO|2039</v>
      </c>
      <c r="B4820" t="s">
        <v>44</v>
      </c>
      <c r="C4820" t="s">
        <v>45</v>
      </c>
      <c r="D4820" t="s">
        <v>37</v>
      </c>
      <c r="E4820" t="s">
        <v>19</v>
      </c>
      <c r="F4820" t="s">
        <v>46</v>
      </c>
      <c r="O4820">
        <v>2039</v>
      </c>
    </row>
    <row r="4821" spans="1:16" x14ac:dyDescent="0.3">
      <c r="A4821" t="str">
        <f t="shared" si="75"/>
        <v>PA|NewCapacity|RE1|PWRHYDDAM|2039</v>
      </c>
      <c r="B4821" t="s">
        <v>44</v>
      </c>
      <c r="C4821" t="s">
        <v>45</v>
      </c>
      <c r="D4821" t="s">
        <v>37</v>
      </c>
      <c r="E4821" t="s">
        <v>19</v>
      </c>
      <c r="F4821" t="s">
        <v>24</v>
      </c>
      <c r="O4821">
        <v>2039</v>
      </c>
    </row>
    <row r="4822" spans="1:16" x14ac:dyDescent="0.3">
      <c r="A4822" t="str">
        <f t="shared" si="75"/>
        <v>PA|NewCapacity|RE1|PWRHYDROR|2039</v>
      </c>
      <c r="B4822" t="s">
        <v>44</v>
      </c>
      <c r="C4822" t="s">
        <v>45</v>
      </c>
      <c r="D4822" t="s">
        <v>37</v>
      </c>
      <c r="E4822" t="s">
        <v>19</v>
      </c>
      <c r="F4822" t="s">
        <v>25</v>
      </c>
      <c r="O4822">
        <v>2039</v>
      </c>
    </row>
    <row r="4823" spans="1:16" x14ac:dyDescent="0.3">
      <c r="A4823" t="str">
        <f t="shared" si="75"/>
        <v>PA|NewCapacity|RE1|PWRHYDROR_NDC|2039</v>
      </c>
      <c r="B4823" t="s">
        <v>44</v>
      </c>
      <c r="C4823" t="s">
        <v>45</v>
      </c>
      <c r="D4823" t="s">
        <v>37</v>
      </c>
      <c r="E4823" t="s">
        <v>19</v>
      </c>
      <c r="F4823" t="s">
        <v>26</v>
      </c>
      <c r="O4823">
        <v>2039</v>
      </c>
    </row>
    <row r="4824" spans="1:16" x14ac:dyDescent="0.3">
      <c r="A4824" t="str">
        <f t="shared" si="75"/>
        <v>PA|NewCapacity|RE1|PWRJET|2039</v>
      </c>
      <c r="B4824" t="s">
        <v>44</v>
      </c>
      <c r="C4824" t="s">
        <v>45</v>
      </c>
      <c r="D4824" t="s">
        <v>37</v>
      </c>
      <c r="E4824" t="s">
        <v>19</v>
      </c>
      <c r="F4824" t="s">
        <v>27</v>
      </c>
      <c r="O4824">
        <v>2039</v>
      </c>
    </row>
    <row r="4825" spans="1:16" x14ac:dyDescent="0.3">
      <c r="A4825" t="str">
        <f t="shared" si="75"/>
        <v>PA|NewCapacity|RE1|PWRLPG|2039</v>
      </c>
      <c r="B4825" t="s">
        <v>44</v>
      </c>
      <c r="C4825" t="s">
        <v>45</v>
      </c>
      <c r="D4825" t="s">
        <v>37</v>
      </c>
      <c r="E4825" t="s">
        <v>19</v>
      </c>
      <c r="F4825" t="s">
        <v>28</v>
      </c>
      <c r="O4825">
        <v>2039</v>
      </c>
    </row>
    <row r="4826" spans="1:16" x14ac:dyDescent="0.3">
      <c r="A4826" t="str">
        <f t="shared" si="75"/>
        <v>PA|NewCapacity|RE1|PWRNGS_CC|2039</v>
      </c>
      <c r="B4826" t="s">
        <v>44</v>
      </c>
      <c r="C4826" t="s">
        <v>45</v>
      </c>
      <c r="D4826" t="s">
        <v>37</v>
      </c>
      <c r="E4826" t="s">
        <v>19</v>
      </c>
      <c r="F4826" t="s">
        <v>29</v>
      </c>
      <c r="O4826">
        <v>2039</v>
      </c>
    </row>
    <row r="4827" spans="1:16" x14ac:dyDescent="0.3">
      <c r="A4827" t="str">
        <f t="shared" si="75"/>
        <v>PA|NewCapacity|RE1|PWRNGS_CS|2039</v>
      </c>
      <c r="B4827" t="s">
        <v>44</v>
      </c>
      <c r="C4827" t="s">
        <v>45</v>
      </c>
      <c r="D4827" t="s">
        <v>37</v>
      </c>
      <c r="E4827" t="s">
        <v>19</v>
      </c>
      <c r="F4827" t="s">
        <v>30</v>
      </c>
      <c r="O4827">
        <v>2039</v>
      </c>
    </row>
    <row r="4828" spans="1:16" x14ac:dyDescent="0.3">
      <c r="A4828" t="str">
        <f t="shared" si="75"/>
        <v>PA|NewCapacity|RE1|PWRNUC|2039</v>
      </c>
      <c r="B4828" t="s">
        <v>44</v>
      </c>
      <c r="C4828" t="s">
        <v>45</v>
      </c>
      <c r="D4828" t="s">
        <v>37</v>
      </c>
      <c r="E4828" t="s">
        <v>19</v>
      </c>
      <c r="F4828" t="s">
        <v>47</v>
      </c>
      <c r="O4828">
        <v>2039</v>
      </c>
    </row>
    <row r="4829" spans="1:16" x14ac:dyDescent="0.3">
      <c r="A4829" t="str">
        <f t="shared" si="75"/>
        <v>PA|NewCapacity|RE1|PWRSOLRTP|2039</v>
      </c>
      <c r="B4829" t="s">
        <v>44</v>
      </c>
      <c r="C4829" t="s">
        <v>45</v>
      </c>
      <c r="D4829" t="s">
        <v>37</v>
      </c>
      <c r="E4829" t="s">
        <v>19</v>
      </c>
      <c r="F4829" t="s">
        <v>31</v>
      </c>
      <c r="O4829">
        <v>2039</v>
      </c>
      <c r="P4829">
        <v>3.487634749524414</v>
      </c>
    </row>
    <row r="4830" spans="1:16" x14ac:dyDescent="0.3">
      <c r="A4830" t="str">
        <f t="shared" si="75"/>
        <v>PA|NewCapacity|RE1|PWRSOLRTP_ZNI|2039</v>
      </c>
      <c r="B4830" t="s">
        <v>44</v>
      </c>
      <c r="C4830" t="s">
        <v>45</v>
      </c>
      <c r="D4830" t="s">
        <v>37</v>
      </c>
      <c r="E4830" t="s">
        <v>19</v>
      </c>
      <c r="F4830" t="s">
        <v>32</v>
      </c>
      <c r="O4830">
        <v>2039</v>
      </c>
    </row>
    <row r="4831" spans="1:16" x14ac:dyDescent="0.3">
      <c r="A4831" t="str">
        <f t="shared" si="75"/>
        <v>PA|NewCapacity|RE1|PWRSOLUGE|2039</v>
      </c>
      <c r="B4831" t="s">
        <v>44</v>
      </c>
      <c r="C4831" t="s">
        <v>45</v>
      </c>
      <c r="D4831" t="s">
        <v>37</v>
      </c>
      <c r="E4831" t="s">
        <v>19</v>
      </c>
      <c r="F4831" t="s">
        <v>33</v>
      </c>
      <c r="O4831">
        <v>2039</v>
      </c>
    </row>
    <row r="4832" spans="1:16" x14ac:dyDescent="0.3">
      <c r="A4832" t="str">
        <f t="shared" si="75"/>
        <v>PA|NewCapacity|RE1|PWRSOLUPE|2039</v>
      </c>
      <c r="B4832" t="s">
        <v>44</v>
      </c>
      <c r="C4832" t="s">
        <v>45</v>
      </c>
      <c r="D4832" t="s">
        <v>37</v>
      </c>
      <c r="E4832" t="s">
        <v>19</v>
      </c>
      <c r="F4832" t="s">
        <v>34</v>
      </c>
      <c r="O4832">
        <v>2039</v>
      </c>
    </row>
    <row r="4833" spans="1:16" x14ac:dyDescent="0.3">
      <c r="A4833" t="str">
        <f t="shared" si="75"/>
        <v>PA|NewCapacity|RE1|PWRSTD|2039</v>
      </c>
      <c r="B4833" t="s">
        <v>44</v>
      </c>
      <c r="C4833" t="s">
        <v>45</v>
      </c>
      <c r="D4833" t="s">
        <v>37</v>
      </c>
      <c r="E4833" t="s">
        <v>19</v>
      </c>
      <c r="F4833" t="s">
        <v>35</v>
      </c>
      <c r="O4833">
        <v>2039</v>
      </c>
    </row>
    <row r="4834" spans="1:16" x14ac:dyDescent="0.3">
      <c r="A4834" t="str">
        <f t="shared" si="75"/>
        <v>PA|NewCapacity|RE1|PWRWNDOFS_FIX|2039</v>
      </c>
      <c r="B4834" t="s">
        <v>44</v>
      </c>
      <c r="C4834" t="s">
        <v>45</v>
      </c>
      <c r="D4834" t="s">
        <v>37</v>
      </c>
      <c r="E4834" t="s">
        <v>19</v>
      </c>
      <c r="F4834" t="s">
        <v>42</v>
      </c>
      <c r="O4834">
        <v>2039</v>
      </c>
      <c r="P4834">
        <v>1.752</v>
      </c>
    </row>
    <row r="4835" spans="1:16" x14ac:dyDescent="0.3">
      <c r="A4835" t="str">
        <f t="shared" si="75"/>
        <v>PA|NewCapacity|RE1|PWRWNDONS|2039</v>
      </c>
      <c r="B4835" t="s">
        <v>44</v>
      </c>
      <c r="C4835" t="s">
        <v>45</v>
      </c>
      <c r="D4835" t="s">
        <v>37</v>
      </c>
      <c r="E4835" t="s">
        <v>19</v>
      </c>
      <c r="F4835" t="s">
        <v>36</v>
      </c>
      <c r="O4835">
        <v>2039</v>
      </c>
      <c r="P4835">
        <v>25.69823582779421</v>
      </c>
    </row>
    <row r="4836" spans="1:16" x14ac:dyDescent="0.3">
      <c r="A4836" t="str">
        <f t="shared" si="75"/>
        <v>PA|TotalCapacityAnnual|RE1|PWRBGS|2039</v>
      </c>
      <c r="B4836" t="s">
        <v>44</v>
      </c>
      <c r="C4836" t="s">
        <v>45</v>
      </c>
      <c r="D4836" t="s">
        <v>38</v>
      </c>
      <c r="E4836" t="s">
        <v>19</v>
      </c>
      <c r="F4836" t="s">
        <v>20</v>
      </c>
      <c r="O4836">
        <v>2039</v>
      </c>
      <c r="P4836">
        <v>2.5488587520000001E-2</v>
      </c>
    </row>
    <row r="4837" spans="1:16" x14ac:dyDescent="0.3">
      <c r="A4837" t="str">
        <f t="shared" si="75"/>
        <v>PA|TotalCapacityAnnual|RE1|PWRCOA|2039</v>
      </c>
      <c r="B4837" t="s">
        <v>44</v>
      </c>
      <c r="C4837" t="s">
        <v>45</v>
      </c>
      <c r="D4837" t="s">
        <v>38</v>
      </c>
      <c r="E4837" t="s">
        <v>19</v>
      </c>
      <c r="F4837" t="s">
        <v>21</v>
      </c>
      <c r="O4837">
        <v>2039</v>
      </c>
    </row>
    <row r="4838" spans="1:16" x14ac:dyDescent="0.3">
      <c r="A4838" t="str">
        <f t="shared" si="75"/>
        <v>PA|TotalCapacityAnnual|RE1|PWRDSL|2039</v>
      </c>
      <c r="B4838" t="s">
        <v>44</v>
      </c>
      <c r="C4838" t="s">
        <v>45</v>
      </c>
      <c r="D4838" t="s">
        <v>38</v>
      </c>
      <c r="E4838" t="s">
        <v>19</v>
      </c>
      <c r="F4838" t="s">
        <v>22</v>
      </c>
      <c r="O4838">
        <v>2039</v>
      </c>
      <c r="P4838">
        <v>24.944976</v>
      </c>
    </row>
    <row r="4839" spans="1:16" x14ac:dyDescent="0.3">
      <c r="A4839" t="str">
        <f t="shared" si="75"/>
        <v>PA|TotalCapacityAnnual|RE1|PWRFOL|2039</v>
      </c>
      <c r="B4839" t="s">
        <v>44</v>
      </c>
      <c r="C4839" t="s">
        <v>45</v>
      </c>
      <c r="D4839" t="s">
        <v>38</v>
      </c>
      <c r="E4839" t="s">
        <v>19</v>
      </c>
      <c r="F4839" t="s">
        <v>23</v>
      </c>
      <c r="O4839">
        <v>2039</v>
      </c>
      <c r="P4839">
        <v>8.3885759999999987</v>
      </c>
    </row>
    <row r="4840" spans="1:16" x14ac:dyDescent="0.3">
      <c r="A4840" t="str">
        <f t="shared" si="75"/>
        <v>PA|TotalCapacityAnnual|RE1|PWRGEO|2039</v>
      </c>
      <c r="B4840" t="s">
        <v>44</v>
      </c>
      <c r="C4840" t="s">
        <v>45</v>
      </c>
      <c r="D4840" t="s">
        <v>38</v>
      </c>
      <c r="E4840" t="s">
        <v>19</v>
      </c>
      <c r="F4840" t="s">
        <v>46</v>
      </c>
      <c r="O4840">
        <v>2039</v>
      </c>
    </row>
    <row r="4841" spans="1:16" x14ac:dyDescent="0.3">
      <c r="A4841" t="str">
        <f t="shared" si="75"/>
        <v>PA|TotalCapacityAnnual|RE1|PWRHYDDAM|2039</v>
      </c>
      <c r="B4841" t="s">
        <v>44</v>
      </c>
      <c r="C4841" t="s">
        <v>45</v>
      </c>
      <c r="D4841" t="s">
        <v>38</v>
      </c>
      <c r="E4841" t="s">
        <v>19</v>
      </c>
      <c r="F4841" t="s">
        <v>24</v>
      </c>
      <c r="O4841">
        <v>2039</v>
      </c>
      <c r="P4841">
        <v>440.49164800000011</v>
      </c>
    </row>
    <row r="4842" spans="1:16" x14ac:dyDescent="0.3">
      <c r="A4842" t="str">
        <f t="shared" si="75"/>
        <v>PA|TotalCapacityAnnual|RE1|PWRHYDROR|2039</v>
      </c>
      <c r="B4842" t="s">
        <v>44</v>
      </c>
      <c r="C4842" t="s">
        <v>45</v>
      </c>
      <c r="D4842" t="s">
        <v>38</v>
      </c>
      <c r="E4842" t="s">
        <v>19</v>
      </c>
      <c r="F4842" t="s">
        <v>25</v>
      </c>
      <c r="O4842">
        <v>2039</v>
      </c>
      <c r="P4842">
        <v>21.097584000000001</v>
      </c>
    </row>
    <row r="4843" spans="1:16" x14ac:dyDescent="0.3">
      <c r="A4843" t="str">
        <f t="shared" si="75"/>
        <v>PA|TotalCapacityAnnual|RE1|PWRHYDROR_NDC|2039</v>
      </c>
      <c r="B4843" t="s">
        <v>44</v>
      </c>
      <c r="C4843" t="s">
        <v>45</v>
      </c>
      <c r="D4843" t="s">
        <v>38</v>
      </c>
      <c r="E4843" t="s">
        <v>19</v>
      </c>
      <c r="F4843" t="s">
        <v>26</v>
      </c>
      <c r="O4843">
        <v>2039</v>
      </c>
      <c r="P4843">
        <v>29.725108271999989</v>
      </c>
    </row>
    <row r="4844" spans="1:16" x14ac:dyDescent="0.3">
      <c r="A4844" t="str">
        <f t="shared" si="75"/>
        <v>PA|TotalCapacityAnnual|RE1|PWRJET|2039</v>
      </c>
      <c r="B4844" t="s">
        <v>44</v>
      </c>
      <c r="C4844" t="s">
        <v>45</v>
      </c>
      <c r="D4844" t="s">
        <v>38</v>
      </c>
      <c r="E4844" t="s">
        <v>19</v>
      </c>
      <c r="F4844" t="s">
        <v>27</v>
      </c>
      <c r="O4844">
        <v>2039</v>
      </c>
      <c r="P4844">
        <v>1.5768</v>
      </c>
    </row>
    <row r="4845" spans="1:16" x14ac:dyDescent="0.3">
      <c r="A4845" t="str">
        <f t="shared" si="75"/>
        <v>PA|TotalCapacityAnnual|RE1|PWRLPG|2039</v>
      </c>
      <c r="B4845" t="s">
        <v>44</v>
      </c>
      <c r="C4845" t="s">
        <v>45</v>
      </c>
      <c r="D4845" t="s">
        <v>38</v>
      </c>
      <c r="E4845" t="s">
        <v>19</v>
      </c>
      <c r="F4845" t="s">
        <v>28</v>
      </c>
      <c r="O4845">
        <v>2039</v>
      </c>
      <c r="P4845">
        <v>1.639872</v>
      </c>
    </row>
    <row r="4846" spans="1:16" x14ac:dyDescent="0.3">
      <c r="A4846" t="str">
        <f t="shared" si="75"/>
        <v>PA|TotalCapacityAnnual|RE1|PWRNGS_CC|2039</v>
      </c>
      <c r="B4846" t="s">
        <v>44</v>
      </c>
      <c r="C4846" t="s">
        <v>45</v>
      </c>
      <c r="D4846" t="s">
        <v>38</v>
      </c>
      <c r="E4846" t="s">
        <v>19</v>
      </c>
      <c r="F4846" t="s">
        <v>29</v>
      </c>
      <c r="O4846">
        <v>2039</v>
      </c>
      <c r="P4846">
        <v>70.104500000000002</v>
      </c>
    </row>
    <row r="4847" spans="1:16" x14ac:dyDescent="0.3">
      <c r="A4847" t="str">
        <f t="shared" si="75"/>
        <v>PA|TotalCapacityAnnual|RE1|PWRNGS_CS|2039</v>
      </c>
      <c r="B4847" t="s">
        <v>44</v>
      </c>
      <c r="C4847" t="s">
        <v>45</v>
      </c>
      <c r="D4847" t="s">
        <v>38</v>
      </c>
      <c r="E4847" t="s">
        <v>19</v>
      </c>
      <c r="F4847" t="s">
        <v>30</v>
      </c>
      <c r="O4847">
        <v>2039</v>
      </c>
      <c r="P4847">
        <v>23.084351999999999</v>
      </c>
    </row>
    <row r="4848" spans="1:16" x14ac:dyDescent="0.3">
      <c r="A4848" t="str">
        <f t="shared" si="75"/>
        <v>PA|TotalCapacityAnnual|RE1|PWRNUC|2039</v>
      </c>
      <c r="B4848" t="s">
        <v>44</v>
      </c>
      <c r="C4848" t="s">
        <v>45</v>
      </c>
      <c r="D4848" t="s">
        <v>38</v>
      </c>
      <c r="E4848" t="s">
        <v>19</v>
      </c>
      <c r="F4848" t="s">
        <v>47</v>
      </c>
      <c r="O4848">
        <v>2039</v>
      </c>
      <c r="P4848">
        <v>9.5120000000000005</v>
      </c>
    </row>
    <row r="4849" spans="1:16" x14ac:dyDescent="0.3">
      <c r="A4849" t="str">
        <f t="shared" si="75"/>
        <v>PA|TotalCapacityAnnual|RE1|PWRSOLRTP|2039</v>
      </c>
      <c r="B4849" t="s">
        <v>44</v>
      </c>
      <c r="C4849" t="s">
        <v>45</v>
      </c>
      <c r="D4849" t="s">
        <v>38</v>
      </c>
      <c r="E4849" t="s">
        <v>19</v>
      </c>
      <c r="F4849" t="s">
        <v>31</v>
      </c>
      <c r="O4849">
        <v>2039</v>
      </c>
      <c r="P4849">
        <v>156.6192109701966</v>
      </c>
    </row>
    <row r="4850" spans="1:16" x14ac:dyDescent="0.3">
      <c r="A4850" t="str">
        <f t="shared" si="75"/>
        <v>PA|TotalCapacityAnnual|RE1|PWRSOLRTP_ZNI|2039</v>
      </c>
      <c r="B4850" t="s">
        <v>44</v>
      </c>
      <c r="C4850" t="s">
        <v>45</v>
      </c>
      <c r="D4850" t="s">
        <v>38</v>
      </c>
      <c r="E4850" t="s">
        <v>19</v>
      </c>
      <c r="F4850" t="s">
        <v>32</v>
      </c>
      <c r="O4850">
        <v>2039</v>
      </c>
      <c r="P4850">
        <v>0.46074095999999998</v>
      </c>
    </row>
    <row r="4851" spans="1:16" x14ac:dyDescent="0.3">
      <c r="A4851" t="str">
        <f t="shared" si="75"/>
        <v>PA|TotalCapacityAnnual|RE1|PWRSOLUGE|2039</v>
      </c>
      <c r="B4851" t="s">
        <v>44</v>
      </c>
      <c r="C4851" t="s">
        <v>45</v>
      </c>
      <c r="D4851" t="s">
        <v>38</v>
      </c>
      <c r="E4851" t="s">
        <v>19</v>
      </c>
      <c r="F4851" t="s">
        <v>33</v>
      </c>
      <c r="O4851">
        <v>2039</v>
      </c>
      <c r="P4851">
        <v>191.79186048</v>
      </c>
    </row>
    <row r="4852" spans="1:16" x14ac:dyDescent="0.3">
      <c r="A4852" t="str">
        <f t="shared" si="75"/>
        <v>PA|TotalCapacityAnnual|RE1|PWRSOLUPE|2039</v>
      </c>
      <c r="B4852" t="s">
        <v>44</v>
      </c>
      <c r="C4852" t="s">
        <v>45</v>
      </c>
      <c r="D4852" t="s">
        <v>38</v>
      </c>
      <c r="E4852" t="s">
        <v>19</v>
      </c>
      <c r="F4852" t="s">
        <v>34</v>
      </c>
      <c r="O4852">
        <v>2039</v>
      </c>
      <c r="P4852">
        <v>39.172600079999931</v>
      </c>
    </row>
    <row r="4853" spans="1:16" x14ac:dyDescent="0.3">
      <c r="A4853" t="str">
        <f t="shared" si="75"/>
        <v>PA|TotalCapacityAnnual|RE1|PWRSTD|2039</v>
      </c>
      <c r="B4853" t="s">
        <v>44</v>
      </c>
      <c r="C4853" t="s">
        <v>45</v>
      </c>
      <c r="D4853" t="s">
        <v>38</v>
      </c>
      <c r="E4853" t="s">
        <v>19</v>
      </c>
      <c r="F4853" t="s">
        <v>35</v>
      </c>
      <c r="O4853">
        <v>2039</v>
      </c>
      <c r="P4853">
        <v>8.163062064</v>
      </c>
    </row>
    <row r="4854" spans="1:16" x14ac:dyDescent="0.3">
      <c r="A4854" t="str">
        <f t="shared" si="75"/>
        <v>PA|TotalCapacityAnnual|RE1|PWRWNDOFS_FIX|2039</v>
      </c>
      <c r="B4854" t="s">
        <v>44</v>
      </c>
      <c r="C4854" t="s">
        <v>45</v>
      </c>
      <c r="D4854" t="s">
        <v>38</v>
      </c>
      <c r="E4854" t="s">
        <v>19</v>
      </c>
      <c r="F4854" t="s">
        <v>42</v>
      </c>
      <c r="O4854">
        <v>2039</v>
      </c>
      <c r="P4854">
        <v>14.016</v>
      </c>
    </row>
    <row r="4855" spans="1:16" x14ac:dyDescent="0.3">
      <c r="A4855" t="str">
        <f t="shared" si="75"/>
        <v>PA|TotalCapacityAnnual|RE1|PWRWNDONS|2039</v>
      </c>
      <c r="B4855" t="s">
        <v>44</v>
      </c>
      <c r="C4855" t="s">
        <v>45</v>
      </c>
      <c r="D4855" t="s">
        <v>38</v>
      </c>
      <c r="E4855" t="s">
        <v>19</v>
      </c>
      <c r="F4855" t="s">
        <v>36</v>
      </c>
      <c r="O4855">
        <v>2039</v>
      </c>
      <c r="P4855">
        <v>187.65492673862971</v>
      </c>
    </row>
    <row r="4856" spans="1:16" x14ac:dyDescent="0.3">
      <c r="A4856" t="str">
        <f t="shared" si="75"/>
        <v>PA|AccumulatedNewCapacity|RE1|PWRBGS|2040</v>
      </c>
      <c r="B4856" t="s">
        <v>44</v>
      </c>
      <c r="C4856" t="s">
        <v>45</v>
      </c>
      <c r="D4856" t="s">
        <v>18</v>
      </c>
      <c r="E4856" t="s">
        <v>19</v>
      </c>
      <c r="F4856" t="s">
        <v>20</v>
      </c>
      <c r="O4856">
        <v>2040</v>
      </c>
    </row>
    <row r="4857" spans="1:16" x14ac:dyDescent="0.3">
      <c r="A4857" t="str">
        <f t="shared" si="75"/>
        <v>PA|AccumulatedNewCapacity|RE1|PWRCOA|2040</v>
      </c>
      <c r="B4857" t="s">
        <v>44</v>
      </c>
      <c r="C4857" t="s">
        <v>45</v>
      </c>
      <c r="D4857" t="s">
        <v>18</v>
      </c>
      <c r="E4857" t="s">
        <v>19</v>
      </c>
      <c r="F4857" t="s">
        <v>21</v>
      </c>
      <c r="O4857">
        <v>2040</v>
      </c>
    </row>
    <row r="4858" spans="1:16" x14ac:dyDescent="0.3">
      <c r="A4858" t="str">
        <f t="shared" si="75"/>
        <v>PA|AccumulatedNewCapacity|RE1|PWRDSL|2040</v>
      </c>
      <c r="B4858" t="s">
        <v>44</v>
      </c>
      <c r="C4858" t="s">
        <v>45</v>
      </c>
      <c r="D4858" t="s">
        <v>18</v>
      </c>
      <c r="E4858" t="s">
        <v>19</v>
      </c>
      <c r="F4858" t="s">
        <v>22</v>
      </c>
      <c r="O4858">
        <v>2040</v>
      </c>
    </row>
    <row r="4859" spans="1:16" x14ac:dyDescent="0.3">
      <c r="A4859" t="str">
        <f t="shared" si="75"/>
        <v>PA|AccumulatedNewCapacity|RE1|PWRFOL|2040</v>
      </c>
      <c r="B4859" t="s">
        <v>44</v>
      </c>
      <c r="C4859" t="s">
        <v>45</v>
      </c>
      <c r="D4859" t="s">
        <v>18</v>
      </c>
      <c r="E4859" t="s">
        <v>19</v>
      </c>
      <c r="F4859" t="s">
        <v>23</v>
      </c>
      <c r="O4859">
        <v>2040</v>
      </c>
    </row>
    <row r="4860" spans="1:16" x14ac:dyDescent="0.3">
      <c r="A4860" t="str">
        <f t="shared" si="75"/>
        <v>PA|AccumulatedNewCapacity|RE1|PWRGEO|2040</v>
      </c>
      <c r="B4860" t="s">
        <v>44</v>
      </c>
      <c r="C4860" t="s">
        <v>45</v>
      </c>
      <c r="D4860" t="s">
        <v>18</v>
      </c>
      <c r="E4860" t="s">
        <v>19</v>
      </c>
      <c r="F4860" t="s">
        <v>46</v>
      </c>
      <c r="O4860">
        <v>2040</v>
      </c>
      <c r="P4860">
        <v>3.1539999999999999</v>
      </c>
    </row>
    <row r="4861" spans="1:16" x14ac:dyDescent="0.3">
      <c r="A4861" t="str">
        <f t="shared" si="75"/>
        <v>PA|AccumulatedNewCapacity|RE1|PWRHYDDAM|2040</v>
      </c>
      <c r="B4861" t="s">
        <v>44</v>
      </c>
      <c r="C4861" t="s">
        <v>45</v>
      </c>
      <c r="D4861" t="s">
        <v>18</v>
      </c>
      <c r="E4861" t="s">
        <v>19</v>
      </c>
      <c r="F4861" t="s">
        <v>24</v>
      </c>
      <c r="O4861">
        <v>2040</v>
      </c>
      <c r="P4861">
        <v>37.840000000000003</v>
      </c>
    </row>
    <row r="4862" spans="1:16" x14ac:dyDescent="0.3">
      <c r="A4862" t="str">
        <f t="shared" si="75"/>
        <v>PA|AccumulatedNewCapacity|RE1|PWRHYDROR|2040</v>
      </c>
      <c r="B4862" t="s">
        <v>44</v>
      </c>
      <c r="C4862" t="s">
        <v>45</v>
      </c>
      <c r="D4862" t="s">
        <v>18</v>
      </c>
      <c r="E4862" t="s">
        <v>19</v>
      </c>
      <c r="F4862" t="s">
        <v>25</v>
      </c>
      <c r="O4862">
        <v>2040</v>
      </c>
    </row>
    <row r="4863" spans="1:16" x14ac:dyDescent="0.3">
      <c r="A4863" t="str">
        <f t="shared" si="75"/>
        <v>PA|AccumulatedNewCapacity|RE1|PWRHYDROR_NDC|2040</v>
      </c>
      <c r="B4863" t="s">
        <v>44</v>
      </c>
      <c r="C4863" t="s">
        <v>45</v>
      </c>
      <c r="D4863" t="s">
        <v>18</v>
      </c>
      <c r="E4863" t="s">
        <v>19</v>
      </c>
      <c r="F4863" t="s">
        <v>26</v>
      </c>
      <c r="O4863">
        <v>2040</v>
      </c>
    </row>
    <row r="4864" spans="1:16" x14ac:dyDescent="0.3">
      <c r="A4864" t="str">
        <f t="shared" si="75"/>
        <v>PA|AccumulatedNewCapacity|RE1|PWRJET|2040</v>
      </c>
      <c r="B4864" t="s">
        <v>44</v>
      </c>
      <c r="C4864" t="s">
        <v>45</v>
      </c>
      <c r="D4864" t="s">
        <v>18</v>
      </c>
      <c r="E4864" t="s">
        <v>19</v>
      </c>
      <c r="F4864" t="s">
        <v>27</v>
      </c>
      <c r="O4864">
        <v>2040</v>
      </c>
    </row>
    <row r="4865" spans="1:16" x14ac:dyDescent="0.3">
      <c r="A4865" t="str">
        <f t="shared" si="75"/>
        <v>PA|AccumulatedNewCapacity|RE1|PWRLPG|2040</v>
      </c>
      <c r="B4865" t="s">
        <v>44</v>
      </c>
      <c r="C4865" t="s">
        <v>45</v>
      </c>
      <c r="D4865" t="s">
        <v>18</v>
      </c>
      <c r="E4865" t="s">
        <v>19</v>
      </c>
      <c r="F4865" t="s">
        <v>28</v>
      </c>
      <c r="O4865">
        <v>2040</v>
      </c>
    </row>
    <row r="4866" spans="1:16" x14ac:dyDescent="0.3">
      <c r="A4866" t="str">
        <f t="shared" ref="A4866:A4929" si="76">B4866&amp;"|"&amp;D4866&amp;"|"&amp;E4866&amp;"|"&amp;F4866&amp;"|"&amp;O4866</f>
        <v>PA|AccumulatedNewCapacity|RE1|PWRNGS_CC|2040</v>
      </c>
      <c r="B4866" t="s">
        <v>44</v>
      </c>
      <c r="C4866" t="s">
        <v>45</v>
      </c>
      <c r="D4866" t="s">
        <v>18</v>
      </c>
      <c r="E4866" t="s">
        <v>19</v>
      </c>
      <c r="F4866" t="s">
        <v>29</v>
      </c>
      <c r="O4866">
        <v>2040</v>
      </c>
    </row>
    <row r="4867" spans="1:16" x14ac:dyDescent="0.3">
      <c r="A4867" t="str">
        <f t="shared" si="76"/>
        <v>PA|AccumulatedNewCapacity|RE1|PWRNGS_CS|2040</v>
      </c>
      <c r="B4867" t="s">
        <v>44</v>
      </c>
      <c r="C4867" t="s">
        <v>45</v>
      </c>
      <c r="D4867" t="s">
        <v>18</v>
      </c>
      <c r="E4867" t="s">
        <v>19</v>
      </c>
      <c r="F4867" t="s">
        <v>30</v>
      </c>
      <c r="O4867">
        <v>2040</v>
      </c>
    </row>
    <row r="4868" spans="1:16" x14ac:dyDescent="0.3">
      <c r="A4868" t="str">
        <f t="shared" si="76"/>
        <v>PA|AccumulatedNewCapacity|RE1|PWRNUC|2040</v>
      </c>
      <c r="B4868" t="s">
        <v>44</v>
      </c>
      <c r="C4868" t="s">
        <v>45</v>
      </c>
      <c r="D4868" t="s">
        <v>18</v>
      </c>
      <c r="E4868" t="s">
        <v>19</v>
      </c>
      <c r="F4868" t="s">
        <v>47</v>
      </c>
      <c r="O4868">
        <v>2040</v>
      </c>
      <c r="P4868">
        <v>9.5120000000000005</v>
      </c>
    </row>
    <row r="4869" spans="1:16" x14ac:dyDescent="0.3">
      <c r="A4869" t="str">
        <f t="shared" si="76"/>
        <v>PA|AccumulatedNewCapacity|RE1|PWRSOLRTP|2040</v>
      </c>
      <c r="B4869" t="s">
        <v>44</v>
      </c>
      <c r="C4869" t="s">
        <v>45</v>
      </c>
      <c r="D4869" t="s">
        <v>18</v>
      </c>
      <c r="E4869" t="s">
        <v>19</v>
      </c>
      <c r="F4869" t="s">
        <v>31</v>
      </c>
      <c r="O4869">
        <v>2040</v>
      </c>
      <c r="P4869">
        <v>136.3471591629677</v>
      </c>
    </row>
    <row r="4870" spans="1:16" x14ac:dyDescent="0.3">
      <c r="A4870" t="str">
        <f t="shared" si="76"/>
        <v>PA|AccumulatedNewCapacity|RE1|PWRSOLRTP_ZNI|2040</v>
      </c>
      <c r="B4870" t="s">
        <v>44</v>
      </c>
      <c r="C4870" t="s">
        <v>45</v>
      </c>
      <c r="D4870" t="s">
        <v>18</v>
      </c>
      <c r="E4870" t="s">
        <v>19</v>
      </c>
      <c r="F4870" t="s">
        <v>32</v>
      </c>
      <c r="O4870">
        <v>2040</v>
      </c>
    </row>
    <row r="4871" spans="1:16" x14ac:dyDescent="0.3">
      <c r="A4871" t="str">
        <f t="shared" si="76"/>
        <v>PA|AccumulatedNewCapacity|RE1|PWRSOLUGE|2040</v>
      </c>
      <c r="B4871" t="s">
        <v>44</v>
      </c>
      <c r="C4871" t="s">
        <v>45</v>
      </c>
      <c r="D4871" t="s">
        <v>18</v>
      </c>
      <c r="E4871" t="s">
        <v>19</v>
      </c>
      <c r="F4871" t="s">
        <v>33</v>
      </c>
      <c r="O4871">
        <v>2040</v>
      </c>
      <c r="P4871">
        <v>143.394192</v>
      </c>
    </row>
    <row r="4872" spans="1:16" x14ac:dyDescent="0.3">
      <c r="A4872" t="str">
        <f t="shared" si="76"/>
        <v>PA|AccumulatedNewCapacity|RE1|PWRSOLUPE|2040</v>
      </c>
      <c r="B4872" t="s">
        <v>44</v>
      </c>
      <c r="C4872" t="s">
        <v>45</v>
      </c>
      <c r="D4872" t="s">
        <v>18</v>
      </c>
      <c r="E4872" t="s">
        <v>19</v>
      </c>
      <c r="F4872" t="s">
        <v>34</v>
      </c>
      <c r="O4872">
        <v>2040</v>
      </c>
      <c r="P4872">
        <v>12.14419823999993</v>
      </c>
    </row>
    <row r="4873" spans="1:16" x14ac:dyDescent="0.3">
      <c r="A4873" t="str">
        <f t="shared" si="76"/>
        <v>PA|AccumulatedNewCapacity|RE1|PWRSTD|2040</v>
      </c>
      <c r="B4873" t="s">
        <v>44</v>
      </c>
      <c r="C4873" t="s">
        <v>45</v>
      </c>
      <c r="D4873" t="s">
        <v>18</v>
      </c>
      <c r="E4873" t="s">
        <v>19</v>
      </c>
      <c r="F4873" t="s">
        <v>35</v>
      </c>
      <c r="O4873">
        <v>2040</v>
      </c>
    </row>
    <row r="4874" spans="1:16" x14ac:dyDescent="0.3">
      <c r="A4874" t="str">
        <f t="shared" si="76"/>
        <v>PA|AccumulatedNewCapacity|RE1|PWRWNDOFS_FIX|2040</v>
      </c>
      <c r="B4874" t="s">
        <v>44</v>
      </c>
      <c r="C4874" t="s">
        <v>45</v>
      </c>
      <c r="D4874" t="s">
        <v>18</v>
      </c>
      <c r="E4874" t="s">
        <v>19</v>
      </c>
      <c r="F4874" t="s">
        <v>42</v>
      </c>
      <c r="O4874">
        <v>2040</v>
      </c>
      <c r="P4874">
        <v>15.768000000000001</v>
      </c>
    </row>
    <row r="4875" spans="1:16" x14ac:dyDescent="0.3">
      <c r="A4875" t="str">
        <f t="shared" si="76"/>
        <v>PA|AccumulatedNewCapacity|RE1|PWRWNDONS|2040</v>
      </c>
      <c r="B4875" t="s">
        <v>44</v>
      </c>
      <c r="C4875" t="s">
        <v>45</v>
      </c>
      <c r="D4875" t="s">
        <v>18</v>
      </c>
      <c r="E4875" t="s">
        <v>19</v>
      </c>
      <c r="F4875" t="s">
        <v>36</v>
      </c>
      <c r="O4875">
        <v>2040</v>
      </c>
      <c r="P4875">
        <v>233.59626433862971</v>
      </c>
    </row>
    <row r="4876" spans="1:16" x14ac:dyDescent="0.3">
      <c r="A4876" t="str">
        <f t="shared" si="76"/>
        <v>PA|NewCapacity|RE1|PWRBGS|2040</v>
      </c>
      <c r="B4876" t="s">
        <v>44</v>
      </c>
      <c r="C4876" t="s">
        <v>45</v>
      </c>
      <c r="D4876" t="s">
        <v>37</v>
      </c>
      <c r="E4876" t="s">
        <v>19</v>
      </c>
      <c r="F4876" t="s">
        <v>20</v>
      </c>
      <c r="O4876">
        <v>2040</v>
      </c>
    </row>
    <row r="4877" spans="1:16" x14ac:dyDescent="0.3">
      <c r="A4877" t="str">
        <f t="shared" si="76"/>
        <v>PA|NewCapacity|RE1|PWRCOA|2040</v>
      </c>
      <c r="B4877" t="s">
        <v>44</v>
      </c>
      <c r="C4877" t="s">
        <v>45</v>
      </c>
      <c r="D4877" t="s">
        <v>37</v>
      </c>
      <c r="E4877" t="s">
        <v>19</v>
      </c>
      <c r="F4877" t="s">
        <v>21</v>
      </c>
      <c r="O4877">
        <v>2040</v>
      </c>
    </row>
    <row r="4878" spans="1:16" x14ac:dyDescent="0.3">
      <c r="A4878" t="str">
        <f t="shared" si="76"/>
        <v>PA|NewCapacity|RE1|PWRDSL|2040</v>
      </c>
      <c r="B4878" t="s">
        <v>44</v>
      </c>
      <c r="C4878" t="s">
        <v>45</v>
      </c>
      <c r="D4878" t="s">
        <v>37</v>
      </c>
      <c r="E4878" t="s">
        <v>19</v>
      </c>
      <c r="F4878" t="s">
        <v>22</v>
      </c>
      <c r="O4878">
        <v>2040</v>
      </c>
    </row>
    <row r="4879" spans="1:16" x14ac:dyDescent="0.3">
      <c r="A4879" t="str">
        <f t="shared" si="76"/>
        <v>PA|NewCapacity|RE1|PWRFOL|2040</v>
      </c>
      <c r="B4879" t="s">
        <v>44</v>
      </c>
      <c r="C4879" t="s">
        <v>45</v>
      </c>
      <c r="D4879" t="s">
        <v>37</v>
      </c>
      <c r="E4879" t="s">
        <v>19</v>
      </c>
      <c r="F4879" t="s">
        <v>23</v>
      </c>
      <c r="O4879">
        <v>2040</v>
      </c>
    </row>
    <row r="4880" spans="1:16" x14ac:dyDescent="0.3">
      <c r="A4880" t="str">
        <f t="shared" si="76"/>
        <v>PA|NewCapacity|RE1|PWRGEO|2040</v>
      </c>
      <c r="B4880" t="s">
        <v>44</v>
      </c>
      <c r="C4880" t="s">
        <v>45</v>
      </c>
      <c r="D4880" t="s">
        <v>37</v>
      </c>
      <c r="E4880" t="s">
        <v>19</v>
      </c>
      <c r="F4880" t="s">
        <v>46</v>
      </c>
      <c r="O4880">
        <v>2040</v>
      </c>
      <c r="P4880">
        <v>3.1539999999999999</v>
      </c>
    </row>
    <row r="4881" spans="1:16" x14ac:dyDescent="0.3">
      <c r="A4881" t="str">
        <f t="shared" si="76"/>
        <v>PA|NewCapacity|RE1|PWRHYDDAM|2040</v>
      </c>
      <c r="B4881" t="s">
        <v>44</v>
      </c>
      <c r="C4881" t="s">
        <v>45</v>
      </c>
      <c r="D4881" t="s">
        <v>37</v>
      </c>
      <c r="E4881" t="s">
        <v>19</v>
      </c>
      <c r="F4881" t="s">
        <v>24</v>
      </c>
      <c r="O4881">
        <v>2040</v>
      </c>
    </row>
    <row r="4882" spans="1:16" x14ac:dyDescent="0.3">
      <c r="A4882" t="str">
        <f t="shared" si="76"/>
        <v>PA|NewCapacity|RE1|PWRHYDROR|2040</v>
      </c>
      <c r="B4882" t="s">
        <v>44</v>
      </c>
      <c r="C4882" t="s">
        <v>45</v>
      </c>
      <c r="D4882" t="s">
        <v>37</v>
      </c>
      <c r="E4882" t="s">
        <v>19</v>
      </c>
      <c r="F4882" t="s">
        <v>25</v>
      </c>
      <c r="O4882">
        <v>2040</v>
      </c>
    </row>
    <row r="4883" spans="1:16" x14ac:dyDescent="0.3">
      <c r="A4883" t="str">
        <f t="shared" si="76"/>
        <v>PA|NewCapacity|RE1|PWRHYDROR_NDC|2040</v>
      </c>
      <c r="B4883" t="s">
        <v>44</v>
      </c>
      <c r="C4883" t="s">
        <v>45</v>
      </c>
      <c r="D4883" t="s">
        <v>37</v>
      </c>
      <c r="E4883" t="s">
        <v>19</v>
      </c>
      <c r="F4883" t="s">
        <v>26</v>
      </c>
      <c r="O4883">
        <v>2040</v>
      </c>
    </row>
    <row r="4884" spans="1:16" x14ac:dyDescent="0.3">
      <c r="A4884" t="str">
        <f t="shared" si="76"/>
        <v>PA|NewCapacity|RE1|PWRJET|2040</v>
      </c>
      <c r="B4884" t="s">
        <v>44</v>
      </c>
      <c r="C4884" t="s">
        <v>45</v>
      </c>
      <c r="D4884" t="s">
        <v>37</v>
      </c>
      <c r="E4884" t="s">
        <v>19</v>
      </c>
      <c r="F4884" t="s">
        <v>27</v>
      </c>
      <c r="O4884">
        <v>2040</v>
      </c>
    </row>
    <row r="4885" spans="1:16" x14ac:dyDescent="0.3">
      <c r="A4885" t="str">
        <f t="shared" si="76"/>
        <v>PA|NewCapacity|RE1|PWRLPG|2040</v>
      </c>
      <c r="B4885" t="s">
        <v>44</v>
      </c>
      <c r="C4885" t="s">
        <v>45</v>
      </c>
      <c r="D4885" t="s">
        <v>37</v>
      </c>
      <c r="E4885" t="s">
        <v>19</v>
      </c>
      <c r="F4885" t="s">
        <v>28</v>
      </c>
      <c r="O4885">
        <v>2040</v>
      </c>
    </row>
    <row r="4886" spans="1:16" x14ac:dyDescent="0.3">
      <c r="A4886" t="str">
        <f t="shared" si="76"/>
        <v>PA|NewCapacity|RE1|PWRNGS_CC|2040</v>
      </c>
      <c r="B4886" t="s">
        <v>44</v>
      </c>
      <c r="C4886" t="s">
        <v>45</v>
      </c>
      <c r="D4886" t="s">
        <v>37</v>
      </c>
      <c r="E4886" t="s">
        <v>19</v>
      </c>
      <c r="F4886" t="s">
        <v>29</v>
      </c>
      <c r="O4886">
        <v>2040</v>
      </c>
    </row>
    <row r="4887" spans="1:16" x14ac:dyDescent="0.3">
      <c r="A4887" t="str">
        <f t="shared" si="76"/>
        <v>PA|NewCapacity|RE1|PWRNGS_CS|2040</v>
      </c>
      <c r="B4887" t="s">
        <v>44</v>
      </c>
      <c r="C4887" t="s">
        <v>45</v>
      </c>
      <c r="D4887" t="s">
        <v>37</v>
      </c>
      <c r="E4887" t="s">
        <v>19</v>
      </c>
      <c r="F4887" t="s">
        <v>30</v>
      </c>
      <c r="O4887">
        <v>2040</v>
      </c>
    </row>
    <row r="4888" spans="1:16" x14ac:dyDescent="0.3">
      <c r="A4888" t="str">
        <f t="shared" si="76"/>
        <v>PA|NewCapacity|RE1|PWRNUC|2040</v>
      </c>
      <c r="B4888" t="s">
        <v>44</v>
      </c>
      <c r="C4888" t="s">
        <v>45</v>
      </c>
      <c r="D4888" t="s">
        <v>37</v>
      </c>
      <c r="E4888" t="s">
        <v>19</v>
      </c>
      <c r="F4888" t="s">
        <v>47</v>
      </c>
      <c r="O4888">
        <v>2040</v>
      </c>
    </row>
    <row r="4889" spans="1:16" x14ac:dyDescent="0.3">
      <c r="A4889" t="str">
        <f t="shared" si="76"/>
        <v>PA|NewCapacity|RE1|PWRSOLRTP|2040</v>
      </c>
      <c r="B4889" t="s">
        <v>44</v>
      </c>
      <c r="C4889" t="s">
        <v>45</v>
      </c>
      <c r="D4889" t="s">
        <v>37</v>
      </c>
      <c r="E4889" t="s">
        <v>19</v>
      </c>
      <c r="F4889" t="s">
        <v>31</v>
      </c>
      <c r="O4889">
        <v>2040</v>
      </c>
      <c r="P4889">
        <v>3.012048192771084</v>
      </c>
    </row>
    <row r="4890" spans="1:16" x14ac:dyDescent="0.3">
      <c r="A4890" t="str">
        <f t="shared" si="76"/>
        <v>PA|NewCapacity|RE1|PWRSOLRTP_ZNI|2040</v>
      </c>
      <c r="B4890" t="s">
        <v>44</v>
      </c>
      <c r="C4890" t="s">
        <v>45</v>
      </c>
      <c r="D4890" t="s">
        <v>37</v>
      </c>
      <c r="E4890" t="s">
        <v>19</v>
      </c>
      <c r="F4890" t="s">
        <v>32</v>
      </c>
      <c r="O4890">
        <v>2040</v>
      </c>
    </row>
    <row r="4891" spans="1:16" x14ac:dyDescent="0.3">
      <c r="A4891" t="str">
        <f t="shared" si="76"/>
        <v>PA|NewCapacity|RE1|PWRSOLUGE|2040</v>
      </c>
      <c r="B4891" t="s">
        <v>44</v>
      </c>
      <c r="C4891" t="s">
        <v>45</v>
      </c>
      <c r="D4891" t="s">
        <v>37</v>
      </c>
      <c r="E4891" t="s">
        <v>19</v>
      </c>
      <c r="F4891" t="s">
        <v>33</v>
      </c>
      <c r="O4891">
        <v>2040</v>
      </c>
    </row>
    <row r="4892" spans="1:16" x14ac:dyDescent="0.3">
      <c r="A4892" t="str">
        <f t="shared" si="76"/>
        <v>PA|NewCapacity|RE1|PWRSOLUPE|2040</v>
      </c>
      <c r="B4892" t="s">
        <v>44</v>
      </c>
      <c r="C4892" t="s">
        <v>45</v>
      </c>
      <c r="D4892" t="s">
        <v>37</v>
      </c>
      <c r="E4892" t="s">
        <v>19</v>
      </c>
      <c r="F4892" t="s">
        <v>34</v>
      </c>
      <c r="O4892">
        <v>2040</v>
      </c>
    </row>
    <row r="4893" spans="1:16" x14ac:dyDescent="0.3">
      <c r="A4893" t="str">
        <f t="shared" si="76"/>
        <v>PA|NewCapacity|RE1|PWRSTD|2040</v>
      </c>
      <c r="B4893" t="s">
        <v>44</v>
      </c>
      <c r="C4893" t="s">
        <v>45</v>
      </c>
      <c r="D4893" t="s">
        <v>37</v>
      </c>
      <c r="E4893" t="s">
        <v>19</v>
      </c>
      <c r="F4893" t="s">
        <v>35</v>
      </c>
      <c r="O4893">
        <v>2040</v>
      </c>
    </row>
    <row r="4894" spans="1:16" x14ac:dyDescent="0.3">
      <c r="A4894" t="str">
        <f t="shared" si="76"/>
        <v>PA|NewCapacity|RE1|PWRWNDOFS_FIX|2040</v>
      </c>
      <c r="B4894" t="s">
        <v>44</v>
      </c>
      <c r="C4894" t="s">
        <v>45</v>
      </c>
      <c r="D4894" t="s">
        <v>37</v>
      </c>
      <c r="E4894" t="s">
        <v>19</v>
      </c>
      <c r="F4894" t="s">
        <v>42</v>
      </c>
      <c r="O4894">
        <v>2040</v>
      </c>
      <c r="P4894">
        <v>1.752</v>
      </c>
    </row>
    <row r="4895" spans="1:16" x14ac:dyDescent="0.3">
      <c r="A4895" t="str">
        <f t="shared" si="76"/>
        <v>PA|NewCapacity|RE1|PWRWNDONS|2040</v>
      </c>
      <c r="B4895" t="s">
        <v>44</v>
      </c>
      <c r="C4895" t="s">
        <v>45</v>
      </c>
      <c r="D4895" t="s">
        <v>37</v>
      </c>
      <c r="E4895" t="s">
        <v>19</v>
      </c>
      <c r="F4895" t="s">
        <v>36</v>
      </c>
      <c r="O4895">
        <v>2040</v>
      </c>
      <c r="P4895">
        <v>47.31</v>
      </c>
    </row>
    <row r="4896" spans="1:16" x14ac:dyDescent="0.3">
      <c r="A4896" t="str">
        <f t="shared" si="76"/>
        <v>PA|TotalCapacityAnnual|RE1|PWRBGS|2040</v>
      </c>
      <c r="B4896" t="s">
        <v>44</v>
      </c>
      <c r="C4896" t="s">
        <v>45</v>
      </c>
      <c r="D4896" t="s">
        <v>38</v>
      </c>
      <c r="E4896" t="s">
        <v>19</v>
      </c>
      <c r="F4896" t="s">
        <v>20</v>
      </c>
      <c r="O4896">
        <v>2040</v>
      </c>
      <c r="P4896">
        <v>2.5488587520000001E-2</v>
      </c>
    </row>
    <row r="4897" spans="1:16" x14ac:dyDescent="0.3">
      <c r="A4897" t="str">
        <f t="shared" si="76"/>
        <v>PA|TotalCapacityAnnual|RE1|PWRCOA|2040</v>
      </c>
      <c r="B4897" t="s">
        <v>44</v>
      </c>
      <c r="C4897" t="s">
        <v>45</v>
      </c>
      <c r="D4897" t="s">
        <v>38</v>
      </c>
      <c r="E4897" t="s">
        <v>19</v>
      </c>
      <c r="F4897" t="s">
        <v>21</v>
      </c>
      <c r="O4897">
        <v>2040</v>
      </c>
    </row>
    <row r="4898" spans="1:16" x14ac:dyDescent="0.3">
      <c r="A4898" t="str">
        <f t="shared" si="76"/>
        <v>PA|TotalCapacityAnnual|RE1|PWRDSL|2040</v>
      </c>
      <c r="B4898" t="s">
        <v>44</v>
      </c>
      <c r="C4898" t="s">
        <v>45</v>
      </c>
      <c r="D4898" t="s">
        <v>38</v>
      </c>
      <c r="E4898" t="s">
        <v>19</v>
      </c>
      <c r="F4898" t="s">
        <v>22</v>
      </c>
      <c r="O4898">
        <v>2040</v>
      </c>
      <c r="P4898">
        <v>24.944976</v>
      </c>
    </row>
    <row r="4899" spans="1:16" x14ac:dyDescent="0.3">
      <c r="A4899" t="str">
        <f t="shared" si="76"/>
        <v>PA|TotalCapacityAnnual|RE1|PWRFOL|2040</v>
      </c>
      <c r="B4899" t="s">
        <v>44</v>
      </c>
      <c r="C4899" t="s">
        <v>45</v>
      </c>
      <c r="D4899" t="s">
        <v>38</v>
      </c>
      <c r="E4899" t="s">
        <v>19</v>
      </c>
      <c r="F4899" t="s">
        <v>23</v>
      </c>
      <c r="O4899">
        <v>2040</v>
      </c>
      <c r="P4899">
        <v>8.3885759999999987</v>
      </c>
    </row>
    <row r="4900" spans="1:16" x14ac:dyDescent="0.3">
      <c r="A4900" t="str">
        <f t="shared" si="76"/>
        <v>PA|TotalCapacityAnnual|RE1|PWRGEO|2040</v>
      </c>
      <c r="B4900" t="s">
        <v>44</v>
      </c>
      <c r="C4900" t="s">
        <v>45</v>
      </c>
      <c r="D4900" t="s">
        <v>38</v>
      </c>
      <c r="E4900" t="s">
        <v>19</v>
      </c>
      <c r="F4900" t="s">
        <v>46</v>
      </c>
      <c r="O4900">
        <v>2040</v>
      </c>
      <c r="P4900">
        <v>3.1539999999999999</v>
      </c>
    </row>
    <row r="4901" spans="1:16" x14ac:dyDescent="0.3">
      <c r="A4901" t="str">
        <f t="shared" si="76"/>
        <v>PA|TotalCapacityAnnual|RE1|PWRHYDDAM|2040</v>
      </c>
      <c r="B4901" t="s">
        <v>44</v>
      </c>
      <c r="C4901" t="s">
        <v>45</v>
      </c>
      <c r="D4901" t="s">
        <v>38</v>
      </c>
      <c r="E4901" t="s">
        <v>19</v>
      </c>
      <c r="F4901" t="s">
        <v>24</v>
      </c>
      <c r="O4901">
        <v>2040</v>
      </c>
      <c r="P4901">
        <v>440.49164800000011</v>
      </c>
    </row>
    <row r="4902" spans="1:16" x14ac:dyDescent="0.3">
      <c r="A4902" t="str">
        <f t="shared" si="76"/>
        <v>PA|TotalCapacityAnnual|RE1|PWRHYDROR|2040</v>
      </c>
      <c r="B4902" t="s">
        <v>44</v>
      </c>
      <c r="C4902" t="s">
        <v>45</v>
      </c>
      <c r="D4902" t="s">
        <v>38</v>
      </c>
      <c r="E4902" t="s">
        <v>19</v>
      </c>
      <c r="F4902" t="s">
        <v>25</v>
      </c>
      <c r="O4902">
        <v>2040</v>
      </c>
      <c r="P4902">
        <v>21.097584000000001</v>
      </c>
    </row>
    <row r="4903" spans="1:16" x14ac:dyDescent="0.3">
      <c r="A4903" t="str">
        <f t="shared" si="76"/>
        <v>PA|TotalCapacityAnnual|RE1|PWRHYDROR_NDC|2040</v>
      </c>
      <c r="B4903" t="s">
        <v>44</v>
      </c>
      <c r="C4903" t="s">
        <v>45</v>
      </c>
      <c r="D4903" t="s">
        <v>38</v>
      </c>
      <c r="E4903" t="s">
        <v>19</v>
      </c>
      <c r="F4903" t="s">
        <v>26</v>
      </c>
      <c r="O4903">
        <v>2040</v>
      </c>
      <c r="P4903">
        <v>29.725108271999989</v>
      </c>
    </row>
    <row r="4904" spans="1:16" x14ac:dyDescent="0.3">
      <c r="A4904" t="str">
        <f t="shared" si="76"/>
        <v>PA|TotalCapacityAnnual|RE1|PWRJET|2040</v>
      </c>
      <c r="B4904" t="s">
        <v>44</v>
      </c>
      <c r="C4904" t="s">
        <v>45</v>
      </c>
      <c r="D4904" t="s">
        <v>38</v>
      </c>
      <c r="E4904" t="s">
        <v>19</v>
      </c>
      <c r="F4904" t="s">
        <v>27</v>
      </c>
      <c r="O4904">
        <v>2040</v>
      </c>
      <c r="P4904">
        <v>1.5768</v>
      </c>
    </row>
    <row r="4905" spans="1:16" x14ac:dyDescent="0.3">
      <c r="A4905" t="str">
        <f t="shared" si="76"/>
        <v>PA|TotalCapacityAnnual|RE1|PWRLPG|2040</v>
      </c>
      <c r="B4905" t="s">
        <v>44</v>
      </c>
      <c r="C4905" t="s">
        <v>45</v>
      </c>
      <c r="D4905" t="s">
        <v>38</v>
      </c>
      <c r="E4905" t="s">
        <v>19</v>
      </c>
      <c r="F4905" t="s">
        <v>28</v>
      </c>
      <c r="O4905">
        <v>2040</v>
      </c>
      <c r="P4905">
        <v>1.639872</v>
      </c>
    </row>
    <row r="4906" spans="1:16" x14ac:dyDescent="0.3">
      <c r="A4906" t="str">
        <f t="shared" si="76"/>
        <v>PA|TotalCapacityAnnual|RE1|PWRNGS_CC|2040</v>
      </c>
      <c r="B4906" t="s">
        <v>44</v>
      </c>
      <c r="C4906" t="s">
        <v>45</v>
      </c>
      <c r="D4906" t="s">
        <v>38</v>
      </c>
      <c r="E4906" t="s">
        <v>19</v>
      </c>
      <c r="F4906" t="s">
        <v>29</v>
      </c>
      <c r="O4906">
        <v>2040</v>
      </c>
      <c r="P4906">
        <v>70.104500000000002</v>
      </c>
    </row>
    <row r="4907" spans="1:16" x14ac:dyDescent="0.3">
      <c r="A4907" t="str">
        <f t="shared" si="76"/>
        <v>PA|TotalCapacityAnnual|RE1|PWRNGS_CS|2040</v>
      </c>
      <c r="B4907" t="s">
        <v>44</v>
      </c>
      <c r="C4907" t="s">
        <v>45</v>
      </c>
      <c r="D4907" t="s">
        <v>38</v>
      </c>
      <c r="E4907" t="s">
        <v>19</v>
      </c>
      <c r="F4907" t="s">
        <v>30</v>
      </c>
      <c r="O4907">
        <v>2040</v>
      </c>
      <c r="P4907">
        <v>23.084351999999999</v>
      </c>
    </row>
    <row r="4908" spans="1:16" x14ac:dyDescent="0.3">
      <c r="A4908" t="str">
        <f t="shared" si="76"/>
        <v>PA|TotalCapacityAnnual|RE1|PWRNUC|2040</v>
      </c>
      <c r="B4908" t="s">
        <v>44</v>
      </c>
      <c r="C4908" t="s">
        <v>45</v>
      </c>
      <c r="D4908" t="s">
        <v>38</v>
      </c>
      <c r="E4908" t="s">
        <v>19</v>
      </c>
      <c r="F4908" t="s">
        <v>47</v>
      </c>
      <c r="O4908">
        <v>2040</v>
      </c>
      <c r="P4908">
        <v>9.5120000000000005</v>
      </c>
    </row>
    <row r="4909" spans="1:16" x14ac:dyDescent="0.3">
      <c r="A4909" t="str">
        <f t="shared" si="76"/>
        <v>PA|TotalCapacityAnnual|RE1|PWRSOLRTP|2040</v>
      </c>
      <c r="B4909" t="s">
        <v>44</v>
      </c>
      <c r="C4909" t="s">
        <v>45</v>
      </c>
      <c r="D4909" t="s">
        <v>38</v>
      </c>
      <c r="E4909" t="s">
        <v>19</v>
      </c>
      <c r="F4909" t="s">
        <v>31</v>
      </c>
      <c r="O4909">
        <v>2040</v>
      </c>
      <c r="P4909">
        <v>159.63125916296769</v>
      </c>
    </row>
    <row r="4910" spans="1:16" x14ac:dyDescent="0.3">
      <c r="A4910" t="str">
        <f t="shared" si="76"/>
        <v>PA|TotalCapacityAnnual|RE1|PWRSOLRTP_ZNI|2040</v>
      </c>
      <c r="B4910" t="s">
        <v>44</v>
      </c>
      <c r="C4910" t="s">
        <v>45</v>
      </c>
      <c r="D4910" t="s">
        <v>38</v>
      </c>
      <c r="E4910" t="s">
        <v>19</v>
      </c>
      <c r="F4910" t="s">
        <v>32</v>
      </c>
      <c r="O4910">
        <v>2040</v>
      </c>
      <c r="P4910">
        <v>0.46074095999999998</v>
      </c>
    </row>
    <row r="4911" spans="1:16" x14ac:dyDescent="0.3">
      <c r="A4911" t="str">
        <f t="shared" si="76"/>
        <v>PA|TotalCapacityAnnual|RE1|PWRSOLUGE|2040</v>
      </c>
      <c r="B4911" t="s">
        <v>44</v>
      </c>
      <c r="C4911" t="s">
        <v>45</v>
      </c>
      <c r="D4911" t="s">
        <v>38</v>
      </c>
      <c r="E4911" t="s">
        <v>19</v>
      </c>
      <c r="F4911" t="s">
        <v>33</v>
      </c>
      <c r="O4911">
        <v>2040</v>
      </c>
      <c r="P4911">
        <v>191.79186048</v>
      </c>
    </row>
    <row r="4912" spans="1:16" x14ac:dyDescent="0.3">
      <c r="A4912" t="str">
        <f t="shared" si="76"/>
        <v>PA|TotalCapacityAnnual|RE1|PWRSOLUPE|2040</v>
      </c>
      <c r="B4912" t="s">
        <v>44</v>
      </c>
      <c r="C4912" t="s">
        <v>45</v>
      </c>
      <c r="D4912" t="s">
        <v>38</v>
      </c>
      <c r="E4912" t="s">
        <v>19</v>
      </c>
      <c r="F4912" t="s">
        <v>34</v>
      </c>
      <c r="O4912">
        <v>2040</v>
      </c>
      <c r="P4912">
        <v>39.172600079999931</v>
      </c>
    </row>
    <row r="4913" spans="1:16" x14ac:dyDescent="0.3">
      <c r="A4913" t="str">
        <f t="shared" si="76"/>
        <v>PA|TotalCapacityAnnual|RE1|PWRSTD|2040</v>
      </c>
      <c r="B4913" t="s">
        <v>44</v>
      </c>
      <c r="C4913" t="s">
        <v>45</v>
      </c>
      <c r="D4913" t="s">
        <v>38</v>
      </c>
      <c r="E4913" t="s">
        <v>19</v>
      </c>
      <c r="F4913" t="s">
        <v>35</v>
      </c>
      <c r="O4913">
        <v>2040</v>
      </c>
      <c r="P4913">
        <v>8.163062064</v>
      </c>
    </row>
    <row r="4914" spans="1:16" x14ac:dyDescent="0.3">
      <c r="A4914" t="str">
        <f t="shared" si="76"/>
        <v>PA|TotalCapacityAnnual|RE1|PWRWNDOFS_FIX|2040</v>
      </c>
      <c r="B4914" t="s">
        <v>44</v>
      </c>
      <c r="C4914" t="s">
        <v>45</v>
      </c>
      <c r="D4914" t="s">
        <v>38</v>
      </c>
      <c r="E4914" t="s">
        <v>19</v>
      </c>
      <c r="F4914" t="s">
        <v>42</v>
      </c>
      <c r="O4914">
        <v>2040</v>
      </c>
      <c r="P4914">
        <v>15.768000000000001</v>
      </c>
    </row>
    <row r="4915" spans="1:16" x14ac:dyDescent="0.3">
      <c r="A4915" t="str">
        <f t="shared" si="76"/>
        <v>PA|TotalCapacityAnnual|RE1|PWRWNDONS|2040</v>
      </c>
      <c r="B4915" t="s">
        <v>44</v>
      </c>
      <c r="C4915" t="s">
        <v>45</v>
      </c>
      <c r="D4915" t="s">
        <v>38</v>
      </c>
      <c r="E4915" t="s">
        <v>19</v>
      </c>
      <c r="F4915" t="s">
        <v>36</v>
      </c>
      <c r="O4915">
        <v>2040</v>
      </c>
      <c r="P4915">
        <v>234.96492673862971</v>
      </c>
    </row>
    <row r="4916" spans="1:16" x14ac:dyDescent="0.3">
      <c r="A4916" t="str">
        <f t="shared" si="76"/>
        <v>PA|AccumulatedNewCapacity|RE1|PWRBGS|2041</v>
      </c>
      <c r="B4916" t="s">
        <v>44</v>
      </c>
      <c r="C4916" t="s">
        <v>45</v>
      </c>
      <c r="D4916" t="s">
        <v>18</v>
      </c>
      <c r="E4916" t="s">
        <v>19</v>
      </c>
      <c r="F4916" t="s">
        <v>20</v>
      </c>
      <c r="O4916">
        <v>2041</v>
      </c>
    </row>
    <row r="4917" spans="1:16" x14ac:dyDescent="0.3">
      <c r="A4917" t="str">
        <f t="shared" si="76"/>
        <v>PA|AccumulatedNewCapacity|RE1|PWRCOA|2041</v>
      </c>
      <c r="B4917" t="s">
        <v>44</v>
      </c>
      <c r="C4917" t="s">
        <v>45</v>
      </c>
      <c r="D4917" t="s">
        <v>18</v>
      </c>
      <c r="E4917" t="s">
        <v>19</v>
      </c>
      <c r="F4917" t="s">
        <v>21</v>
      </c>
      <c r="O4917">
        <v>2041</v>
      </c>
    </row>
    <row r="4918" spans="1:16" x14ac:dyDescent="0.3">
      <c r="A4918" t="str">
        <f t="shared" si="76"/>
        <v>PA|AccumulatedNewCapacity|RE1|PWRDSL|2041</v>
      </c>
      <c r="B4918" t="s">
        <v>44</v>
      </c>
      <c r="C4918" t="s">
        <v>45</v>
      </c>
      <c r="D4918" t="s">
        <v>18</v>
      </c>
      <c r="E4918" t="s">
        <v>19</v>
      </c>
      <c r="F4918" t="s">
        <v>22</v>
      </c>
      <c r="O4918">
        <v>2041</v>
      </c>
    </row>
    <row r="4919" spans="1:16" x14ac:dyDescent="0.3">
      <c r="A4919" t="str">
        <f t="shared" si="76"/>
        <v>PA|AccumulatedNewCapacity|RE1|PWRFOL|2041</v>
      </c>
      <c r="B4919" t="s">
        <v>44</v>
      </c>
      <c r="C4919" t="s">
        <v>45</v>
      </c>
      <c r="D4919" t="s">
        <v>18</v>
      </c>
      <c r="E4919" t="s">
        <v>19</v>
      </c>
      <c r="F4919" t="s">
        <v>23</v>
      </c>
      <c r="O4919">
        <v>2041</v>
      </c>
    </row>
    <row r="4920" spans="1:16" x14ac:dyDescent="0.3">
      <c r="A4920" t="str">
        <f t="shared" si="76"/>
        <v>PA|AccumulatedNewCapacity|RE1|PWRGEO|2041</v>
      </c>
      <c r="B4920" t="s">
        <v>44</v>
      </c>
      <c r="C4920" t="s">
        <v>45</v>
      </c>
      <c r="D4920" t="s">
        <v>18</v>
      </c>
      <c r="E4920" t="s">
        <v>19</v>
      </c>
      <c r="F4920" t="s">
        <v>46</v>
      </c>
      <c r="O4920">
        <v>2041</v>
      </c>
      <c r="P4920">
        <v>6.3079999999999998</v>
      </c>
    </row>
    <row r="4921" spans="1:16" x14ac:dyDescent="0.3">
      <c r="A4921" t="str">
        <f t="shared" si="76"/>
        <v>PA|AccumulatedNewCapacity|RE1|PWRHYDDAM|2041</v>
      </c>
      <c r="B4921" t="s">
        <v>44</v>
      </c>
      <c r="C4921" t="s">
        <v>45</v>
      </c>
      <c r="D4921" t="s">
        <v>18</v>
      </c>
      <c r="E4921" t="s">
        <v>19</v>
      </c>
      <c r="F4921" t="s">
        <v>24</v>
      </c>
      <c r="O4921">
        <v>2041</v>
      </c>
      <c r="P4921">
        <v>37.840000000000003</v>
      </c>
    </row>
    <row r="4922" spans="1:16" x14ac:dyDescent="0.3">
      <c r="A4922" t="str">
        <f t="shared" si="76"/>
        <v>PA|AccumulatedNewCapacity|RE1|PWRHYDROR|2041</v>
      </c>
      <c r="B4922" t="s">
        <v>44</v>
      </c>
      <c r="C4922" t="s">
        <v>45</v>
      </c>
      <c r="D4922" t="s">
        <v>18</v>
      </c>
      <c r="E4922" t="s">
        <v>19</v>
      </c>
      <c r="F4922" t="s">
        <v>25</v>
      </c>
      <c r="O4922">
        <v>2041</v>
      </c>
    </row>
    <row r="4923" spans="1:16" x14ac:dyDescent="0.3">
      <c r="A4923" t="str">
        <f t="shared" si="76"/>
        <v>PA|AccumulatedNewCapacity|RE1|PWRHYDROR_NDC|2041</v>
      </c>
      <c r="B4923" t="s">
        <v>44</v>
      </c>
      <c r="C4923" t="s">
        <v>45</v>
      </c>
      <c r="D4923" t="s">
        <v>18</v>
      </c>
      <c r="E4923" t="s">
        <v>19</v>
      </c>
      <c r="F4923" t="s">
        <v>26</v>
      </c>
      <c r="O4923">
        <v>2041</v>
      </c>
    </row>
    <row r="4924" spans="1:16" x14ac:dyDescent="0.3">
      <c r="A4924" t="str">
        <f t="shared" si="76"/>
        <v>PA|AccumulatedNewCapacity|RE1|PWRJET|2041</v>
      </c>
      <c r="B4924" t="s">
        <v>44</v>
      </c>
      <c r="C4924" t="s">
        <v>45</v>
      </c>
      <c r="D4924" t="s">
        <v>18</v>
      </c>
      <c r="E4924" t="s">
        <v>19</v>
      </c>
      <c r="F4924" t="s">
        <v>27</v>
      </c>
      <c r="O4924">
        <v>2041</v>
      </c>
    </row>
    <row r="4925" spans="1:16" x14ac:dyDescent="0.3">
      <c r="A4925" t="str">
        <f t="shared" si="76"/>
        <v>PA|AccumulatedNewCapacity|RE1|PWRLPG|2041</v>
      </c>
      <c r="B4925" t="s">
        <v>44</v>
      </c>
      <c r="C4925" t="s">
        <v>45</v>
      </c>
      <c r="D4925" t="s">
        <v>18</v>
      </c>
      <c r="E4925" t="s">
        <v>19</v>
      </c>
      <c r="F4925" t="s">
        <v>28</v>
      </c>
      <c r="O4925">
        <v>2041</v>
      </c>
    </row>
    <row r="4926" spans="1:16" x14ac:dyDescent="0.3">
      <c r="A4926" t="str">
        <f t="shared" si="76"/>
        <v>PA|AccumulatedNewCapacity|RE1|PWRNGS_CC|2041</v>
      </c>
      <c r="B4926" t="s">
        <v>44</v>
      </c>
      <c r="C4926" t="s">
        <v>45</v>
      </c>
      <c r="D4926" t="s">
        <v>18</v>
      </c>
      <c r="E4926" t="s">
        <v>19</v>
      </c>
      <c r="F4926" t="s">
        <v>29</v>
      </c>
      <c r="O4926">
        <v>2041</v>
      </c>
    </row>
    <row r="4927" spans="1:16" x14ac:dyDescent="0.3">
      <c r="A4927" t="str">
        <f t="shared" si="76"/>
        <v>PA|AccumulatedNewCapacity|RE1|PWRNGS_CS|2041</v>
      </c>
      <c r="B4927" t="s">
        <v>44</v>
      </c>
      <c r="C4927" t="s">
        <v>45</v>
      </c>
      <c r="D4927" t="s">
        <v>18</v>
      </c>
      <c r="E4927" t="s">
        <v>19</v>
      </c>
      <c r="F4927" t="s">
        <v>30</v>
      </c>
      <c r="O4927">
        <v>2041</v>
      </c>
    </row>
    <row r="4928" spans="1:16" x14ac:dyDescent="0.3">
      <c r="A4928" t="str">
        <f t="shared" si="76"/>
        <v>PA|AccumulatedNewCapacity|RE1|PWRNUC|2041</v>
      </c>
      <c r="B4928" t="s">
        <v>44</v>
      </c>
      <c r="C4928" t="s">
        <v>45</v>
      </c>
      <c r="D4928" t="s">
        <v>18</v>
      </c>
      <c r="E4928" t="s">
        <v>19</v>
      </c>
      <c r="F4928" t="s">
        <v>47</v>
      </c>
      <c r="O4928">
        <v>2041</v>
      </c>
      <c r="P4928">
        <v>9.5120000000000005</v>
      </c>
    </row>
    <row r="4929" spans="1:16" x14ac:dyDescent="0.3">
      <c r="A4929" t="str">
        <f t="shared" si="76"/>
        <v>PA|AccumulatedNewCapacity|RE1|PWRSOLRTP|2041</v>
      </c>
      <c r="B4929" t="s">
        <v>44</v>
      </c>
      <c r="C4929" t="s">
        <v>45</v>
      </c>
      <c r="D4929" t="s">
        <v>18</v>
      </c>
      <c r="E4929" t="s">
        <v>19</v>
      </c>
      <c r="F4929" t="s">
        <v>31</v>
      </c>
      <c r="O4929">
        <v>2041</v>
      </c>
      <c r="P4929">
        <v>138.94703233988591</v>
      </c>
    </row>
    <row r="4930" spans="1:16" x14ac:dyDescent="0.3">
      <c r="A4930" t="str">
        <f t="shared" ref="A4930:A4993" si="77">B4930&amp;"|"&amp;D4930&amp;"|"&amp;E4930&amp;"|"&amp;F4930&amp;"|"&amp;O4930</f>
        <v>PA|AccumulatedNewCapacity|RE1|PWRSOLRTP_ZNI|2041</v>
      </c>
      <c r="B4930" t="s">
        <v>44</v>
      </c>
      <c r="C4930" t="s">
        <v>45</v>
      </c>
      <c r="D4930" t="s">
        <v>18</v>
      </c>
      <c r="E4930" t="s">
        <v>19</v>
      </c>
      <c r="F4930" t="s">
        <v>32</v>
      </c>
      <c r="O4930">
        <v>2041</v>
      </c>
    </row>
    <row r="4931" spans="1:16" x14ac:dyDescent="0.3">
      <c r="A4931" t="str">
        <f t="shared" si="77"/>
        <v>PA|AccumulatedNewCapacity|RE1|PWRSOLUGE|2041</v>
      </c>
      <c r="B4931" t="s">
        <v>44</v>
      </c>
      <c r="C4931" t="s">
        <v>45</v>
      </c>
      <c r="D4931" t="s">
        <v>18</v>
      </c>
      <c r="E4931" t="s">
        <v>19</v>
      </c>
      <c r="F4931" t="s">
        <v>33</v>
      </c>
      <c r="O4931">
        <v>2041</v>
      </c>
      <c r="P4931">
        <v>143.394192</v>
      </c>
    </row>
    <row r="4932" spans="1:16" x14ac:dyDescent="0.3">
      <c r="A4932" t="str">
        <f t="shared" si="77"/>
        <v>PA|AccumulatedNewCapacity|RE1|PWRSOLUPE|2041</v>
      </c>
      <c r="B4932" t="s">
        <v>44</v>
      </c>
      <c r="C4932" t="s">
        <v>45</v>
      </c>
      <c r="D4932" t="s">
        <v>18</v>
      </c>
      <c r="E4932" t="s">
        <v>19</v>
      </c>
      <c r="F4932" t="s">
        <v>34</v>
      </c>
      <c r="O4932">
        <v>2041</v>
      </c>
      <c r="P4932">
        <v>12.14419823999993</v>
      </c>
    </row>
    <row r="4933" spans="1:16" x14ac:dyDescent="0.3">
      <c r="A4933" t="str">
        <f t="shared" si="77"/>
        <v>PA|AccumulatedNewCapacity|RE1|PWRSTD|2041</v>
      </c>
      <c r="B4933" t="s">
        <v>44</v>
      </c>
      <c r="C4933" t="s">
        <v>45</v>
      </c>
      <c r="D4933" t="s">
        <v>18</v>
      </c>
      <c r="E4933" t="s">
        <v>19</v>
      </c>
      <c r="F4933" t="s">
        <v>35</v>
      </c>
      <c r="O4933">
        <v>2041</v>
      </c>
    </row>
    <row r="4934" spans="1:16" x14ac:dyDescent="0.3">
      <c r="A4934" t="str">
        <f t="shared" si="77"/>
        <v>PA|AccumulatedNewCapacity|RE1|PWRWNDOFS_FIX|2041</v>
      </c>
      <c r="B4934" t="s">
        <v>44</v>
      </c>
      <c r="C4934" t="s">
        <v>45</v>
      </c>
      <c r="D4934" t="s">
        <v>18</v>
      </c>
      <c r="E4934" t="s">
        <v>19</v>
      </c>
      <c r="F4934" t="s">
        <v>42</v>
      </c>
      <c r="O4934">
        <v>2041</v>
      </c>
      <c r="P4934">
        <v>18.921600000000002</v>
      </c>
    </row>
    <row r="4935" spans="1:16" x14ac:dyDescent="0.3">
      <c r="A4935" t="str">
        <f t="shared" si="77"/>
        <v>PA|AccumulatedNewCapacity|RE1|PWRWNDONS|2041</v>
      </c>
      <c r="B4935" t="s">
        <v>44</v>
      </c>
      <c r="C4935" t="s">
        <v>45</v>
      </c>
      <c r="D4935" t="s">
        <v>18</v>
      </c>
      <c r="E4935" t="s">
        <v>19</v>
      </c>
      <c r="F4935" t="s">
        <v>36</v>
      </c>
      <c r="O4935">
        <v>2041</v>
      </c>
      <c r="P4935">
        <v>280.90626433862963</v>
      </c>
    </row>
    <row r="4936" spans="1:16" x14ac:dyDescent="0.3">
      <c r="A4936" t="str">
        <f t="shared" si="77"/>
        <v>PA|NewCapacity|RE1|PWRBGS|2041</v>
      </c>
      <c r="B4936" t="s">
        <v>44</v>
      </c>
      <c r="C4936" t="s">
        <v>45</v>
      </c>
      <c r="D4936" t="s">
        <v>37</v>
      </c>
      <c r="E4936" t="s">
        <v>19</v>
      </c>
      <c r="F4936" t="s">
        <v>20</v>
      </c>
      <c r="O4936">
        <v>2041</v>
      </c>
    </row>
    <row r="4937" spans="1:16" x14ac:dyDescent="0.3">
      <c r="A4937" t="str">
        <f t="shared" si="77"/>
        <v>PA|NewCapacity|RE1|PWRCOA|2041</v>
      </c>
      <c r="B4937" t="s">
        <v>44</v>
      </c>
      <c r="C4937" t="s">
        <v>45</v>
      </c>
      <c r="D4937" t="s">
        <v>37</v>
      </c>
      <c r="E4937" t="s">
        <v>19</v>
      </c>
      <c r="F4937" t="s">
        <v>21</v>
      </c>
      <c r="O4937">
        <v>2041</v>
      </c>
    </row>
    <row r="4938" spans="1:16" x14ac:dyDescent="0.3">
      <c r="A4938" t="str">
        <f t="shared" si="77"/>
        <v>PA|NewCapacity|RE1|PWRDSL|2041</v>
      </c>
      <c r="B4938" t="s">
        <v>44</v>
      </c>
      <c r="C4938" t="s">
        <v>45</v>
      </c>
      <c r="D4938" t="s">
        <v>37</v>
      </c>
      <c r="E4938" t="s">
        <v>19</v>
      </c>
      <c r="F4938" t="s">
        <v>22</v>
      </c>
      <c r="O4938">
        <v>2041</v>
      </c>
    </row>
    <row r="4939" spans="1:16" x14ac:dyDescent="0.3">
      <c r="A4939" t="str">
        <f t="shared" si="77"/>
        <v>PA|NewCapacity|RE1|PWRFOL|2041</v>
      </c>
      <c r="B4939" t="s">
        <v>44</v>
      </c>
      <c r="C4939" t="s">
        <v>45</v>
      </c>
      <c r="D4939" t="s">
        <v>37</v>
      </c>
      <c r="E4939" t="s">
        <v>19</v>
      </c>
      <c r="F4939" t="s">
        <v>23</v>
      </c>
      <c r="O4939">
        <v>2041</v>
      </c>
    </row>
    <row r="4940" spans="1:16" x14ac:dyDescent="0.3">
      <c r="A4940" t="str">
        <f t="shared" si="77"/>
        <v>PA|NewCapacity|RE1|PWRGEO|2041</v>
      </c>
      <c r="B4940" t="s">
        <v>44</v>
      </c>
      <c r="C4940" t="s">
        <v>45</v>
      </c>
      <c r="D4940" t="s">
        <v>37</v>
      </c>
      <c r="E4940" t="s">
        <v>19</v>
      </c>
      <c r="F4940" t="s">
        <v>46</v>
      </c>
      <c r="O4940">
        <v>2041</v>
      </c>
      <c r="P4940">
        <v>3.1539999999999999</v>
      </c>
    </row>
    <row r="4941" spans="1:16" x14ac:dyDescent="0.3">
      <c r="A4941" t="str">
        <f t="shared" si="77"/>
        <v>PA|NewCapacity|RE1|PWRHYDDAM|2041</v>
      </c>
      <c r="B4941" t="s">
        <v>44</v>
      </c>
      <c r="C4941" t="s">
        <v>45</v>
      </c>
      <c r="D4941" t="s">
        <v>37</v>
      </c>
      <c r="E4941" t="s">
        <v>19</v>
      </c>
      <c r="F4941" t="s">
        <v>24</v>
      </c>
      <c r="O4941">
        <v>2041</v>
      </c>
    </row>
    <row r="4942" spans="1:16" x14ac:dyDescent="0.3">
      <c r="A4942" t="str">
        <f t="shared" si="77"/>
        <v>PA|NewCapacity|RE1|PWRHYDROR|2041</v>
      </c>
      <c r="B4942" t="s">
        <v>44</v>
      </c>
      <c r="C4942" t="s">
        <v>45</v>
      </c>
      <c r="D4942" t="s">
        <v>37</v>
      </c>
      <c r="E4942" t="s">
        <v>19</v>
      </c>
      <c r="F4942" t="s">
        <v>25</v>
      </c>
      <c r="O4942">
        <v>2041</v>
      </c>
    </row>
    <row r="4943" spans="1:16" x14ac:dyDescent="0.3">
      <c r="A4943" t="str">
        <f t="shared" si="77"/>
        <v>PA|NewCapacity|RE1|PWRHYDROR_NDC|2041</v>
      </c>
      <c r="B4943" t="s">
        <v>44</v>
      </c>
      <c r="C4943" t="s">
        <v>45</v>
      </c>
      <c r="D4943" t="s">
        <v>37</v>
      </c>
      <c r="E4943" t="s">
        <v>19</v>
      </c>
      <c r="F4943" t="s">
        <v>26</v>
      </c>
      <c r="O4943">
        <v>2041</v>
      </c>
    </row>
    <row r="4944" spans="1:16" x14ac:dyDescent="0.3">
      <c r="A4944" t="str">
        <f t="shared" si="77"/>
        <v>PA|NewCapacity|RE1|PWRJET|2041</v>
      </c>
      <c r="B4944" t="s">
        <v>44</v>
      </c>
      <c r="C4944" t="s">
        <v>45</v>
      </c>
      <c r="D4944" t="s">
        <v>37</v>
      </c>
      <c r="E4944" t="s">
        <v>19</v>
      </c>
      <c r="F4944" t="s">
        <v>27</v>
      </c>
      <c r="O4944">
        <v>2041</v>
      </c>
    </row>
    <row r="4945" spans="1:16" x14ac:dyDescent="0.3">
      <c r="A4945" t="str">
        <f t="shared" si="77"/>
        <v>PA|NewCapacity|RE1|PWRLPG|2041</v>
      </c>
      <c r="B4945" t="s">
        <v>44</v>
      </c>
      <c r="C4945" t="s">
        <v>45</v>
      </c>
      <c r="D4945" t="s">
        <v>37</v>
      </c>
      <c r="E4945" t="s">
        <v>19</v>
      </c>
      <c r="F4945" t="s">
        <v>28</v>
      </c>
      <c r="O4945">
        <v>2041</v>
      </c>
    </row>
    <row r="4946" spans="1:16" x14ac:dyDescent="0.3">
      <c r="A4946" t="str">
        <f t="shared" si="77"/>
        <v>PA|NewCapacity|RE1|PWRNGS_CC|2041</v>
      </c>
      <c r="B4946" t="s">
        <v>44</v>
      </c>
      <c r="C4946" t="s">
        <v>45</v>
      </c>
      <c r="D4946" t="s">
        <v>37</v>
      </c>
      <c r="E4946" t="s">
        <v>19</v>
      </c>
      <c r="F4946" t="s">
        <v>29</v>
      </c>
      <c r="O4946">
        <v>2041</v>
      </c>
    </row>
    <row r="4947" spans="1:16" x14ac:dyDescent="0.3">
      <c r="A4947" t="str">
        <f t="shared" si="77"/>
        <v>PA|NewCapacity|RE1|PWRNGS_CS|2041</v>
      </c>
      <c r="B4947" t="s">
        <v>44</v>
      </c>
      <c r="C4947" t="s">
        <v>45</v>
      </c>
      <c r="D4947" t="s">
        <v>37</v>
      </c>
      <c r="E4947" t="s">
        <v>19</v>
      </c>
      <c r="F4947" t="s">
        <v>30</v>
      </c>
      <c r="O4947">
        <v>2041</v>
      </c>
    </row>
    <row r="4948" spans="1:16" x14ac:dyDescent="0.3">
      <c r="A4948" t="str">
        <f t="shared" si="77"/>
        <v>PA|NewCapacity|RE1|PWRNUC|2041</v>
      </c>
      <c r="B4948" t="s">
        <v>44</v>
      </c>
      <c r="C4948" t="s">
        <v>45</v>
      </c>
      <c r="D4948" t="s">
        <v>37</v>
      </c>
      <c r="E4948" t="s">
        <v>19</v>
      </c>
      <c r="F4948" t="s">
        <v>47</v>
      </c>
      <c r="O4948">
        <v>2041</v>
      </c>
    </row>
    <row r="4949" spans="1:16" x14ac:dyDescent="0.3">
      <c r="A4949" t="str">
        <f t="shared" si="77"/>
        <v>PA|NewCapacity|RE1|PWRSOLRTP|2041</v>
      </c>
      <c r="B4949" t="s">
        <v>44</v>
      </c>
      <c r="C4949" t="s">
        <v>45</v>
      </c>
      <c r="D4949" t="s">
        <v>37</v>
      </c>
      <c r="E4949" t="s">
        <v>19</v>
      </c>
      <c r="F4949" t="s">
        <v>31</v>
      </c>
      <c r="O4949">
        <v>2041</v>
      </c>
      <c r="P4949">
        <v>2.5998731769181989</v>
      </c>
    </row>
    <row r="4950" spans="1:16" x14ac:dyDescent="0.3">
      <c r="A4950" t="str">
        <f t="shared" si="77"/>
        <v>PA|NewCapacity|RE1|PWRSOLRTP_ZNI|2041</v>
      </c>
      <c r="B4950" t="s">
        <v>44</v>
      </c>
      <c r="C4950" t="s">
        <v>45</v>
      </c>
      <c r="D4950" t="s">
        <v>37</v>
      </c>
      <c r="E4950" t="s">
        <v>19</v>
      </c>
      <c r="F4950" t="s">
        <v>32</v>
      </c>
      <c r="O4950">
        <v>2041</v>
      </c>
    </row>
    <row r="4951" spans="1:16" x14ac:dyDescent="0.3">
      <c r="A4951" t="str">
        <f t="shared" si="77"/>
        <v>PA|NewCapacity|RE1|PWRSOLUGE|2041</v>
      </c>
      <c r="B4951" t="s">
        <v>44</v>
      </c>
      <c r="C4951" t="s">
        <v>45</v>
      </c>
      <c r="D4951" t="s">
        <v>37</v>
      </c>
      <c r="E4951" t="s">
        <v>19</v>
      </c>
      <c r="F4951" t="s">
        <v>33</v>
      </c>
      <c r="O4951">
        <v>2041</v>
      </c>
    </row>
    <row r="4952" spans="1:16" x14ac:dyDescent="0.3">
      <c r="A4952" t="str">
        <f t="shared" si="77"/>
        <v>PA|NewCapacity|RE1|PWRSOLUPE|2041</v>
      </c>
      <c r="B4952" t="s">
        <v>44</v>
      </c>
      <c r="C4952" t="s">
        <v>45</v>
      </c>
      <c r="D4952" t="s">
        <v>37</v>
      </c>
      <c r="E4952" t="s">
        <v>19</v>
      </c>
      <c r="F4952" t="s">
        <v>34</v>
      </c>
      <c r="O4952">
        <v>2041</v>
      </c>
    </row>
    <row r="4953" spans="1:16" x14ac:dyDescent="0.3">
      <c r="A4953" t="str">
        <f t="shared" si="77"/>
        <v>PA|NewCapacity|RE1|PWRSTD|2041</v>
      </c>
      <c r="B4953" t="s">
        <v>44</v>
      </c>
      <c r="C4953" t="s">
        <v>45</v>
      </c>
      <c r="D4953" t="s">
        <v>37</v>
      </c>
      <c r="E4953" t="s">
        <v>19</v>
      </c>
      <c r="F4953" t="s">
        <v>35</v>
      </c>
      <c r="O4953">
        <v>2041</v>
      </c>
    </row>
    <row r="4954" spans="1:16" x14ac:dyDescent="0.3">
      <c r="A4954" t="str">
        <f t="shared" si="77"/>
        <v>PA|NewCapacity|RE1|PWRWNDOFS_FIX|2041</v>
      </c>
      <c r="B4954" t="s">
        <v>44</v>
      </c>
      <c r="C4954" t="s">
        <v>45</v>
      </c>
      <c r="D4954" t="s">
        <v>37</v>
      </c>
      <c r="E4954" t="s">
        <v>19</v>
      </c>
      <c r="F4954" t="s">
        <v>42</v>
      </c>
      <c r="O4954">
        <v>2041</v>
      </c>
      <c r="P4954">
        <v>3.1536</v>
      </c>
    </row>
    <row r="4955" spans="1:16" x14ac:dyDescent="0.3">
      <c r="A4955" t="str">
        <f t="shared" si="77"/>
        <v>PA|NewCapacity|RE1|PWRWNDONS|2041</v>
      </c>
      <c r="B4955" t="s">
        <v>44</v>
      </c>
      <c r="C4955" t="s">
        <v>45</v>
      </c>
      <c r="D4955" t="s">
        <v>37</v>
      </c>
      <c r="E4955" t="s">
        <v>19</v>
      </c>
      <c r="F4955" t="s">
        <v>36</v>
      </c>
      <c r="O4955">
        <v>2041</v>
      </c>
      <c r="P4955">
        <v>47.31</v>
      </c>
    </row>
    <row r="4956" spans="1:16" x14ac:dyDescent="0.3">
      <c r="A4956" t="str">
        <f t="shared" si="77"/>
        <v>PA|TotalCapacityAnnual|RE1|PWRBGS|2041</v>
      </c>
      <c r="B4956" t="s">
        <v>44</v>
      </c>
      <c r="C4956" t="s">
        <v>45</v>
      </c>
      <c r="D4956" t="s">
        <v>38</v>
      </c>
      <c r="E4956" t="s">
        <v>19</v>
      </c>
      <c r="F4956" t="s">
        <v>20</v>
      </c>
      <c r="O4956">
        <v>2041</v>
      </c>
      <c r="P4956">
        <v>2.5488587520000001E-2</v>
      </c>
    </row>
    <row r="4957" spans="1:16" x14ac:dyDescent="0.3">
      <c r="A4957" t="str">
        <f t="shared" si="77"/>
        <v>PA|TotalCapacityAnnual|RE1|PWRCOA|2041</v>
      </c>
      <c r="B4957" t="s">
        <v>44</v>
      </c>
      <c r="C4957" t="s">
        <v>45</v>
      </c>
      <c r="D4957" t="s">
        <v>38</v>
      </c>
      <c r="E4957" t="s">
        <v>19</v>
      </c>
      <c r="F4957" t="s">
        <v>21</v>
      </c>
      <c r="O4957">
        <v>2041</v>
      </c>
    </row>
    <row r="4958" spans="1:16" x14ac:dyDescent="0.3">
      <c r="A4958" t="str">
        <f t="shared" si="77"/>
        <v>PA|TotalCapacityAnnual|RE1|PWRDSL|2041</v>
      </c>
      <c r="B4958" t="s">
        <v>44</v>
      </c>
      <c r="C4958" t="s">
        <v>45</v>
      </c>
      <c r="D4958" t="s">
        <v>38</v>
      </c>
      <c r="E4958" t="s">
        <v>19</v>
      </c>
      <c r="F4958" t="s">
        <v>22</v>
      </c>
      <c r="O4958">
        <v>2041</v>
      </c>
      <c r="P4958">
        <v>24.944976</v>
      </c>
    </row>
    <row r="4959" spans="1:16" x14ac:dyDescent="0.3">
      <c r="A4959" t="str">
        <f t="shared" si="77"/>
        <v>PA|TotalCapacityAnnual|RE1|PWRFOL|2041</v>
      </c>
      <c r="B4959" t="s">
        <v>44</v>
      </c>
      <c r="C4959" t="s">
        <v>45</v>
      </c>
      <c r="D4959" t="s">
        <v>38</v>
      </c>
      <c r="E4959" t="s">
        <v>19</v>
      </c>
      <c r="F4959" t="s">
        <v>23</v>
      </c>
      <c r="O4959">
        <v>2041</v>
      </c>
      <c r="P4959">
        <v>8.3885759999999987</v>
      </c>
    </row>
    <row r="4960" spans="1:16" x14ac:dyDescent="0.3">
      <c r="A4960" t="str">
        <f t="shared" si="77"/>
        <v>PA|TotalCapacityAnnual|RE1|PWRGEO|2041</v>
      </c>
      <c r="B4960" t="s">
        <v>44</v>
      </c>
      <c r="C4960" t="s">
        <v>45</v>
      </c>
      <c r="D4960" t="s">
        <v>38</v>
      </c>
      <c r="E4960" t="s">
        <v>19</v>
      </c>
      <c r="F4960" t="s">
        <v>46</v>
      </c>
      <c r="O4960">
        <v>2041</v>
      </c>
      <c r="P4960">
        <v>6.3079999999999998</v>
      </c>
    </row>
    <row r="4961" spans="1:16" x14ac:dyDescent="0.3">
      <c r="A4961" t="str">
        <f t="shared" si="77"/>
        <v>PA|TotalCapacityAnnual|RE1|PWRHYDDAM|2041</v>
      </c>
      <c r="B4961" t="s">
        <v>44</v>
      </c>
      <c r="C4961" t="s">
        <v>45</v>
      </c>
      <c r="D4961" t="s">
        <v>38</v>
      </c>
      <c r="E4961" t="s">
        <v>19</v>
      </c>
      <c r="F4961" t="s">
        <v>24</v>
      </c>
      <c r="O4961">
        <v>2041</v>
      </c>
      <c r="P4961">
        <v>440.49164800000011</v>
      </c>
    </row>
    <row r="4962" spans="1:16" x14ac:dyDescent="0.3">
      <c r="A4962" t="str">
        <f t="shared" si="77"/>
        <v>PA|TotalCapacityAnnual|RE1|PWRHYDROR|2041</v>
      </c>
      <c r="B4962" t="s">
        <v>44</v>
      </c>
      <c r="C4962" t="s">
        <v>45</v>
      </c>
      <c r="D4962" t="s">
        <v>38</v>
      </c>
      <c r="E4962" t="s">
        <v>19</v>
      </c>
      <c r="F4962" t="s">
        <v>25</v>
      </c>
      <c r="O4962">
        <v>2041</v>
      </c>
      <c r="P4962">
        <v>21.097584000000001</v>
      </c>
    </row>
    <row r="4963" spans="1:16" x14ac:dyDescent="0.3">
      <c r="A4963" t="str">
        <f t="shared" si="77"/>
        <v>PA|TotalCapacityAnnual|RE1|PWRHYDROR_NDC|2041</v>
      </c>
      <c r="B4963" t="s">
        <v>44</v>
      </c>
      <c r="C4963" t="s">
        <v>45</v>
      </c>
      <c r="D4963" t="s">
        <v>38</v>
      </c>
      <c r="E4963" t="s">
        <v>19</v>
      </c>
      <c r="F4963" t="s">
        <v>26</v>
      </c>
      <c r="O4963">
        <v>2041</v>
      </c>
      <c r="P4963">
        <v>29.725108271999989</v>
      </c>
    </row>
    <row r="4964" spans="1:16" x14ac:dyDescent="0.3">
      <c r="A4964" t="str">
        <f t="shared" si="77"/>
        <v>PA|TotalCapacityAnnual|RE1|PWRJET|2041</v>
      </c>
      <c r="B4964" t="s">
        <v>44</v>
      </c>
      <c r="C4964" t="s">
        <v>45</v>
      </c>
      <c r="D4964" t="s">
        <v>38</v>
      </c>
      <c r="E4964" t="s">
        <v>19</v>
      </c>
      <c r="F4964" t="s">
        <v>27</v>
      </c>
      <c r="O4964">
        <v>2041</v>
      </c>
      <c r="P4964">
        <v>1.5768</v>
      </c>
    </row>
    <row r="4965" spans="1:16" x14ac:dyDescent="0.3">
      <c r="A4965" t="str">
        <f t="shared" si="77"/>
        <v>PA|TotalCapacityAnnual|RE1|PWRLPG|2041</v>
      </c>
      <c r="B4965" t="s">
        <v>44</v>
      </c>
      <c r="C4965" t="s">
        <v>45</v>
      </c>
      <c r="D4965" t="s">
        <v>38</v>
      </c>
      <c r="E4965" t="s">
        <v>19</v>
      </c>
      <c r="F4965" t="s">
        <v>28</v>
      </c>
      <c r="O4965">
        <v>2041</v>
      </c>
      <c r="P4965">
        <v>1.639872</v>
      </c>
    </row>
    <row r="4966" spans="1:16" x14ac:dyDescent="0.3">
      <c r="A4966" t="str">
        <f t="shared" si="77"/>
        <v>PA|TotalCapacityAnnual|RE1|PWRNGS_CC|2041</v>
      </c>
      <c r="B4966" t="s">
        <v>44</v>
      </c>
      <c r="C4966" t="s">
        <v>45</v>
      </c>
      <c r="D4966" t="s">
        <v>38</v>
      </c>
      <c r="E4966" t="s">
        <v>19</v>
      </c>
      <c r="F4966" t="s">
        <v>29</v>
      </c>
      <c r="O4966">
        <v>2041</v>
      </c>
      <c r="P4966">
        <v>70.104500000000002</v>
      </c>
    </row>
    <row r="4967" spans="1:16" x14ac:dyDescent="0.3">
      <c r="A4967" t="str">
        <f t="shared" si="77"/>
        <v>PA|TotalCapacityAnnual|RE1|PWRNGS_CS|2041</v>
      </c>
      <c r="B4967" t="s">
        <v>44</v>
      </c>
      <c r="C4967" t="s">
        <v>45</v>
      </c>
      <c r="D4967" t="s">
        <v>38</v>
      </c>
      <c r="E4967" t="s">
        <v>19</v>
      </c>
      <c r="F4967" t="s">
        <v>30</v>
      </c>
      <c r="O4967">
        <v>2041</v>
      </c>
      <c r="P4967">
        <v>23.084351999999999</v>
      </c>
    </row>
    <row r="4968" spans="1:16" x14ac:dyDescent="0.3">
      <c r="A4968" t="str">
        <f t="shared" si="77"/>
        <v>PA|TotalCapacityAnnual|RE1|PWRNUC|2041</v>
      </c>
      <c r="B4968" t="s">
        <v>44</v>
      </c>
      <c r="C4968" t="s">
        <v>45</v>
      </c>
      <c r="D4968" t="s">
        <v>38</v>
      </c>
      <c r="E4968" t="s">
        <v>19</v>
      </c>
      <c r="F4968" t="s">
        <v>47</v>
      </c>
      <c r="O4968">
        <v>2041</v>
      </c>
      <c r="P4968">
        <v>9.5120000000000005</v>
      </c>
    </row>
    <row r="4969" spans="1:16" x14ac:dyDescent="0.3">
      <c r="A4969" t="str">
        <f t="shared" si="77"/>
        <v>PA|TotalCapacityAnnual|RE1|PWRSOLRTP|2041</v>
      </c>
      <c r="B4969" t="s">
        <v>44</v>
      </c>
      <c r="C4969" t="s">
        <v>45</v>
      </c>
      <c r="D4969" t="s">
        <v>38</v>
      </c>
      <c r="E4969" t="s">
        <v>19</v>
      </c>
      <c r="F4969" t="s">
        <v>31</v>
      </c>
      <c r="O4969">
        <v>2041</v>
      </c>
      <c r="P4969">
        <v>162.2311323398859</v>
      </c>
    </row>
    <row r="4970" spans="1:16" x14ac:dyDescent="0.3">
      <c r="A4970" t="str">
        <f t="shared" si="77"/>
        <v>PA|TotalCapacityAnnual|RE1|PWRSOLRTP_ZNI|2041</v>
      </c>
      <c r="B4970" t="s">
        <v>44</v>
      </c>
      <c r="C4970" t="s">
        <v>45</v>
      </c>
      <c r="D4970" t="s">
        <v>38</v>
      </c>
      <c r="E4970" t="s">
        <v>19</v>
      </c>
      <c r="F4970" t="s">
        <v>32</v>
      </c>
      <c r="O4970">
        <v>2041</v>
      </c>
      <c r="P4970">
        <v>0.46074095999999998</v>
      </c>
    </row>
    <row r="4971" spans="1:16" x14ac:dyDescent="0.3">
      <c r="A4971" t="str">
        <f t="shared" si="77"/>
        <v>PA|TotalCapacityAnnual|RE1|PWRSOLUGE|2041</v>
      </c>
      <c r="B4971" t="s">
        <v>44</v>
      </c>
      <c r="C4971" t="s">
        <v>45</v>
      </c>
      <c r="D4971" t="s">
        <v>38</v>
      </c>
      <c r="E4971" t="s">
        <v>19</v>
      </c>
      <c r="F4971" t="s">
        <v>33</v>
      </c>
      <c r="O4971">
        <v>2041</v>
      </c>
      <c r="P4971">
        <v>191.79186048</v>
      </c>
    </row>
    <row r="4972" spans="1:16" x14ac:dyDescent="0.3">
      <c r="A4972" t="str">
        <f t="shared" si="77"/>
        <v>PA|TotalCapacityAnnual|RE1|PWRSOLUPE|2041</v>
      </c>
      <c r="B4972" t="s">
        <v>44</v>
      </c>
      <c r="C4972" t="s">
        <v>45</v>
      </c>
      <c r="D4972" t="s">
        <v>38</v>
      </c>
      <c r="E4972" t="s">
        <v>19</v>
      </c>
      <c r="F4972" t="s">
        <v>34</v>
      </c>
      <c r="O4972">
        <v>2041</v>
      </c>
      <c r="P4972">
        <v>39.172600079999931</v>
      </c>
    </row>
    <row r="4973" spans="1:16" x14ac:dyDescent="0.3">
      <c r="A4973" t="str">
        <f t="shared" si="77"/>
        <v>PA|TotalCapacityAnnual|RE1|PWRSTD|2041</v>
      </c>
      <c r="B4973" t="s">
        <v>44</v>
      </c>
      <c r="C4973" t="s">
        <v>45</v>
      </c>
      <c r="D4973" t="s">
        <v>38</v>
      </c>
      <c r="E4973" t="s">
        <v>19</v>
      </c>
      <c r="F4973" t="s">
        <v>35</v>
      </c>
      <c r="O4973">
        <v>2041</v>
      </c>
      <c r="P4973">
        <v>8.163062064</v>
      </c>
    </row>
    <row r="4974" spans="1:16" x14ac:dyDescent="0.3">
      <c r="A4974" t="str">
        <f t="shared" si="77"/>
        <v>PA|TotalCapacityAnnual|RE1|PWRWNDOFS_FIX|2041</v>
      </c>
      <c r="B4974" t="s">
        <v>44</v>
      </c>
      <c r="C4974" t="s">
        <v>45</v>
      </c>
      <c r="D4974" t="s">
        <v>38</v>
      </c>
      <c r="E4974" t="s">
        <v>19</v>
      </c>
      <c r="F4974" t="s">
        <v>42</v>
      </c>
      <c r="O4974">
        <v>2041</v>
      </c>
      <c r="P4974">
        <v>18.921600000000002</v>
      </c>
    </row>
    <row r="4975" spans="1:16" x14ac:dyDescent="0.3">
      <c r="A4975" t="str">
        <f t="shared" si="77"/>
        <v>PA|TotalCapacityAnnual|RE1|PWRWNDONS|2041</v>
      </c>
      <c r="B4975" t="s">
        <v>44</v>
      </c>
      <c r="C4975" t="s">
        <v>45</v>
      </c>
      <c r="D4975" t="s">
        <v>38</v>
      </c>
      <c r="E4975" t="s">
        <v>19</v>
      </c>
      <c r="F4975" t="s">
        <v>36</v>
      </c>
      <c r="O4975">
        <v>2041</v>
      </c>
      <c r="P4975">
        <v>282.27492673862957</v>
      </c>
    </row>
    <row r="4976" spans="1:16" x14ac:dyDescent="0.3">
      <c r="A4976" t="str">
        <f t="shared" si="77"/>
        <v>PA|AccumulatedNewCapacity|RE1|PWRBGS|2042</v>
      </c>
      <c r="B4976" t="s">
        <v>44</v>
      </c>
      <c r="C4976" t="s">
        <v>45</v>
      </c>
      <c r="D4976" t="s">
        <v>18</v>
      </c>
      <c r="E4976" t="s">
        <v>19</v>
      </c>
      <c r="F4976" t="s">
        <v>20</v>
      </c>
      <c r="O4976">
        <v>2042</v>
      </c>
    </row>
    <row r="4977" spans="1:16" x14ac:dyDescent="0.3">
      <c r="A4977" t="str">
        <f t="shared" si="77"/>
        <v>PA|AccumulatedNewCapacity|RE1|PWRCOA|2042</v>
      </c>
      <c r="B4977" t="s">
        <v>44</v>
      </c>
      <c r="C4977" t="s">
        <v>45</v>
      </c>
      <c r="D4977" t="s">
        <v>18</v>
      </c>
      <c r="E4977" t="s">
        <v>19</v>
      </c>
      <c r="F4977" t="s">
        <v>21</v>
      </c>
      <c r="O4977">
        <v>2042</v>
      </c>
    </row>
    <row r="4978" spans="1:16" x14ac:dyDescent="0.3">
      <c r="A4978" t="str">
        <f t="shared" si="77"/>
        <v>PA|AccumulatedNewCapacity|RE1|PWRDSL|2042</v>
      </c>
      <c r="B4978" t="s">
        <v>44</v>
      </c>
      <c r="C4978" t="s">
        <v>45</v>
      </c>
      <c r="D4978" t="s">
        <v>18</v>
      </c>
      <c r="E4978" t="s">
        <v>19</v>
      </c>
      <c r="F4978" t="s">
        <v>22</v>
      </c>
      <c r="O4978">
        <v>2042</v>
      </c>
    </row>
    <row r="4979" spans="1:16" x14ac:dyDescent="0.3">
      <c r="A4979" t="str">
        <f t="shared" si="77"/>
        <v>PA|AccumulatedNewCapacity|RE1|PWRFOL|2042</v>
      </c>
      <c r="B4979" t="s">
        <v>44</v>
      </c>
      <c r="C4979" t="s">
        <v>45</v>
      </c>
      <c r="D4979" t="s">
        <v>18</v>
      </c>
      <c r="E4979" t="s">
        <v>19</v>
      </c>
      <c r="F4979" t="s">
        <v>23</v>
      </c>
      <c r="O4979">
        <v>2042</v>
      </c>
    </row>
    <row r="4980" spans="1:16" x14ac:dyDescent="0.3">
      <c r="A4980" t="str">
        <f t="shared" si="77"/>
        <v>PA|AccumulatedNewCapacity|RE1|PWRGEO|2042</v>
      </c>
      <c r="B4980" t="s">
        <v>44</v>
      </c>
      <c r="C4980" t="s">
        <v>45</v>
      </c>
      <c r="D4980" t="s">
        <v>18</v>
      </c>
      <c r="E4980" t="s">
        <v>19</v>
      </c>
      <c r="F4980" t="s">
        <v>46</v>
      </c>
      <c r="O4980">
        <v>2042</v>
      </c>
      <c r="P4980">
        <v>9.4619999999999997</v>
      </c>
    </row>
    <row r="4981" spans="1:16" x14ac:dyDescent="0.3">
      <c r="A4981" t="str">
        <f t="shared" si="77"/>
        <v>PA|AccumulatedNewCapacity|RE1|PWRHYDDAM|2042</v>
      </c>
      <c r="B4981" t="s">
        <v>44</v>
      </c>
      <c r="C4981" t="s">
        <v>45</v>
      </c>
      <c r="D4981" t="s">
        <v>18</v>
      </c>
      <c r="E4981" t="s">
        <v>19</v>
      </c>
      <c r="F4981" t="s">
        <v>24</v>
      </c>
      <c r="O4981">
        <v>2042</v>
      </c>
      <c r="P4981">
        <v>37.840000000000003</v>
      </c>
    </row>
    <row r="4982" spans="1:16" x14ac:dyDescent="0.3">
      <c r="A4982" t="str">
        <f t="shared" si="77"/>
        <v>PA|AccumulatedNewCapacity|RE1|PWRHYDROR|2042</v>
      </c>
      <c r="B4982" t="s">
        <v>44</v>
      </c>
      <c r="C4982" t="s">
        <v>45</v>
      </c>
      <c r="D4982" t="s">
        <v>18</v>
      </c>
      <c r="E4982" t="s">
        <v>19</v>
      </c>
      <c r="F4982" t="s">
        <v>25</v>
      </c>
      <c r="O4982">
        <v>2042</v>
      </c>
    </row>
    <row r="4983" spans="1:16" x14ac:dyDescent="0.3">
      <c r="A4983" t="str">
        <f t="shared" si="77"/>
        <v>PA|AccumulatedNewCapacity|RE1|PWRHYDROR_NDC|2042</v>
      </c>
      <c r="B4983" t="s">
        <v>44</v>
      </c>
      <c r="C4983" t="s">
        <v>45</v>
      </c>
      <c r="D4983" t="s">
        <v>18</v>
      </c>
      <c r="E4983" t="s">
        <v>19</v>
      </c>
      <c r="F4983" t="s">
        <v>26</v>
      </c>
      <c r="O4983">
        <v>2042</v>
      </c>
    </row>
    <row r="4984" spans="1:16" x14ac:dyDescent="0.3">
      <c r="A4984" t="str">
        <f t="shared" si="77"/>
        <v>PA|AccumulatedNewCapacity|RE1|PWRJET|2042</v>
      </c>
      <c r="B4984" t="s">
        <v>44</v>
      </c>
      <c r="C4984" t="s">
        <v>45</v>
      </c>
      <c r="D4984" t="s">
        <v>18</v>
      </c>
      <c r="E4984" t="s">
        <v>19</v>
      </c>
      <c r="F4984" t="s">
        <v>27</v>
      </c>
      <c r="O4984">
        <v>2042</v>
      </c>
    </row>
    <row r="4985" spans="1:16" x14ac:dyDescent="0.3">
      <c r="A4985" t="str">
        <f t="shared" si="77"/>
        <v>PA|AccumulatedNewCapacity|RE1|PWRLPG|2042</v>
      </c>
      <c r="B4985" t="s">
        <v>44</v>
      </c>
      <c r="C4985" t="s">
        <v>45</v>
      </c>
      <c r="D4985" t="s">
        <v>18</v>
      </c>
      <c r="E4985" t="s">
        <v>19</v>
      </c>
      <c r="F4985" t="s">
        <v>28</v>
      </c>
      <c r="O4985">
        <v>2042</v>
      </c>
    </row>
    <row r="4986" spans="1:16" x14ac:dyDescent="0.3">
      <c r="A4986" t="str">
        <f t="shared" si="77"/>
        <v>PA|AccumulatedNewCapacity|RE1|PWRNGS_CC|2042</v>
      </c>
      <c r="B4986" t="s">
        <v>44</v>
      </c>
      <c r="C4986" t="s">
        <v>45</v>
      </c>
      <c r="D4986" t="s">
        <v>18</v>
      </c>
      <c r="E4986" t="s">
        <v>19</v>
      </c>
      <c r="F4986" t="s">
        <v>29</v>
      </c>
      <c r="O4986">
        <v>2042</v>
      </c>
    </row>
    <row r="4987" spans="1:16" x14ac:dyDescent="0.3">
      <c r="A4987" t="str">
        <f t="shared" si="77"/>
        <v>PA|AccumulatedNewCapacity|RE1|PWRNGS_CS|2042</v>
      </c>
      <c r="B4987" t="s">
        <v>44</v>
      </c>
      <c r="C4987" t="s">
        <v>45</v>
      </c>
      <c r="D4987" t="s">
        <v>18</v>
      </c>
      <c r="E4987" t="s">
        <v>19</v>
      </c>
      <c r="F4987" t="s">
        <v>30</v>
      </c>
      <c r="O4987">
        <v>2042</v>
      </c>
    </row>
    <row r="4988" spans="1:16" x14ac:dyDescent="0.3">
      <c r="A4988" t="str">
        <f t="shared" si="77"/>
        <v>PA|AccumulatedNewCapacity|RE1|PWRNUC|2042</v>
      </c>
      <c r="B4988" t="s">
        <v>44</v>
      </c>
      <c r="C4988" t="s">
        <v>45</v>
      </c>
      <c r="D4988" t="s">
        <v>18</v>
      </c>
      <c r="E4988" t="s">
        <v>19</v>
      </c>
      <c r="F4988" t="s">
        <v>47</v>
      </c>
      <c r="O4988">
        <v>2042</v>
      </c>
      <c r="P4988">
        <v>9.5120000000000005</v>
      </c>
    </row>
    <row r="4989" spans="1:16" x14ac:dyDescent="0.3">
      <c r="A4989" t="str">
        <f t="shared" si="77"/>
        <v>PA|AccumulatedNewCapacity|RE1|PWRSOLRTP|2042</v>
      </c>
      <c r="B4989" t="s">
        <v>44</v>
      </c>
      <c r="C4989" t="s">
        <v>45</v>
      </c>
      <c r="D4989" t="s">
        <v>18</v>
      </c>
      <c r="E4989" t="s">
        <v>19</v>
      </c>
      <c r="F4989" t="s">
        <v>31</v>
      </c>
      <c r="O4989">
        <v>2042</v>
      </c>
      <c r="P4989">
        <v>141.2298478123019</v>
      </c>
    </row>
    <row r="4990" spans="1:16" x14ac:dyDescent="0.3">
      <c r="A4990" t="str">
        <f t="shared" si="77"/>
        <v>PA|AccumulatedNewCapacity|RE1|PWRSOLRTP_ZNI|2042</v>
      </c>
      <c r="B4990" t="s">
        <v>44</v>
      </c>
      <c r="C4990" t="s">
        <v>45</v>
      </c>
      <c r="D4990" t="s">
        <v>18</v>
      </c>
      <c r="E4990" t="s">
        <v>19</v>
      </c>
      <c r="F4990" t="s">
        <v>32</v>
      </c>
      <c r="O4990">
        <v>2042</v>
      </c>
    </row>
    <row r="4991" spans="1:16" x14ac:dyDescent="0.3">
      <c r="A4991" t="str">
        <f t="shared" si="77"/>
        <v>PA|AccumulatedNewCapacity|RE1|PWRSOLUGE|2042</v>
      </c>
      <c r="B4991" t="s">
        <v>44</v>
      </c>
      <c r="C4991" t="s">
        <v>45</v>
      </c>
      <c r="D4991" t="s">
        <v>18</v>
      </c>
      <c r="E4991" t="s">
        <v>19</v>
      </c>
      <c r="F4991" t="s">
        <v>33</v>
      </c>
      <c r="O4991">
        <v>2042</v>
      </c>
      <c r="P4991">
        <v>143.394192</v>
      </c>
    </row>
    <row r="4992" spans="1:16" x14ac:dyDescent="0.3">
      <c r="A4992" t="str">
        <f t="shared" si="77"/>
        <v>PA|AccumulatedNewCapacity|RE1|PWRSOLUPE|2042</v>
      </c>
      <c r="B4992" t="s">
        <v>44</v>
      </c>
      <c r="C4992" t="s">
        <v>45</v>
      </c>
      <c r="D4992" t="s">
        <v>18</v>
      </c>
      <c r="E4992" t="s">
        <v>19</v>
      </c>
      <c r="F4992" t="s">
        <v>34</v>
      </c>
      <c r="O4992">
        <v>2042</v>
      </c>
      <c r="P4992">
        <v>12.14419823999993</v>
      </c>
    </row>
    <row r="4993" spans="1:16" x14ac:dyDescent="0.3">
      <c r="A4993" t="str">
        <f t="shared" si="77"/>
        <v>PA|AccumulatedNewCapacity|RE1|PWRSTD|2042</v>
      </c>
      <c r="B4993" t="s">
        <v>44</v>
      </c>
      <c r="C4993" t="s">
        <v>45</v>
      </c>
      <c r="D4993" t="s">
        <v>18</v>
      </c>
      <c r="E4993" t="s">
        <v>19</v>
      </c>
      <c r="F4993" t="s">
        <v>35</v>
      </c>
      <c r="O4993">
        <v>2042</v>
      </c>
    </row>
    <row r="4994" spans="1:16" x14ac:dyDescent="0.3">
      <c r="A4994" t="str">
        <f t="shared" ref="A4994:A5057" si="78">B4994&amp;"|"&amp;D4994&amp;"|"&amp;E4994&amp;"|"&amp;F4994&amp;"|"&amp;O4994</f>
        <v>PA|AccumulatedNewCapacity|RE1|PWRWNDOFS_FIX|2042</v>
      </c>
      <c r="B4994" t="s">
        <v>44</v>
      </c>
      <c r="C4994" t="s">
        <v>45</v>
      </c>
      <c r="D4994" t="s">
        <v>18</v>
      </c>
      <c r="E4994" t="s">
        <v>19</v>
      </c>
      <c r="F4994" t="s">
        <v>42</v>
      </c>
      <c r="O4994">
        <v>2042</v>
      </c>
      <c r="P4994">
        <v>22.075199999999999</v>
      </c>
    </row>
    <row r="4995" spans="1:16" x14ac:dyDescent="0.3">
      <c r="A4995" t="str">
        <f t="shared" si="78"/>
        <v>PA|AccumulatedNewCapacity|RE1|PWRWNDONS|2042</v>
      </c>
      <c r="B4995" t="s">
        <v>44</v>
      </c>
      <c r="C4995" t="s">
        <v>45</v>
      </c>
      <c r="D4995" t="s">
        <v>18</v>
      </c>
      <c r="E4995" t="s">
        <v>19</v>
      </c>
      <c r="F4995" t="s">
        <v>36</v>
      </c>
      <c r="O4995">
        <v>2042</v>
      </c>
      <c r="P4995">
        <v>328.21626433862963</v>
      </c>
    </row>
    <row r="4996" spans="1:16" x14ac:dyDescent="0.3">
      <c r="A4996" t="str">
        <f t="shared" si="78"/>
        <v>PA|NewCapacity|RE1|PWRBGS|2042</v>
      </c>
      <c r="B4996" t="s">
        <v>44</v>
      </c>
      <c r="C4996" t="s">
        <v>45</v>
      </c>
      <c r="D4996" t="s">
        <v>37</v>
      </c>
      <c r="E4996" t="s">
        <v>19</v>
      </c>
      <c r="F4996" t="s">
        <v>20</v>
      </c>
      <c r="O4996">
        <v>2042</v>
      </c>
    </row>
    <row r="4997" spans="1:16" x14ac:dyDescent="0.3">
      <c r="A4997" t="str">
        <f t="shared" si="78"/>
        <v>PA|NewCapacity|RE1|PWRCOA|2042</v>
      </c>
      <c r="B4997" t="s">
        <v>44</v>
      </c>
      <c r="C4997" t="s">
        <v>45</v>
      </c>
      <c r="D4997" t="s">
        <v>37</v>
      </c>
      <c r="E4997" t="s">
        <v>19</v>
      </c>
      <c r="F4997" t="s">
        <v>21</v>
      </c>
      <c r="O4997">
        <v>2042</v>
      </c>
    </row>
    <row r="4998" spans="1:16" x14ac:dyDescent="0.3">
      <c r="A4998" t="str">
        <f t="shared" si="78"/>
        <v>PA|NewCapacity|RE1|PWRDSL|2042</v>
      </c>
      <c r="B4998" t="s">
        <v>44</v>
      </c>
      <c r="C4998" t="s">
        <v>45</v>
      </c>
      <c r="D4998" t="s">
        <v>37</v>
      </c>
      <c r="E4998" t="s">
        <v>19</v>
      </c>
      <c r="F4998" t="s">
        <v>22</v>
      </c>
      <c r="O4998">
        <v>2042</v>
      </c>
    </row>
    <row r="4999" spans="1:16" x14ac:dyDescent="0.3">
      <c r="A4999" t="str">
        <f t="shared" si="78"/>
        <v>PA|NewCapacity|RE1|PWRFOL|2042</v>
      </c>
      <c r="B4999" t="s">
        <v>44</v>
      </c>
      <c r="C4999" t="s">
        <v>45</v>
      </c>
      <c r="D4999" t="s">
        <v>37</v>
      </c>
      <c r="E4999" t="s">
        <v>19</v>
      </c>
      <c r="F4999" t="s">
        <v>23</v>
      </c>
      <c r="O4999">
        <v>2042</v>
      </c>
    </row>
    <row r="5000" spans="1:16" x14ac:dyDescent="0.3">
      <c r="A5000" t="str">
        <f t="shared" si="78"/>
        <v>PA|NewCapacity|RE1|PWRGEO|2042</v>
      </c>
      <c r="B5000" t="s">
        <v>44</v>
      </c>
      <c r="C5000" t="s">
        <v>45</v>
      </c>
      <c r="D5000" t="s">
        <v>37</v>
      </c>
      <c r="E5000" t="s">
        <v>19</v>
      </c>
      <c r="F5000" t="s">
        <v>46</v>
      </c>
      <c r="O5000">
        <v>2042</v>
      </c>
      <c r="P5000">
        <v>3.1539999999999999</v>
      </c>
    </row>
    <row r="5001" spans="1:16" x14ac:dyDescent="0.3">
      <c r="A5001" t="str">
        <f t="shared" si="78"/>
        <v>PA|NewCapacity|RE1|PWRHYDDAM|2042</v>
      </c>
      <c r="B5001" t="s">
        <v>44</v>
      </c>
      <c r="C5001" t="s">
        <v>45</v>
      </c>
      <c r="D5001" t="s">
        <v>37</v>
      </c>
      <c r="E5001" t="s">
        <v>19</v>
      </c>
      <c r="F5001" t="s">
        <v>24</v>
      </c>
      <c r="O5001">
        <v>2042</v>
      </c>
    </row>
    <row r="5002" spans="1:16" x14ac:dyDescent="0.3">
      <c r="A5002" t="str">
        <f t="shared" si="78"/>
        <v>PA|NewCapacity|RE1|PWRHYDROR|2042</v>
      </c>
      <c r="B5002" t="s">
        <v>44</v>
      </c>
      <c r="C5002" t="s">
        <v>45</v>
      </c>
      <c r="D5002" t="s">
        <v>37</v>
      </c>
      <c r="E5002" t="s">
        <v>19</v>
      </c>
      <c r="F5002" t="s">
        <v>25</v>
      </c>
      <c r="O5002">
        <v>2042</v>
      </c>
    </row>
    <row r="5003" spans="1:16" x14ac:dyDescent="0.3">
      <c r="A5003" t="str">
        <f t="shared" si="78"/>
        <v>PA|NewCapacity|RE1|PWRHYDROR_NDC|2042</v>
      </c>
      <c r="B5003" t="s">
        <v>44</v>
      </c>
      <c r="C5003" t="s">
        <v>45</v>
      </c>
      <c r="D5003" t="s">
        <v>37</v>
      </c>
      <c r="E5003" t="s">
        <v>19</v>
      </c>
      <c r="F5003" t="s">
        <v>26</v>
      </c>
      <c r="O5003">
        <v>2042</v>
      </c>
    </row>
    <row r="5004" spans="1:16" x14ac:dyDescent="0.3">
      <c r="A5004" t="str">
        <f t="shared" si="78"/>
        <v>PA|NewCapacity|RE1|PWRJET|2042</v>
      </c>
      <c r="B5004" t="s">
        <v>44</v>
      </c>
      <c r="C5004" t="s">
        <v>45</v>
      </c>
      <c r="D5004" t="s">
        <v>37</v>
      </c>
      <c r="E5004" t="s">
        <v>19</v>
      </c>
      <c r="F5004" t="s">
        <v>27</v>
      </c>
      <c r="O5004">
        <v>2042</v>
      </c>
    </row>
    <row r="5005" spans="1:16" x14ac:dyDescent="0.3">
      <c r="A5005" t="str">
        <f t="shared" si="78"/>
        <v>PA|NewCapacity|RE1|PWRLPG|2042</v>
      </c>
      <c r="B5005" t="s">
        <v>44</v>
      </c>
      <c r="C5005" t="s">
        <v>45</v>
      </c>
      <c r="D5005" t="s">
        <v>37</v>
      </c>
      <c r="E5005" t="s">
        <v>19</v>
      </c>
      <c r="F5005" t="s">
        <v>28</v>
      </c>
      <c r="O5005">
        <v>2042</v>
      </c>
    </row>
    <row r="5006" spans="1:16" x14ac:dyDescent="0.3">
      <c r="A5006" t="str">
        <f t="shared" si="78"/>
        <v>PA|NewCapacity|RE1|PWRNGS_CC|2042</v>
      </c>
      <c r="B5006" t="s">
        <v>44</v>
      </c>
      <c r="C5006" t="s">
        <v>45</v>
      </c>
      <c r="D5006" t="s">
        <v>37</v>
      </c>
      <c r="E5006" t="s">
        <v>19</v>
      </c>
      <c r="F5006" t="s">
        <v>29</v>
      </c>
      <c r="O5006">
        <v>2042</v>
      </c>
    </row>
    <row r="5007" spans="1:16" x14ac:dyDescent="0.3">
      <c r="A5007" t="str">
        <f t="shared" si="78"/>
        <v>PA|NewCapacity|RE1|PWRNGS_CS|2042</v>
      </c>
      <c r="B5007" t="s">
        <v>44</v>
      </c>
      <c r="C5007" t="s">
        <v>45</v>
      </c>
      <c r="D5007" t="s">
        <v>37</v>
      </c>
      <c r="E5007" t="s">
        <v>19</v>
      </c>
      <c r="F5007" t="s">
        <v>30</v>
      </c>
      <c r="O5007">
        <v>2042</v>
      </c>
    </row>
    <row r="5008" spans="1:16" x14ac:dyDescent="0.3">
      <c r="A5008" t="str">
        <f t="shared" si="78"/>
        <v>PA|NewCapacity|RE1|PWRNUC|2042</v>
      </c>
      <c r="B5008" t="s">
        <v>44</v>
      </c>
      <c r="C5008" t="s">
        <v>45</v>
      </c>
      <c r="D5008" t="s">
        <v>37</v>
      </c>
      <c r="E5008" t="s">
        <v>19</v>
      </c>
      <c r="F5008" t="s">
        <v>47</v>
      </c>
      <c r="O5008">
        <v>2042</v>
      </c>
    </row>
    <row r="5009" spans="1:16" x14ac:dyDescent="0.3">
      <c r="A5009" t="str">
        <f t="shared" si="78"/>
        <v>PA|NewCapacity|RE1|PWRSOLRTP|2042</v>
      </c>
      <c r="B5009" t="s">
        <v>44</v>
      </c>
      <c r="C5009" t="s">
        <v>45</v>
      </c>
      <c r="D5009" t="s">
        <v>37</v>
      </c>
      <c r="E5009" t="s">
        <v>19</v>
      </c>
      <c r="F5009" t="s">
        <v>31</v>
      </c>
      <c r="O5009">
        <v>2042</v>
      </c>
      <c r="P5009">
        <v>2.2828154724159799</v>
      </c>
    </row>
    <row r="5010" spans="1:16" x14ac:dyDescent="0.3">
      <c r="A5010" t="str">
        <f t="shared" si="78"/>
        <v>PA|NewCapacity|RE1|PWRSOLRTP_ZNI|2042</v>
      </c>
      <c r="B5010" t="s">
        <v>44</v>
      </c>
      <c r="C5010" t="s">
        <v>45</v>
      </c>
      <c r="D5010" t="s">
        <v>37</v>
      </c>
      <c r="E5010" t="s">
        <v>19</v>
      </c>
      <c r="F5010" t="s">
        <v>32</v>
      </c>
      <c r="O5010">
        <v>2042</v>
      </c>
    </row>
    <row r="5011" spans="1:16" x14ac:dyDescent="0.3">
      <c r="A5011" t="str">
        <f t="shared" si="78"/>
        <v>PA|NewCapacity|RE1|PWRSOLUGE|2042</v>
      </c>
      <c r="B5011" t="s">
        <v>44</v>
      </c>
      <c r="C5011" t="s">
        <v>45</v>
      </c>
      <c r="D5011" t="s">
        <v>37</v>
      </c>
      <c r="E5011" t="s">
        <v>19</v>
      </c>
      <c r="F5011" t="s">
        <v>33</v>
      </c>
      <c r="O5011">
        <v>2042</v>
      </c>
    </row>
    <row r="5012" spans="1:16" x14ac:dyDescent="0.3">
      <c r="A5012" t="str">
        <f t="shared" si="78"/>
        <v>PA|NewCapacity|RE1|PWRSOLUPE|2042</v>
      </c>
      <c r="B5012" t="s">
        <v>44</v>
      </c>
      <c r="C5012" t="s">
        <v>45</v>
      </c>
      <c r="D5012" t="s">
        <v>37</v>
      </c>
      <c r="E5012" t="s">
        <v>19</v>
      </c>
      <c r="F5012" t="s">
        <v>34</v>
      </c>
      <c r="O5012">
        <v>2042</v>
      </c>
    </row>
    <row r="5013" spans="1:16" x14ac:dyDescent="0.3">
      <c r="A5013" t="str">
        <f t="shared" si="78"/>
        <v>PA|NewCapacity|RE1|PWRSTD|2042</v>
      </c>
      <c r="B5013" t="s">
        <v>44</v>
      </c>
      <c r="C5013" t="s">
        <v>45</v>
      </c>
      <c r="D5013" t="s">
        <v>37</v>
      </c>
      <c r="E5013" t="s">
        <v>19</v>
      </c>
      <c r="F5013" t="s">
        <v>35</v>
      </c>
      <c r="O5013">
        <v>2042</v>
      </c>
    </row>
    <row r="5014" spans="1:16" x14ac:dyDescent="0.3">
      <c r="A5014" t="str">
        <f t="shared" si="78"/>
        <v>PA|NewCapacity|RE1|PWRWNDOFS_FIX|2042</v>
      </c>
      <c r="B5014" t="s">
        <v>44</v>
      </c>
      <c r="C5014" t="s">
        <v>45</v>
      </c>
      <c r="D5014" t="s">
        <v>37</v>
      </c>
      <c r="E5014" t="s">
        <v>19</v>
      </c>
      <c r="F5014" t="s">
        <v>42</v>
      </c>
      <c r="O5014">
        <v>2042</v>
      </c>
      <c r="P5014">
        <v>3.1536</v>
      </c>
    </row>
    <row r="5015" spans="1:16" x14ac:dyDescent="0.3">
      <c r="A5015" t="str">
        <f t="shared" si="78"/>
        <v>PA|NewCapacity|RE1|PWRWNDONS|2042</v>
      </c>
      <c r="B5015" t="s">
        <v>44</v>
      </c>
      <c r="C5015" t="s">
        <v>45</v>
      </c>
      <c r="D5015" t="s">
        <v>37</v>
      </c>
      <c r="E5015" t="s">
        <v>19</v>
      </c>
      <c r="F5015" t="s">
        <v>36</v>
      </c>
      <c r="O5015">
        <v>2042</v>
      </c>
      <c r="P5015">
        <v>47.31</v>
      </c>
    </row>
    <row r="5016" spans="1:16" x14ac:dyDescent="0.3">
      <c r="A5016" t="str">
        <f t="shared" si="78"/>
        <v>PA|TotalCapacityAnnual|RE1|PWRBGS|2042</v>
      </c>
      <c r="B5016" t="s">
        <v>44</v>
      </c>
      <c r="C5016" t="s">
        <v>45</v>
      </c>
      <c r="D5016" t="s">
        <v>38</v>
      </c>
      <c r="E5016" t="s">
        <v>19</v>
      </c>
      <c r="F5016" t="s">
        <v>20</v>
      </c>
      <c r="O5016">
        <v>2042</v>
      </c>
      <c r="P5016">
        <v>2.5488587520000001E-2</v>
      </c>
    </row>
    <row r="5017" spans="1:16" x14ac:dyDescent="0.3">
      <c r="A5017" t="str">
        <f t="shared" si="78"/>
        <v>PA|TotalCapacityAnnual|RE1|PWRCOA|2042</v>
      </c>
      <c r="B5017" t="s">
        <v>44</v>
      </c>
      <c r="C5017" t="s">
        <v>45</v>
      </c>
      <c r="D5017" t="s">
        <v>38</v>
      </c>
      <c r="E5017" t="s">
        <v>19</v>
      </c>
      <c r="F5017" t="s">
        <v>21</v>
      </c>
      <c r="O5017">
        <v>2042</v>
      </c>
    </row>
    <row r="5018" spans="1:16" x14ac:dyDescent="0.3">
      <c r="A5018" t="str">
        <f t="shared" si="78"/>
        <v>PA|TotalCapacityAnnual|RE1|PWRDSL|2042</v>
      </c>
      <c r="B5018" t="s">
        <v>44</v>
      </c>
      <c r="C5018" t="s">
        <v>45</v>
      </c>
      <c r="D5018" t="s">
        <v>38</v>
      </c>
      <c r="E5018" t="s">
        <v>19</v>
      </c>
      <c r="F5018" t="s">
        <v>22</v>
      </c>
      <c r="O5018">
        <v>2042</v>
      </c>
      <c r="P5018">
        <v>24.944976</v>
      </c>
    </row>
    <row r="5019" spans="1:16" x14ac:dyDescent="0.3">
      <c r="A5019" t="str">
        <f t="shared" si="78"/>
        <v>PA|TotalCapacityAnnual|RE1|PWRFOL|2042</v>
      </c>
      <c r="B5019" t="s">
        <v>44</v>
      </c>
      <c r="C5019" t="s">
        <v>45</v>
      </c>
      <c r="D5019" t="s">
        <v>38</v>
      </c>
      <c r="E5019" t="s">
        <v>19</v>
      </c>
      <c r="F5019" t="s">
        <v>23</v>
      </c>
      <c r="O5019">
        <v>2042</v>
      </c>
      <c r="P5019">
        <v>8.3885759999999987</v>
      </c>
    </row>
    <row r="5020" spans="1:16" x14ac:dyDescent="0.3">
      <c r="A5020" t="str">
        <f t="shared" si="78"/>
        <v>PA|TotalCapacityAnnual|RE1|PWRGEO|2042</v>
      </c>
      <c r="B5020" t="s">
        <v>44</v>
      </c>
      <c r="C5020" t="s">
        <v>45</v>
      </c>
      <c r="D5020" t="s">
        <v>38</v>
      </c>
      <c r="E5020" t="s">
        <v>19</v>
      </c>
      <c r="F5020" t="s">
        <v>46</v>
      </c>
      <c r="O5020">
        <v>2042</v>
      </c>
      <c r="P5020">
        <v>9.4619999999999997</v>
      </c>
    </row>
    <row r="5021" spans="1:16" x14ac:dyDescent="0.3">
      <c r="A5021" t="str">
        <f t="shared" si="78"/>
        <v>PA|TotalCapacityAnnual|RE1|PWRHYDDAM|2042</v>
      </c>
      <c r="B5021" t="s">
        <v>44</v>
      </c>
      <c r="C5021" t="s">
        <v>45</v>
      </c>
      <c r="D5021" t="s">
        <v>38</v>
      </c>
      <c r="E5021" t="s">
        <v>19</v>
      </c>
      <c r="F5021" t="s">
        <v>24</v>
      </c>
      <c r="O5021">
        <v>2042</v>
      </c>
      <c r="P5021">
        <v>440.49164800000011</v>
      </c>
    </row>
    <row r="5022" spans="1:16" x14ac:dyDescent="0.3">
      <c r="A5022" t="str">
        <f t="shared" si="78"/>
        <v>PA|TotalCapacityAnnual|RE1|PWRHYDROR|2042</v>
      </c>
      <c r="B5022" t="s">
        <v>44</v>
      </c>
      <c r="C5022" t="s">
        <v>45</v>
      </c>
      <c r="D5022" t="s">
        <v>38</v>
      </c>
      <c r="E5022" t="s">
        <v>19</v>
      </c>
      <c r="F5022" t="s">
        <v>25</v>
      </c>
      <c r="O5022">
        <v>2042</v>
      </c>
      <c r="P5022">
        <v>21.097584000000001</v>
      </c>
    </row>
    <row r="5023" spans="1:16" x14ac:dyDescent="0.3">
      <c r="A5023" t="str">
        <f t="shared" si="78"/>
        <v>PA|TotalCapacityAnnual|RE1|PWRHYDROR_NDC|2042</v>
      </c>
      <c r="B5023" t="s">
        <v>44</v>
      </c>
      <c r="C5023" t="s">
        <v>45</v>
      </c>
      <c r="D5023" t="s">
        <v>38</v>
      </c>
      <c r="E5023" t="s">
        <v>19</v>
      </c>
      <c r="F5023" t="s">
        <v>26</v>
      </c>
      <c r="O5023">
        <v>2042</v>
      </c>
      <c r="P5023">
        <v>29.725108271999989</v>
      </c>
    </row>
    <row r="5024" spans="1:16" x14ac:dyDescent="0.3">
      <c r="A5024" t="str">
        <f t="shared" si="78"/>
        <v>PA|TotalCapacityAnnual|RE1|PWRJET|2042</v>
      </c>
      <c r="B5024" t="s">
        <v>44</v>
      </c>
      <c r="C5024" t="s">
        <v>45</v>
      </c>
      <c r="D5024" t="s">
        <v>38</v>
      </c>
      <c r="E5024" t="s">
        <v>19</v>
      </c>
      <c r="F5024" t="s">
        <v>27</v>
      </c>
      <c r="O5024">
        <v>2042</v>
      </c>
      <c r="P5024">
        <v>1.5768</v>
      </c>
    </row>
    <row r="5025" spans="1:16" x14ac:dyDescent="0.3">
      <c r="A5025" t="str">
        <f t="shared" si="78"/>
        <v>PA|TotalCapacityAnnual|RE1|PWRLPG|2042</v>
      </c>
      <c r="B5025" t="s">
        <v>44</v>
      </c>
      <c r="C5025" t="s">
        <v>45</v>
      </c>
      <c r="D5025" t="s">
        <v>38</v>
      </c>
      <c r="E5025" t="s">
        <v>19</v>
      </c>
      <c r="F5025" t="s">
        <v>28</v>
      </c>
      <c r="O5025">
        <v>2042</v>
      </c>
      <c r="P5025">
        <v>1.639872</v>
      </c>
    </row>
    <row r="5026" spans="1:16" x14ac:dyDescent="0.3">
      <c r="A5026" t="str">
        <f t="shared" si="78"/>
        <v>PA|TotalCapacityAnnual|RE1|PWRNGS_CC|2042</v>
      </c>
      <c r="B5026" t="s">
        <v>44</v>
      </c>
      <c r="C5026" t="s">
        <v>45</v>
      </c>
      <c r="D5026" t="s">
        <v>38</v>
      </c>
      <c r="E5026" t="s">
        <v>19</v>
      </c>
      <c r="F5026" t="s">
        <v>29</v>
      </c>
      <c r="O5026">
        <v>2042</v>
      </c>
      <c r="P5026">
        <v>70.104500000000002</v>
      </c>
    </row>
    <row r="5027" spans="1:16" x14ac:dyDescent="0.3">
      <c r="A5027" t="str">
        <f t="shared" si="78"/>
        <v>PA|TotalCapacityAnnual|RE1|PWRNGS_CS|2042</v>
      </c>
      <c r="B5027" t="s">
        <v>44</v>
      </c>
      <c r="C5027" t="s">
        <v>45</v>
      </c>
      <c r="D5027" t="s">
        <v>38</v>
      </c>
      <c r="E5027" t="s">
        <v>19</v>
      </c>
      <c r="F5027" t="s">
        <v>30</v>
      </c>
      <c r="O5027">
        <v>2042</v>
      </c>
      <c r="P5027">
        <v>23.084351999999999</v>
      </c>
    </row>
    <row r="5028" spans="1:16" x14ac:dyDescent="0.3">
      <c r="A5028" t="str">
        <f t="shared" si="78"/>
        <v>PA|TotalCapacityAnnual|RE1|PWRNUC|2042</v>
      </c>
      <c r="B5028" t="s">
        <v>44</v>
      </c>
      <c r="C5028" t="s">
        <v>45</v>
      </c>
      <c r="D5028" t="s">
        <v>38</v>
      </c>
      <c r="E5028" t="s">
        <v>19</v>
      </c>
      <c r="F5028" t="s">
        <v>47</v>
      </c>
      <c r="O5028">
        <v>2042</v>
      </c>
      <c r="P5028">
        <v>9.5120000000000005</v>
      </c>
    </row>
    <row r="5029" spans="1:16" x14ac:dyDescent="0.3">
      <c r="A5029" t="str">
        <f t="shared" si="78"/>
        <v>PA|TotalCapacityAnnual|RE1|PWRSOLRTP|2042</v>
      </c>
      <c r="B5029" t="s">
        <v>44</v>
      </c>
      <c r="C5029" t="s">
        <v>45</v>
      </c>
      <c r="D5029" t="s">
        <v>38</v>
      </c>
      <c r="E5029" t="s">
        <v>19</v>
      </c>
      <c r="F5029" t="s">
        <v>31</v>
      </c>
      <c r="O5029">
        <v>2042</v>
      </c>
      <c r="P5029">
        <v>164.51394781230189</v>
      </c>
    </row>
    <row r="5030" spans="1:16" x14ac:dyDescent="0.3">
      <c r="A5030" t="str">
        <f t="shared" si="78"/>
        <v>PA|TotalCapacityAnnual|RE1|PWRSOLRTP_ZNI|2042</v>
      </c>
      <c r="B5030" t="s">
        <v>44</v>
      </c>
      <c r="C5030" t="s">
        <v>45</v>
      </c>
      <c r="D5030" t="s">
        <v>38</v>
      </c>
      <c r="E5030" t="s">
        <v>19</v>
      </c>
      <c r="F5030" t="s">
        <v>32</v>
      </c>
      <c r="O5030">
        <v>2042</v>
      </c>
      <c r="P5030">
        <v>0.46074095999999998</v>
      </c>
    </row>
    <row r="5031" spans="1:16" x14ac:dyDescent="0.3">
      <c r="A5031" t="str">
        <f t="shared" si="78"/>
        <v>PA|TotalCapacityAnnual|RE1|PWRSOLUGE|2042</v>
      </c>
      <c r="B5031" t="s">
        <v>44</v>
      </c>
      <c r="C5031" t="s">
        <v>45</v>
      </c>
      <c r="D5031" t="s">
        <v>38</v>
      </c>
      <c r="E5031" t="s">
        <v>19</v>
      </c>
      <c r="F5031" t="s">
        <v>33</v>
      </c>
      <c r="O5031">
        <v>2042</v>
      </c>
      <c r="P5031">
        <v>191.79186048</v>
      </c>
    </row>
    <row r="5032" spans="1:16" x14ac:dyDescent="0.3">
      <c r="A5032" t="str">
        <f t="shared" si="78"/>
        <v>PA|TotalCapacityAnnual|RE1|PWRSOLUPE|2042</v>
      </c>
      <c r="B5032" t="s">
        <v>44</v>
      </c>
      <c r="C5032" t="s">
        <v>45</v>
      </c>
      <c r="D5032" t="s">
        <v>38</v>
      </c>
      <c r="E5032" t="s">
        <v>19</v>
      </c>
      <c r="F5032" t="s">
        <v>34</v>
      </c>
      <c r="O5032">
        <v>2042</v>
      </c>
      <c r="P5032">
        <v>39.172600079999931</v>
      </c>
    </row>
    <row r="5033" spans="1:16" x14ac:dyDescent="0.3">
      <c r="A5033" t="str">
        <f t="shared" si="78"/>
        <v>PA|TotalCapacityAnnual|RE1|PWRSTD|2042</v>
      </c>
      <c r="B5033" t="s">
        <v>44</v>
      </c>
      <c r="C5033" t="s">
        <v>45</v>
      </c>
      <c r="D5033" t="s">
        <v>38</v>
      </c>
      <c r="E5033" t="s">
        <v>19</v>
      </c>
      <c r="F5033" t="s">
        <v>35</v>
      </c>
      <c r="O5033">
        <v>2042</v>
      </c>
      <c r="P5033">
        <v>8.163062064</v>
      </c>
    </row>
    <row r="5034" spans="1:16" x14ac:dyDescent="0.3">
      <c r="A5034" t="str">
        <f t="shared" si="78"/>
        <v>PA|TotalCapacityAnnual|RE1|PWRWNDOFS_FIX|2042</v>
      </c>
      <c r="B5034" t="s">
        <v>44</v>
      </c>
      <c r="C5034" t="s">
        <v>45</v>
      </c>
      <c r="D5034" t="s">
        <v>38</v>
      </c>
      <c r="E5034" t="s">
        <v>19</v>
      </c>
      <c r="F5034" t="s">
        <v>42</v>
      </c>
      <c r="O5034">
        <v>2042</v>
      </c>
      <c r="P5034">
        <v>22.075199999999999</v>
      </c>
    </row>
    <row r="5035" spans="1:16" x14ac:dyDescent="0.3">
      <c r="A5035" t="str">
        <f t="shared" si="78"/>
        <v>PA|TotalCapacityAnnual|RE1|PWRWNDONS|2042</v>
      </c>
      <c r="B5035" t="s">
        <v>44</v>
      </c>
      <c r="C5035" t="s">
        <v>45</v>
      </c>
      <c r="D5035" t="s">
        <v>38</v>
      </c>
      <c r="E5035" t="s">
        <v>19</v>
      </c>
      <c r="F5035" t="s">
        <v>36</v>
      </c>
      <c r="O5035">
        <v>2042</v>
      </c>
      <c r="P5035">
        <v>329.58492673862958</v>
      </c>
    </row>
    <row r="5036" spans="1:16" x14ac:dyDescent="0.3">
      <c r="A5036" t="str">
        <f t="shared" si="78"/>
        <v>PA|AccumulatedNewCapacity|RE1|PWRBGS|2043</v>
      </c>
      <c r="B5036" t="s">
        <v>44</v>
      </c>
      <c r="C5036" t="s">
        <v>45</v>
      </c>
      <c r="D5036" t="s">
        <v>18</v>
      </c>
      <c r="E5036" t="s">
        <v>19</v>
      </c>
      <c r="F5036" t="s">
        <v>20</v>
      </c>
      <c r="O5036">
        <v>2043</v>
      </c>
    </row>
    <row r="5037" spans="1:16" x14ac:dyDescent="0.3">
      <c r="A5037" t="str">
        <f t="shared" si="78"/>
        <v>PA|AccumulatedNewCapacity|RE1|PWRCOA|2043</v>
      </c>
      <c r="B5037" t="s">
        <v>44</v>
      </c>
      <c r="C5037" t="s">
        <v>45</v>
      </c>
      <c r="D5037" t="s">
        <v>18</v>
      </c>
      <c r="E5037" t="s">
        <v>19</v>
      </c>
      <c r="F5037" t="s">
        <v>21</v>
      </c>
      <c r="O5037">
        <v>2043</v>
      </c>
    </row>
    <row r="5038" spans="1:16" x14ac:dyDescent="0.3">
      <c r="A5038" t="str">
        <f t="shared" si="78"/>
        <v>PA|AccumulatedNewCapacity|RE1|PWRDSL|2043</v>
      </c>
      <c r="B5038" t="s">
        <v>44</v>
      </c>
      <c r="C5038" t="s">
        <v>45</v>
      </c>
      <c r="D5038" t="s">
        <v>18</v>
      </c>
      <c r="E5038" t="s">
        <v>19</v>
      </c>
      <c r="F5038" t="s">
        <v>22</v>
      </c>
      <c r="O5038">
        <v>2043</v>
      </c>
    </row>
    <row r="5039" spans="1:16" x14ac:dyDescent="0.3">
      <c r="A5039" t="str">
        <f t="shared" si="78"/>
        <v>PA|AccumulatedNewCapacity|RE1|PWRFOL|2043</v>
      </c>
      <c r="B5039" t="s">
        <v>44</v>
      </c>
      <c r="C5039" t="s">
        <v>45</v>
      </c>
      <c r="D5039" t="s">
        <v>18</v>
      </c>
      <c r="E5039" t="s">
        <v>19</v>
      </c>
      <c r="F5039" t="s">
        <v>23</v>
      </c>
      <c r="O5039">
        <v>2043</v>
      </c>
    </row>
    <row r="5040" spans="1:16" x14ac:dyDescent="0.3">
      <c r="A5040" t="str">
        <f t="shared" si="78"/>
        <v>PA|AccumulatedNewCapacity|RE1|PWRGEO|2043</v>
      </c>
      <c r="B5040" t="s">
        <v>44</v>
      </c>
      <c r="C5040" t="s">
        <v>45</v>
      </c>
      <c r="D5040" t="s">
        <v>18</v>
      </c>
      <c r="E5040" t="s">
        <v>19</v>
      </c>
      <c r="F5040" t="s">
        <v>46</v>
      </c>
      <c r="O5040">
        <v>2043</v>
      </c>
      <c r="P5040">
        <v>12.616</v>
      </c>
    </row>
    <row r="5041" spans="1:16" x14ac:dyDescent="0.3">
      <c r="A5041" t="str">
        <f t="shared" si="78"/>
        <v>PA|AccumulatedNewCapacity|RE1|PWRHYDDAM|2043</v>
      </c>
      <c r="B5041" t="s">
        <v>44</v>
      </c>
      <c r="C5041" t="s">
        <v>45</v>
      </c>
      <c r="D5041" t="s">
        <v>18</v>
      </c>
      <c r="E5041" t="s">
        <v>19</v>
      </c>
      <c r="F5041" t="s">
        <v>24</v>
      </c>
      <c r="O5041">
        <v>2043</v>
      </c>
      <c r="P5041">
        <v>37.840000000000003</v>
      </c>
    </row>
    <row r="5042" spans="1:16" x14ac:dyDescent="0.3">
      <c r="A5042" t="str">
        <f t="shared" si="78"/>
        <v>PA|AccumulatedNewCapacity|RE1|PWRHYDROR|2043</v>
      </c>
      <c r="B5042" t="s">
        <v>44</v>
      </c>
      <c r="C5042" t="s">
        <v>45</v>
      </c>
      <c r="D5042" t="s">
        <v>18</v>
      </c>
      <c r="E5042" t="s">
        <v>19</v>
      </c>
      <c r="F5042" t="s">
        <v>25</v>
      </c>
      <c r="O5042">
        <v>2043</v>
      </c>
    </row>
    <row r="5043" spans="1:16" x14ac:dyDescent="0.3">
      <c r="A5043" t="str">
        <f t="shared" si="78"/>
        <v>PA|AccumulatedNewCapacity|RE1|PWRHYDROR_NDC|2043</v>
      </c>
      <c r="B5043" t="s">
        <v>44</v>
      </c>
      <c r="C5043" t="s">
        <v>45</v>
      </c>
      <c r="D5043" t="s">
        <v>18</v>
      </c>
      <c r="E5043" t="s">
        <v>19</v>
      </c>
      <c r="F5043" t="s">
        <v>26</v>
      </c>
      <c r="O5043">
        <v>2043</v>
      </c>
    </row>
    <row r="5044" spans="1:16" x14ac:dyDescent="0.3">
      <c r="A5044" t="str">
        <f t="shared" si="78"/>
        <v>PA|AccumulatedNewCapacity|RE1|PWRJET|2043</v>
      </c>
      <c r="B5044" t="s">
        <v>44</v>
      </c>
      <c r="C5044" t="s">
        <v>45</v>
      </c>
      <c r="D5044" t="s">
        <v>18</v>
      </c>
      <c r="E5044" t="s">
        <v>19</v>
      </c>
      <c r="F5044" t="s">
        <v>27</v>
      </c>
      <c r="O5044">
        <v>2043</v>
      </c>
    </row>
    <row r="5045" spans="1:16" x14ac:dyDescent="0.3">
      <c r="A5045" t="str">
        <f t="shared" si="78"/>
        <v>PA|AccumulatedNewCapacity|RE1|PWRLPG|2043</v>
      </c>
      <c r="B5045" t="s">
        <v>44</v>
      </c>
      <c r="C5045" t="s">
        <v>45</v>
      </c>
      <c r="D5045" t="s">
        <v>18</v>
      </c>
      <c r="E5045" t="s">
        <v>19</v>
      </c>
      <c r="F5045" t="s">
        <v>28</v>
      </c>
      <c r="O5045">
        <v>2043</v>
      </c>
    </row>
    <row r="5046" spans="1:16" x14ac:dyDescent="0.3">
      <c r="A5046" t="str">
        <f t="shared" si="78"/>
        <v>PA|AccumulatedNewCapacity|RE1|PWRNGS_CC|2043</v>
      </c>
      <c r="B5046" t="s">
        <v>44</v>
      </c>
      <c r="C5046" t="s">
        <v>45</v>
      </c>
      <c r="D5046" t="s">
        <v>18</v>
      </c>
      <c r="E5046" t="s">
        <v>19</v>
      </c>
      <c r="F5046" t="s">
        <v>29</v>
      </c>
      <c r="O5046">
        <v>2043</v>
      </c>
    </row>
    <row r="5047" spans="1:16" x14ac:dyDescent="0.3">
      <c r="A5047" t="str">
        <f t="shared" si="78"/>
        <v>PA|AccumulatedNewCapacity|RE1|PWRNGS_CS|2043</v>
      </c>
      <c r="B5047" t="s">
        <v>44</v>
      </c>
      <c r="C5047" t="s">
        <v>45</v>
      </c>
      <c r="D5047" t="s">
        <v>18</v>
      </c>
      <c r="E5047" t="s">
        <v>19</v>
      </c>
      <c r="F5047" t="s">
        <v>30</v>
      </c>
      <c r="O5047">
        <v>2043</v>
      </c>
    </row>
    <row r="5048" spans="1:16" x14ac:dyDescent="0.3">
      <c r="A5048" t="str">
        <f t="shared" si="78"/>
        <v>PA|AccumulatedNewCapacity|RE1|PWRNUC|2043</v>
      </c>
      <c r="B5048" t="s">
        <v>44</v>
      </c>
      <c r="C5048" t="s">
        <v>45</v>
      </c>
      <c r="D5048" t="s">
        <v>18</v>
      </c>
      <c r="E5048" t="s">
        <v>19</v>
      </c>
      <c r="F5048" t="s">
        <v>47</v>
      </c>
      <c r="O5048">
        <v>2043</v>
      </c>
      <c r="P5048">
        <v>9.5120000000000005</v>
      </c>
    </row>
    <row r="5049" spans="1:16" x14ac:dyDescent="0.3">
      <c r="A5049" t="str">
        <f t="shared" si="78"/>
        <v>PA|AccumulatedNewCapacity|RE1|PWRSOLRTP|2043</v>
      </c>
      <c r="B5049" t="s">
        <v>44</v>
      </c>
      <c r="C5049" t="s">
        <v>45</v>
      </c>
      <c r="D5049" t="s">
        <v>18</v>
      </c>
      <c r="E5049" t="s">
        <v>19</v>
      </c>
      <c r="F5049" t="s">
        <v>31</v>
      </c>
      <c r="O5049">
        <v>2043</v>
      </c>
      <c r="P5049">
        <v>143.32242866201651</v>
      </c>
    </row>
    <row r="5050" spans="1:16" x14ac:dyDescent="0.3">
      <c r="A5050" t="str">
        <f t="shared" si="78"/>
        <v>PA|AccumulatedNewCapacity|RE1|PWRSOLRTP_ZNI|2043</v>
      </c>
      <c r="B5050" t="s">
        <v>44</v>
      </c>
      <c r="C5050" t="s">
        <v>45</v>
      </c>
      <c r="D5050" t="s">
        <v>18</v>
      </c>
      <c r="E5050" t="s">
        <v>19</v>
      </c>
      <c r="F5050" t="s">
        <v>32</v>
      </c>
      <c r="O5050">
        <v>2043</v>
      </c>
    </row>
    <row r="5051" spans="1:16" x14ac:dyDescent="0.3">
      <c r="A5051" t="str">
        <f t="shared" si="78"/>
        <v>PA|AccumulatedNewCapacity|RE1|PWRSOLUGE|2043</v>
      </c>
      <c r="B5051" t="s">
        <v>44</v>
      </c>
      <c r="C5051" t="s">
        <v>45</v>
      </c>
      <c r="D5051" t="s">
        <v>18</v>
      </c>
      <c r="E5051" t="s">
        <v>19</v>
      </c>
      <c r="F5051" t="s">
        <v>33</v>
      </c>
      <c r="O5051">
        <v>2043</v>
      </c>
      <c r="P5051">
        <v>143.394192</v>
      </c>
    </row>
    <row r="5052" spans="1:16" x14ac:dyDescent="0.3">
      <c r="A5052" t="str">
        <f t="shared" si="78"/>
        <v>PA|AccumulatedNewCapacity|RE1|PWRSOLUPE|2043</v>
      </c>
      <c r="B5052" t="s">
        <v>44</v>
      </c>
      <c r="C5052" t="s">
        <v>45</v>
      </c>
      <c r="D5052" t="s">
        <v>18</v>
      </c>
      <c r="E5052" t="s">
        <v>19</v>
      </c>
      <c r="F5052" t="s">
        <v>34</v>
      </c>
      <c r="O5052">
        <v>2043</v>
      </c>
      <c r="P5052">
        <v>12.14419823999993</v>
      </c>
    </row>
    <row r="5053" spans="1:16" x14ac:dyDescent="0.3">
      <c r="A5053" t="str">
        <f t="shared" si="78"/>
        <v>PA|AccumulatedNewCapacity|RE1|PWRSTD|2043</v>
      </c>
      <c r="B5053" t="s">
        <v>44</v>
      </c>
      <c r="C5053" t="s">
        <v>45</v>
      </c>
      <c r="D5053" t="s">
        <v>18</v>
      </c>
      <c r="E5053" t="s">
        <v>19</v>
      </c>
      <c r="F5053" t="s">
        <v>35</v>
      </c>
      <c r="O5053">
        <v>2043</v>
      </c>
    </row>
    <row r="5054" spans="1:16" x14ac:dyDescent="0.3">
      <c r="A5054" t="str">
        <f t="shared" si="78"/>
        <v>PA|AccumulatedNewCapacity|RE1|PWRWNDOFS_FIX|2043</v>
      </c>
      <c r="B5054" t="s">
        <v>44</v>
      </c>
      <c r="C5054" t="s">
        <v>45</v>
      </c>
      <c r="D5054" t="s">
        <v>18</v>
      </c>
      <c r="E5054" t="s">
        <v>19</v>
      </c>
      <c r="F5054" t="s">
        <v>42</v>
      </c>
      <c r="O5054">
        <v>2043</v>
      </c>
      <c r="P5054">
        <v>25.2288</v>
      </c>
    </row>
    <row r="5055" spans="1:16" x14ac:dyDescent="0.3">
      <c r="A5055" t="str">
        <f t="shared" si="78"/>
        <v>PA|AccumulatedNewCapacity|RE1|PWRWNDONS|2043</v>
      </c>
      <c r="B5055" t="s">
        <v>44</v>
      </c>
      <c r="C5055" t="s">
        <v>45</v>
      </c>
      <c r="D5055" t="s">
        <v>18</v>
      </c>
      <c r="E5055" t="s">
        <v>19</v>
      </c>
      <c r="F5055" t="s">
        <v>36</v>
      </c>
      <c r="O5055">
        <v>2043</v>
      </c>
      <c r="P5055">
        <v>354.37275468939481</v>
      </c>
    </row>
    <row r="5056" spans="1:16" x14ac:dyDescent="0.3">
      <c r="A5056" t="str">
        <f t="shared" si="78"/>
        <v>PA|NewCapacity|RE1|PWRBGS|2043</v>
      </c>
      <c r="B5056" t="s">
        <v>44</v>
      </c>
      <c r="C5056" t="s">
        <v>45</v>
      </c>
      <c r="D5056" t="s">
        <v>37</v>
      </c>
      <c r="E5056" t="s">
        <v>19</v>
      </c>
      <c r="F5056" t="s">
        <v>20</v>
      </c>
      <c r="O5056">
        <v>2043</v>
      </c>
    </row>
    <row r="5057" spans="1:16" x14ac:dyDescent="0.3">
      <c r="A5057" t="str">
        <f t="shared" si="78"/>
        <v>PA|NewCapacity|RE1|PWRCOA|2043</v>
      </c>
      <c r="B5057" t="s">
        <v>44</v>
      </c>
      <c r="C5057" t="s">
        <v>45</v>
      </c>
      <c r="D5057" t="s">
        <v>37</v>
      </c>
      <c r="E5057" t="s">
        <v>19</v>
      </c>
      <c r="F5057" t="s">
        <v>21</v>
      </c>
      <c r="O5057">
        <v>2043</v>
      </c>
    </row>
    <row r="5058" spans="1:16" x14ac:dyDescent="0.3">
      <c r="A5058" t="str">
        <f t="shared" ref="A5058:A5121" si="79">B5058&amp;"|"&amp;D5058&amp;"|"&amp;E5058&amp;"|"&amp;F5058&amp;"|"&amp;O5058</f>
        <v>PA|NewCapacity|RE1|PWRDSL|2043</v>
      </c>
      <c r="B5058" t="s">
        <v>44</v>
      </c>
      <c r="C5058" t="s">
        <v>45</v>
      </c>
      <c r="D5058" t="s">
        <v>37</v>
      </c>
      <c r="E5058" t="s">
        <v>19</v>
      </c>
      <c r="F5058" t="s">
        <v>22</v>
      </c>
      <c r="O5058">
        <v>2043</v>
      </c>
    </row>
    <row r="5059" spans="1:16" x14ac:dyDescent="0.3">
      <c r="A5059" t="str">
        <f t="shared" si="79"/>
        <v>PA|NewCapacity|RE1|PWRFOL|2043</v>
      </c>
      <c r="B5059" t="s">
        <v>44</v>
      </c>
      <c r="C5059" t="s">
        <v>45</v>
      </c>
      <c r="D5059" t="s">
        <v>37</v>
      </c>
      <c r="E5059" t="s">
        <v>19</v>
      </c>
      <c r="F5059" t="s">
        <v>23</v>
      </c>
      <c r="O5059">
        <v>2043</v>
      </c>
    </row>
    <row r="5060" spans="1:16" x14ac:dyDescent="0.3">
      <c r="A5060" t="str">
        <f t="shared" si="79"/>
        <v>PA|NewCapacity|RE1|PWRGEO|2043</v>
      </c>
      <c r="B5060" t="s">
        <v>44</v>
      </c>
      <c r="C5060" t="s">
        <v>45</v>
      </c>
      <c r="D5060" t="s">
        <v>37</v>
      </c>
      <c r="E5060" t="s">
        <v>19</v>
      </c>
      <c r="F5060" t="s">
        <v>46</v>
      </c>
      <c r="O5060">
        <v>2043</v>
      </c>
      <c r="P5060">
        <v>3.1539999999999999</v>
      </c>
    </row>
    <row r="5061" spans="1:16" x14ac:dyDescent="0.3">
      <c r="A5061" t="str">
        <f t="shared" si="79"/>
        <v>PA|NewCapacity|RE1|PWRHYDDAM|2043</v>
      </c>
      <c r="B5061" t="s">
        <v>44</v>
      </c>
      <c r="C5061" t="s">
        <v>45</v>
      </c>
      <c r="D5061" t="s">
        <v>37</v>
      </c>
      <c r="E5061" t="s">
        <v>19</v>
      </c>
      <c r="F5061" t="s">
        <v>24</v>
      </c>
      <c r="O5061">
        <v>2043</v>
      </c>
    </row>
    <row r="5062" spans="1:16" x14ac:dyDescent="0.3">
      <c r="A5062" t="str">
        <f t="shared" si="79"/>
        <v>PA|NewCapacity|RE1|PWRHYDROR|2043</v>
      </c>
      <c r="B5062" t="s">
        <v>44</v>
      </c>
      <c r="C5062" t="s">
        <v>45</v>
      </c>
      <c r="D5062" t="s">
        <v>37</v>
      </c>
      <c r="E5062" t="s">
        <v>19</v>
      </c>
      <c r="F5062" t="s">
        <v>25</v>
      </c>
      <c r="O5062">
        <v>2043</v>
      </c>
    </row>
    <row r="5063" spans="1:16" x14ac:dyDescent="0.3">
      <c r="A5063" t="str">
        <f t="shared" si="79"/>
        <v>PA|NewCapacity|RE1|PWRHYDROR_NDC|2043</v>
      </c>
      <c r="B5063" t="s">
        <v>44</v>
      </c>
      <c r="C5063" t="s">
        <v>45</v>
      </c>
      <c r="D5063" t="s">
        <v>37</v>
      </c>
      <c r="E5063" t="s">
        <v>19</v>
      </c>
      <c r="F5063" t="s">
        <v>26</v>
      </c>
      <c r="O5063">
        <v>2043</v>
      </c>
    </row>
    <row r="5064" spans="1:16" x14ac:dyDescent="0.3">
      <c r="A5064" t="str">
        <f t="shared" si="79"/>
        <v>PA|NewCapacity|RE1|PWRJET|2043</v>
      </c>
      <c r="B5064" t="s">
        <v>44</v>
      </c>
      <c r="C5064" t="s">
        <v>45</v>
      </c>
      <c r="D5064" t="s">
        <v>37</v>
      </c>
      <c r="E5064" t="s">
        <v>19</v>
      </c>
      <c r="F5064" t="s">
        <v>27</v>
      </c>
      <c r="O5064">
        <v>2043</v>
      </c>
    </row>
    <row r="5065" spans="1:16" x14ac:dyDescent="0.3">
      <c r="A5065" t="str">
        <f t="shared" si="79"/>
        <v>PA|NewCapacity|RE1|PWRLPG|2043</v>
      </c>
      <c r="B5065" t="s">
        <v>44</v>
      </c>
      <c r="C5065" t="s">
        <v>45</v>
      </c>
      <c r="D5065" t="s">
        <v>37</v>
      </c>
      <c r="E5065" t="s">
        <v>19</v>
      </c>
      <c r="F5065" t="s">
        <v>28</v>
      </c>
      <c r="O5065">
        <v>2043</v>
      </c>
    </row>
    <row r="5066" spans="1:16" x14ac:dyDescent="0.3">
      <c r="A5066" t="str">
        <f t="shared" si="79"/>
        <v>PA|NewCapacity|RE1|PWRNGS_CC|2043</v>
      </c>
      <c r="B5066" t="s">
        <v>44</v>
      </c>
      <c r="C5066" t="s">
        <v>45</v>
      </c>
      <c r="D5066" t="s">
        <v>37</v>
      </c>
      <c r="E5066" t="s">
        <v>19</v>
      </c>
      <c r="F5066" t="s">
        <v>29</v>
      </c>
      <c r="O5066">
        <v>2043</v>
      </c>
    </row>
    <row r="5067" spans="1:16" x14ac:dyDescent="0.3">
      <c r="A5067" t="str">
        <f t="shared" si="79"/>
        <v>PA|NewCapacity|RE1|PWRNGS_CS|2043</v>
      </c>
      <c r="B5067" t="s">
        <v>44</v>
      </c>
      <c r="C5067" t="s">
        <v>45</v>
      </c>
      <c r="D5067" t="s">
        <v>37</v>
      </c>
      <c r="E5067" t="s">
        <v>19</v>
      </c>
      <c r="F5067" t="s">
        <v>30</v>
      </c>
      <c r="O5067">
        <v>2043</v>
      </c>
    </row>
    <row r="5068" spans="1:16" x14ac:dyDescent="0.3">
      <c r="A5068" t="str">
        <f t="shared" si="79"/>
        <v>PA|NewCapacity|RE1|PWRNUC|2043</v>
      </c>
      <c r="B5068" t="s">
        <v>44</v>
      </c>
      <c r="C5068" t="s">
        <v>45</v>
      </c>
      <c r="D5068" t="s">
        <v>37</v>
      </c>
      <c r="E5068" t="s">
        <v>19</v>
      </c>
      <c r="F5068" t="s">
        <v>47</v>
      </c>
      <c r="O5068">
        <v>2043</v>
      </c>
    </row>
    <row r="5069" spans="1:16" x14ac:dyDescent="0.3">
      <c r="A5069" t="str">
        <f t="shared" si="79"/>
        <v>PA|NewCapacity|RE1|PWRSOLRTP|2043</v>
      </c>
      <c r="B5069" t="s">
        <v>44</v>
      </c>
      <c r="C5069" t="s">
        <v>45</v>
      </c>
      <c r="D5069" t="s">
        <v>37</v>
      </c>
      <c r="E5069" t="s">
        <v>19</v>
      </c>
      <c r="F5069" t="s">
        <v>31</v>
      </c>
      <c r="O5069">
        <v>2043</v>
      </c>
      <c r="P5069">
        <v>2.0925808497146479</v>
      </c>
    </row>
    <row r="5070" spans="1:16" x14ac:dyDescent="0.3">
      <c r="A5070" t="str">
        <f t="shared" si="79"/>
        <v>PA|NewCapacity|RE1|PWRSOLRTP_ZNI|2043</v>
      </c>
      <c r="B5070" t="s">
        <v>44</v>
      </c>
      <c r="C5070" t="s">
        <v>45</v>
      </c>
      <c r="D5070" t="s">
        <v>37</v>
      </c>
      <c r="E5070" t="s">
        <v>19</v>
      </c>
      <c r="F5070" t="s">
        <v>32</v>
      </c>
      <c r="O5070">
        <v>2043</v>
      </c>
    </row>
    <row r="5071" spans="1:16" x14ac:dyDescent="0.3">
      <c r="A5071" t="str">
        <f t="shared" si="79"/>
        <v>PA|NewCapacity|RE1|PWRSOLUGE|2043</v>
      </c>
      <c r="B5071" t="s">
        <v>44</v>
      </c>
      <c r="C5071" t="s">
        <v>45</v>
      </c>
      <c r="D5071" t="s">
        <v>37</v>
      </c>
      <c r="E5071" t="s">
        <v>19</v>
      </c>
      <c r="F5071" t="s">
        <v>33</v>
      </c>
      <c r="O5071">
        <v>2043</v>
      </c>
    </row>
    <row r="5072" spans="1:16" x14ac:dyDescent="0.3">
      <c r="A5072" t="str">
        <f t="shared" si="79"/>
        <v>PA|NewCapacity|RE1|PWRSOLUPE|2043</v>
      </c>
      <c r="B5072" t="s">
        <v>44</v>
      </c>
      <c r="C5072" t="s">
        <v>45</v>
      </c>
      <c r="D5072" t="s">
        <v>37</v>
      </c>
      <c r="E5072" t="s">
        <v>19</v>
      </c>
      <c r="F5072" t="s">
        <v>34</v>
      </c>
      <c r="O5072">
        <v>2043</v>
      </c>
    </row>
    <row r="5073" spans="1:16" x14ac:dyDescent="0.3">
      <c r="A5073" t="str">
        <f t="shared" si="79"/>
        <v>PA|NewCapacity|RE1|PWRSTD|2043</v>
      </c>
      <c r="B5073" t="s">
        <v>44</v>
      </c>
      <c r="C5073" t="s">
        <v>45</v>
      </c>
      <c r="D5073" t="s">
        <v>37</v>
      </c>
      <c r="E5073" t="s">
        <v>19</v>
      </c>
      <c r="F5073" t="s">
        <v>35</v>
      </c>
      <c r="O5073">
        <v>2043</v>
      </c>
    </row>
    <row r="5074" spans="1:16" x14ac:dyDescent="0.3">
      <c r="A5074" t="str">
        <f t="shared" si="79"/>
        <v>PA|NewCapacity|RE1|PWRWNDOFS_FIX|2043</v>
      </c>
      <c r="B5074" t="s">
        <v>44</v>
      </c>
      <c r="C5074" t="s">
        <v>45</v>
      </c>
      <c r="D5074" t="s">
        <v>37</v>
      </c>
      <c r="E5074" t="s">
        <v>19</v>
      </c>
      <c r="F5074" t="s">
        <v>42</v>
      </c>
      <c r="O5074">
        <v>2043</v>
      </c>
      <c r="P5074">
        <v>3.1536</v>
      </c>
    </row>
    <row r="5075" spans="1:16" x14ac:dyDescent="0.3">
      <c r="A5075" t="str">
        <f t="shared" si="79"/>
        <v>PA|NewCapacity|RE1|PWRWNDONS|2043</v>
      </c>
      <c r="B5075" t="s">
        <v>44</v>
      </c>
      <c r="C5075" t="s">
        <v>45</v>
      </c>
      <c r="D5075" t="s">
        <v>37</v>
      </c>
      <c r="E5075" t="s">
        <v>19</v>
      </c>
      <c r="F5075" t="s">
        <v>36</v>
      </c>
      <c r="O5075">
        <v>2043</v>
      </c>
      <c r="P5075">
        <v>26.15649035076515</v>
      </c>
    </row>
    <row r="5076" spans="1:16" x14ac:dyDescent="0.3">
      <c r="A5076" t="str">
        <f t="shared" si="79"/>
        <v>PA|TotalCapacityAnnual|RE1|PWRBGS|2043</v>
      </c>
      <c r="B5076" t="s">
        <v>44</v>
      </c>
      <c r="C5076" t="s">
        <v>45</v>
      </c>
      <c r="D5076" t="s">
        <v>38</v>
      </c>
      <c r="E5076" t="s">
        <v>19</v>
      </c>
      <c r="F5076" t="s">
        <v>20</v>
      </c>
      <c r="O5076">
        <v>2043</v>
      </c>
      <c r="P5076">
        <v>2.5488587520000001E-2</v>
      </c>
    </row>
    <row r="5077" spans="1:16" x14ac:dyDescent="0.3">
      <c r="A5077" t="str">
        <f t="shared" si="79"/>
        <v>PA|TotalCapacityAnnual|RE1|PWRCOA|2043</v>
      </c>
      <c r="B5077" t="s">
        <v>44</v>
      </c>
      <c r="C5077" t="s">
        <v>45</v>
      </c>
      <c r="D5077" t="s">
        <v>38</v>
      </c>
      <c r="E5077" t="s">
        <v>19</v>
      </c>
      <c r="F5077" t="s">
        <v>21</v>
      </c>
      <c r="O5077">
        <v>2043</v>
      </c>
    </row>
    <row r="5078" spans="1:16" x14ac:dyDescent="0.3">
      <c r="A5078" t="str">
        <f t="shared" si="79"/>
        <v>PA|TotalCapacityAnnual|RE1|PWRDSL|2043</v>
      </c>
      <c r="B5078" t="s">
        <v>44</v>
      </c>
      <c r="C5078" t="s">
        <v>45</v>
      </c>
      <c r="D5078" t="s">
        <v>38</v>
      </c>
      <c r="E5078" t="s">
        <v>19</v>
      </c>
      <c r="F5078" t="s">
        <v>22</v>
      </c>
      <c r="O5078">
        <v>2043</v>
      </c>
      <c r="P5078">
        <v>24.944976</v>
      </c>
    </row>
    <row r="5079" spans="1:16" x14ac:dyDescent="0.3">
      <c r="A5079" t="str">
        <f t="shared" si="79"/>
        <v>PA|TotalCapacityAnnual|RE1|PWRFOL|2043</v>
      </c>
      <c r="B5079" t="s">
        <v>44</v>
      </c>
      <c r="C5079" t="s">
        <v>45</v>
      </c>
      <c r="D5079" t="s">
        <v>38</v>
      </c>
      <c r="E5079" t="s">
        <v>19</v>
      </c>
      <c r="F5079" t="s">
        <v>23</v>
      </c>
      <c r="O5079">
        <v>2043</v>
      </c>
      <c r="P5079">
        <v>8.3885759999999987</v>
      </c>
    </row>
    <row r="5080" spans="1:16" x14ac:dyDescent="0.3">
      <c r="A5080" t="str">
        <f t="shared" si="79"/>
        <v>PA|TotalCapacityAnnual|RE1|PWRGEO|2043</v>
      </c>
      <c r="B5080" t="s">
        <v>44</v>
      </c>
      <c r="C5080" t="s">
        <v>45</v>
      </c>
      <c r="D5080" t="s">
        <v>38</v>
      </c>
      <c r="E5080" t="s">
        <v>19</v>
      </c>
      <c r="F5080" t="s">
        <v>46</v>
      </c>
      <c r="O5080">
        <v>2043</v>
      </c>
      <c r="P5080">
        <v>12.616</v>
      </c>
    </row>
    <row r="5081" spans="1:16" x14ac:dyDescent="0.3">
      <c r="A5081" t="str">
        <f t="shared" si="79"/>
        <v>PA|TotalCapacityAnnual|RE1|PWRHYDDAM|2043</v>
      </c>
      <c r="B5081" t="s">
        <v>44</v>
      </c>
      <c r="C5081" t="s">
        <v>45</v>
      </c>
      <c r="D5081" t="s">
        <v>38</v>
      </c>
      <c r="E5081" t="s">
        <v>19</v>
      </c>
      <c r="F5081" t="s">
        <v>24</v>
      </c>
      <c r="O5081">
        <v>2043</v>
      </c>
      <c r="P5081">
        <v>440.49164800000011</v>
      </c>
    </row>
    <row r="5082" spans="1:16" x14ac:dyDescent="0.3">
      <c r="A5082" t="str">
        <f t="shared" si="79"/>
        <v>PA|TotalCapacityAnnual|RE1|PWRHYDROR|2043</v>
      </c>
      <c r="B5082" t="s">
        <v>44</v>
      </c>
      <c r="C5082" t="s">
        <v>45</v>
      </c>
      <c r="D5082" t="s">
        <v>38</v>
      </c>
      <c r="E5082" t="s">
        <v>19</v>
      </c>
      <c r="F5082" t="s">
        <v>25</v>
      </c>
      <c r="O5082">
        <v>2043</v>
      </c>
      <c r="P5082">
        <v>21.097584000000001</v>
      </c>
    </row>
    <row r="5083" spans="1:16" x14ac:dyDescent="0.3">
      <c r="A5083" t="str">
        <f t="shared" si="79"/>
        <v>PA|TotalCapacityAnnual|RE1|PWRHYDROR_NDC|2043</v>
      </c>
      <c r="B5083" t="s">
        <v>44</v>
      </c>
      <c r="C5083" t="s">
        <v>45</v>
      </c>
      <c r="D5083" t="s">
        <v>38</v>
      </c>
      <c r="E5083" t="s">
        <v>19</v>
      </c>
      <c r="F5083" t="s">
        <v>26</v>
      </c>
      <c r="O5083">
        <v>2043</v>
      </c>
      <c r="P5083">
        <v>29.725108271999989</v>
      </c>
    </row>
    <row r="5084" spans="1:16" x14ac:dyDescent="0.3">
      <c r="A5084" t="str">
        <f t="shared" si="79"/>
        <v>PA|TotalCapacityAnnual|RE1|PWRJET|2043</v>
      </c>
      <c r="B5084" t="s">
        <v>44</v>
      </c>
      <c r="C5084" t="s">
        <v>45</v>
      </c>
      <c r="D5084" t="s">
        <v>38</v>
      </c>
      <c r="E5084" t="s">
        <v>19</v>
      </c>
      <c r="F5084" t="s">
        <v>27</v>
      </c>
      <c r="O5084">
        <v>2043</v>
      </c>
      <c r="P5084">
        <v>1.5768</v>
      </c>
    </row>
    <row r="5085" spans="1:16" x14ac:dyDescent="0.3">
      <c r="A5085" t="str">
        <f t="shared" si="79"/>
        <v>PA|TotalCapacityAnnual|RE1|PWRLPG|2043</v>
      </c>
      <c r="B5085" t="s">
        <v>44</v>
      </c>
      <c r="C5085" t="s">
        <v>45</v>
      </c>
      <c r="D5085" t="s">
        <v>38</v>
      </c>
      <c r="E5085" t="s">
        <v>19</v>
      </c>
      <c r="F5085" t="s">
        <v>28</v>
      </c>
      <c r="O5085">
        <v>2043</v>
      </c>
      <c r="P5085">
        <v>1.639872</v>
      </c>
    </row>
    <row r="5086" spans="1:16" x14ac:dyDescent="0.3">
      <c r="A5086" t="str">
        <f t="shared" si="79"/>
        <v>PA|TotalCapacityAnnual|RE1|PWRNGS_CC|2043</v>
      </c>
      <c r="B5086" t="s">
        <v>44</v>
      </c>
      <c r="C5086" t="s">
        <v>45</v>
      </c>
      <c r="D5086" t="s">
        <v>38</v>
      </c>
      <c r="E5086" t="s">
        <v>19</v>
      </c>
      <c r="F5086" t="s">
        <v>29</v>
      </c>
      <c r="O5086">
        <v>2043</v>
      </c>
      <c r="P5086">
        <v>70.104500000000002</v>
      </c>
    </row>
    <row r="5087" spans="1:16" x14ac:dyDescent="0.3">
      <c r="A5087" t="str">
        <f t="shared" si="79"/>
        <v>PA|TotalCapacityAnnual|RE1|PWRNGS_CS|2043</v>
      </c>
      <c r="B5087" t="s">
        <v>44</v>
      </c>
      <c r="C5087" t="s">
        <v>45</v>
      </c>
      <c r="D5087" t="s">
        <v>38</v>
      </c>
      <c r="E5087" t="s">
        <v>19</v>
      </c>
      <c r="F5087" t="s">
        <v>30</v>
      </c>
      <c r="O5087">
        <v>2043</v>
      </c>
      <c r="P5087">
        <v>23.084351999999999</v>
      </c>
    </row>
    <row r="5088" spans="1:16" x14ac:dyDescent="0.3">
      <c r="A5088" t="str">
        <f t="shared" si="79"/>
        <v>PA|TotalCapacityAnnual|RE1|PWRNUC|2043</v>
      </c>
      <c r="B5088" t="s">
        <v>44</v>
      </c>
      <c r="C5088" t="s">
        <v>45</v>
      </c>
      <c r="D5088" t="s">
        <v>38</v>
      </c>
      <c r="E5088" t="s">
        <v>19</v>
      </c>
      <c r="F5088" t="s">
        <v>47</v>
      </c>
      <c r="O5088">
        <v>2043</v>
      </c>
      <c r="P5088">
        <v>9.5120000000000005</v>
      </c>
    </row>
    <row r="5089" spans="1:16" x14ac:dyDescent="0.3">
      <c r="A5089" t="str">
        <f t="shared" si="79"/>
        <v>PA|TotalCapacityAnnual|RE1|PWRSOLRTP|2043</v>
      </c>
      <c r="B5089" t="s">
        <v>44</v>
      </c>
      <c r="C5089" t="s">
        <v>45</v>
      </c>
      <c r="D5089" t="s">
        <v>38</v>
      </c>
      <c r="E5089" t="s">
        <v>19</v>
      </c>
      <c r="F5089" t="s">
        <v>31</v>
      </c>
      <c r="O5089">
        <v>2043</v>
      </c>
      <c r="P5089">
        <v>166.53582866201651</v>
      </c>
    </row>
    <row r="5090" spans="1:16" x14ac:dyDescent="0.3">
      <c r="A5090" t="str">
        <f t="shared" si="79"/>
        <v>PA|TotalCapacityAnnual|RE1|PWRSOLRTP_ZNI|2043</v>
      </c>
      <c r="B5090" t="s">
        <v>44</v>
      </c>
      <c r="C5090" t="s">
        <v>45</v>
      </c>
      <c r="D5090" t="s">
        <v>38</v>
      </c>
      <c r="E5090" t="s">
        <v>19</v>
      </c>
      <c r="F5090" t="s">
        <v>32</v>
      </c>
      <c r="O5090">
        <v>2043</v>
      </c>
      <c r="P5090">
        <v>0.46074095999999998</v>
      </c>
    </row>
    <row r="5091" spans="1:16" x14ac:dyDescent="0.3">
      <c r="A5091" t="str">
        <f t="shared" si="79"/>
        <v>PA|TotalCapacityAnnual|RE1|PWRSOLUGE|2043</v>
      </c>
      <c r="B5091" t="s">
        <v>44</v>
      </c>
      <c r="C5091" t="s">
        <v>45</v>
      </c>
      <c r="D5091" t="s">
        <v>38</v>
      </c>
      <c r="E5091" t="s">
        <v>19</v>
      </c>
      <c r="F5091" t="s">
        <v>33</v>
      </c>
      <c r="O5091">
        <v>2043</v>
      </c>
      <c r="P5091">
        <v>191.79186048</v>
      </c>
    </row>
    <row r="5092" spans="1:16" x14ac:dyDescent="0.3">
      <c r="A5092" t="str">
        <f t="shared" si="79"/>
        <v>PA|TotalCapacityAnnual|RE1|PWRSOLUPE|2043</v>
      </c>
      <c r="B5092" t="s">
        <v>44</v>
      </c>
      <c r="C5092" t="s">
        <v>45</v>
      </c>
      <c r="D5092" t="s">
        <v>38</v>
      </c>
      <c r="E5092" t="s">
        <v>19</v>
      </c>
      <c r="F5092" t="s">
        <v>34</v>
      </c>
      <c r="O5092">
        <v>2043</v>
      </c>
      <c r="P5092">
        <v>39.172600079999931</v>
      </c>
    </row>
    <row r="5093" spans="1:16" x14ac:dyDescent="0.3">
      <c r="A5093" t="str">
        <f t="shared" si="79"/>
        <v>PA|TotalCapacityAnnual|RE1|PWRSTD|2043</v>
      </c>
      <c r="B5093" t="s">
        <v>44</v>
      </c>
      <c r="C5093" t="s">
        <v>45</v>
      </c>
      <c r="D5093" t="s">
        <v>38</v>
      </c>
      <c r="E5093" t="s">
        <v>19</v>
      </c>
      <c r="F5093" t="s">
        <v>35</v>
      </c>
      <c r="O5093">
        <v>2043</v>
      </c>
      <c r="P5093">
        <v>8.163062064</v>
      </c>
    </row>
    <row r="5094" spans="1:16" x14ac:dyDescent="0.3">
      <c r="A5094" t="str">
        <f t="shared" si="79"/>
        <v>PA|TotalCapacityAnnual|RE1|PWRWNDOFS_FIX|2043</v>
      </c>
      <c r="B5094" t="s">
        <v>44</v>
      </c>
      <c r="C5094" t="s">
        <v>45</v>
      </c>
      <c r="D5094" t="s">
        <v>38</v>
      </c>
      <c r="E5094" t="s">
        <v>19</v>
      </c>
      <c r="F5094" t="s">
        <v>42</v>
      </c>
      <c r="O5094">
        <v>2043</v>
      </c>
      <c r="P5094">
        <v>25.2288</v>
      </c>
    </row>
    <row r="5095" spans="1:16" x14ac:dyDescent="0.3">
      <c r="A5095" t="str">
        <f t="shared" si="79"/>
        <v>PA|TotalCapacityAnnual|RE1|PWRWNDONS|2043</v>
      </c>
      <c r="B5095" t="s">
        <v>44</v>
      </c>
      <c r="C5095" t="s">
        <v>45</v>
      </c>
      <c r="D5095" t="s">
        <v>38</v>
      </c>
      <c r="E5095" t="s">
        <v>19</v>
      </c>
      <c r="F5095" t="s">
        <v>36</v>
      </c>
      <c r="O5095">
        <v>2043</v>
      </c>
      <c r="P5095">
        <v>355.74141708939482</v>
      </c>
    </row>
    <row r="5096" spans="1:16" x14ac:dyDescent="0.3">
      <c r="A5096" t="str">
        <f t="shared" si="79"/>
        <v>PA|AccumulatedNewCapacity|RE1|PWRBGS|2044</v>
      </c>
      <c r="B5096" t="s">
        <v>44</v>
      </c>
      <c r="C5096" t="s">
        <v>45</v>
      </c>
      <c r="D5096" t="s">
        <v>18</v>
      </c>
      <c r="E5096" t="s">
        <v>19</v>
      </c>
      <c r="F5096" t="s">
        <v>20</v>
      </c>
      <c r="O5096">
        <v>2044</v>
      </c>
    </row>
    <row r="5097" spans="1:16" x14ac:dyDescent="0.3">
      <c r="A5097" t="str">
        <f t="shared" si="79"/>
        <v>PA|AccumulatedNewCapacity|RE1|PWRCOA|2044</v>
      </c>
      <c r="B5097" t="s">
        <v>44</v>
      </c>
      <c r="C5097" t="s">
        <v>45</v>
      </c>
      <c r="D5097" t="s">
        <v>18</v>
      </c>
      <c r="E5097" t="s">
        <v>19</v>
      </c>
      <c r="F5097" t="s">
        <v>21</v>
      </c>
      <c r="O5097">
        <v>2044</v>
      </c>
    </row>
    <row r="5098" spans="1:16" x14ac:dyDescent="0.3">
      <c r="A5098" t="str">
        <f t="shared" si="79"/>
        <v>PA|AccumulatedNewCapacity|RE1|PWRDSL|2044</v>
      </c>
      <c r="B5098" t="s">
        <v>44</v>
      </c>
      <c r="C5098" t="s">
        <v>45</v>
      </c>
      <c r="D5098" t="s">
        <v>18</v>
      </c>
      <c r="E5098" t="s">
        <v>19</v>
      </c>
      <c r="F5098" t="s">
        <v>22</v>
      </c>
      <c r="O5098">
        <v>2044</v>
      </c>
    </row>
    <row r="5099" spans="1:16" x14ac:dyDescent="0.3">
      <c r="A5099" t="str">
        <f t="shared" si="79"/>
        <v>PA|AccumulatedNewCapacity|RE1|PWRFOL|2044</v>
      </c>
      <c r="B5099" t="s">
        <v>44</v>
      </c>
      <c r="C5099" t="s">
        <v>45</v>
      </c>
      <c r="D5099" t="s">
        <v>18</v>
      </c>
      <c r="E5099" t="s">
        <v>19</v>
      </c>
      <c r="F5099" t="s">
        <v>23</v>
      </c>
      <c r="O5099">
        <v>2044</v>
      </c>
    </row>
    <row r="5100" spans="1:16" x14ac:dyDescent="0.3">
      <c r="A5100" t="str">
        <f t="shared" si="79"/>
        <v>PA|AccumulatedNewCapacity|RE1|PWRGEO|2044</v>
      </c>
      <c r="B5100" t="s">
        <v>44</v>
      </c>
      <c r="C5100" t="s">
        <v>45</v>
      </c>
      <c r="D5100" t="s">
        <v>18</v>
      </c>
      <c r="E5100" t="s">
        <v>19</v>
      </c>
      <c r="F5100" t="s">
        <v>46</v>
      </c>
      <c r="O5100">
        <v>2044</v>
      </c>
      <c r="P5100">
        <v>15.77</v>
      </c>
    </row>
    <row r="5101" spans="1:16" x14ac:dyDescent="0.3">
      <c r="A5101" t="str">
        <f t="shared" si="79"/>
        <v>PA|AccumulatedNewCapacity|RE1|PWRHYDDAM|2044</v>
      </c>
      <c r="B5101" t="s">
        <v>44</v>
      </c>
      <c r="C5101" t="s">
        <v>45</v>
      </c>
      <c r="D5101" t="s">
        <v>18</v>
      </c>
      <c r="E5101" t="s">
        <v>19</v>
      </c>
      <c r="F5101" t="s">
        <v>24</v>
      </c>
      <c r="O5101">
        <v>2044</v>
      </c>
      <c r="P5101">
        <v>37.840000000000003</v>
      </c>
    </row>
    <row r="5102" spans="1:16" x14ac:dyDescent="0.3">
      <c r="A5102" t="str">
        <f t="shared" si="79"/>
        <v>PA|AccumulatedNewCapacity|RE1|PWRHYDROR|2044</v>
      </c>
      <c r="B5102" t="s">
        <v>44</v>
      </c>
      <c r="C5102" t="s">
        <v>45</v>
      </c>
      <c r="D5102" t="s">
        <v>18</v>
      </c>
      <c r="E5102" t="s">
        <v>19</v>
      </c>
      <c r="F5102" t="s">
        <v>25</v>
      </c>
      <c r="O5102">
        <v>2044</v>
      </c>
    </row>
    <row r="5103" spans="1:16" x14ac:dyDescent="0.3">
      <c r="A5103" t="str">
        <f t="shared" si="79"/>
        <v>PA|AccumulatedNewCapacity|RE1|PWRHYDROR_NDC|2044</v>
      </c>
      <c r="B5103" t="s">
        <v>44</v>
      </c>
      <c r="C5103" t="s">
        <v>45</v>
      </c>
      <c r="D5103" t="s">
        <v>18</v>
      </c>
      <c r="E5103" t="s">
        <v>19</v>
      </c>
      <c r="F5103" t="s">
        <v>26</v>
      </c>
      <c r="O5103">
        <v>2044</v>
      </c>
    </row>
    <row r="5104" spans="1:16" x14ac:dyDescent="0.3">
      <c r="A5104" t="str">
        <f t="shared" si="79"/>
        <v>PA|AccumulatedNewCapacity|RE1|PWRJET|2044</v>
      </c>
      <c r="B5104" t="s">
        <v>44</v>
      </c>
      <c r="C5104" t="s">
        <v>45</v>
      </c>
      <c r="D5104" t="s">
        <v>18</v>
      </c>
      <c r="E5104" t="s">
        <v>19</v>
      </c>
      <c r="F5104" t="s">
        <v>27</v>
      </c>
      <c r="O5104">
        <v>2044</v>
      </c>
    </row>
    <row r="5105" spans="1:16" x14ac:dyDescent="0.3">
      <c r="A5105" t="str">
        <f t="shared" si="79"/>
        <v>PA|AccumulatedNewCapacity|RE1|PWRLPG|2044</v>
      </c>
      <c r="B5105" t="s">
        <v>44</v>
      </c>
      <c r="C5105" t="s">
        <v>45</v>
      </c>
      <c r="D5105" t="s">
        <v>18</v>
      </c>
      <c r="E5105" t="s">
        <v>19</v>
      </c>
      <c r="F5105" t="s">
        <v>28</v>
      </c>
      <c r="O5105">
        <v>2044</v>
      </c>
    </row>
    <row r="5106" spans="1:16" x14ac:dyDescent="0.3">
      <c r="A5106" t="str">
        <f t="shared" si="79"/>
        <v>PA|AccumulatedNewCapacity|RE1|PWRNGS_CC|2044</v>
      </c>
      <c r="B5106" t="s">
        <v>44</v>
      </c>
      <c r="C5106" t="s">
        <v>45</v>
      </c>
      <c r="D5106" t="s">
        <v>18</v>
      </c>
      <c r="E5106" t="s">
        <v>19</v>
      </c>
      <c r="F5106" t="s">
        <v>29</v>
      </c>
      <c r="O5106">
        <v>2044</v>
      </c>
    </row>
    <row r="5107" spans="1:16" x14ac:dyDescent="0.3">
      <c r="A5107" t="str">
        <f t="shared" si="79"/>
        <v>PA|AccumulatedNewCapacity|RE1|PWRNGS_CS|2044</v>
      </c>
      <c r="B5107" t="s">
        <v>44</v>
      </c>
      <c r="C5107" t="s">
        <v>45</v>
      </c>
      <c r="D5107" t="s">
        <v>18</v>
      </c>
      <c r="E5107" t="s">
        <v>19</v>
      </c>
      <c r="F5107" t="s">
        <v>30</v>
      </c>
      <c r="O5107">
        <v>2044</v>
      </c>
    </row>
    <row r="5108" spans="1:16" x14ac:dyDescent="0.3">
      <c r="A5108" t="str">
        <f t="shared" si="79"/>
        <v>PA|AccumulatedNewCapacity|RE1|PWRNUC|2044</v>
      </c>
      <c r="B5108" t="s">
        <v>44</v>
      </c>
      <c r="C5108" t="s">
        <v>45</v>
      </c>
      <c r="D5108" t="s">
        <v>18</v>
      </c>
      <c r="E5108" t="s">
        <v>19</v>
      </c>
      <c r="F5108" t="s">
        <v>47</v>
      </c>
      <c r="O5108">
        <v>2044</v>
      </c>
      <c r="P5108">
        <v>9.5120000000000005</v>
      </c>
    </row>
    <row r="5109" spans="1:16" x14ac:dyDescent="0.3">
      <c r="A5109" t="str">
        <f t="shared" si="79"/>
        <v>PA|AccumulatedNewCapacity|RE1|PWRSOLRTP|2044</v>
      </c>
      <c r="B5109" t="s">
        <v>44</v>
      </c>
      <c r="C5109" t="s">
        <v>45</v>
      </c>
      <c r="D5109" t="s">
        <v>18</v>
      </c>
      <c r="E5109" t="s">
        <v>19</v>
      </c>
      <c r="F5109" t="s">
        <v>31</v>
      </c>
      <c r="O5109">
        <v>2044</v>
      </c>
      <c r="P5109">
        <v>145.28818642993031</v>
      </c>
    </row>
    <row r="5110" spans="1:16" x14ac:dyDescent="0.3">
      <c r="A5110" t="str">
        <f t="shared" si="79"/>
        <v>PA|AccumulatedNewCapacity|RE1|PWRSOLRTP_ZNI|2044</v>
      </c>
      <c r="B5110" t="s">
        <v>44</v>
      </c>
      <c r="C5110" t="s">
        <v>45</v>
      </c>
      <c r="D5110" t="s">
        <v>18</v>
      </c>
      <c r="E5110" t="s">
        <v>19</v>
      </c>
      <c r="F5110" t="s">
        <v>32</v>
      </c>
      <c r="O5110">
        <v>2044</v>
      </c>
    </row>
    <row r="5111" spans="1:16" x14ac:dyDescent="0.3">
      <c r="A5111" t="str">
        <f t="shared" si="79"/>
        <v>PA|AccumulatedNewCapacity|RE1|PWRSOLUGE|2044</v>
      </c>
      <c r="B5111" t="s">
        <v>44</v>
      </c>
      <c r="C5111" t="s">
        <v>45</v>
      </c>
      <c r="D5111" t="s">
        <v>18</v>
      </c>
      <c r="E5111" t="s">
        <v>19</v>
      </c>
      <c r="F5111" t="s">
        <v>33</v>
      </c>
      <c r="O5111">
        <v>2044</v>
      </c>
      <c r="P5111">
        <v>143.394192</v>
      </c>
    </row>
    <row r="5112" spans="1:16" x14ac:dyDescent="0.3">
      <c r="A5112" t="str">
        <f t="shared" si="79"/>
        <v>PA|AccumulatedNewCapacity|RE1|PWRSOLUPE|2044</v>
      </c>
      <c r="B5112" t="s">
        <v>44</v>
      </c>
      <c r="C5112" t="s">
        <v>45</v>
      </c>
      <c r="D5112" t="s">
        <v>18</v>
      </c>
      <c r="E5112" t="s">
        <v>19</v>
      </c>
      <c r="F5112" t="s">
        <v>34</v>
      </c>
      <c r="O5112">
        <v>2044</v>
      </c>
      <c r="P5112">
        <v>12.14419823999993</v>
      </c>
    </row>
    <row r="5113" spans="1:16" x14ac:dyDescent="0.3">
      <c r="A5113" t="str">
        <f t="shared" si="79"/>
        <v>PA|AccumulatedNewCapacity|RE1|PWRSTD|2044</v>
      </c>
      <c r="B5113" t="s">
        <v>44</v>
      </c>
      <c r="C5113" t="s">
        <v>45</v>
      </c>
      <c r="D5113" t="s">
        <v>18</v>
      </c>
      <c r="E5113" t="s">
        <v>19</v>
      </c>
      <c r="F5113" t="s">
        <v>35</v>
      </c>
      <c r="O5113">
        <v>2044</v>
      </c>
    </row>
    <row r="5114" spans="1:16" x14ac:dyDescent="0.3">
      <c r="A5114" t="str">
        <f t="shared" si="79"/>
        <v>PA|AccumulatedNewCapacity|RE1|PWRWNDOFS_FIX|2044</v>
      </c>
      <c r="B5114" t="s">
        <v>44</v>
      </c>
      <c r="C5114" t="s">
        <v>45</v>
      </c>
      <c r="D5114" t="s">
        <v>18</v>
      </c>
      <c r="E5114" t="s">
        <v>19</v>
      </c>
      <c r="F5114" t="s">
        <v>42</v>
      </c>
      <c r="O5114">
        <v>2044</v>
      </c>
      <c r="P5114">
        <v>28.382400000000001</v>
      </c>
    </row>
    <row r="5115" spans="1:16" x14ac:dyDescent="0.3">
      <c r="A5115" t="str">
        <f t="shared" si="79"/>
        <v>PA|AccumulatedNewCapacity|RE1|PWRWNDONS|2044</v>
      </c>
      <c r="B5115" t="s">
        <v>44</v>
      </c>
      <c r="C5115" t="s">
        <v>45</v>
      </c>
      <c r="D5115" t="s">
        <v>18</v>
      </c>
      <c r="E5115" t="s">
        <v>19</v>
      </c>
      <c r="F5115" t="s">
        <v>36</v>
      </c>
      <c r="O5115">
        <v>2044</v>
      </c>
      <c r="P5115">
        <v>354.37275468939481</v>
      </c>
    </row>
    <row r="5116" spans="1:16" x14ac:dyDescent="0.3">
      <c r="A5116" t="str">
        <f t="shared" si="79"/>
        <v>PA|NewCapacity|RE1|PWRBGS|2044</v>
      </c>
      <c r="B5116" t="s">
        <v>44</v>
      </c>
      <c r="C5116" t="s">
        <v>45</v>
      </c>
      <c r="D5116" t="s">
        <v>37</v>
      </c>
      <c r="E5116" t="s">
        <v>19</v>
      </c>
      <c r="F5116" t="s">
        <v>20</v>
      </c>
      <c r="O5116">
        <v>2044</v>
      </c>
    </row>
    <row r="5117" spans="1:16" x14ac:dyDescent="0.3">
      <c r="A5117" t="str">
        <f t="shared" si="79"/>
        <v>PA|NewCapacity|RE1|PWRCOA|2044</v>
      </c>
      <c r="B5117" t="s">
        <v>44</v>
      </c>
      <c r="C5117" t="s">
        <v>45</v>
      </c>
      <c r="D5117" t="s">
        <v>37</v>
      </c>
      <c r="E5117" t="s">
        <v>19</v>
      </c>
      <c r="F5117" t="s">
        <v>21</v>
      </c>
      <c r="O5117">
        <v>2044</v>
      </c>
    </row>
    <row r="5118" spans="1:16" x14ac:dyDescent="0.3">
      <c r="A5118" t="str">
        <f t="shared" si="79"/>
        <v>PA|NewCapacity|RE1|PWRDSL|2044</v>
      </c>
      <c r="B5118" t="s">
        <v>44</v>
      </c>
      <c r="C5118" t="s">
        <v>45</v>
      </c>
      <c r="D5118" t="s">
        <v>37</v>
      </c>
      <c r="E5118" t="s">
        <v>19</v>
      </c>
      <c r="F5118" t="s">
        <v>22</v>
      </c>
      <c r="O5118">
        <v>2044</v>
      </c>
    </row>
    <row r="5119" spans="1:16" x14ac:dyDescent="0.3">
      <c r="A5119" t="str">
        <f t="shared" si="79"/>
        <v>PA|NewCapacity|RE1|PWRFOL|2044</v>
      </c>
      <c r="B5119" t="s">
        <v>44</v>
      </c>
      <c r="C5119" t="s">
        <v>45</v>
      </c>
      <c r="D5119" t="s">
        <v>37</v>
      </c>
      <c r="E5119" t="s">
        <v>19</v>
      </c>
      <c r="F5119" t="s">
        <v>23</v>
      </c>
      <c r="O5119">
        <v>2044</v>
      </c>
    </row>
    <row r="5120" spans="1:16" x14ac:dyDescent="0.3">
      <c r="A5120" t="str">
        <f t="shared" si="79"/>
        <v>PA|NewCapacity|RE1|PWRGEO|2044</v>
      </c>
      <c r="B5120" t="s">
        <v>44</v>
      </c>
      <c r="C5120" t="s">
        <v>45</v>
      </c>
      <c r="D5120" t="s">
        <v>37</v>
      </c>
      <c r="E5120" t="s">
        <v>19</v>
      </c>
      <c r="F5120" t="s">
        <v>46</v>
      </c>
      <c r="O5120">
        <v>2044</v>
      </c>
      <c r="P5120">
        <v>3.1539999999999999</v>
      </c>
    </row>
    <row r="5121" spans="1:16" x14ac:dyDescent="0.3">
      <c r="A5121" t="str">
        <f t="shared" si="79"/>
        <v>PA|NewCapacity|RE1|PWRHYDDAM|2044</v>
      </c>
      <c r="B5121" t="s">
        <v>44</v>
      </c>
      <c r="C5121" t="s">
        <v>45</v>
      </c>
      <c r="D5121" t="s">
        <v>37</v>
      </c>
      <c r="E5121" t="s">
        <v>19</v>
      </c>
      <c r="F5121" t="s">
        <v>24</v>
      </c>
      <c r="O5121">
        <v>2044</v>
      </c>
    </row>
    <row r="5122" spans="1:16" x14ac:dyDescent="0.3">
      <c r="A5122" t="str">
        <f t="shared" ref="A5122:A5185" si="80">B5122&amp;"|"&amp;D5122&amp;"|"&amp;E5122&amp;"|"&amp;F5122&amp;"|"&amp;O5122</f>
        <v>PA|NewCapacity|RE1|PWRHYDROR|2044</v>
      </c>
      <c r="B5122" t="s">
        <v>44</v>
      </c>
      <c r="C5122" t="s">
        <v>45</v>
      </c>
      <c r="D5122" t="s">
        <v>37</v>
      </c>
      <c r="E5122" t="s">
        <v>19</v>
      </c>
      <c r="F5122" t="s">
        <v>25</v>
      </c>
      <c r="O5122">
        <v>2044</v>
      </c>
    </row>
    <row r="5123" spans="1:16" x14ac:dyDescent="0.3">
      <c r="A5123" t="str">
        <f t="shared" si="80"/>
        <v>PA|NewCapacity|RE1|PWRHYDROR_NDC|2044</v>
      </c>
      <c r="B5123" t="s">
        <v>44</v>
      </c>
      <c r="C5123" t="s">
        <v>45</v>
      </c>
      <c r="D5123" t="s">
        <v>37</v>
      </c>
      <c r="E5123" t="s">
        <v>19</v>
      </c>
      <c r="F5123" t="s">
        <v>26</v>
      </c>
      <c r="O5123">
        <v>2044</v>
      </c>
    </row>
    <row r="5124" spans="1:16" x14ac:dyDescent="0.3">
      <c r="A5124" t="str">
        <f t="shared" si="80"/>
        <v>PA|NewCapacity|RE1|PWRJET|2044</v>
      </c>
      <c r="B5124" t="s">
        <v>44</v>
      </c>
      <c r="C5124" t="s">
        <v>45</v>
      </c>
      <c r="D5124" t="s">
        <v>37</v>
      </c>
      <c r="E5124" t="s">
        <v>19</v>
      </c>
      <c r="F5124" t="s">
        <v>27</v>
      </c>
      <c r="O5124">
        <v>2044</v>
      </c>
    </row>
    <row r="5125" spans="1:16" x14ac:dyDescent="0.3">
      <c r="A5125" t="str">
        <f t="shared" si="80"/>
        <v>PA|NewCapacity|RE1|PWRLPG|2044</v>
      </c>
      <c r="B5125" t="s">
        <v>44</v>
      </c>
      <c r="C5125" t="s">
        <v>45</v>
      </c>
      <c r="D5125" t="s">
        <v>37</v>
      </c>
      <c r="E5125" t="s">
        <v>19</v>
      </c>
      <c r="F5125" t="s">
        <v>28</v>
      </c>
      <c r="O5125">
        <v>2044</v>
      </c>
    </row>
    <row r="5126" spans="1:16" x14ac:dyDescent="0.3">
      <c r="A5126" t="str">
        <f t="shared" si="80"/>
        <v>PA|NewCapacity|RE1|PWRNGS_CC|2044</v>
      </c>
      <c r="B5126" t="s">
        <v>44</v>
      </c>
      <c r="C5126" t="s">
        <v>45</v>
      </c>
      <c r="D5126" t="s">
        <v>37</v>
      </c>
      <c r="E5126" t="s">
        <v>19</v>
      </c>
      <c r="F5126" t="s">
        <v>29</v>
      </c>
      <c r="O5126">
        <v>2044</v>
      </c>
    </row>
    <row r="5127" spans="1:16" x14ac:dyDescent="0.3">
      <c r="A5127" t="str">
        <f t="shared" si="80"/>
        <v>PA|NewCapacity|RE1|PWRNGS_CS|2044</v>
      </c>
      <c r="B5127" t="s">
        <v>44</v>
      </c>
      <c r="C5127" t="s">
        <v>45</v>
      </c>
      <c r="D5127" t="s">
        <v>37</v>
      </c>
      <c r="E5127" t="s">
        <v>19</v>
      </c>
      <c r="F5127" t="s">
        <v>30</v>
      </c>
      <c r="O5127">
        <v>2044</v>
      </c>
    </row>
    <row r="5128" spans="1:16" x14ac:dyDescent="0.3">
      <c r="A5128" t="str">
        <f t="shared" si="80"/>
        <v>PA|NewCapacity|RE1|PWRNUC|2044</v>
      </c>
      <c r="B5128" t="s">
        <v>44</v>
      </c>
      <c r="C5128" t="s">
        <v>45</v>
      </c>
      <c r="D5128" t="s">
        <v>37</v>
      </c>
      <c r="E5128" t="s">
        <v>19</v>
      </c>
      <c r="F5128" t="s">
        <v>47</v>
      </c>
      <c r="O5128">
        <v>2044</v>
      </c>
    </row>
    <row r="5129" spans="1:16" x14ac:dyDescent="0.3">
      <c r="A5129" t="str">
        <f t="shared" si="80"/>
        <v>PA|NewCapacity|RE1|PWRSOLRTP|2044</v>
      </c>
      <c r="B5129" t="s">
        <v>44</v>
      </c>
      <c r="C5129" t="s">
        <v>45</v>
      </c>
      <c r="D5129" t="s">
        <v>37</v>
      </c>
      <c r="E5129" t="s">
        <v>19</v>
      </c>
      <c r="F5129" t="s">
        <v>31</v>
      </c>
      <c r="O5129">
        <v>2044</v>
      </c>
      <c r="P5129">
        <v>1.9657577679137599</v>
      </c>
    </row>
    <row r="5130" spans="1:16" x14ac:dyDescent="0.3">
      <c r="A5130" t="str">
        <f t="shared" si="80"/>
        <v>PA|NewCapacity|RE1|PWRSOLRTP_ZNI|2044</v>
      </c>
      <c r="B5130" t="s">
        <v>44</v>
      </c>
      <c r="C5130" t="s">
        <v>45</v>
      </c>
      <c r="D5130" t="s">
        <v>37</v>
      </c>
      <c r="E5130" t="s">
        <v>19</v>
      </c>
      <c r="F5130" t="s">
        <v>32</v>
      </c>
      <c r="O5130">
        <v>2044</v>
      </c>
    </row>
    <row r="5131" spans="1:16" x14ac:dyDescent="0.3">
      <c r="A5131" t="str">
        <f t="shared" si="80"/>
        <v>PA|NewCapacity|RE1|PWRSOLUGE|2044</v>
      </c>
      <c r="B5131" t="s">
        <v>44</v>
      </c>
      <c r="C5131" t="s">
        <v>45</v>
      </c>
      <c r="D5131" t="s">
        <v>37</v>
      </c>
      <c r="E5131" t="s">
        <v>19</v>
      </c>
      <c r="F5131" t="s">
        <v>33</v>
      </c>
      <c r="O5131">
        <v>2044</v>
      </c>
    </row>
    <row r="5132" spans="1:16" x14ac:dyDescent="0.3">
      <c r="A5132" t="str">
        <f t="shared" si="80"/>
        <v>PA|NewCapacity|RE1|PWRSOLUPE|2044</v>
      </c>
      <c r="B5132" t="s">
        <v>44</v>
      </c>
      <c r="C5132" t="s">
        <v>45</v>
      </c>
      <c r="D5132" t="s">
        <v>37</v>
      </c>
      <c r="E5132" t="s">
        <v>19</v>
      </c>
      <c r="F5132" t="s">
        <v>34</v>
      </c>
      <c r="O5132">
        <v>2044</v>
      </c>
    </row>
    <row r="5133" spans="1:16" x14ac:dyDescent="0.3">
      <c r="A5133" t="str">
        <f t="shared" si="80"/>
        <v>PA|NewCapacity|RE1|PWRSTD|2044</v>
      </c>
      <c r="B5133" t="s">
        <v>44</v>
      </c>
      <c r="C5133" t="s">
        <v>45</v>
      </c>
      <c r="D5133" t="s">
        <v>37</v>
      </c>
      <c r="E5133" t="s">
        <v>19</v>
      </c>
      <c r="F5133" t="s">
        <v>35</v>
      </c>
      <c r="O5133">
        <v>2044</v>
      </c>
    </row>
    <row r="5134" spans="1:16" x14ac:dyDescent="0.3">
      <c r="A5134" t="str">
        <f t="shared" si="80"/>
        <v>PA|NewCapacity|RE1|PWRWNDOFS_FIX|2044</v>
      </c>
      <c r="B5134" t="s">
        <v>44</v>
      </c>
      <c r="C5134" t="s">
        <v>45</v>
      </c>
      <c r="D5134" t="s">
        <v>37</v>
      </c>
      <c r="E5134" t="s">
        <v>19</v>
      </c>
      <c r="F5134" t="s">
        <v>42</v>
      </c>
      <c r="O5134">
        <v>2044</v>
      </c>
      <c r="P5134">
        <v>3.1536</v>
      </c>
    </row>
    <row r="5135" spans="1:16" x14ac:dyDescent="0.3">
      <c r="A5135" t="str">
        <f t="shared" si="80"/>
        <v>PA|NewCapacity|RE1|PWRWNDONS|2044</v>
      </c>
      <c r="B5135" t="s">
        <v>44</v>
      </c>
      <c r="C5135" t="s">
        <v>45</v>
      </c>
      <c r="D5135" t="s">
        <v>37</v>
      </c>
      <c r="E5135" t="s">
        <v>19</v>
      </c>
      <c r="F5135" t="s">
        <v>36</v>
      </c>
      <c r="O5135">
        <v>2044</v>
      </c>
    </row>
    <row r="5136" spans="1:16" x14ac:dyDescent="0.3">
      <c r="A5136" t="str">
        <f t="shared" si="80"/>
        <v>PA|TotalCapacityAnnual|RE1|PWRBGS|2044</v>
      </c>
      <c r="B5136" t="s">
        <v>44</v>
      </c>
      <c r="C5136" t="s">
        <v>45</v>
      </c>
      <c r="D5136" t="s">
        <v>38</v>
      </c>
      <c r="E5136" t="s">
        <v>19</v>
      </c>
      <c r="F5136" t="s">
        <v>20</v>
      </c>
      <c r="O5136">
        <v>2044</v>
      </c>
      <c r="P5136">
        <v>2.5488587520000001E-2</v>
      </c>
    </row>
    <row r="5137" spans="1:16" x14ac:dyDescent="0.3">
      <c r="A5137" t="str">
        <f t="shared" si="80"/>
        <v>PA|TotalCapacityAnnual|RE1|PWRCOA|2044</v>
      </c>
      <c r="B5137" t="s">
        <v>44</v>
      </c>
      <c r="C5137" t="s">
        <v>45</v>
      </c>
      <c r="D5137" t="s">
        <v>38</v>
      </c>
      <c r="E5137" t="s">
        <v>19</v>
      </c>
      <c r="F5137" t="s">
        <v>21</v>
      </c>
      <c r="O5137">
        <v>2044</v>
      </c>
    </row>
    <row r="5138" spans="1:16" x14ac:dyDescent="0.3">
      <c r="A5138" t="str">
        <f t="shared" si="80"/>
        <v>PA|TotalCapacityAnnual|RE1|PWRDSL|2044</v>
      </c>
      <c r="B5138" t="s">
        <v>44</v>
      </c>
      <c r="C5138" t="s">
        <v>45</v>
      </c>
      <c r="D5138" t="s">
        <v>38</v>
      </c>
      <c r="E5138" t="s">
        <v>19</v>
      </c>
      <c r="F5138" t="s">
        <v>22</v>
      </c>
      <c r="O5138">
        <v>2044</v>
      </c>
      <c r="P5138">
        <v>24.944976</v>
      </c>
    </row>
    <row r="5139" spans="1:16" x14ac:dyDescent="0.3">
      <c r="A5139" t="str">
        <f t="shared" si="80"/>
        <v>PA|TotalCapacityAnnual|RE1|PWRFOL|2044</v>
      </c>
      <c r="B5139" t="s">
        <v>44</v>
      </c>
      <c r="C5139" t="s">
        <v>45</v>
      </c>
      <c r="D5139" t="s">
        <v>38</v>
      </c>
      <c r="E5139" t="s">
        <v>19</v>
      </c>
      <c r="F5139" t="s">
        <v>23</v>
      </c>
      <c r="O5139">
        <v>2044</v>
      </c>
      <c r="P5139">
        <v>8.3885759999999987</v>
      </c>
    </row>
    <row r="5140" spans="1:16" x14ac:dyDescent="0.3">
      <c r="A5140" t="str">
        <f t="shared" si="80"/>
        <v>PA|TotalCapacityAnnual|RE1|PWRGEO|2044</v>
      </c>
      <c r="B5140" t="s">
        <v>44</v>
      </c>
      <c r="C5140" t="s">
        <v>45</v>
      </c>
      <c r="D5140" t="s">
        <v>38</v>
      </c>
      <c r="E5140" t="s">
        <v>19</v>
      </c>
      <c r="F5140" t="s">
        <v>46</v>
      </c>
      <c r="O5140">
        <v>2044</v>
      </c>
      <c r="P5140">
        <v>15.77</v>
      </c>
    </row>
    <row r="5141" spans="1:16" x14ac:dyDescent="0.3">
      <c r="A5141" t="str">
        <f t="shared" si="80"/>
        <v>PA|TotalCapacityAnnual|RE1|PWRHYDDAM|2044</v>
      </c>
      <c r="B5141" t="s">
        <v>44</v>
      </c>
      <c r="C5141" t="s">
        <v>45</v>
      </c>
      <c r="D5141" t="s">
        <v>38</v>
      </c>
      <c r="E5141" t="s">
        <v>19</v>
      </c>
      <c r="F5141" t="s">
        <v>24</v>
      </c>
      <c r="O5141">
        <v>2044</v>
      </c>
      <c r="P5141">
        <v>440.49164800000011</v>
      </c>
    </row>
    <row r="5142" spans="1:16" x14ac:dyDescent="0.3">
      <c r="A5142" t="str">
        <f t="shared" si="80"/>
        <v>PA|TotalCapacityAnnual|RE1|PWRHYDROR|2044</v>
      </c>
      <c r="B5142" t="s">
        <v>44</v>
      </c>
      <c r="C5142" t="s">
        <v>45</v>
      </c>
      <c r="D5142" t="s">
        <v>38</v>
      </c>
      <c r="E5142" t="s">
        <v>19</v>
      </c>
      <c r="F5142" t="s">
        <v>25</v>
      </c>
      <c r="O5142">
        <v>2044</v>
      </c>
      <c r="P5142">
        <v>21.097584000000001</v>
      </c>
    </row>
    <row r="5143" spans="1:16" x14ac:dyDescent="0.3">
      <c r="A5143" t="str">
        <f t="shared" si="80"/>
        <v>PA|TotalCapacityAnnual|RE1|PWRHYDROR_NDC|2044</v>
      </c>
      <c r="B5143" t="s">
        <v>44</v>
      </c>
      <c r="C5143" t="s">
        <v>45</v>
      </c>
      <c r="D5143" t="s">
        <v>38</v>
      </c>
      <c r="E5143" t="s">
        <v>19</v>
      </c>
      <c r="F5143" t="s">
        <v>26</v>
      </c>
      <c r="O5143">
        <v>2044</v>
      </c>
      <c r="P5143">
        <v>29.725108271999989</v>
      </c>
    </row>
    <row r="5144" spans="1:16" x14ac:dyDescent="0.3">
      <c r="A5144" t="str">
        <f t="shared" si="80"/>
        <v>PA|TotalCapacityAnnual|RE1|PWRJET|2044</v>
      </c>
      <c r="B5144" t="s">
        <v>44</v>
      </c>
      <c r="C5144" t="s">
        <v>45</v>
      </c>
      <c r="D5144" t="s">
        <v>38</v>
      </c>
      <c r="E5144" t="s">
        <v>19</v>
      </c>
      <c r="F5144" t="s">
        <v>27</v>
      </c>
      <c r="O5144">
        <v>2044</v>
      </c>
      <c r="P5144">
        <v>1.5768</v>
      </c>
    </row>
    <row r="5145" spans="1:16" x14ac:dyDescent="0.3">
      <c r="A5145" t="str">
        <f t="shared" si="80"/>
        <v>PA|TotalCapacityAnnual|RE1|PWRLPG|2044</v>
      </c>
      <c r="B5145" t="s">
        <v>44</v>
      </c>
      <c r="C5145" t="s">
        <v>45</v>
      </c>
      <c r="D5145" t="s">
        <v>38</v>
      </c>
      <c r="E5145" t="s">
        <v>19</v>
      </c>
      <c r="F5145" t="s">
        <v>28</v>
      </c>
      <c r="O5145">
        <v>2044</v>
      </c>
      <c r="P5145">
        <v>1.639872</v>
      </c>
    </row>
    <row r="5146" spans="1:16" x14ac:dyDescent="0.3">
      <c r="A5146" t="str">
        <f t="shared" si="80"/>
        <v>PA|TotalCapacityAnnual|RE1|PWRNGS_CC|2044</v>
      </c>
      <c r="B5146" t="s">
        <v>44</v>
      </c>
      <c r="C5146" t="s">
        <v>45</v>
      </c>
      <c r="D5146" t="s">
        <v>38</v>
      </c>
      <c r="E5146" t="s">
        <v>19</v>
      </c>
      <c r="F5146" t="s">
        <v>29</v>
      </c>
      <c r="O5146">
        <v>2044</v>
      </c>
      <c r="P5146">
        <v>70.104500000000002</v>
      </c>
    </row>
    <row r="5147" spans="1:16" x14ac:dyDescent="0.3">
      <c r="A5147" t="str">
        <f t="shared" si="80"/>
        <v>PA|TotalCapacityAnnual|RE1|PWRNGS_CS|2044</v>
      </c>
      <c r="B5147" t="s">
        <v>44</v>
      </c>
      <c r="C5147" t="s">
        <v>45</v>
      </c>
      <c r="D5147" t="s">
        <v>38</v>
      </c>
      <c r="E5147" t="s">
        <v>19</v>
      </c>
      <c r="F5147" t="s">
        <v>30</v>
      </c>
      <c r="O5147">
        <v>2044</v>
      </c>
      <c r="P5147">
        <v>23.084351999999999</v>
      </c>
    </row>
    <row r="5148" spans="1:16" x14ac:dyDescent="0.3">
      <c r="A5148" t="str">
        <f t="shared" si="80"/>
        <v>PA|TotalCapacityAnnual|RE1|PWRNUC|2044</v>
      </c>
      <c r="B5148" t="s">
        <v>44</v>
      </c>
      <c r="C5148" t="s">
        <v>45</v>
      </c>
      <c r="D5148" t="s">
        <v>38</v>
      </c>
      <c r="E5148" t="s">
        <v>19</v>
      </c>
      <c r="F5148" t="s">
        <v>47</v>
      </c>
      <c r="O5148">
        <v>2044</v>
      </c>
      <c r="P5148">
        <v>9.5120000000000005</v>
      </c>
    </row>
    <row r="5149" spans="1:16" x14ac:dyDescent="0.3">
      <c r="A5149" t="str">
        <f t="shared" si="80"/>
        <v>PA|TotalCapacityAnnual|RE1|PWRSOLRTP|2044</v>
      </c>
      <c r="B5149" t="s">
        <v>44</v>
      </c>
      <c r="C5149" t="s">
        <v>45</v>
      </c>
      <c r="D5149" t="s">
        <v>38</v>
      </c>
      <c r="E5149" t="s">
        <v>19</v>
      </c>
      <c r="F5149" t="s">
        <v>31</v>
      </c>
      <c r="O5149">
        <v>2044</v>
      </c>
      <c r="P5149">
        <v>168.1476864299303</v>
      </c>
    </row>
    <row r="5150" spans="1:16" x14ac:dyDescent="0.3">
      <c r="A5150" t="str">
        <f t="shared" si="80"/>
        <v>PA|TotalCapacityAnnual|RE1|PWRSOLRTP_ZNI|2044</v>
      </c>
      <c r="B5150" t="s">
        <v>44</v>
      </c>
      <c r="C5150" t="s">
        <v>45</v>
      </c>
      <c r="D5150" t="s">
        <v>38</v>
      </c>
      <c r="E5150" t="s">
        <v>19</v>
      </c>
      <c r="F5150" t="s">
        <v>32</v>
      </c>
      <c r="O5150">
        <v>2044</v>
      </c>
      <c r="P5150">
        <v>0.46074095999999998</v>
      </c>
    </row>
    <row r="5151" spans="1:16" x14ac:dyDescent="0.3">
      <c r="A5151" t="str">
        <f t="shared" si="80"/>
        <v>PA|TotalCapacityAnnual|RE1|PWRSOLUGE|2044</v>
      </c>
      <c r="B5151" t="s">
        <v>44</v>
      </c>
      <c r="C5151" t="s">
        <v>45</v>
      </c>
      <c r="D5151" t="s">
        <v>38</v>
      </c>
      <c r="E5151" t="s">
        <v>19</v>
      </c>
      <c r="F5151" t="s">
        <v>33</v>
      </c>
      <c r="O5151">
        <v>2044</v>
      </c>
      <c r="P5151">
        <v>191.79186048</v>
      </c>
    </row>
    <row r="5152" spans="1:16" x14ac:dyDescent="0.3">
      <c r="A5152" t="str">
        <f t="shared" si="80"/>
        <v>PA|TotalCapacityAnnual|RE1|PWRSOLUPE|2044</v>
      </c>
      <c r="B5152" t="s">
        <v>44</v>
      </c>
      <c r="C5152" t="s">
        <v>45</v>
      </c>
      <c r="D5152" t="s">
        <v>38</v>
      </c>
      <c r="E5152" t="s">
        <v>19</v>
      </c>
      <c r="F5152" t="s">
        <v>34</v>
      </c>
      <c r="O5152">
        <v>2044</v>
      </c>
      <c r="P5152">
        <v>39.172600079999931</v>
      </c>
    </row>
    <row r="5153" spans="1:16" x14ac:dyDescent="0.3">
      <c r="A5153" t="str">
        <f t="shared" si="80"/>
        <v>PA|TotalCapacityAnnual|RE1|PWRSTD|2044</v>
      </c>
      <c r="B5153" t="s">
        <v>44</v>
      </c>
      <c r="C5153" t="s">
        <v>45</v>
      </c>
      <c r="D5153" t="s">
        <v>38</v>
      </c>
      <c r="E5153" t="s">
        <v>19</v>
      </c>
      <c r="F5153" t="s">
        <v>35</v>
      </c>
      <c r="O5153">
        <v>2044</v>
      </c>
      <c r="P5153">
        <v>8.163062064</v>
      </c>
    </row>
    <row r="5154" spans="1:16" x14ac:dyDescent="0.3">
      <c r="A5154" t="str">
        <f t="shared" si="80"/>
        <v>PA|TotalCapacityAnnual|RE1|PWRWNDOFS_FIX|2044</v>
      </c>
      <c r="B5154" t="s">
        <v>44</v>
      </c>
      <c r="C5154" t="s">
        <v>45</v>
      </c>
      <c r="D5154" t="s">
        <v>38</v>
      </c>
      <c r="E5154" t="s">
        <v>19</v>
      </c>
      <c r="F5154" t="s">
        <v>42</v>
      </c>
      <c r="O5154">
        <v>2044</v>
      </c>
      <c r="P5154">
        <v>28.382400000000001</v>
      </c>
    </row>
    <row r="5155" spans="1:16" x14ac:dyDescent="0.3">
      <c r="A5155" t="str">
        <f t="shared" si="80"/>
        <v>PA|TotalCapacityAnnual|RE1|PWRWNDONS|2044</v>
      </c>
      <c r="B5155" t="s">
        <v>44</v>
      </c>
      <c r="C5155" t="s">
        <v>45</v>
      </c>
      <c r="D5155" t="s">
        <v>38</v>
      </c>
      <c r="E5155" t="s">
        <v>19</v>
      </c>
      <c r="F5155" t="s">
        <v>36</v>
      </c>
      <c r="O5155">
        <v>2044</v>
      </c>
      <c r="P5155">
        <v>355.74141708939482</v>
      </c>
    </row>
    <row r="5156" spans="1:16" x14ac:dyDescent="0.3">
      <c r="A5156" t="str">
        <f t="shared" si="80"/>
        <v>PA|AccumulatedNewCapacity|RE1|PWRBGS|2045</v>
      </c>
      <c r="B5156" t="s">
        <v>44</v>
      </c>
      <c r="C5156" t="s">
        <v>45</v>
      </c>
      <c r="D5156" t="s">
        <v>18</v>
      </c>
      <c r="E5156" t="s">
        <v>19</v>
      </c>
      <c r="F5156" t="s">
        <v>20</v>
      </c>
      <c r="O5156">
        <v>2045</v>
      </c>
    </row>
    <row r="5157" spans="1:16" x14ac:dyDescent="0.3">
      <c r="A5157" t="str">
        <f t="shared" si="80"/>
        <v>PA|AccumulatedNewCapacity|RE1|PWRCOA|2045</v>
      </c>
      <c r="B5157" t="s">
        <v>44</v>
      </c>
      <c r="C5157" t="s">
        <v>45</v>
      </c>
      <c r="D5157" t="s">
        <v>18</v>
      </c>
      <c r="E5157" t="s">
        <v>19</v>
      </c>
      <c r="F5157" t="s">
        <v>21</v>
      </c>
      <c r="O5157">
        <v>2045</v>
      </c>
    </row>
    <row r="5158" spans="1:16" x14ac:dyDescent="0.3">
      <c r="A5158" t="str">
        <f t="shared" si="80"/>
        <v>PA|AccumulatedNewCapacity|RE1|PWRDSL|2045</v>
      </c>
      <c r="B5158" t="s">
        <v>44</v>
      </c>
      <c r="C5158" t="s">
        <v>45</v>
      </c>
      <c r="D5158" t="s">
        <v>18</v>
      </c>
      <c r="E5158" t="s">
        <v>19</v>
      </c>
      <c r="F5158" t="s">
        <v>22</v>
      </c>
      <c r="O5158">
        <v>2045</v>
      </c>
    </row>
    <row r="5159" spans="1:16" x14ac:dyDescent="0.3">
      <c r="A5159" t="str">
        <f t="shared" si="80"/>
        <v>PA|AccumulatedNewCapacity|RE1|PWRFOL|2045</v>
      </c>
      <c r="B5159" t="s">
        <v>44</v>
      </c>
      <c r="C5159" t="s">
        <v>45</v>
      </c>
      <c r="D5159" t="s">
        <v>18</v>
      </c>
      <c r="E5159" t="s">
        <v>19</v>
      </c>
      <c r="F5159" t="s">
        <v>23</v>
      </c>
      <c r="O5159">
        <v>2045</v>
      </c>
    </row>
    <row r="5160" spans="1:16" x14ac:dyDescent="0.3">
      <c r="A5160" t="str">
        <f t="shared" si="80"/>
        <v>PA|AccumulatedNewCapacity|RE1|PWRGEO|2045</v>
      </c>
      <c r="B5160" t="s">
        <v>44</v>
      </c>
      <c r="C5160" t="s">
        <v>45</v>
      </c>
      <c r="D5160" t="s">
        <v>18</v>
      </c>
      <c r="E5160" t="s">
        <v>19</v>
      </c>
      <c r="F5160" t="s">
        <v>46</v>
      </c>
      <c r="O5160">
        <v>2045</v>
      </c>
      <c r="P5160">
        <v>18.923999999999999</v>
      </c>
    </row>
    <row r="5161" spans="1:16" x14ac:dyDescent="0.3">
      <c r="A5161" t="str">
        <f t="shared" si="80"/>
        <v>PA|AccumulatedNewCapacity|RE1|PWRHYDDAM|2045</v>
      </c>
      <c r="B5161" t="s">
        <v>44</v>
      </c>
      <c r="C5161" t="s">
        <v>45</v>
      </c>
      <c r="D5161" t="s">
        <v>18</v>
      </c>
      <c r="E5161" t="s">
        <v>19</v>
      </c>
      <c r="F5161" t="s">
        <v>24</v>
      </c>
      <c r="O5161">
        <v>2045</v>
      </c>
      <c r="P5161">
        <v>37.840000000000003</v>
      </c>
    </row>
    <row r="5162" spans="1:16" x14ac:dyDescent="0.3">
      <c r="A5162" t="str">
        <f t="shared" si="80"/>
        <v>PA|AccumulatedNewCapacity|RE1|PWRHYDROR|2045</v>
      </c>
      <c r="B5162" t="s">
        <v>44</v>
      </c>
      <c r="C5162" t="s">
        <v>45</v>
      </c>
      <c r="D5162" t="s">
        <v>18</v>
      </c>
      <c r="E5162" t="s">
        <v>19</v>
      </c>
      <c r="F5162" t="s">
        <v>25</v>
      </c>
      <c r="O5162">
        <v>2045</v>
      </c>
    </row>
    <row r="5163" spans="1:16" x14ac:dyDescent="0.3">
      <c r="A5163" t="str">
        <f t="shared" si="80"/>
        <v>PA|AccumulatedNewCapacity|RE1|PWRHYDROR_NDC|2045</v>
      </c>
      <c r="B5163" t="s">
        <v>44</v>
      </c>
      <c r="C5163" t="s">
        <v>45</v>
      </c>
      <c r="D5163" t="s">
        <v>18</v>
      </c>
      <c r="E5163" t="s">
        <v>19</v>
      </c>
      <c r="F5163" t="s">
        <v>26</v>
      </c>
      <c r="O5163">
        <v>2045</v>
      </c>
    </row>
    <row r="5164" spans="1:16" x14ac:dyDescent="0.3">
      <c r="A5164" t="str">
        <f t="shared" si="80"/>
        <v>PA|AccumulatedNewCapacity|RE1|PWRJET|2045</v>
      </c>
      <c r="B5164" t="s">
        <v>44</v>
      </c>
      <c r="C5164" t="s">
        <v>45</v>
      </c>
      <c r="D5164" t="s">
        <v>18</v>
      </c>
      <c r="E5164" t="s">
        <v>19</v>
      </c>
      <c r="F5164" t="s">
        <v>27</v>
      </c>
      <c r="O5164">
        <v>2045</v>
      </c>
    </row>
    <row r="5165" spans="1:16" x14ac:dyDescent="0.3">
      <c r="A5165" t="str">
        <f t="shared" si="80"/>
        <v>PA|AccumulatedNewCapacity|RE1|PWRLPG|2045</v>
      </c>
      <c r="B5165" t="s">
        <v>44</v>
      </c>
      <c r="C5165" t="s">
        <v>45</v>
      </c>
      <c r="D5165" t="s">
        <v>18</v>
      </c>
      <c r="E5165" t="s">
        <v>19</v>
      </c>
      <c r="F5165" t="s">
        <v>28</v>
      </c>
      <c r="O5165">
        <v>2045</v>
      </c>
    </row>
    <row r="5166" spans="1:16" x14ac:dyDescent="0.3">
      <c r="A5166" t="str">
        <f t="shared" si="80"/>
        <v>PA|AccumulatedNewCapacity|RE1|PWRNGS_CC|2045</v>
      </c>
      <c r="B5166" t="s">
        <v>44</v>
      </c>
      <c r="C5166" t="s">
        <v>45</v>
      </c>
      <c r="D5166" t="s">
        <v>18</v>
      </c>
      <c r="E5166" t="s">
        <v>19</v>
      </c>
      <c r="F5166" t="s">
        <v>29</v>
      </c>
      <c r="O5166">
        <v>2045</v>
      </c>
    </row>
    <row r="5167" spans="1:16" x14ac:dyDescent="0.3">
      <c r="A5167" t="str">
        <f t="shared" si="80"/>
        <v>PA|AccumulatedNewCapacity|RE1|PWRNGS_CS|2045</v>
      </c>
      <c r="B5167" t="s">
        <v>44</v>
      </c>
      <c r="C5167" t="s">
        <v>45</v>
      </c>
      <c r="D5167" t="s">
        <v>18</v>
      </c>
      <c r="E5167" t="s">
        <v>19</v>
      </c>
      <c r="F5167" t="s">
        <v>30</v>
      </c>
      <c r="O5167">
        <v>2045</v>
      </c>
    </row>
    <row r="5168" spans="1:16" x14ac:dyDescent="0.3">
      <c r="A5168" t="str">
        <f t="shared" si="80"/>
        <v>PA|AccumulatedNewCapacity|RE1|PWRNUC|2045</v>
      </c>
      <c r="B5168" t="s">
        <v>44</v>
      </c>
      <c r="C5168" t="s">
        <v>45</v>
      </c>
      <c r="D5168" t="s">
        <v>18</v>
      </c>
      <c r="E5168" t="s">
        <v>19</v>
      </c>
      <c r="F5168" t="s">
        <v>47</v>
      </c>
      <c r="O5168">
        <v>2045</v>
      </c>
      <c r="P5168">
        <v>9.5120000000000005</v>
      </c>
    </row>
    <row r="5169" spans="1:16" x14ac:dyDescent="0.3">
      <c r="A5169" t="str">
        <f t="shared" si="80"/>
        <v>PA|AccumulatedNewCapacity|RE1|PWRSOLRTP|2045</v>
      </c>
      <c r="B5169" t="s">
        <v>44</v>
      </c>
      <c r="C5169" t="s">
        <v>45</v>
      </c>
      <c r="D5169" t="s">
        <v>18</v>
      </c>
      <c r="E5169" t="s">
        <v>19</v>
      </c>
      <c r="F5169" t="s">
        <v>31</v>
      </c>
      <c r="O5169">
        <v>2045</v>
      </c>
      <c r="P5169">
        <v>147.19053265694359</v>
      </c>
    </row>
    <row r="5170" spans="1:16" x14ac:dyDescent="0.3">
      <c r="A5170" t="str">
        <f t="shared" si="80"/>
        <v>PA|AccumulatedNewCapacity|RE1|PWRSOLRTP_ZNI|2045</v>
      </c>
      <c r="B5170" t="s">
        <v>44</v>
      </c>
      <c r="C5170" t="s">
        <v>45</v>
      </c>
      <c r="D5170" t="s">
        <v>18</v>
      </c>
      <c r="E5170" t="s">
        <v>19</v>
      </c>
      <c r="F5170" t="s">
        <v>32</v>
      </c>
      <c r="O5170">
        <v>2045</v>
      </c>
    </row>
    <row r="5171" spans="1:16" x14ac:dyDescent="0.3">
      <c r="A5171" t="str">
        <f t="shared" si="80"/>
        <v>PA|AccumulatedNewCapacity|RE1|PWRSOLUGE|2045</v>
      </c>
      <c r="B5171" t="s">
        <v>44</v>
      </c>
      <c r="C5171" t="s">
        <v>45</v>
      </c>
      <c r="D5171" t="s">
        <v>18</v>
      </c>
      <c r="E5171" t="s">
        <v>19</v>
      </c>
      <c r="F5171" t="s">
        <v>33</v>
      </c>
      <c r="O5171">
        <v>2045</v>
      </c>
      <c r="P5171">
        <v>143.394192</v>
      </c>
    </row>
    <row r="5172" spans="1:16" x14ac:dyDescent="0.3">
      <c r="A5172" t="str">
        <f t="shared" si="80"/>
        <v>PA|AccumulatedNewCapacity|RE1|PWRSOLUPE|2045</v>
      </c>
      <c r="B5172" t="s">
        <v>44</v>
      </c>
      <c r="C5172" t="s">
        <v>45</v>
      </c>
      <c r="D5172" t="s">
        <v>18</v>
      </c>
      <c r="E5172" t="s">
        <v>19</v>
      </c>
      <c r="F5172" t="s">
        <v>34</v>
      </c>
      <c r="O5172">
        <v>2045</v>
      </c>
      <c r="P5172">
        <v>12.14419823999993</v>
      </c>
    </row>
    <row r="5173" spans="1:16" x14ac:dyDescent="0.3">
      <c r="A5173" t="str">
        <f t="shared" si="80"/>
        <v>PA|AccumulatedNewCapacity|RE1|PWRSTD|2045</v>
      </c>
      <c r="B5173" t="s">
        <v>44</v>
      </c>
      <c r="C5173" t="s">
        <v>45</v>
      </c>
      <c r="D5173" t="s">
        <v>18</v>
      </c>
      <c r="E5173" t="s">
        <v>19</v>
      </c>
      <c r="F5173" t="s">
        <v>35</v>
      </c>
      <c r="O5173">
        <v>2045</v>
      </c>
    </row>
    <row r="5174" spans="1:16" x14ac:dyDescent="0.3">
      <c r="A5174" t="str">
        <f t="shared" si="80"/>
        <v>PA|AccumulatedNewCapacity|RE1|PWRWNDOFS_FIX|2045</v>
      </c>
      <c r="B5174" t="s">
        <v>44</v>
      </c>
      <c r="C5174" t="s">
        <v>45</v>
      </c>
      <c r="D5174" t="s">
        <v>18</v>
      </c>
      <c r="E5174" t="s">
        <v>19</v>
      </c>
      <c r="F5174" t="s">
        <v>42</v>
      </c>
      <c r="O5174">
        <v>2045</v>
      </c>
      <c r="P5174">
        <v>31.536000000000001</v>
      </c>
    </row>
    <row r="5175" spans="1:16" x14ac:dyDescent="0.3">
      <c r="A5175" t="str">
        <f t="shared" si="80"/>
        <v>PA|AccumulatedNewCapacity|RE1|PWRWNDONS|2045</v>
      </c>
      <c r="B5175" t="s">
        <v>44</v>
      </c>
      <c r="C5175" t="s">
        <v>45</v>
      </c>
      <c r="D5175" t="s">
        <v>18</v>
      </c>
      <c r="E5175" t="s">
        <v>19</v>
      </c>
      <c r="F5175" t="s">
        <v>36</v>
      </c>
      <c r="O5175">
        <v>2045</v>
      </c>
      <c r="P5175">
        <v>354.37275468939481</v>
      </c>
    </row>
    <row r="5176" spans="1:16" x14ac:dyDescent="0.3">
      <c r="A5176" t="str">
        <f t="shared" si="80"/>
        <v>PA|NewCapacity|RE1|PWRBGS|2045</v>
      </c>
      <c r="B5176" t="s">
        <v>44</v>
      </c>
      <c r="C5176" t="s">
        <v>45</v>
      </c>
      <c r="D5176" t="s">
        <v>37</v>
      </c>
      <c r="E5176" t="s">
        <v>19</v>
      </c>
      <c r="F5176" t="s">
        <v>20</v>
      </c>
      <c r="O5176">
        <v>2045</v>
      </c>
    </row>
    <row r="5177" spans="1:16" x14ac:dyDescent="0.3">
      <c r="A5177" t="str">
        <f t="shared" si="80"/>
        <v>PA|NewCapacity|RE1|PWRCOA|2045</v>
      </c>
      <c r="B5177" t="s">
        <v>44</v>
      </c>
      <c r="C5177" t="s">
        <v>45</v>
      </c>
      <c r="D5177" t="s">
        <v>37</v>
      </c>
      <c r="E5177" t="s">
        <v>19</v>
      </c>
      <c r="F5177" t="s">
        <v>21</v>
      </c>
      <c r="O5177">
        <v>2045</v>
      </c>
    </row>
    <row r="5178" spans="1:16" x14ac:dyDescent="0.3">
      <c r="A5178" t="str">
        <f t="shared" si="80"/>
        <v>PA|NewCapacity|RE1|PWRDSL|2045</v>
      </c>
      <c r="B5178" t="s">
        <v>44</v>
      </c>
      <c r="C5178" t="s">
        <v>45</v>
      </c>
      <c r="D5178" t="s">
        <v>37</v>
      </c>
      <c r="E5178" t="s">
        <v>19</v>
      </c>
      <c r="F5178" t="s">
        <v>22</v>
      </c>
      <c r="O5178">
        <v>2045</v>
      </c>
    </row>
    <row r="5179" spans="1:16" x14ac:dyDescent="0.3">
      <c r="A5179" t="str">
        <f t="shared" si="80"/>
        <v>PA|NewCapacity|RE1|PWRFOL|2045</v>
      </c>
      <c r="B5179" t="s">
        <v>44</v>
      </c>
      <c r="C5179" t="s">
        <v>45</v>
      </c>
      <c r="D5179" t="s">
        <v>37</v>
      </c>
      <c r="E5179" t="s">
        <v>19</v>
      </c>
      <c r="F5179" t="s">
        <v>23</v>
      </c>
      <c r="O5179">
        <v>2045</v>
      </c>
    </row>
    <row r="5180" spans="1:16" x14ac:dyDescent="0.3">
      <c r="A5180" t="str">
        <f t="shared" si="80"/>
        <v>PA|NewCapacity|RE1|PWRGEO|2045</v>
      </c>
      <c r="B5180" t="s">
        <v>44</v>
      </c>
      <c r="C5180" t="s">
        <v>45</v>
      </c>
      <c r="D5180" t="s">
        <v>37</v>
      </c>
      <c r="E5180" t="s">
        <v>19</v>
      </c>
      <c r="F5180" t="s">
        <v>46</v>
      </c>
      <c r="O5180">
        <v>2045</v>
      </c>
      <c r="P5180">
        <v>3.1539999999999999</v>
      </c>
    </row>
    <row r="5181" spans="1:16" x14ac:dyDescent="0.3">
      <c r="A5181" t="str">
        <f t="shared" si="80"/>
        <v>PA|NewCapacity|RE1|PWRHYDDAM|2045</v>
      </c>
      <c r="B5181" t="s">
        <v>44</v>
      </c>
      <c r="C5181" t="s">
        <v>45</v>
      </c>
      <c r="D5181" t="s">
        <v>37</v>
      </c>
      <c r="E5181" t="s">
        <v>19</v>
      </c>
      <c r="F5181" t="s">
        <v>24</v>
      </c>
      <c r="O5181">
        <v>2045</v>
      </c>
    </row>
    <row r="5182" spans="1:16" x14ac:dyDescent="0.3">
      <c r="A5182" t="str">
        <f t="shared" si="80"/>
        <v>PA|NewCapacity|RE1|PWRHYDROR|2045</v>
      </c>
      <c r="B5182" t="s">
        <v>44</v>
      </c>
      <c r="C5182" t="s">
        <v>45</v>
      </c>
      <c r="D5182" t="s">
        <v>37</v>
      </c>
      <c r="E5182" t="s">
        <v>19</v>
      </c>
      <c r="F5182" t="s">
        <v>25</v>
      </c>
      <c r="O5182">
        <v>2045</v>
      </c>
    </row>
    <row r="5183" spans="1:16" x14ac:dyDescent="0.3">
      <c r="A5183" t="str">
        <f t="shared" si="80"/>
        <v>PA|NewCapacity|RE1|PWRHYDROR_NDC|2045</v>
      </c>
      <c r="B5183" t="s">
        <v>44</v>
      </c>
      <c r="C5183" t="s">
        <v>45</v>
      </c>
      <c r="D5183" t="s">
        <v>37</v>
      </c>
      <c r="E5183" t="s">
        <v>19</v>
      </c>
      <c r="F5183" t="s">
        <v>26</v>
      </c>
      <c r="O5183">
        <v>2045</v>
      </c>
    </row>
    <row r="5184" spans="1:16" x14ac:dyDescent="0.3">
      <c r="A5184" t="str">
        <f t="shared" si="80"/>
        <v>PA|NewCapacity|RE1|PWRJET|2045</v>
      </c>
      <c r="B5184" t="s">
        <v>44</v>
      </c>
      <c r="C5184" t="s">
        <v>45</v>
      </c>
      <c r="D5184" t="s">
        <v>37</v>
      </c>
      <c r="E5184" t="s">
        <v>19</v>
      </c>
      <c r="F5184" t="s">
        <v>27</v>
      </c>
      <c r="O5184">
        <v>2045</v>
      </c>
    </row>
    <row r="5185" spans="1:16" x14ac:dyDescent="0.3">
      <c r="A5185" t="str">
        <f t="shared" si="80"/>
        <v>PA|NewCapacity|RE1|PWRLPG|2045</v>
      </c>
      <c r="B5185" t="s">
        <v>44</v>
      </c>
      <c r="C5185" t="s">
        <v>45</v>
      </c>
      <c r="D5185" t="s">
        <v>37</v>
      </c>
      <c r="E5185" t="s">
        <v>19</v>
      </c>
      <c r="F5185" t="s">
        <v>28</v>
      </c>
      <c r="O5185">
        <v>2045</v>
      </c>
    </row>
    <row r="5186" spans="1:16" x14ac:dyDescent="0.3">
      <c r="A5186" t="str">
        <f t="shared" ref="A5186:A5249" si="81">B5186&amp;"|"&amp;D5186&amp;"|"&amp;E5186&amp;"|"&amp;F5186&amp;"|"&amp;O5186</f>
        <v>PA|NewCapacity|RE1|PWRNGS_CC|2045</v>
      </c>
      <c r="B5186" t="s">
        <v>44</v>
      </c>
      <c r="C5186" t="s">
        <v>45</v>
      </c>
      <c r="D5186" t="s">
        <v>37</v>
      </c>
      <c r="E5186" t="s">
        <v>19</v>
      </c>
      <c r="F5186" t="s">
        <v>29</v>
      </c>
      <c r="O5186">
        <v>2045</v>
      </c>
    </row>
    <row r="5187" spans="1:16" x14ac:dyDescent="0.3">
      <c r="A5187" t="str">
        <f t="shared" si="81"/>
        <v>PA|NewCapacity|RE1|PWRNGS_CS|2045</v>
      </c>
      <c r="B5187" t="s">
        <v>44</v>
      </c>
      <c r="C5187" t="s">
        <v>45</v>
      </c>
      <c r="D5187" t="s">
        <v>37</v>
      </c>
      <c r="E5187" t="s">
        <v>19</v>
      </c>
      <c r="F5187" t="s">
        <v>30</v>
      </c>
      <c r="O5187">
        <v>2045</v>
      </c>
    </row>
    <row r="5188" spans="1:16" x14ac:dyDescent="0.3">
      <c r="A5188" t="str">
        <f t="shared" si="81"/>
        <v>PA|NewCapacity|RE1|PWRNUC|2045</v>
      </c>
      <c r="B5188" t="s">
        <v>44</v>
      </c>
      <c r="C5188" t="s">
        <v>45</v>
      </c>
      <c r="D5188" t="s">
        <v>37</v>
      </c>
      <c r="E5188" t="s">
        <v>19</v>
      </c>
      <c r="F5188" t="s">
        <v>47</v>
      </c>
      <c r="O5188">
        <v>2045</v>
      </c>
    </row>
    <row r="5189" spans="1:16" x14ac:dyDescent="0.3">
      <c r="A5189" t="str">
        <f t="shared" si="81"/>
        <v>PA|NewCapacity|RE1|PWRSOLRTP|2045</v>
      </c>
      <c r="B5189" t="s">
        <v>44</v>
      </c>
      <c r="C5189" t="s">
        <v>45</v>
      </c>
      <c r="D5189" t="s">
        <v>37</v>
      </c>
      <c r="E5189" t="s">
        <v>19</v>
      </c>
      <c r="F5189" t="s">
        <v>31</v>
      </c>
      <c r="O5189">
        <v>2045</v>
      </c>
      <c r="P5189">
        <v>1.902346227013316</v>
      </c>
    </row>
    <row r="5190" spans="1:16" x14ac:dyDescent="0.3">
      <c r="A5190" t="str">
        <f t="shared" si="81"/>
        <v>PA|NewCapacity|RE1|PWRSOLRTP_ZNI|2045</v>
      </c>
      <c r="B5190" t="s">
        <v>44</v>
      </c>
      <c r="C5190" t="s">
        <v>45</v>
      </c>
      <c r="D5190" t="s">
        <v>37</v>
      </c>
      <c r="E5190" t="s">
        <v>19</v>
      </c>
      <c r="F5190" t="s">
        <v>32</v>
      </c>
      <c r="O5190">
        <v>2045</v>
      </c>
    </row>
    <row r="5191" spans="1:16" x14ac:dyDescent="0.3">
      <c r="A5191" t="str">
        <f t="shared" si="81"/>
        <v>PA|NewCapacity|RE1|PWRSOLUGE|2045</v>
      </c>
      <c r="B5191" t="s">
        <v>44</v>
      </c>
      <c r="C5191" t="s">
        <v>45</v>
      </c>
      <c r="D5191" t="s">
        <v>37</v>
      </c>
      <c r="E5191" t="s">
        <v>19</v>
      </c>
      <c r="F5191" t="s">
        <v>33</v>
      </c>
      <c r="O5191">
        <v>2045</v>
      </c>
    </row>
    <row r="5192" spans="1:16" x14ac:dyDescent="0.3">
      <c r="A5192" t="str">
        <f t="shared" si="81"/>
        <v>PA|NewCapacity|RE1|PWRSOLUPE|2045</v>
      </c>
      <c r="B5192" t="s">
        <v>44</v>
      </c>
      <c r="C5192" t="s">
        <v>45</v>
      </c>
      <c r="D5192" t="s">
        <v>37</v>
      </c>
      <c r="E5192" t="s">
        <v>19</v>
      </c>
      <c r="F5192" t="s">
        <v>34</v>
      </c>
      <c r="O5192">
        <v>2045</v>
      </c>
    </row>
    <row r="5193" spans="1:16" x14ac:dyDescent="0.3">
      <c r="A5193" t="str">
        <f t="shared" si="81"/>
        <v>PA|NewCapacity|RE1|PWRSTD|2045</v>
      </c>
      <c r="B5193" t="s">
        <v>44</v>
      </c>
      <c r="C5193" t="s">
        <v>45</v>
      </c>
      <c r="D5193" t="s">
        <v>37</v>
      </c>
      <c r="E5193" t="s">
        <v>19</v>
      </c>
      <c r="F5193" t="s">
        <v>35</v>
      </c>
      <c r="O5193">
        <v>2045</v>
      </c>
    </row>
    <row r="5194" spans="1:16" x14ac:dyDescent="0.3">
      <c r="A5194" t="str">
        <f t="shared" si="81"/>
        <v>PA|NewCapacity|RE1|PWRWNDOFS_FIX|2045</v>
      </c>
      <c r="B5194" t="s">
        <v>44</v>
      </c>
      <c r="C5194" t="s">
        <v>45</v>
      </c>
      <c r="D5194" t="s">
        <v>37</v>
      </c>
      <c r="E5194" t="s">
        <v>19</v>
      </c>
      <c r="F5194" t="s">
        <v>42</v>
      </c>
      <c r="O5194">
        <v>2045</v>
      </c>
      <c r="P5194">
        <v>3.1536</v>
      </c>
    </row>
    <row r="5195" spans="1:16" x14ac:dyDescent="0.3">
      <c r="A5195" t="str">
        <f t="shared" si="81"/>
        <v>PA|NewCapacity|RE1|PWRWNDONS|2045</v>
      </c>
      <c r="B5195" t="s">
        <v>44</v>
      </c>
      <c r="C5195" t="s">
        <v>45</v>
      </c>
      <c r="D5195" t="s">
        <v>37</v>
      </c>
      <c r="E5195" t="s">
        <v>19</v>
      </c>
      <c r="F5195" t="s">
        <v>36</v>
      </c>
      <c r="O5195">
        <v>2045</v>
      </c>
    </row>
    <row r="5196" spans="1:16" x14ac:dyDescent="0.3">
      <c r="A5196" t="str">
        <f t="shared" si="81"/>
        <v>PA|TotalCapacityAnnual|RE1|PWRBGS|2045</v>
      </c>
      <c r="B5196" t="s">
        <v>44</v>
      </c>
      <c r="C5196" t="s">
        <v>45</v>
      </c>
      <c r="D5196" t="s">
        <v>38</v>
      </c>
      <c r="E5196" t="s">
        <v>19</v>
      </c>
      <c r="F5196" t="s">
        <v>20</v>
      </c>
      <c r="O5196">
        <v>2045</v>
      </c>
      <c r="P5196">
        <v>2.5488587520000001E-2</v>
      </c>
    </row>
    <row r="5197" spans="1:16" x14ac:dyDescent="0.3">
      <c r="A5197" t="str">
        <f t="shared" si="81"/>
        <v>PA|TotalCapacityAnnual|RE1|PWRCOA|2045</v>
      </c>
      <c r="B5197" t="s">
        <v>44</v>
      </c>
      <c r="C5197" t="s">
        <v>45</v>
      </c>
      <c r="D5197" t="s">
        <v>38</v>
      </c>
      <c r="E5197" t="s">
        <v>19</v>
      </c>
      <c r="F5197" t="s">
        <v>21</v>
      </c>
      <c r="O5197">
        <v>2045</v>
      </c>
    </row>
    <row r="5198" spans="1:16" x14ac:dyDescent="0.3">
      <c r="A5198" t="str">
        <f t="shared" si="81"/>
        <v>PA|TotalCapacityAnnual|RE1|PWRDSL|2045</v>
      </c>
      <c r="B5198" t="s">
        <v>44</v>
      </c>
      <c r="C5198" t="s">
        <v>45</v>
      </c>
      <c r="D5198" t="s">
        <v>38</v>
      </c>
      <c r="E5198" t="s">
        <v>19</v>
      </c>
      <c r="F5198" t="s">
        <v>22</v>
      </c>
      <c r="O5198">
        <v>2045</v>
      </c>
      <c r="P5198">
        <v>24.944976</v>
      </c>
    </row>
    <row r="5199" spans="1:16" x14ac:dyDescent="0.3">
      <c r="A5199" t="str">
        <f t="shared" si="81"/>
        <v>PA|TotalCapacityAnnual|RE1|PWRFOL|2045</v>
      </c>
      <c r="B5199" t="s">
        <v>44</v>
      </c>
      <c r="C5199" t="s">
        <v>45</v>
      </c>
      <c r="D5199" t="s">
        <v>38</v>
      </c>
      <c r="E5199" t="s">
        <v>19</v>
      </c>
      <c r="F5199" t="s">
        <v>23</v>
      </c>
      <c r="O5199">
        <v>2045</v>
      </c>
      <c r="P5199">
        <v>8.3885759999999987</v>
      </c>
    </row>
    <row r="5200" spans="1:16" x14ac:dyDescent="0.3">
      <c r="A5200" t="str">
        <f t="shared" si="81"/>
        <v>PA|TotalCapacityAnnual|RE1|PWRGEO|2045</v>
      </c>
      <c r="B5200" t="s">
        <v>44</v>
      </c>
      <c r="C5200" t="s">
        <v>45</v>
      </c>
      <c r="D5200" t="s">
        <v>38</v>
      </c>
      <c r="E5200" t="s">
        <v>19</v>
      </c>
      <c r="F5200" t="s">
        <v>46</v>
      </c>
      <c r="O5200">
        <v>2045</v>
      </c>
      <c r="P5200">
        <v>18.923999999999999</v>
      </c>
    </row>
    <row r="5201" spans="1:16" x14ac:dyDescent="0.3">
      <c r="A5201" t="str">
        <f t="shared" si="81"/>
        <v>PA|TotalCapacityAnnual|RE1|PWRHYDDAM|2045</v>
      </c>
      <c r="B5201" t="s">
        <v>44</v>
      </c>
      <c r="C5201" t="s">
        <v>45</v>
      </c>
      <c r="D5201" t="s">
        <v>38</v>
      </c>
      <c r="E5201" t="s">
        <v>19</v>
      </c>
      <c r="F5201" t="s">
        <v>24</v>
      </c>
      <c r="O5201">
        <v>2045</v>
      </c>
      <c r="P5201">
        <v>440.49164800000011</v>
      </c>
    </row>
    <row r="5202" spans="1:16" x14ac:dyDescent="0.3">
      <c r="A5202" t="str">
        <f t="shared" si="81"/>
        <v>PA|TotalCapacityAnnual|RE1|PWRHYDROR|2045</v>
      </c>
      <c r="B5202" t="s">
        <v>44</v>
      </c>
      <c r="C5202" t="s">
        <v>45</v>
      </c>
      <c r="D5202" t="s">
        <v>38</v>
      </c>
      <c r="E5202" t="s">
        <v>19</v>
      </c>
      <c r="F5202" t="s">
        <v>25</v>
      </c>
      <c r="O5202">
        <v>2045</v>
      </c>
      <c r="P5202">
        <v>21.097584000000001</v>
      </c>
    </row>
    <row r="5203" spans="1:16" x14ac:dyDescent="0.3">
      <c r="A5203" t="str">
        <f t="shared" si="81"/>
        <v>PA|TotalCapacityAnnual|RE1|PWRHYDROR_NDC|2045</v>
      </c>
      <c r="B5203" t="s">
        <v>44</v>
      </c>
      <c r="C5203" t="s">
        <v>45</v>
      </c>
      <c r="D5203" t="s">
        <v>38</v>
      </c>
      <c r="E5203" t="s">
        <v>19</v>
      </c>
      <c r="F5203" t="s">
        <v>26</v>
      </c>
      <c r="O5203">
        <v>2045</v>
      </c>
      <c r="P5203">
        <v>29.725108271999989</v>
      </c>
    </row>
    <row r="5204" spans="1:16" x14ac:dyDescent="0.3">
      <c r="A5204" t="str">
        <f t="shared" si="81"/>
        <v>PA|TotalCapacityAnnual|RE1|PWRJET|2045</v>
      </c>
      <c r="B5204" t="s">
        <v>44</v>
      </c>
      <c r="C5204" t="s">
        <v>45</v>
      </c>
      <c r="D5204" t="s">
        <v>38</v>
      </c>
      <c r="E5204" t="s">
        <v>19</v>
      </c>
      <c r="F5204" t="s">
        <v>27</v>
      </c>
      <c r="O5204">
        <v>2045</v>
      </c>
      <c r="P5204">
        <v>1.5768</v>
      </c>
    </row>
    <row r="5205" spans="1:16" x14ac:dyDescent="0.3">
      <c r="A5205" t="str">
        <f t="shared" si="81"/>
        <v>PA|TotalCapacityAnnual|RE1|PWRLPG|2045</v>
      </c>
      <c r="B5205" t="s">
        <v>44</v>
      </c>
      <c r="C5205" t="s">
        <v>45</v>
      </c>
      <c r="D5205" t="s">
        <v>38</v>
      </c>
      <c r="E5205" t="s">
        <v>19</v>
      </c>
      <c r="F5205" t="s">
        <v>28</v>
      </c>
      <c r="O5205">
        <v>2045</v>
      </c>
      <c r="P5205">
        <v>1.639872</v>
      </c>
    </row>
    <row r="5206" spans="1:16" x14ac:dyDescent="0.3">
      <c r="A5206" t="str">
        <f t="shared" si="81"/>
        <v>PA|TotalCapacityAnnual|RE1|PWRNGS_CC|2045</v>
      </c>
      <c r="B5206" t="s">
        <v>44</v>
      </c>
      <c r="C5206" t="s">
        <v>45</v>
      </c>
      <c r="D5206" t="s">
        <v>38</v>
      </c>
      <c r="E5206" t="s">
        <v>19</v>
      </c>
      <c r="F5206" t="s">
        <v>29</v>
      </c>
      <c r="O5206">
        <v>2045</v>
      </c>
      <c r="P5206">
        <v>70.104500000000002</v>
      </c>
    </row>
    <row r="5207" spans="1:16" x14ac:dyDescent="0.3">
      <c r="A5207" t="str">
        <f t="shared" si="81"/>
        <v>PA|TotalCapacityAnnual|RE1|PWRNGS_CS|2045</v>
      </c>
      <c r="B5207" t="s">
        <v>44</v>
      </c>
      <c r="C5207" t="s">
        <v>45</v>
      </c>
      <c r="D5207" t="s">
        <v>38</v>
      </c>
      <c r="E5207" t="s">
        <v>19</v>
      </c>
      <c r="F5207" t="s">
        <v>30</v>
      </c>
      <c r="O5207">
        <v>2045</v>
      </c>
      <c r="P5207">
        <v>23.084351999999999</v>
      </c>
    </row>
    <row r="5208" spans="1:16" x14ac:dyDescent="0.3">
      <c r="A5208" t="str">
        <f t="shared" si="81"/>
        <v>PA|TotalCapacityAnnual|RE1|PWRNUC|2045</v>
      </c>
      <c r="B5208" t="s">
        <v>44</v>
      </c>
      <c r="C5208" t="s">
        <v>45</v>
      </c>
      <c r="D5208" t="s">
        <v>38</v>
      </c>
      <c r="E5208" t="s">
        <v>19</v>
      </c>
      <c r="F5208" t="s">
        <v>47</v>
      </c>
      <c r="O5208">
        <v>2045</v>
      </c>
      <c r="P5208">
        <v>9.5120000000000005</v>
      </c>
    </row>
    <row r="5209" spans="1:16" x14ac:dyDescent="0.3">
      <c r="A5209" t="str">
        <f t="shared" si="81"/>
        <v>PA|TotalCapacityAnnual|RE1|PWRSOLRTP|2045</v>
      </c>
      <c r="B5209" t="s">
        <v>44</v>
      </c>
      <c r="C5209" t="s">
        <v>45</v>
      </c>
      <c r="D5209" t="s">
        <v>38</v>
      </c>
      <c r="E5209" t="s">
        <v>19</v>
      </c>
      <c r="F5209" t="s">
        <v>31</v>
      </c>
      <c r="O5209">
        <v>2045</v>
      </c>
      <c r="P5209">
        <v>169.50953265694361</v>
      </c>
    </row>
    <row r="5210" spans="1:16" x14ac:dyDescent="0.3">
      <c r="A5210" t="str">
        <f t="shared" si="81"/>
        <v>PA|TotalCapacityAnnual|RE1|PWRSOLRTP_ZNI|2045</v>
      </c>
      <c r="B5210" t="s">
        <v>44</v>
      </c>
      <c r="C5210" t="s">
        <v>45</v>
      </c>
      <c r="D5210" t="s">
        <v>38</v>
      </c>
      <c r="E5210" t="s">
        <v>19</v>
      </c>
      <c r="F5210" t="s">
        <v>32</v>
      </c>
      <c r="O5210">
        <v>2045</v>
      </c>
      <c r="P5210">
        <v>0.46074095999999998</v>
      </c>
    </row>
    <row r="5211" spans="1:16" x14ac:dyDescent="0.3">
      <c r="A5211" t="str">
        <f t="shared" si="81"/>
        <v>PA|TotalCapacityAnnual|RE1|PWRSOLUGE|2045</v>
      </c>
      <c r="B5211" t="s">
        <v>44</v>
      </c>
      <c r="C5211" t="s">
        <v>45</v>
      </c>
      <c r="D5211" t="s">
        <v>38</v>
      </c>
      <c r="E5211" t="s">
        <v>19</v>
      </c>
      <c r="F5211" t="s">
        <v>33</v>
      </c>
      <c r="O5211">
        <v>2045</v>
      </c>
      <c r="P5211">
        <v>191.79189199999999</v>
      </c>
    </row>
    <row r="5212" spans="1:16" x14ac:dyDescent="0.3">
      <c r="A5212" t="str">
        <f t="shared" si="81"/>
        <v>PA|TotalCapacityAnnual|RE1|PWRSOLUPE|2045</v>
      </c>
      <c r="B5212" t="s">
        <v>44</v>
      </c>
      <c r="C5212" t="s">
        <v>45</v>
      </c>
      <c r="D5212" t="s">
        <v>38</v>
      </c>
      <c r="E5212" t="s">
        <v>19</v>
      </c>
      <c r="F5212" t="s">
        <v>34</v>
      </c>
      <c r="O5212">
        <v>2045</v>
      </c>
      <c r="P5212">
        <v>12.14419823999993</v>
      </c>
    </row>
    <row r="5213" spans="1:16" x14ac:dyDescent="0.3">
      <c r="A5213" t="str">
        <f t="shared" si="81"/>
        <v>PA|TotalCapacityAnnual|RE1|PWRSTD|2045</v>
      </c>
      <c r="B5213" t="s">
        <v>44</v>
      </c>
      <c r="C5213" t="s">
        <v>45</v>
      </c>
      <c r="D5213" t="s">
        <v>38</v>
      </c>
      <c r="E5213" t="s">
        <v>19</v>
      </c>
      <c r="F5213" t="s">
        <v>35</v>
      </c>
      <c r="O5213">
        <v>2045</v>
      </c>
      <c r="P5213">
        <v>8.163062064</v>
      </c>
    </row>
    <row r="5214" spans="1:16" x14ac:dyDescent="0.3">
      <c r="A5214" t="str">
        <f t="shared" si="81"/>
        <v>PA|TotalCapacityAnnual|RE1|PWRWNDOFS_FIX|2045</v>
      </c>
      <c r="B5214" t="s">
        <v>44</v>
      </c>
      <c r="C5214" t="s">
        <v>45</v>
      </c>
      <c r="D5214" t="s">
        <v>38</v>
      </c>
      <c r="E5214" t="s">
        <v>19</v>
      </c>
      <c r="F5214" t="s">
        <v>42</v>
      </c>
      <c r="O5214">
        <v>2045</v>
      </c>
      <c r="P5214">
        <v>31.536000000000001</v>
      </c>
    </row>
    <row r="5215" spans="1:16" x14ac:dyDescent="0.3">
      <c r="A5215" t="str">
        <f t="shared" si="81"/>
        <v>PA|TotalCapacityAnnual|RE1|PWRWNDONS|2045</v>
      </c>
      <c r="B5215" t="s">
        <v>44</v>
      </c>
      <c r="C5215" t="s">
        <v>45</v>
      </c>
      <c r="D5215" t="s">
        <v>38</v>
      </c>
      <c r="E5215" t="s">
        <v>19</v>
      </c>
      <c r="F5215" t="s">
        <v>36</v>
      </c>
      <c r="O5215">
        <v>2045</v>
      </c>
      <c r="P5215">
        <v>355.74141708939482</v>
      </c>
    </row>
    <row r="5216" spans="1:16" x14ac:dyDescent="0.3">
      <c r="A5216" t="str">
        <f t="shared" si="81"/>
        <v>PA|AccumulatedNewCapacity|RE1|PWRBGS|2046</v>
      </c>
      <c r="B5216" t="s">
        <v>44</v>
      </c>
      <c r="C5216" t="s">
        <v>45</v>
      </c>
      <c r="D5216" t="s">
        <v>18</v>
      </c>
      <c r="E5216" t="s">
        <v>19</v>
      </c>
      <c r="F5216" t="s">
        <v>20</v>
      </c>
      <c r="O5216">
        <v>2046</v>
      </c>
    </row>
    <row r="5217" spans="1:16" x14ac:dyDescent="0.3">
      <c r="A5217" t="str">
        <f t="shared" si="81"/>
        <v>PA|AccumulatedNewCapacity|RE1|PWRCOA|2046</v>
      </c>
      <c r="B5217" t="s">
        <v>44</v>
      </c>
      <c r="C5217" t="s">
        <v>45</v>
      </c>
      <c r="D5217" t="s">
        <v>18</v>
      </c>
      <c r="E5217" t="s">
        <v>19</v>
      </c>
      <c r="F5217" t="s">
        <v>21</v>
      </c>
      <c r="O5217">
        <v>2046</v>
      </c>
    </row>
    <row r="5218" spans="1:16" x14ac:dyDescent="0.3">
      <c r="A5218" t="str">
        <f t="shared" si="81"/>
        <v>PA|AccumulatedNewCapacity|RE1|PWRDSL|2046</v>
      </c>
      <c r="B5218" t="s">
        <v>44</v>
      </c>
      <c r="C5218" t="s">
        <v>45</v>
      </c>
      <c r="D5218" t="s">
        <v>18</v>
      </c>
      <c r="E5218" t="s">
        <v>19</v>
      </c>
      <c r="F5218" t="s">
        <v>22</v>
      </c>
      <c r="O5218">
        <v>2046</v>
      </c>
    </row>
    <row r="5219" spans="1:16" x14ac:dyDescent="0.3">
      <c r="A5219" t="str">
        <f t="shared" si="81"/>
        <v>PA|AccumulatedNewCapacity|RE1|PWRFOL|2046</v>
      </c>
      <c r="B5219" t="s">
        <v>44</v>
      </c>
      <c r="C5219" t="s">
        <v>45</v>
      </c>
      <c r="D5219" t="s">
        <v>18</v>
      </c>
      <c r="E5219" t="s">
        <v>19</v>
      </c>
      <c r="F5219" t="s">
        <v>23</v>
      </c>
      <c r="O5219">
        <v>2046</v>
      </c>
    </row>
    <row r="5220" spans="1:16" x14ac:dyDescent="0.3">
      <c r="A5220" t="str">
        <f t="shared" si="81"/>
        <v>PA|AccumulatedNewCapacity|RE1|PWRGEO|2046</v>
      </c>
      <c r="B5220" t="s">
        <v>44</v>
      </c>
      <c r="C5220" t="s">
        <v>45</v>
      </c>
      <c r="D5220" t="s">
        <v>18</v>
      </c>
      <c r="E5220" t="s">
        <v>19</v>
      </c>
      <c r="F5220" t="s">
        <v>46</v>
      </c>
      <c r="O5220">
        <v>2046</v>
      </c>
      <c r="P5220">
        <v>22.077999999999999</v>
      </c>
    </row>
    <row r="5221" spans="1:16" x14ac:dyDescent="0.3">
      <c r="A5221" t="str">
        <f t="shared" si="81"/>
        <v>PA|AccumulatedNewCapacity|RE1|PWRHYDDAM|2046</v>
      </c>
      <c r="B5221" t="s">
        <v>44</v>
      </c>
      <c r="C5221" t="s">
        <v>45</v>
      </c>
      <c r="D5221" t="s">
        <v>18</v>
      </c>
      <c r="E5221" t="s">
        <v>19</v>
      </c>
      <c r="F5221" t="s">
        <v>24</v>
      </c>
      <c r="O5221">
        <v>2046</v>
      </c>
      <c r="P5221">
        <v>37.840000000000003</v>
      </c>
    </row>
    <row r="5222" spans="1:16" x14ac:dyDescent="0.3">
      <c r="A5222" t="str">
        <f t="shared" si="81"/>
        <v>PA|AccumulatedNewCapacity|RE1|PWRHYDROR|2046</v>
      </c>
      <c r="B5222" t="s">
        <v>44</v>
      </c>
      <c r="C5222" t="s">
        <v>45</v>
      </c>
      <c r="D5222" t="s">
        <v>18</v>
      </c>
      <c r="E5222" t="s">
        <v>19</v>
      </c>
      <c r="F5222" t="s">
        <v>25</v>
      </c>
      <c r="O5222">
        <v>2046</v>
      </c>
    </row>
    <row r="5223" spans="1:16" x14ac:dyDescent="0.3">
      <c r="A5223" t="str">
        <f t="shared" si="81"/>
        <v>PA|AccumulatedNewCapacity|RE1|PWRHYDROR_NDC|2046</v>
      </c>
      <c r="B5223" t="s">
        <v>44</v>
      </c>
      <c r="C5223" t="s">
        <v>45</v>
      </c>
      <c r="D5223" t="s">
        <v>18</v>
      </c>
      <c r="E5223" t="s">
        <v>19</v>
      </c>
      <c r="F5223" t="s">
        <v>26</v>
      </c>
      <c r="O5223">
        <v>2046</v>
      </c>
    </row>
    <row r="5224" spans="1:16" x14ac:dyDescent="0.3">
      <c r="A5224" t="str">
        <f t="shared" si="81"/>
        <v>PA|AccumulatedNewCapacity|RE1|PWRJET|2046</v>
      </c>
      <c r="B5224" t="s">
        <v>44</v>
      </c>
      <c r="C5224" t="s">
        <v>45</v>
      </c>
      <c r="D5224" t="s">
        <v>18</v>
      </c>
      <c r="E5224" t="s">
        <v>19</v>
      </c>
      <c r="F5224" t="s">
        <v>27</v>
      </c>
      <c r="O5224">
        <v>2046</v>
      </c>
    </row>
    <row r="5225" spans="1:16" x14ac:dyDescent="0.3">
      <c r="A5225" t="str">
        <f t="shared" si="81"/>
        <v>PA|AccumulatedNewCapacity|RE1|PWRLPG|2046</v>
      </c>
      <c r="B5225" t="s">
        <v>44</v>
      </c>
      <c r="C5225" t="s">
        <v>45</v>
      </c>
      <c r="D5225" t="s">
        <v>18</v>
      </c>
      <c r="E5225" t="s">
        <v>19</v>
      </c>
      <c r="F5225" t="s">
        <v>28</v>
      </c>
      <c r="O5225">
        <v>2046</v>
      </c>
    </row>
    <row r="5226" spans="1:16" x14ac:dyDescent="0.3">
      <c r="A5226" t="str">
        <f t="shared" si="81"/>
        <v>PA|AccumulatedNewCapacity|RE1|PWRNGS_CC|2046</v>
      </c>
      <c r="B5226" t="s">
        <v>44</v>
      </c>
      <c r="C5226" t="s">
        <v>45</v>
      </c>
      <c r="D5226" t="s">
        <v>18</v>
      </c>
      <c r="E5226" t="s">
        <v>19</v>
      </c>
      <c r="F5226" t="s">
        <v>29</v>
      </c>
      <c r="O5226">
        <v>2046</v>
      </c>
    </row>
    <row r="5227" spans="1:16" x14ac:dyDescent="0.3">
      <c r="A5227" t="str">
        <f t="shared" si="81"/>
        <v>PA|AccumulatedNewCapacity|RE1|PWRNGS_CS|2046</v>
      </c>
      <c r="B5227" t="s">
        <v>44</v>
      </c>
      <c r="C5227" t="s">
        <v>45</v>
      </c>
      <c r="D5227" t="s">
        <v>18</v>
      </c>
      <c r="E5227" t="s">
        <v>19</v>
      </c>
      <c r="F5227" t="s">
        <v>30</v>
      </c>
      <c r="O5227">
        <v>2046</v>
      </c>
    </row>
    <row r="5228" spans="1:16" x14ac:dyDescent="0.3">
      <c r="A5228" t="str">
        <f t="shared" si="81"/>
        <v>PA|AccumulatedNewCapacity|RE1|PWRNUC|2046</v>
      </c>
      <c r="B5228" t="s">
        <v>44</v>
      </c>
      <c r="C5228" t="s">
        <v>45</v>
      </c>
      <c r="D5228" t="s">
        <v>18</v>
      </c>
      <c r="E5228" t="s">
        <v>19</v>
      </c>
      <c r="F5228" t="s">
        <v>47</v>
      </c>
      <c r="O5228">
        <v>2046</v>
      </c>
      <c r="P5228">
        <v>9.5120000000000005</v>
      </c>
    </row>
    <row r="5229" spans="1:16" x14ac:dyDescent="0.3">
      <c r="A5229" t="str">
        <f t="shared" si="81"/>
        <v>PA|AccumulatedNewCapacity|RE1|PWRSOLRTP|2046</v>
      </c>
      <c r="B5229" t="s">
        <v>44</v>
      </c>
      <c r="C5229" t="s">
        <v>45</v>
      </c>
      <c r="D5229" t="s">
        <v>18</v>
      </c>
      <c r="E5229" t="s">
        <v>19</v>
      </c>
      <c r="F5229" t="s">
        <v>31</v>
      </c>
      <c r="O5229">
        <v>2046</v>
      </c>
      <c r="P5229">
        <v>149.0928788839569</v>
      </c>
    </row>
    <row r="5230" spans="1:16" x14ac:dyDescent="0.3">
      <c r="A5230" t="str">
        <f t="shared" si="81"/>
        <v>PA|AccumulatedNewCapacity|RE1|PWRSOLRTP_ZNI|2046</v>
      </c>
      <c r="B5230" t="s">
        <v>44</v>
      </c>
      <c r="C5230" t="s">
        <v>45</v>
      </c>
      <c r="D5230" t="s">
        <v>18</v>
      </c>
      <c r="E5230" t="s">
        <v>19</v>
      </c>
      <c r="F5230" t="s">
        <v>32</v>
      </c>
      <c r="O5230">
        <v>2046</v>
      </c>
    </row>
    <row r="5231" spans="1:16" x14ac:dyDescent="0.3">
      <c r="A5231" t="str">
        <f t="shared" si="81"/>
        <v>PA|AccumulatedNewCapacity|RE1|PWRSOLUGE|2046</v>
      </c>
      <c r="B5231" t="s">
        <v>44</v>
      </c>
      <c r="C5231" t="s">
        <v>45</v>
      </c>
      <c r="D5231" t="s">
        <v>18</v>
      </c>
      <c r="E5231" t="s">
        <v>19</v>
      </c>
      <c r="F5231" t="s">
        <v>33</v>
      </c>
      <c r="O5231">
        <v>2046</v>
      </c>
      <c r="P5231">
        <v>143.394192</v>
      </c>
    </row>
    <row r="5232" spans="1:16" x14ac:dyDescent="0.3">
      <c r="A5232" t="str">
        <f t="shared" si="81"/>
        <v>PA|AccumulatedNewCapacity|RE1|PWRSOLUPE|2046</v>
      </c>
      <c r="B5232" t="s">
        <v>44</v>
      </c>
      <c r="C5232" t="s">
        <v>45</v>
      </c>
      <c r="D5232" t="s">
        <v>18</v>
      </c>
      <c r="E5232" t="s">
        <v>19</v>
      </c>
      <c r="F5232" t="s">
        <v>34</v>
      </c>
      <c r="O5232">
        <v>2046</v>
      </c>
      <c r="P5232">
        <v>12.14419823999993</v>
      </c>
    </row>
    <row r="5233" spans="1:16" x14ac:dyDescent="0.3">
      <c r="A5233" t="str">
        <f t="shared" si="81"/>
        <v>PA|AccumulatedNewCapacity|RE1|PWRSTD|2046</v>
      </c>
      <c r="B5233" t="s">
        <v>44</v>
      </c>
      <c r="C5233" t="s">
        <v>45</v>
      </c>
      <c r="D5233" t="s">
        <v>18</v>
      </c>
      <c r="E5233" t="s">
        <v>19</v>
      </c>
      <c r="F5233" t="s">
        <v>35</v>
      </c>
      <c r="O5233">
        <v>2046</v>
      </c>
    </row>
    <row r="5234" spans="1:16" x14ac:dyDescent="0.3">
      <c r="A5234" t="str">
        <f t="shared" si="81"/>
        <v>PA|AccumulatedNewCapacity|RE1|PWRWNDOFS_FIX|2046</v>
      </c>
      <c r="B5234" t="s">
        <v>44</v>
      </c>
      <c r="C5234" t="s">
        <v>45</v>
      </c>
      <c r="D5234" t="s">
        <v>18</v>
      </c>
      <c r="E5234" t="s">
        <v>19</v>
      </c>
      <c r="F5234" t="s">
        <v>42</v>
      </c>
      <c r="O5234">
        <v>2046</v>
      </c>
      <c r="P5234">
        <v>34.689600000000013</v>
      </c>
    </row>
    <row r="5235" spans="1:16" x14ac:dyDescent="0.3">
      <c r="A5235" t="str">
        <f t="shared" si="81"/>
        <v>PA|AccumulatedNewCapacity|RE1|PWRWNDONS|2046</v>
      </c>
      <c r="B5235" t="s">
        <v>44</v>
      </c>
      <c r="C5235" t="s">
        <v>45</v>
      </c>
      <c r="D5235" t="s">
        <v>18</v>
      </c>
      <c r="E5235" t="s">
        <v>19</v>
      </c>
      <c r="F5235" t="s">
        <v>36</v>
      </c>
      <c r="O5235">
        <v>2046</v>
      </c>
      <c r="P5235">
        <v>401.68275468939481</v>
      </c>
    </row>
    <row r="5236" spans="1:16" x14ac:dyDescent="0.3">
      <c r="A5236" t="str">
        <f t="shared" si="81"/>
        <v>PA|NewCapacity|RE1|PWRBGS|2046</v>
      </c>
      <c r="B5236" t="s">
        <v>44</v>
      </c>
      <c r="C5236" t="s">
        <v>45</v>
      </c>
      <c r="D5236" t="s">
        <v>37</v>
      </c>
      <c r="E5236" t="s">
        <v>19</v>
      </c>
      <c r="F5236" t="s">
        <v>20</v>
      </c>
      <c r="O5236">
        <v>2046</v>
      </c>
    </row>
    <row r="5237" spans="1:16" x14ac:dyDescent="0.3">
      <c r="A5237" t="str">
        <f t="shared" si="81"/>
        <v>PA|NewCapacity|RE1|PWRCOA|2046</v>
      </c>
      <c r="B5237" t="s">
        <v>44</v>
      </c>
      <c r="C5237" t="s">
        <v>45</v>
      </c>
      <c r="D5237" t="s">
        <v>37</v>
      </c>
      <c r="E5237" t="s">
        <v>19</v>
      </c>
      <c r="F5237" t="s">
        <v>21</v>
      </c>
      <c r="O5237">
        <v>2046</v>
      </c>
    </row>
    <row r="5238" spans="1:16" x14ac:dyDescent="0.3">
      <c r="A5238" t="str">
        <f t="shared" si="81"/>
        <v>PA|NewCapacity|RE1|PWRDSL|2046</v>
      </c>
      <c r="B5238" t="s">
        <v>44</v>
      </c>
      <c r="C5238" t="s">
        <v>45</v>
      </c>
      <c r="D5238" t="s">
        <v>37</v>
      </c>
      <c r="E5238" t="s">
        <v>19</v>
      </c>
      <c r="F5238" t="s">
        <v>22</v>
      </c>
      <c r="O5238">
        <v>2046</v>
      </c>
    </row>
    <row r="5239" spans="1:16" x14ac:dyDescent="0.3">
      <c r="A5239" t="str">
        <f t="shared" si="81"/>
        <v>PA|NewCapacity|RE1|PWRFOL|2046</v>
      </c>
      <c r="B5239" t="s">
        <v>44</v>
      </c>
      <c r="C5239" t="s">
        <v>45</v>
      </c>
      <c r="D5239" t="s">
        <v>37</v>
      </c>
      <c r="E5239" t="s">
        <v>19</v>
      </c>
      <c r="F5239" t="s">
        <v>23</v>
      </c>
      <c r="O5239">
        <v>2046</v>
      </c>
    </row>
    <row r="5240" spans="1:16" x14ac:dyDescent="0.3">
      <c r="A5240" t="str">
        <f t="shared" si="81"/>
        <v>PA|NewCapacity|RE1|PWRGEO|2046</v>
      </c>
      <c r="B5240" t="s">
        <v>44</v>
      </c>
      <c r="C5240" t="s">
        <v>45</v>
      </c>
      <c r="D5240" t="s">
        <v>37</v>
      </c>
      <c r="E5240" t="s">
        <v>19</v>
      </c>
      <c r="F5240" t="s">
        <v>46</v>
      </c>
      <c r="O5240">
        <v>2046</v>
      </c>
      <c r="P5240">
        <v>3.1539999999999999</v>
      </c>
    </row>
    <row r="5241" spans="1:16" x14ac:dyDescent="0.3">
      <c r="A5241" t="str">
        <f t="shared" si="81"/>
        <v>PA|NewCapacity|RE1|PWRHYDDAM|2046</v>
      </c>
      <c r="B5241" t="s">
        <v>44</v>
      </c>
      <c r="C5241" t="s">
        <v>45</v>
      </c>
      <c r="D5241" t="s">
        <v>37</v>
      </c>
      <c r="E5241" t="s">
        <v>19</v>
      </c>
      <c r="F5241" t="s">
        <v>24</v>
      </c>
      <c r="O5241">
        <v>2046</v>
      </c>
    </row>
    <row r="5242" spans="1:16" x14ac:dyDescent="0.3">
      <c r="A5242" t="str">
        <f t="shared" si="81"/>
        <v>PA|NewCapacity|RE1|PWRHYDROR|2046</v>
      </c>
      <c r="B5242" t="s">
        <v>44</v>
      </c>
      <c r="C5242" t="s">
        <v>45</v>
      </c>
      <c r="D5242" t="s">
        <v>37</v>
      </c>
      <c r="E5242" t="s">
        <v>19</v>
      </c>
      <c r="F5242" t="s">
        <v>25</v>
      </c>
      <c r="O5242">
        <v>2046</v>
      </c>
    </row>
    <row r="5243" spans="1:16" x14ac:dyDescent="0.3">
      <c r="A5243" t="str">
        <f t="shared" si="81"/>
        <v>PA|NewCapacity|RE1|PWRHYDROR_NDC|2046</v>
      </c>
      <c r="B5243" t="s">
        <v>44</v>
      </c>
      <c r="C5243" t="s">
        <v>45</v>
      </c>
      <c r="D5243" t="s">
        <v>37</v>
      </c>
      <c r="E5243" t="s">
        <v>19</v>
      </c>
      <c r="F5243" t="s">
        <v>26</v>
      </c>
      <c r="O5243">
        <v>2046</v>
      </c>
    </row>
    <row r="5244" spans="1:16" x14ac:dyDescent="0.3">
      <c r="A5244" t="str">
        <f t="shared" si="81"/>
        <v>PA|NewCapacity|RE1|PWRJET|2046</v>
      </c>
      <c r="B5244" t="s">
        <v>44</v>
      </c>
      <c r="C5244" t="s">
        <v>45</v>
      </c>
      <c r="D5244" t="s">
        <v>37</v>
      </c>
      <c r="E5244" t="s">
        <v>19</v>
      </c>
      <c r="F5244" t="s">
        <v>27</v>
      </c>
      <c r="O5244">
        <v>2046</v>
      </c>
    </row>
    <row r="5245" spans="1:16" x14ac:dyDescent="0.3">
      <c r="A5245" t="str">
        <f t="shared" si="81"/>
        <v>PA|NewCapacity|RE1|PWRLPG|2046</v>
      </c>
      <c r="B5245" t="s">
        <v>44</v>
      </c>
      <c r="C5245" t="s">
        <v>45</v>
      </c>
      <c r="D5245" t="s">
        <v>37</v>
      </c>
      <c r="E5245" t="s">
        <v>19</v>
      </c>
      <c r="F5245" t="s">
        <v>28</v>
      </c>
      <c r="O5245">
        <v>2046</v>
      </c>
    </row>
    <row r="5246" spans="1:16" x14ac:dyDescent="0.3">
      <c r="A5246" t="str">
        <f t="shared" si="81"/>
        <v>PA|NewCapacity|RE1|PWRNGS_CC|2046</v>
      </c>
      <c r="B5246" t="s">
        <v>44</v>
      </c>
      <c r="C5246" t="s">
        <v>45</v>
      </c>
      <c r="D5246" t="s">
        <v>37</v>
      </c>
      <c r="E5246" t="s">
        <v>19</v>
      </c>
      <c r="F5246" t="s">
        <v>29</v>
      </c>
      <c r="O5246">
        <v>2046</v>
      </c>
    </row>
    <row r="5247" spans="1:16" x14ac:dyDescent="0.3">
      <c r="A5247" t="str">
        <f t="shared" si="81"/>
        <v>PA|NewCapacity|RE1|PWRNGS_CS|2046</v>
      </c>
      <c r="B5247" t="s">
        <v>44</v>
      </c>
      <c r="C5247" t="s">
        <v>45</v>
      </c>
      <c r="D5247" t="s">
        <v>37</v>
      </c>
      <c r="E5247" t="s">
        <v>19</v>
      </c>
      <c r="F5247" t="s">
        <v>30</v>
      </c>
      <c r="O5247">
        <v>2046</v>
      </c>
    </row>
    <row r="5248" spans="1:16" x14ac:dyDescent="0.3">
      <c r="A5248" t="str">
        <f t="shared" si="81"/>
        <v>PA|NewCapacity|RE1|PWRNUC|2046</v>
      </c>
      <c r="B5248" t="s">
        <v>44</v>
      </c>
      <c r="C5248" t="s">
        <v>45</v>
      </c>
      <c r="D5248" t="s">
        <v>37</v>
      </c>
      <c r="E5248" t="s">
        <v>19</v>
      </c>
      <c r="F5248" t="s">
        <v>47</v>
      </c>
      <c r="O5248">
        <v>2046</v>
      </c>
    </row>
    <row r="5249" spans="1:16" x14ac:dyDescent="0.3">
      <c r="A5249" t="str">
        <f t="shared" si="81"/>
        <v>PA|NewCapacity|RE1|PWRSOLRTP|2046</v>
      </c>
      <c r="B5249" t="s">
        <v>44</v>
      </c>
      <c r="C5249" t="s">
        <v>45</v>
      </c>
      <c r="D5249" t="s">
        <v>37</v>
      </c>
      <c r="E5249" t="s">
        <v>19</v>
      </c>
      <c r="F5249" t="s">
        <v>31</v>
      </c>
      <c r="O5249">
        <v>2046</v>
      </c>
      <c r="P5249">
        <v>1.902346227013316</v>
      </c>
    </row>
    <row r="5250" spans="1:16" x14ac:dyDescent="0.3">
      <c r="A5250" t="str">
        <f t="shared" ref="A5250:A5313" si="82">B5250&amp;"|"&amp;D5250&amp;"|"&amp;E5250&amp;"|"&amp;F5250&amp;"|"&amp;O5250</f>
        <v>PA|NewCapacity|RE1|PWRSOLRTP_ZNI|2046</v>
      </c>
      <c r="B5250" t="s">
        <v>44</v>
      </c>
      <c r="C5250" t="s">
        <v>45</v>
      </c>
      <c r="D5250" t="s">
        <v>37</v>
      </c>
      <c r="E5250" t="s">
        <v>19</v>
      </c>
      <c r="F5250" t="s">
        <v>32</v>
      </c>
      <c r="O5250">
        <v>2046</v>
      </c>
    </row>
    <row r="5251" spans="1:16" x14ac:dyDescent="0.3">
      <c r="A5251" t="str">
        <f t="shared" si="82"/>
        <v>PA|NewCapacity|RE1|PWRSOLUGE|2046</v>
      </c>
      <c r="B5251" t="s">
        <v>44</v>
      </c>
      <c r="C5251" t="s">
        <v>45</v>
      </c>
      <c r="D5251" t="s">
        <v>37</v>
      </c>
      <c r="E5251" t="s">
        <v>19</v>
      </c>
      <c r="F5251" t="s">
        <v>33</v>
      </c>
      <c r="O5251">
        <v>2046</v>
      </c>
    </row>
    <row r="5252" spans="1:16" x14ac:dyDescent="0.3">
      <c r="A5252" t="str">
        <f t="shared" si="82"/>
        <v>PA|NewCapacity|RE1|PWRSOLUPE|2046</v>
      </c>
      <c r="B5252" t="s">
        <v>44</v>
      </c>
      <c r="C5252" t="s">
        <v>45</v>
      </c>
      <c r="D5252" t="s">
        <v>37</v>
      </c>
      <c r="E5252" t="s">
        <v>19</v>
      </c>
      <c r="F5252" t="s">
        <v>34</v>
      </c>
      <c r="O5252">
        <v>2046</v>
      </c>
    </row>
    <row r="5253" spans="1:16" x14ac:dyDescent="0.3">
      <c r="A5253" t="str">
        <f t="shared" si="82"/>
        <v>PA|NewCapacity|RE1|PWRSTD|2046</v>
      </c>
      <c r="B5253" t="s">
        <v>44</v>
      </c>
      <c r="C5253" t="s">
        <v>45</v>
      </c>
      <c r="D5253" t="s">
        <v>37</v>
      </c>
      <c r="E5253" t="s">
        <v>19</v>
      </c>
      <c r="F5253" t="s">
        <v>35</v>
      </c>
      <c r="O5253">
        <v>2046</v>
      </c>
    </row>
    <row r="5254" spans="1:16" x14ac:dyDescent="0.3">
      <c r="A5254" t="str">
        <f t="shared" si="82"/>
        <v>PA|NewCapacity|RE1|PWRWNDOFS_FIX|2046</v>
      </c>
      <c r="B5254" t="s">
        <v>44</v>
      </c>
      <c r="C5254" t="s">
        <v>45</v>
      </c>
      <c r="D5254" t="s">
        <v>37</v>
      </c>
      <c r="E5254" t="s">
        <v>19</v>
      </c>
      <c r="F5254" t="s">
        <v>42</v>
      </c>
      <c r="O5254">
        <v>2046</v>
      </c>
      <c r="P5254">
        <v>3.1536</v>
      </c>
    </row>
    <row r="5255" spans="1:16" x14ac:dyDescent="0.3">
      <c r="A5255" t="str">
        <f t="shared" si="82"/>
        <v>PA|NewCapacity|RE1|PWRWNDONS|2046</v>
      </c>
      <c r="B5255" t="s">
        <v>44</v>
      </c>
      <c r="C5255" t="s">
        <v>45</v>
      </c>
      <c r="D5255" t="s">
        <v>37</v>
      </c>
      <c r="E5255" t="s">
        <v>19</v>
      </c>
      <c r="F5255" t="s">
        <v>36</v>
      </c>
      <c r="O5255">
        <v>2046</v>
      </c>
      <c r="P5255">
        <v>47.31</v>
      </c>
    </row>
    <row r="5256" spans="1:16" x14ac:dyDescent="0.3">
      <c r="A5256" t="str">
        <f t="shared" si="82"/>
        <v>PA|TotalCapacityAnnual|RE1|PWRBGS|2046</v>
      </c>
      <c r="B5256" t="s">
        <v>44</v>
      </c>
      <c r="C5256" t="s">
        <v>45</v>
      </c>
      <c r="D5256" t="s">
        <v>38</v>
      </c>
      <c r="E5256" t="s">
        <v>19</v>
      </c>
      <c r="F5256" t="s">
        <v>20</v>
      </c>
      <c r="O5256">
        <v>2046</v>
      </c>
      <c r="P5256">
        <v>2.5488587520000001E-2</v>
      </c>
    </row>
    <row r="5257" spans="1:16" x14ac:dyDescent="0.3">
      <c r="A5257" t="str">
        <f t="shared" si="82"/>
        <v>PA|TotalCapacityAnnual|RE1|PWRCOA|2046</v>
      </c>
      <c r="B5257" t="s">
        <v>44</v>
      </c>
      <c r="C5257" t="s">
        <v>45</v>
      </c>
      <c r="D5257" t="s">
        <v>38</v>
      </c>
      <c r="E5257" t="s">
        <v>19</v>
      </c>
      <c r="F5257" t="s">
        <v>21</v>
      </c>
      <c r="O5257">
        <v>2046</v>
      </c>
    </row>
    <row r="5258" spans="1:16" x14ac:dyDescent="0.3">
      <c r="A5258" t="str">
        <f t="shared" si="82"/>
        <v>PA|TotalCapacityAnnual|RE1|PWRDSL|2046</v>
      </c>
      <c r="B5258" t="s">
        <v>44</v>
      </c>
      <c r="C5258" t="s">
        <v>45</v>
      </c>
      <c r="D5258" t="s">
        <v>38</v>
      </c>
      <c r="E5258" t="s">
        <v>19</v>
      </c>
      <c r="F5258" t="s">
        <v>22</v>
      </c>
      <c r="O5258">
        <v>2046</v>
      </c>
      <c r="P5258">
        <v>24.944976</v>
      </c>
    </row>
    <row r="5259" spans="1:16" x14ac:dyDescent="0.3">
      <c r="A5259" t="str">
        <f t="shared" si="82"/>
        <v>PA|TotalCapacityAnnual|RE1|PWRFOL|2046</v>
      </c>
      <c r="B5259" t="s">
        <v>44</v>
      </c>
      <c r="C5259" t="s">
        <v>45</v>
      </c>
      <c r="D5259" t="s">
        <v>38</v>
      </c>
      <c r="E5259" t="s">
        <v>19</v>
      </c>
      <c r="F5259" t="s">
        <v>23</v>
      </c>
      <c r="O5259">
        <v>2046</v>
      </c>
      <c r="P5259">
        <v>8.3885759999999987</v>
      </c>
    </row>
    <row r="5260" spans="1:16" x14ac:dyDescent="0.3">
      <c r="A5260" t="str">
        <f t="shared" si="82"/>
        <v>PA|TotalCapacityAnnual|RE1|PWRGEO|2046</v>
      </c>
      <c r="B5260" t="s">
        <v>44</v>
      </c>
      <c r="C5260" t="s">
        <v>45</v>
      </c>
      <c r="D5260" t="s">
        <v>38</v>
      </c>
      <c r="E5260" t="s">
        <v>19</v>
      </c>
      <c r="F5260" t="s">
        <v>46</v>
      </c>
      <c r="O5260">
        <v>2046</v>
      </c>
      <c r="P5260">
        <v>22.077999999999999</v>
      </c>
    </row>
    <row r="5261" spans="1:16" x14ac:dyDescent="0.3">
      <c r="A5261" t="str">
        <f t="shared" si="82"/>
        <v>PA|TotalCapacityAnnual|RE1|PWRHYDDAM|2046</v>
      </c>
      <c r="B5261" t="s">
        <v>44</v>
      </c>
      <c r="C5261" t="s">
        <v>45</v>
      </c>
      <c r="D5261" t="s">
        <v>38</v>
      </c>
      <c r="E5261" t="s">
        <v>19</v>
      </c>
      <c r="F5261" t="s">
        <v>24</v>
      </c>
      <c r="O5261">
        <v>2046</v>
      </c>
      <c r="P5261">
        <v>440.49164800000011</v>
      </c>
    </row>
    <row r="5262" spans="1:16" x14ac:dyDescent="0.3">
      <c r="A5262" t="str">
        <f t="shared" si="82"/>
        <v>PA|TotalCapacityAnnual|RE1|PWRHYDROR|2046</v>
      </c>
      <c r="B5262" t="s">
        <v>44</v>
      </c>
      <c r="C5262" t="s">
        <v>45</v>
      </c>
      <c r="D5262" t="s">
        <v>38</v>
      </c>
      <c r="E5262" t="s">
        <v>19</v>
      </c>
      <c r="F5262" t="s">
        <v>25</v>
      </c>
      <c r="O5262">
        <v>2046</v>
      </c>
      <c r="P5262">
        <v>21.097584000000001</v>
      </c>
    </row>
    <row r="5263" spans="1:16" x14ac:dyDescent="0.3">
      <c r="A5263" t="str">
        <f t="shared" si="82"/>
        <v>PA|TotalCapacityAnnual|RE1|PWRHYDROR_NDC|2046</v>
      </c>
      <c r="B5263" t="s">
        <v>44</v>
      </c>
      <c r="C5263" t="s">
        <v>45</v>
      </c>
      <c r="D5263" t="s">
        <v>38</v>
      </c>
      <c r="E5263" t="s">
        <v>19</v>
      </c>
      <c r="F5263" t="s">
        <v>26</v>
      </c>
      <c r="O5263">
        <v>2046</v>
      </c>
      <c r="P5263">
        <v>29.725108271999989</v>
      </c>
    </row>
    <row r="5264" spans="1:16" x14ac:dyDescent="0.3">
      <c r="A5264" t="str">
        <f t="shared" si="82"/>
        <v>PA|TotalCapacityAnnual|RE1|PWRJET|2046</v>
      </c>
      <c r="B5264" t="s">
        <v>44</v>
      </c>
      <c r="C5264" t="s">
        <v>45</v>
      </c>
      <c r="D5264" t="s">
        <v>38</v>
      </c>
      <c r="E5264" t="s">
        <v>19</v>
      </c>
      <c r="F5264" t="s">
        <v>27</v>
      </c>
      <c r="O5264">
        <v>2046</v>
      </c>
      <c r="P5264">
        <v>1.5768</v>
      </c>
    </row>
    <row r="5265" spans="1:16" x14ac:dyDescent="0.3">
      <c r="A5265" t="str">
        <f t="shared" si="82"/>
        <v>PA|TotalCapacityAnnual|RE1|PWRLPG|2046</v>
      </c>
      <c r="B5265" t="s">
        <v>44</v>
      </c>
      <c r="C5265" t="s">
        <v>45</v>
      </c>
      <c r="D5265" t="s">
        <v>38</v>
      </c>
      <c r="E5265" t="s">
        <v>19</v>
      </c>
      <c r="F5265" t="s">
        <v>28</v>
      </c>
      <c r="O5265">
        <v>2046</v>
      </c>
      <c r="P5265">
        <v>1.639872</v>
      </c>
    </row>
    <row r="5266" spans="1:16" x14ac:dyDescent="0.3">
      <c r="A5266" t="str">
        <f t="shared" si="82"/>
        <v>PA|TotalCapacityAnnual|RE1|PWRNGS_CC|2046</v>
      </c>
      <c r="B5266" t="s">
        <v>44</v>
      </c>
      <c r="C5266" t="s">
        <v>45</v>
      </c>
      <c r="D5266" t="s">
        <v>38</v>
      </c>
      <c r="E5266" t="s">
        <v>19</v>
      </c>
      <c r="F5266" t="s">
        <v>29</v>
      </c>
      <c r="O5266">
        <v>2046</v>
      </c>
      <c r="P5266">
        <v>70.104500000000002</v>
      </c>
    </row>
    <row r="5267" spans="1:16" x14ac:dyDescent="0.3">
      <c r="A5267" t="str">
        <f t="shared" si="82"/>
        <v>PA|TotalCapacityAnnual|RE1|PWRNGS_CS|2046</v>
      </c>
      <c r="B5267" t="s">
        <v>44</v>
      </c>
      <c r="C5267" t="s">
        <v>45</v>
      </c>
      <c r="D5267" t="s">
        <v>38</v>
      </c>
      <c r="E5267" t="s">
        <v>19</v>
      </c>
      <c r="F5267" t="s">
        <v>30</v>
      </c>
      <c r="O5267">
        <v>2046</v>
      </c>
      <c r="P5267">
        <v>23.084351999999999</v>
      </c>
    </row>
    <row r="5268" spans="1:16" x14ac:dyDescent="0.3">
      <c r="A5268" t="str">
        <f t="shared" si="82"/>
        <v>PA|TotalCapacityAnnual|RE1|PWRNUC|2046</v>
      </c>
      <c r="B5268" t="s">
        <v>44</v>
      </c>
      <c r="C5268" t="s">
        <v>45</v>
      </c>
      <c r="D5268" t="s">
        <v>38</v>
      </c>
      <c r="E5268" t="s">
        <v>19</v>
      </c>
      <c r="F5268" t="s">
        <v>47</v>
      </c>
      <c r="O5268">
        <v>2046</v>
      </c>
      <c r="P5268">
        <v>9.5120000000000005</v>
      </c>
    </row>
    <row r="5269" spans="1:16" x14ac:dyDescent="0.3">
      <c r="A5269" t="str">
        <f t="shared" si="82"/>
        <v>PA|TotalCapacityAnnual|RE1|PWRSOLRTP|2046</v>
      </c>
      <c r="B5269" t="s">
        <v>44</v>
      </c>
      <c r="C5269" t="s">
        <v>45</v>
      </c>
      <c r="D5269" t="s">
        <v>38</v>
      </c>
      <c r="E5269" t="s">
        <v>19</v>
      </c>
      <c r="F5269" t="s">
        <v>31</v>
      </c>
      <c r="O5269">
        <v>2046</v>
      </c>
      <c r="P5269">
        <v>170.1227788839569</v>
      </c>
    </row>
    <row r="5270" spans="1:16" x14ac:dyDescent="0.3">
      <c r="A5270" t="str">
        <f t="shared" si="82"/>
        <v>PA|TotalCapacityAnnual|RE1|PWRSOLRTP_ZNI|2046</v>
      </c>
      <c r="B5270" t="s">
        <v>44</v>
      </c>
      <c r="C5270" t="s">
        <v>45</v>
      </c>
      <c r="D5270" t="s">
        <v>38</v>
      </c>
      <c r="E5270" t="s">
        <v>19</v>
      </c>
      <c r="F5270" t="s">
        <v>32</v>
      </c>
      <c r="O5270">
        <v>2046</v>
      </c>
      <c r="P5270">
        <v>0.46074095999999998</v>
      </c>
    </row>
    <row r="5271" spans="1:16" x14ac:dyDescent="0.3">
      <c r="A5271" t="str">
        <f t="shared" si="82"/>
        <v>PA|TotalCapacityAnnual|RE1|PWRSOLUGE|2046</v>
      </c>
      <c r="B5271" t="s">
        <v>44</v>
      </c>
      <c r="C5271" t="s">
        <v>45</v>
      </c>
      <c r="D5271" t="s">
        <v>38</v>
      </c>
      <c r="E5271" t="s">
        <v>19</v>
      </c>
      <c r="F5271" t="s">
        <v>33</v>
      </c>
      <c r="O5271">
        <v>2046</v>
      </c>
      <c r="P5271">
        <v>191.79189199999999</v>
      </c>
    </row>
    <row r="5272" spans="1:16" x14ac:dyDescent="0.3">
      <c r="A5272" t="str">
        <f t="shared" si="82"/>
        <v>PA|TotalCapacityAnnual|RE1|PWRSOLUPE|2046</v>
      </c>
      <c r="B5272" t="s">
        <v>44</v>
      </c>
      <c r="C5272" t="s">
        <v>45</v>
      </c>
      <c r="D5272" t="s">
        <v>38</v>
      </c>
      <c r="E5272" t="s">
        <v>19</v>
      </c>
      <c r="F5272" t="s">
        <v>34</v>
      </c>
      <c r="O5272">
        <v>2046</v>
      </c>
      <c r="P5272">
        <v>12.14419823999993</v>
      </c>
    </row>
    <row r="5273" spans="1:16" x14ac:dyDescent="0.3">
      <c r="A5273" t="str">
        <f t="shared" si="82"/>
        <v>PA|TotalCapacityAnnual|RE1|PWRSTD|2046</v>
      </c>
      <c r="B5273" t="s">
        <v>44</v>
      </c>
      <c r="C5273" t="s">
        <v>45</v>
      </c>
      <c r="D5273" t="s">
        <v>38</v>
      </c>
      <c r="E5273" t="s">
        <v>19</v>
      </c>
      <c r="F5273" t="s">
        <v>35</v>
      </c>
      <c r="O5273">
        <v>2046</v>
      </c>
      <c r="P5273">
        <v>8.163062064</v>
      </c>
    </row>
    <row r="5274" spans="1:16" x14ac:dyDescent="0.3">
      <c r="A5274" t="str">
        <f t="shared" si="82"/>
        <v>PA|TotalCapacityAnnual|RE1|PWRWNDOFS_FIX|2046</v>
      </c>
      <c r="B5274" t="s">
        <v>44</v>
      </c>
      <c r="C5274" t="s">
        <v>45</v>
      </c>
      <c r="D5274" t="s">
        <v>38</v>
      </c>
      <c r="E5274" t="s">
        <v>19</v>
      </c>
      <c r="F5274" t="s">
        <v>42</v>
      </c>
      <c r="O5274">
        <v>2046</v>
      </c>
      <c r="P5274">
        <v>34.689600000000013</v>
      </c>
    </row>
    <row r="5275" spans="1:16" x14ac:dyDescent="0.3">
      <c r="A5275" t="str">
        <f t="shared" si="82"/>
        <v>PA|TotalCapacityAnnual|RE1|PWRWNDONS|2046</v>
      </c>
      <c r="B5275" t="s">
        <v>44</v>
      </c>
      <c r="C5275" t="s">
        <v>45</v>
      </c>
      <c r="D5275" t="s">
        <v>38</v>
      </c>
      <c r="E5275" t="s">
        <v>19</v>
      </c>
      <c r="F5275" t="s">
        <v>36</v>
      </c>
      <c r="O5275">
        <v>2046</v>
      </c>
      <c r="P5275">
        <v>403.05141708939482</v>
      </c>
    </row>
    <row r="5276" spans="1:16" x14ac:dyDescent="0.3">
      <c r="A5276" t="str">
        <f t="shared" si="82"/>
        <v>PA|AccumulatedNewCapacity|RE1|PWRBGS|2047</v>
      </c>
      <c r="B5276" t="s">
        <v>44</v>
      </c>
      <c r="C5276" t="s">
        <v>45</v>
      </c>
      <c r="D5276" t="s">
        <v>18</v>
      </c>
      <c r="E5276" t="s">
        <v>19</v>
      </c>
      <c r="F5276" t="s">
        <v>20</v>
      </c>
      <c r="O5276">
        <v>2047</v>
      </c>
    </row>
    <row r="5277" spans="1:16" x14ac:dyDescent="0.3">
      <c r="A5277" t="str">
        <f t="shared" si="82"/>
        <v>PA|AccumulatedNewCapacity|RE1|PWRCOA|2047</v>
      </c>
      <c r="B5277" t="s">
        <v>44</v>
      </c>
      <c r="C5277" t="s">
        <v>45</v>
      </c>
      <c r="D5277" t="s">
        <v>18</v>
      </c>
      <c r="E5277" t="s">
        <v>19</v>
      </c>
      <c r="F5277" t="s">
        <v>21</v>
      </c>
      <c r="O5277">
        <v>2047</v>
      </c>
    </row>
    <row r="5278" spans="1:16" x14ac:dyDescent="0.3">
      <c r="A5278" t="str">
        <f t="shared" si="82"/>
        <v>PA|AccumulatedNewCapacity|RE1|PWRDSL|2047</v>
      </c>
      <c r="B5278" t="s">
        <v>44</v>
      </c>
      <c r="C5278" t="s">
        <v>45</v>
      </c>
      <c r="D5278" t="s">
        <v>18</v>
      </c>
      <c r="E5278" t="s">
        <v>19</v>
      </c>
      <c r="F5278" t="s">
        <v>22</v>
      </c>
      <c r="O5278">
        <v>2047</v>
      </c>
    </row>
    <row r="5279" spans="1:16" x14ac:dyDescent="0.3">
      <c r="A5279" t="str">
        <f t="shared" si="82"/>
        <v>PA|AccumulatedNewCapacity|RE1|PWRFOL|2047</v>
      </c>
      <c r="B5279" t="s">
        <v>44</v>
      </c>
      <c r="C5279" t="s">
        <v>45</v>
      </c>
      <c r="D5279" t="s">
        <v>18</v>
      </c>
      <c r="E5279" t="s">
        <v>19</v>
      </c>
      <c r="F5279" t="s">
        <v>23</v>
      </c>
      <c r="O5279">
        <v>2047</v>
      </c>
    </row>
    <row r="5280" spans="1:16" x14ac:dyDescent="0.3">
      <c r="A5280" t="str">
        <f t="shared" si="82"/>
        <v>PA|AccumulatedNewCapacity|RE1|PWRGEO|2047</v>
      </c>
      <c r="B5280" t="s">
        <v>44</v>
      </c>
      <c r="C5280" t="s">
        <v>45</v>
      </c>
      <c r="D5280" t="s">
        <v>18</v>
      </c>
      <c r="E5280" t="s">
        <v>19</v>
      </c>
      <c r="F5280" t="s">
        <v>46</v>
      </c>
      <c r="O5280">
        <v>2047</v>
      </c>
      <c r="P5280">
        <v>25.231999999999999</v>
      </c>
    </row>
    <row r="5281" spans="1:16" x14ac:dyDescent="0.3">
      <c r="A5281" t="str">
        <f t="shared" si="82"/>
        <v>PA|AccumulatedNewCapacity|RE1|PWRHYDDAM|2047</v>
      </c>
      <c r="B5281" t="s">
        <v>44</v>
      </c>
      <c r="C5281" t="s">
        <v>45</v>
      </c>
      <c r="D5281" t="s">
        <v>18</v>
      </c>
      <c r="E5281" t="s">
        <v>19</v>
      </c>
      <c r="F5281" t="s">
        <v>24</v>
      </c>
      <c r="O5281">
        <v>2047</v>
      </c>
      <c r="P5281">
        <v>37.840000000000003</v>
      </c>
    </row>
    <row r="5282" spans="1:16" x14ac:dyDescent="0.3">
      <c r="A5282" t="str">
        <f t="shared" si="82"/>
        <v>PA|AccumulatedNewCapacity|RE1|PWRHYDROR|2047</v>
      </c>
      <c r="B5282" t="s">
        <v>44</v>
      </c>
      <c r="C5282" t="s">
        <v>45</v>
      </c>
      <c r="D5282" t="s">
        <v>18</v>
      </c>
      <c r="E5282" t="s">
        <v>19</v>
      </c>
      <c r="F5282" t="s">
        <v>25</v>
      </c>
      <c r="O5282">
        <v>2047</v>
      </c>
    </row>
    <row r="5283" spans="1:16" x14ac:dyDescent="0.3">
      <c r="A5283" t="str">
        <f t="shared" si="82"/>
        <v>PA|AccumulatedNewCapacity|RE1|PWRHYDROR_NDC|2047</v>
      </c>
      <c r="B5283" t="s">
        <v>44</v>
      </c>
      <c r="C5283" t="s">
        <v>45</v>
      </c>
      <c r="D5283" t="s">
        <v>18</v>
      </c>
      <c r="E5283" t="s">
        <v>19</v>
      </c>
      <c r="F5283" t="s">
        <v>26</v>
      </c>
      <c r="O5283">
        <v>2047</v>
      </c>
    </row>
    <row r="5284" spans="1:16" x14ac:dyDescent="0.3">
      <c r="A5284" t="str">
        <f t="shared" si="82"/>
        <v>PA|AccumulatedNewCapacity|RE1|PWRJET|2047</v>
      </c>
      <c r="B5284" t="s">
        <v>44</v>
      </c>
      <c r="C5284" t="s">
        <v>45</v>
      </c>
      <c r="D5284" t="s">
        <v>18</v>
      </c>
      <c r="E5284" t="s">
        <v>19</v>
      </c>
      <c r="F5284" t="s">
        <v>27</v>
      </c>
      <c r="O5284">
        <v>2047</v>
      </c>
    </row>
    <row r="5285" spans="1:16" x14ac:dyDescent="0.3">
      <c r="A5285" t="str">
        <f t="shared" si="82"/>
        <v>PA|AccumulatedNewCapacity|RE1|PWRLPG|2047</v>
      </c>
      <c r="B5285" t="s">
        <v>44</v>
      </c>
      <c r="C5285" t="s">
        <v>45</v>
      </c>
      <c r="D5285" t="s">
        <v>18</v>
      </c>
      <c r="E5285" t="s">
        <v>19</v>
      </c>
      <c r="F5285" t="s">
        <v>28</v>
      </c>
      <c r="O5285">
        <v>2047</v>
      </c>
    </row>
    <row r="5286" spans="1:16" x14ac:dyDescent="0.3">
      <c r="A5286" t="str">
        <f t="shared" si="82"/>
        <v>PA|AccumulatedNewCapacity|RE1|PWRNGS_CC|2047</v>
      </c>
      <c r="B5286" t="s">
        <v>44</v>
      </c>
      <c r="C5286" t="s">
        <v>45</v>
      </c>
      <c r="D5286" t="s">
        <v>18</v>
      </c>
      <c r="E5286" t="s">
        <v>19</v>
      </c>
      <c r="F5286" t="s">
        <v>29</v>
      </c>
      <c r="O5286">
        <v>2047</v>
      </c>
    </row>
    <row r="5287" spans="1:16" x14ac:dyDescent="0.3">
      <c r="A5287" t="str">
        <f t="shared" si="82"/>
        <v>PA|AccumulatedNewCapacity|RE1|PWRNGS_CS|2047</v>
      </c>
      <c r="B5287" t="s">
        <v>44</v>
      </c>
      <c r="C5287" t="s">
        <v>45</v>
      </c>
      <c r="D5287" t="s">
        <v>18</v>
      </c>
      <c r="E5287" t="s">
        <v>19</v>
      </c>
      <c r="F5287" t="s">
        <v>30</v>
      </c>
      <c r="O5287">
        <v>2047</v>
      </c>
    </row>
    <row r="5288" spans="1:16" x14ac:dyDescent="0.3">
      <c r="A5288" t="str">
        <f t="shared" si="82"/>
        <v>PA|AccumulatedNewCapacity|RE1|PWRNUC|2047</v>
      </c>
      <c r="B5288" t="s">
        <v>44</v>
      </c>
      <c r="C5288" t="s">
        <v>45</v>
      </c>
      <c r="D5288" t="s">
        <v>18</v>
      </c>
      <c r="E5288" t="s">
        <v>19</v>
      </c>
      <c r="F5288" t="s">
        <v>47</v>
      </c>
      <c r="O5288">
        <v>2047</v>
      </c>
      <c r="P5288">
        <v>9.5120000000000005</v>
      </c>
    </row>
    <row r="5289" spans="1:16" x14ac:dyDescent="0.3">
      <c r="A5289" t="str">
        <f t="shared" si="82"/>
        <v>PA|AccumulatedNewCapacity|RE1|PWRSOLRTP|2047</v>
      </c>
      <c r="B5289" t="s">
        <v>44</v>
      </c>
      <c r="C5289" t="s">
        <v>45</v>
      </c>
      <c r="D5289" t="s">
        <v>18</v>
      </c>
      <c r="E5289" t="s">
        <v>19</v>
      </c>
      <c r="F5289" t="s">
        <v>31</v>
      </c>
      <c r="O5289">
        <v>2047</v>
      </c>
      <c r="P5289">
        <v>150.99522511097021</v>
      </c>
    </row>
    <row r="5290" spans="1:16" x14ac:dyDescent="0.3">
      <c r="A5290" t="str">
        <f t="shared" si="82"/>
        <v>PA|AccumulatedNewCapacity|RE1|PWRSOLRTP_ZNI|2047</v>
      </c>
      <c r="B5290" t="s">
        <v>44</v>
      </c>
      <c r="C5290" t="s">
        <v>45</v>
      </c>
      <c r="D5290" t="s">
        <v>18</v>
      </c>
      <c r="E5290" t="s">
        <v>19</v>
      </c>
      <c r="F5290" t="s">
        <v>32</v>
      </c>
      <c r="O5290">
        <v>2047</v>
      </c>
    </row>
    <row r="5291" spans="1:16" x14ac:dyDescent="0.3">
      <c r="A5291" t="str">
        <f t="shared" si="82"/>
        <v>PA|AccumulatedNewCapacity|RE1|PWRSOLUGE|2047</v>
      </c>
      <c r="B5291" t="s">
        <v>44</v>
      </c>
      <c r="C5291" t="s">
        <v>45</v>
      </c>
      <c r="D5291" t="s">
        <v>18</v>
      </c>
      <c r="E5291" t="s">
        <v>19</v>
      </c>
      <c r="F5291" t="s">
        <v>33</v>
      </c>
      <c r="O5291">
        <v>2047</v>
      </c>
      <c r="P5291">
        <v>143.394192</v>
      </c>
    </row>
    <row r="5292" spans="1:16" x14ac:dyDescent="0.3">
      <c r="A5292" t="str">
        <f t="shared" si="82"/>
        <v>PA|AccumulatedNewCapacity|RE1|PWRSOLUPE|2047</v>
      </c>
      <c r="B5292" t="s">
        <v>44</v>
      </c>
      <c r="C5292" t="s">
        <v>45</v>
      </c>
      <c r="D5292" t="s">
        <v>18</v>
      </c>
      <c r="E5292" t="s">
        <v>19</v>
      </c>
      <c r="F5292" t="s">
        <v>34</v>
      </c>
      <c r="O5292">
        <v>2047</v>
      </c>
      <c r="P5292">
        <v>12.14419823999993</v>
      </c>
    </row>
    <row r="5293" spans="1:16" x14ac:dyDescent="0.3">
      <c r="A5293" t="str">
        <f t="shared" si="82"/>
        <v>PA|AccumulatedNewCapacity|RE1|PWRSTD|2047</v>
      </c>
      <c r="B5293" t="s">
        <v>44</v>
      </c>
      <c r="C5293" t="s">
        <v>45</v>
      </c>
      <c r="D5293" t="s">
        <v>18</v>
      </c>
      <c r="E5293" t="s">
        <v>19</v>
      </c>
      <c r="F5293" t="s">
        <v>35</v>
      </c>
      <c r="O5293">
        <v>2047</v>
      </c>
    </row>
    <row r="5294" spans="1:16" x14ac:dyDescent="0.3">
      <c r="A5294" t="str">
        <f t="shared" si="82"/>
        <v>PA|AccumulatedNewCapacity|RE1|PWRWNDOFS_FIX|2047</v>
      </c>
      <c r="B5294" t="s">
        <v>44</v>
      </c>
      <c r="C5294" t="s">
        <v>45</v>
      </c>
      <c r="D5294" t="s">
        <v>18</v>
      </c>
      <c r="E5294" t="s">
        <v>19</v>
      </c>
      <c r="F5294" t="s">
        <v>42</v>
      </c>
      <c r="O5294">
        <v>2047</v>
      </c>
      <c r="P5294">
        <v>37.843200000000003</v>
      </c>
    </row>
    <row r="5295" spans="1:16" x14ac:dyDescent="0.3">
      <c r="A5295" t="str">
        <f t="shared" si="82"/>
        <v>PA|AccumulatedNewCapacity|RE1|PWRWNDONS|2047</v>
      </c>
      <c r="B5295" t="s">
        <v>44</v>
      </c>
      <c r="C5295" t="s">
        <v>45</v>
      </c>
      <c r="D5295" t="s">
        <v>18</v>
      </c>
      <c r="E5295" t="s">
        <v>19</v>
      </c>
      <c r="F5295" t="s">
        <v>36</v>
      </c>
      <c r="O5295">
        <v>2047</v>
      </c>
      <c r="P5295">
        <v>448.99275468939481</v>
      </c>
    </row>
    <row r="5296" spans="1:16" x14ac:dyDescent="0.3">
      <c r="A5296" t="str">
        <f t="shared" si="82"/>
        <v>PA|NewCapacity|RE1|PWRBGS|2047</v>
      </c>
      <c r="B5296" t="s">
        <v>44</v>
      </c>
      <c r="C5296" t="s">
        <v>45</v>
      </c>
      <c r="D5296" t="s">
        <v>37</v>
      </c>
      <c r="E5296" t="s">
        <v>19</v>
      </c>
      <c r="F5296" t="s">
        <v>20</v>
      </c>
      <c r="O5296">
        <v>2047</v>
      </c>
    </row>
    <row r="5297" spans="1:16" x14ac:dyDescent="0.3">
      <c r="A5297" t="str">
        <f t="shared" si="82"/>
        <v>PA|NewCapacity|RE1|PWRCOA|2047</v>
      </c>
      <c r="B5297" t="s">
        <v>44</v>
      </c>
      <c r="C5297" t="s">
        <v>45</v>
      </c>
      <c r="D5297" t="s">
        <v>37</v>
      </c>
      <c r="E5297" t="s">
        <v>19</v>
      </c>
      <c r="F5297" t="s">
        <v>21</v>
      </c>
      <c r="O5297">
        <v>2047</v>
      </c>
    </row>
    <row r="5298" spans="1:16" x14ac:dyDescent="0.3">
      <c r="A5298" t="str">
        <f t="shared" si="82"/>
        <v>PA|NewCapacity|RE1|PWRDSL|2047</v>
      </c>
      <c r="B5298" t="s">
        <v>44</v>
      </c>
      <c r="C5298" t="s">
        <v>45</v>
      </c>
      <c r="D5298" t="s">
        <v>37</v>
      </c>
      <c r="E5298" t="s">
        <v>19</v>
      </c>
      <c r="F5298" t="s">
        <v>22</v>
      </c>
      <c r="O5298">
        <v>2047</v>
      </c>
    </row>
    <row r="5299" spans="1:16" x14ac:dyDescent="0.3">
      <c r="A5299" t="str">
        <f t="shared" si="82"/>
        <v>PA|NewCapacity|RE1|PWRFOL|2047</v>
      </c>
      <c r="B5299" t="s">
        <v>44</v>
      </c>
      <c r="C5299" t="s">
        <v>45</v>
      </c>
      <c r="D5299" t="s">
        <v>37</v>
      </c>
      <c r="E5299" t="s">
        <v>19</v>
      </c>
      <c r="F5299" t="s">
        <v>23</v>
      </c>
      <c r="O5299">
        <v>2047</v>
      </c>
    </row>
    <row r="5300" spans="1:16" x14ac:dyDescent="0.3">
      <c r="A5300" t="str">
        <f t="shared" si="82"/>
        <v>PA|NewCapacity|RE1|PWRGEO|2047</v>
      </c>
      <c r="B5300" t="s">
        <v>44</v>
      </c>
      <c r="C5300" t="s">
        <v>45</v>
      </c>
      <c r="D5300" t="s">
        <v>37</v>
      </c>
      <c r="E5300" t="s">
        <v>19</v>
      </c>
      <c r="F5300" t="s">
        <v>46</v>
      </c>
      <c r="O5300">
        <v>2047</v>
      </c>
      <c r="P5300">
        <v>3.1539999999999999</v>
      </c>
    </row>
    <row r="5301" spans="1:16" x14ac:dyDescent="0.3">
      <c r="A5301" t="str">
        <f t="shared" si="82"/>
        <v>PA|NewCapacity|RE1|PWRHYDDAM|2047</v>
      </c>
      <c r="B5301" t="s">
        <v>44</v>
      </c>
      <c r="C5301" t="s">
        <v>45</v>
      </c>
      <c r="D5301" t="s">
        <v>37</v>
      </c>
      <c r="E5301" t="s">
        <v>19</v>
      </c>
      <c r="F5301" t="s">
        <v>24</v>
      </c>
      <c r="O5301">
        <v>2047</v>
      </c>
    </row>
    <row r="5302" spans="1:16" x14ac:dyDescent="0.3">
      <c r="A5302" t="str">
        <f t="shared" si="82"/>
        <v>PA|NewCapacity|RE1|PWRHYDROR|2047</v>
      </c>
      <c r="B5302" t="s">
        <v>44</v>
      </c>
      <c r="C5302" t="s">
        <v>45</v>
      </c>
      <c r="D5302" t="s">
        <v>37</v>
      </c>
      <c r="E5302" t="s">
        <v>19</v>
      </c>
      <c r="F5302" t="s">
        <v>25</v>
      </c>
      <c r="O5302">
        <v>2047</v>
      </c>
    </row>
    <row r="5303" spans="1:16" x14ac:dyDescent="0.3">
      <c r="A5303" t="str">
        <f t="shared" si="82"/>
        <v>PA|NewCapacity|RE1|PWRHYDROR_NDC|2047</v>
      </c>
      <c r="B5303" t="s">
        <v>44</v>
      </c>
      <c r="C5303" t="s">
        <v>45</v>
      </c>
      <c r="D5303" t="s">
        <v>37</v>
      </c>
      <c r="E5303" t="s">
        <v>19</v>
      </c>
      <c r="F5303" t="s">
        <v>26</v>
      </c>
      <c r="O5303">
        <v>2047</v>
      </c>
    </row>
    <row r="5304" spans="1:16" x14ac:dyDescent="0.3">
      <c r="A5304" t="str">
        <f t="shared" si="82"/>
        <v>PA|NewCapacity|RE1|PWRJET|2047</v>
      </c>
      <c r="B5304" t="s">
        <v>44</v>
      </c>
      <c r="C5304" t="s">
        <v>45</v>
      </c>
      <c r="D5304" t="s">
        <v>37</v>
      </c>
      <c r="E5304" t="s">
        <v>19</v>
      </c>
      <c r="F5304" t="s">
        <v>27</v>
      </c>
      <c r="O5304">
        <v>2047</v>
      </c>
    </row>
    <row r="5305" spans="1:16" x14ac:dyDescent="0.3">
      <c r="A5305" t="str">
        <f t="shared" si="82"/>
        <v>PA|NewCapacity|RE1|PWRLPG|2047</v>
      </c>
      <c r="B5305" t="s">
        <v>44</v>
      </c>
      <c r="C5305" t="s">
        <v>45</v>
      </c>
      <c r="D5305" t="s">
        <v>37</v>
      </c>
      <c r="E5305" t="s">
        <v>19</v>
      </c>
      <c r="F5305" t="s">
        <v>28</v>
      </c>
      <c r="O5305">
        <v>2047</v>
      </c>
    </row>
    <row r="5306" spans="1:16" x14ac:dyDescent="0.3">
      <c r="A5306" t="str">
        <f t="shared" si="82"/>
        <v>PA|NewCapacity|RE1|PWRNGS_CC|2047</v>
      </c>
      <c r="B5306" t="s">
        <v>44</v>
      </c>
      <c r="C5306" t="s">
        <v>45</v>
      </c>
      <c r="D5306" t="s">
        <v>37</v>
      </c>
      <c r="E5306" t="s">
        <v>19</v>
      </c>
      <c r="F5306" t="s">
        <v>29</v>
      </c>
      <c r="O5306">
        <v>2047</v>
      </c>
    </row>
    <row r="5307" spans="1:16" x14ac:dyDescent="0.3">
      <c r="A5307" t="str">
        <f t="shared" si="82"/>
        <v>PA|NewCapacity|RE1|PWRNGS_CS|2047</v>
      </c>
      <c r="B5307" t="s">
        <v>44</v>
      </c>
      <c r="C5307" t="s">
        <v>45</v>
      </c>
      <c r="D5307" t="s">
        <v>37</v>
      </c>
      <c r="E5307" t="s">
        <v>19</v>
      </c>
      <c r="F5307" t="s">
        <v>30</v>
      </c>
      <c r="O5307">
        <v>2047</v>
      </c>
    </row>
    <row r="5308" spans="1:16" x14ac:dyDescent="0.3">
      <c r="A5308" t="str">
        <f t="shared" si="82"/>
        <v>PA|NewCapacity|RE1|PWRNUC|2047</v>
      </c>
      <c r="B5308" t="s">
        <v>44</v>
      </c>
      <c r="C5308" t="s">
        <v>45</v>
      </c>
      <c r="D5308" t="s">
        <v>37</v>
      </c>
      <c r="E5308" t="s">
        <v>19</v>
      </c>
      <c r="F5308" t="s">
        <v>47</v>
      </c>
      <c r="O5308">
        <v>2047</v>
      </c>
    </row>
    <row r="5309" spans="1:16" x14ac:dyDescent="0.3">
      <c r="A5309" t="str">
        <f t="shared" si="82"/>
        <v>PA|NewCapacity|RE1|PWRSOLRTP|2047</v>
      </c>
      <c r="B5309" t="s">
        <v>44</v>
      </c>
      <c r="C5309" t="s">
        <v>45</v>
      </c>
      <c r="D5309" t="s">
        <v>37</v>
      </c>
      <c r="E5309" t="s">
        <v>19</v>
      </c>
      <c r="F5309" t="s">
        <v>31</v>
      </c>
      <c r="O5309">
        <v>2047</v>
      </c>
      <c r="P5309">
        <v>1.902346227013316</v>
      </c>
    </row>
    <row r="5310" spans="1:16" x14ac:dyDescent="0.3">
      <c r="A5310" t="str">
        <f t="shared" si="82"/>
        <v>PA|NewCapacity|RE1|PWRSOLRTP_ZNI|2047</v>
      </c>
      <c r="B5310" t="s">
        <v>44</v>
      </c>
      <c r="C5310" t="s">
        <v>45</v>
      </c>
      <c r="D5310" t="s">
        <v>37</v>
      </c>
      <c r="E5310" t="s">
        <v>19</v>
      </c>
      <c r="F5310" t="s">
        <v>32</v>
      </c>
      <c r="O5310">
        <v>2047</v>
      </c>
    </row>
    <row r="5311" spans="1:16" x14ac:dyDescent="0.3">
      <c r="A5311" t="str">
        <f t="shared" si="82"/>
        <v>PA|NewCapacity|RE1|PWRSOLUGE|2047</v>
      </c>
      <c r="B5311" t="s">
        <v>44</v>
      </c>
      <c r="C5311" t="s">
        <v>45</v>
      </c>
      <c r="D5311" t="s">
        <v>37</v>
      </c>
      <c r="E5311" t="s">
        <v>19</v>
      </c>
      <c r="F5311" t="s">
        <v>33</v>
      </c>
      <c r="O5311">
        <v>2047</v>
      </c>
    </row>
    <row r="5312" spans="1:16" x14ac:dyDescent="0.3">
      <c r="A5312" t="str">
        <f t="shared" si="82"/>
        <v>PA|NewCapacity|RE1|PWRSOLUPE|2047</v>
      </c>
      <c r="B5312" t="s">
        <v>44</v>
      </c>
      <c r="C5312" t="s">
        <v>45</v>
      </c>
      <c r="D5312" t="s">
        <v>37</v>
      </c>
      <c r="E5312" t="s">
        <v>19</v>
      </c>
      <c r="F5312" t="s">
        <v>34</v>
      </c>
      <c r="O5312">
        <v>2047</v>
      </c>
    </row>
    <row r="5313" spans="1:16" x14ac:dyDescent="0.3">
      <c r="A5313" t="str">
        <f t="shared" si="82"/>
        <v>PA|NewCapacity|RE1|PWRSTD|2047</v>
      </c>
      <c r="B5313" t="s">
        <v>44</v>
      </c>
      <c r="C5313" t="s">
        <v>45</v>
      </c>
      <c r="D5313" t="s">
        <v>37</v>
      </c>
      <c r="E5313" t="s">
        <v>19</v>
      </c>
      <c r="F5313" t="s">
        <v>35</v>
      </c>
      <c r="O5313">
        <v>2047</v>
      </c>
    </row>
    <row r="5314" spans="1:16" x14ac:dyDescent="0.3">
      <c r="A5314" t="str">
        <f t="shared" ref="A5314:A5377" si="83">B5314&amp;"|"&amp;D5314&amp;"|"&amp;E5314&amp;"|"&amp;F5314&amp;"|"&amp;O5314</f>
        <v>PA|NewCapacity|RE1|PWRWNDOFS_FIX|2047</v>
      </c>
      <c r="B5314" t="s">
        <v>44</v>
      </c>
      <c r="C5314" t="s">
        <v>45</v>
      </c>
      <c r="D5314" t="s">
        <v>37</v>
      </c>
      <c r="E5314" t="s">
        <v>19</v>
      </c>
      <c r="F5314" t="s">
        <v>42</v>
      </c>
      <c r="O5314">
        <v>2047</v>
      </c>
      <c r="P5314">
        <v>3.1536</v>
      </c>
    </row>
    <row r="5315" spans="1:16" x14ac:dyDescent="0.3">
      <c r="A5315" t="str">
        <f t="shared" si="83"/>
        <v>PA|NewCapacity|RE1|PWRWNDONS|2047</v>
      </c>
      <c r="B5315" t="s">
        <v>44</v>
      </c>
      <c r="C5315" t="s">
        <v>45</v>
      </c>
      <c r="D5315" t="s">
        <v>37</v>
      </c>
      <c r="E5315" t="s">
        <v>19</v>
      </c>
      <c r="F5315" t="s">
        <v>36</v>
      </c>
      <c r="O5315">
        <v>2047</v>
      </c>
      <c r="P5315">
        <v>47.31</v>
      </c>
    </row>
    <row r="5316" spans="1:16" x14ac:dyDescent="0.3">
      <c r="A5316" t="str">
        <f t="shared" si="83"/>
        <v>PA|TotalCapacityAnnual|RE1|PWRBGS|2047</v>
      </c>
      <c r="B5316" t="s">
        <v>44</v>
      </c>
      <c r="C5316" t="s">
        <v>45</v>
      </c>
      <c r="D5316" t="s">
        <v>38</v>
      </c>
      <c r="E5316" t="s">
        <v>19</v>
      </c>
      <c r="F5316" t="s">
        <v>20</v>
      </c>
      <c r="O5316">
        <v>2047</v>
      </c>
      <c r="P5316">
        <v>2.5488587520000001E-2</v>
      </c>
    </row>
    <row r="5317" spans="1:16" x14ac:dyDescent="0.3">
      <c r="A5317" t="str">
        <f t="shared" si="83"/>
        <v>PA|TotalCapacityAnnual|RE1|PWRCOA|2047</v>
      </c>
      <c r="B5317" t="s">
        <v>44</v>
      </c>
      <c r="C5317" t="s">
        <v>45</v>
      </c>
      <c r="D5317" t="s">
        <v>38</v>
      </c>
      <c r="E5317" t="s">
        <v>19</v>
      </c>
      <c r="F5317" t="s">
        <v>21</v>
      </c>
      <c r="O5317">
        <v>2047</v>
      </c>
    </row>
    <row r="5318" spans="1:16" x14ac:dyDescent="0.3">
      <c r="A5318" t="str">
        <f t="shared" si="83"/>
        <v>PA|TotalCapacityAnnual|RE1|PWRDSL|2047</v>
      </c>
      <c r="B5318" t="s">
        <v>44</v>
      </c>
      <c r="C5318" t="s">
        <v>45</v>
      </c>
      <c r="D5318" t="s">
        <v>38</v>
      </c>
      <c r="E5318" t="s">
        <v>19</v>
      </c>
      <c r="F5318" t="s">
        <v>22</v>
      </c>
      <c r="O5318">
        <v>2047</v>
      </c>
      <c r="P5318">
        <v>24.944976</v>
      </c>
    </row>
    <row r="5319" spans="1:16" x14ac:dyDescent="0.3">
      <c r="A5319" t="str">
        <f t="shared" si="83"/>
        <v>PA|TotalCapacityAnnual|RE1|PWRFOL|2047</v>
      </c>
      <c r="B5319" t="s">
        <v>44</v>
      </c>
      <c r="C5319" t="s">
        <v>45</v>
      </c>
      <c r="D5319" t="s">
        <v>38</v>
      </c>
      <c r="E5319" t="s">
        <v>19</v>
      </c>
      <c r="F5319" t="s">
        <v>23</v>
      </c>
      <c r="O5319">
        <v>2047</v>
      </c>
      <c r="P5319">
        <v>8.3885759999999987</v>
      </c>
    </row>
    <row r="5320" spans="1:16" x14ac:dyDescent="0.3">
      <c r="A5320" t="str">
        <f t="shared" si="83"/>
        <v>PA|TotalCapacityAnnual|RE1|PWRGEO|2047</v>
      </c>
      <c r="B5320" t="s">
        <v>44</v>
      </c>
      <c r="C5320" t="s">
        <v>45</v>
      </c>
      <c r="D5320" t="s">
        <v>38</v>
      </c>
      <c r="E5320" t="s">
        <v>19</v>
      </c>
      <c r="F5320" t="s">
        <v>46</v>
      </c>
      <c r="O5320">
        <v>2047</v>
      </c>
      <c r="P5320">
        <v>25.231999999999999</v>
      </c>
    </row>
    <row r="5321" spans="1:16" x14ac:dyDescent="0.3">
      <c r="A5321" t="str">
        <f t="shared" si="83"/>
        <v>PA|TotalCapacityAnnual|RE1|PWRHYDDAM|2047</v>
      </c>
      <c r="B5321" t="s">
        <v>44</v>
      </c>
      <c r="C5321" t="s">
        <v>45</v>
      </c>
      <c r="D5321" t="s">
        <v>38</v>
      </c>
      <c r="E5321" t="s">
        <v>19</v>
      </c>
      <c r="F5321" t="s">
        <v>24</v>
      </c>
      <c r="O5321">
        <v>2047</v>
      </c>
      <c r="P5321">
        <v>440.49164800000011</v>
      </c>
    </row>
    <row r="5322" spans="1:16" x14ac:dyDescent="0.3">
      <c r="A5322" t="str">
        <f t="shared" si="83"/>
        <v>PA|TotalCapacityAnnual|RE1|PWRHYDROR|2047</v>
      </c>
      <c r="B5322" t="s">
        <v>44</v>
      </c>
      <c r="C5322" t="s">
        <v>45</v>
      </c>
      <c r="D5322" t="s">
        <v>38</v>
      </c>
      <c r="E5322" t="s">
        <v>19</v>
      </c>
      <c r="F5322" t="s">
        <v>25</v>
      </c>
      <c r="O5322">
        <v>2047</v>
      </c>
      <c r="P5322">
        <v>21.097584000000001</v>
      </c>
    </row>
    <row r="5323" spans="1:16" x14ac:dyDescent="0.3">
      <c r="A5323" t="str">
        <f t="shared" si="83"/>
        <v>PA|TotalCapacityAnnual|RE1|PWRHYDROR_NDC|2047</v>
      </c>
      <c r="B5323" t="s">
        <v>44</v>
      </c>
      <c r="C5323" t="s">
        <v>45</v>
      </c>
      <c r="D5323" t="s">
        <v>38</v>
      </c>
      <c r="E5323" t="s">
        <v>19</v>
      </c>
      <c r="F5323" t="s">
        <v>26</v>
      </c>
      <c r="O5323">
        <v>2047</v>
      </c>
      <c r="P5323">
        <v>29.725108271999989</v>
      </c>
    </row>
    <row r="5324" spans="1:16" x14ac:dyDescent="0.3">
      <c r="A5324" t="str">
        <f t="shared" si="83"/>
        <v>PA|TotalCapacityAnnual|RE1|PWRJET|2047</v>
      </c>
      <c r="B5324" t="s">
        <v>44</v>
      </c>
      <c r="C5324" t="s">
        <v>45</v>
      </c>
      <c r="D5324" t="s">
        <v>38</v>
      </c>
      <c r="E5324" t="s">
        <v>19</v>
      </c>
      <c r="F5324" t="s">
        <v>27</v>
      </c>
      <c r="O5324">
        <v>2047</v>
      </c>
      <c r="P5324">
        <v>1.5768</v>
      </c>
    </row>
    <row r="5325" spans="1:16" x14ac:dyDescent="0.3">
      <c r="A5325" t="str">
        <f t="shared" si="83"/>
        <v>PA|TotalCapacityAnnual|RE1|PWRLPG|2047</v>
      </c>
      <c r="B5325" t="s">
        <v>44</v>
      </c>
      <c r="C5325" t="s">
        <v>45</v>
      </c>
      <c r="D5325" t="s">
        <v>38</v>
      </c>
      <c r="E5325" t="s">
        <v>19</v>
      </c>
      <c r="F5325" t="s">
        <v>28</v>
      </c>
      <c r="O5325">
        <v>2047</v>
      </c>
      <c r="P5325">
        <v>1.639872</v>
      </c>
    </row>
    <row r="5326" spans="1:16" x14ac:dyDescent="0.3">
      <c r="A5326" t="str">
        <f t="shared" si="83"/>
        <v>PA|TotalCapacityAnnual|RE1|PWRNGS_CC|2047</v>
      </c>
      <c r="B5326" t="s">
        <v>44</v>
      </c>
      <c r="C5326" t="s">
        <v>45</v>
      </c>
      <c r="D5326" t="s">
        <v>38</v>
      </c>
      <c r="E5326" t="s">
        <v>19</v>
      </c>
      <c r="F5326" t="s">
        <v>29</v>
      </c>
      <c r="O5326">
        <v>2047</v>
      </c>
      <c r="P5326">
        <v>70.104500000000002</v>
      </c>
    </row>
    <row r="5327" spans="1:16" x14ac:dyDescent="0.3">
      <c r="A5327" t="str">
        <f t="shared" si="83"/>
        <v>PA|TotalCapacityAnnual|RE1|PWRNGS_CS|2047</v>
      </c>
      <c r="B5327" t="s">
        <v>44</v>
      </c>
      <c r="C5327" t="s">
        <v>45</v>
      </c>
      <c r="D5327" t="s">
        <v>38</v>
      </c>
      <c r="E5327" t="s">
        <v>19</v>
      </c>
      <c r="F5327" t="s">
        <v>30</v>
      </c>
      <c r="O5327">
        <v>2047</v>
      </c>
      <c r="P5327">
        <v>23.084351999999999</v>
      </c>
    </row>
    <row r="5328" spans="1:16" x14ac:dyDescent="0.3">
      <c r="A5328" t="str">
        <f t="shared" si="83"/>
        <v>PA|TotalCapacityAnnual|RE1|PWRNUC|2047</v>
      </c>
      <c r="B5328" t="s">
        <v>44</v>
      </c>
      <c r="C5328" t="s">
        <v>45</v>
      </c>
      <c r="D5328" t="s">
        <v>38</v>
      </c>
      <c r="E5328" t="s">
        <v>19</v>
      </c>
      <c r="F5328" t="s">
        <v>47</v>
      </c>
      <c r="O5328">
        <v>2047</v>
      </c>
      <c r="P5328">
        <v>9.5120000000000005</v>
      </c>
    </row>
    <row r="5329" spans="1:16" x14ac:dyDescent="0.3">
      <c r="A5329" t="str">
        <f t="shared" si="83"/>
        <v>PA|TotalCapacityAnnual|RE1|PWRSOLRTP|2047</v>
      </c>
      <c r="B5329" t="s">
        <v>44</v>
      </c>
      <c r="C5329" t="s">
        <v>45</v>
      </c>
      <c r="D5329" t="s">
        <v>38</v>
      </c>
      <c r="E5329" t="s">
        <v>19</v>
      </c>
      <c r="F5329" t="s">
        <v>31</v>
      </c>
      <c r="O5329">
        <v>2047</v>
      </c>
      <c r="P5329">
        <v>170.3313251109702</v>
      </c>
    </row>
    <row r="5330" spans="1:16" x14ac:dyDescent="0.3">
      <c r="A5330" t="str">
        <f t="shared" si="83"/>
        <v>PA|TotalCapacityAnnual|RE1|PWRSOLRTP_ZNI|2047</v>
      </c>
      <c r="B5330" t="s">
        <v>44</v>
      </c>
      <c r="C5330" t="s">
        <v>45</v>
      </c>
      <c r="D5330" t="s">
        <v>38</v>
      </c>
      <c r="E5330" t="s">
        <v>19</v>
      </c>
      <c r="F5330" t="s">
        <v>32</v>
      </c>
      <c r="O5330">
        <v>2047</v>
      </c>
      <c r="P5330">
        <v>0.46074095999999998</v>
      </c>
    </row>
    <row r="5331" spans="1:16" x14ac:dyDescent="0.3">
      <c r="A5331" t="str">
        <f t="shared" si="83"/>
        <v>PA|TotalCapacityAnnual|RE1|PWRSOLUGE|2047</v>
      </c>
      <c r="B5331" t="s">
        <v>44</v>
      </c>
      <c r="C5331" t="s">
        <v>45</v>
      </c>
      <c r="D5331" t="s">
        <v>38</v>
      </c>
      <c r="E5331" t="s">
        <v>19</v>
      </c>
      <c r="F5331" t="s">
        <v>33</v>
      </c>
      <c r="O5331">
        <v>2047</v>
      </c>
      <c r="P5331">
        <v>191.79189199999999</v>
      </c>
    </row>
    <row r="5332" spans="1:16" x14ac:dyDescent="0.3">
      <c r="A5332" t="str">
        <f t="shared" si="83"/>
        <v>PA|TotalCapacityAnnual|RE1|PWRSOLUPE|2047</v>
      </c>
      <c r="B5332" t="s">
        <v>44</v>
      </c>
      <c r="C5332" t="s">
        <v>45</v>
      </c>
      <c r="D5332" t="s">
        <v>38</v>
      </c>
      <c r="E5332" t="s">
        <v>19</v>
      </c>
      <c r="F5332" t="s">
        <v>34</v>
      </c>
      <c r="O5332">
        <v>2047</v>
      </c>
      <c r="P5332">
        <v>12.14419823999993</v>
      </c>
    </row>
    <row r="5333" spans="1:16" x14ac:dyDescent="0.3">
      <c r="A5333" t="str">
        <f t="shared" si="83"/>
        <v>PA|TotalCapacityAnnual|RE1|PWRSTD|2047</v>
      </c>
      <c r="B5333" t="s">
        <v>44</v>
      </c>
      <c r="C5333" t="s">
        <v>45</v>
      </c>
      <c r="D5333" t="s">
        <v>38</v>
      </c>
      <c r="E5333" t="s">
        <v>19</v>
      </c>
      <c r="F5333" t="s">
        <v>35</v>
      </c>
      <c r="O5333">
        <v>2047</v>
      </c>
      <c r="P5333">
        <v>8.163062064</v>
      </c>
    </row>
    <row r="5334" spans="1:16" x14ac:dyDescent="0.3">
      <c r="A5334" t="str">
        <f t="shared" si="83"/>
        <v>PA|TotalCapacityAnnual|RE1|PWRWNDOFS_FIX|2047</v>
      </c>
      <c r="B5334" t="s">
        <v>44</v>
      </c>
      <c r="C5334" t="s">
        <v>45</v>
      </c>
      <c r="D5334" t="s">
        <v>38</v>
      </c>
      <c r="E5334" t="s">
        <v>19</v>
      </c>
      <c r="F5334" t="s">
        <v>42</v>
      </c>
      <c r="O5334">
        <v>2047</v>
      </c>
      <c r="P5334">
        <v>37.843200000000003</v>
      </c>
    </row>
    <row r="5335" spans="1:16" x14ac:dyDescent="0.3">
      <c r="A5335" t="str">
        <f t="shared" si="83"/>
        <v>PA|TotalCapacityAnnual|RE1|PWRWNDONS|2047</v>
      </c>
      <c r="B5335" t="s">
        <v>44</v>
      </c>
      <c r="C5335" t="s">
        <v>45</v>
      </c>
      <c r="D5335" t="s">
        <v>38</v>
      </c>
      <c r="E5335" t="s">
        <v>19</v>
      </c>
      <c r="F5335" t="s">
        <v>36</v>
      </c>
      <c r="O5335">
        <v>2047</v>
      </c>
      <c r="P5335">
        <v>450.36141708939482</v>
      </c>
    </row>
    <row r="5336" spans="1:16" x14ac:dyDescent="0.3">
      <c r="A5336" t="str">
        <f t="shared" si="83"/>
        <v>PA|AccumulatedNewCapacity|RE1|PWRBGS|2048</v>
      </c>
      <c r="B5336" t="s">
        <v>44</v>
      </c>
      <c r="C5336" t="s">
        <v>45</v>
      </c>
      <c r="D5336" t="s">
        <v>18</v>
      </c>
      <c r="E5336" t="s">
        <v>19</v>
      </c>
      <c r="F5336" t="s">
        <v>20</v>
      </c>
      <c r="O5336">
        <v>2048</v>
      </c>
    </row>
    <row r="5337" spans="1:16" x14ac:dyDescent="0.3">
      <c r="A5337" t="str">
        <f t="shared" si="83"/>
        <v>PA|AccumulatedNewCapacity|RE1|PWRCOA|2048</v>
      </c>
      <c r="B5337" t="s">
        <v>44</v>
      </c>
      <c r="C5337" t="s">
        <v>45</v>
      </c>
      <c r="D5337" t="s">
        <v>18</v>
      </c>
      <c r="E5337" t="s">
        <v>19</v>
      </c>
      <c r="F5337" t="s">
        <v>21</v>
      </c>
      <c r="O5337">
        <v>2048</v>
      </c>
    </row>
    <row r="5338" spans="1:16" x14ac:dyDescent="0.3">
      <c r="A5338" t="str">
        <f t="shared" si="83"/>
        <v>PA|AccumulatedNewCapacity|RE1|PWRDSL|2048</v>
      </c>
      <c r="B5338" t="s">
        <v>44</v>
      </c>
      <c r="C5338" t="s">
        <v>45</v>
      </c>
      <c r="D5338" t="s">
        <v>18</v>
      </c>
      <c r="E5338" t="s">
        <v>19</v>
      </c>
      <c r="F5338" t="s">
        <v>22</v>
      </c>
      <c r="O5338">
        <v>2048</v>
      </c>
    </row>
    <row r="5339" spans="1:16" x14ac:dyDescent="0.3">
      <c r="A5339" t="str">
        <f t="shared" si="83"/>
        <v>PA|AccumulatedNewCapacity|RE1|PWRFOL|2048</v>
      </c>
      <c r="B5339" t="s">
        <v>44</v>
      </c>
      <c r="C5339" t="s">
        <v>45</v>
      </c>
      <c r="D5339" t="s">
        <v>18</v>
      </c>
      <c r="E5339" t="s">
        <v>19</v>
      </c>
      <c r="F5339" t="s">
        <v>23</v>
      </c>
      <c r="O5339">
        <v>2048</v>
      </c>
    </row>
    <row r="5340" spans="1:16" x14ac:dyDescent="0.3">
      <c r="A5340" t="str">
        <f t="shared" si="83"/>
        <v>PA|AccumulatedNewCapacity|RE1|PWRGEO|2048</v>
      </c>
      <c r="B5340" t="s">
        <v>44</v>
      </c>
      <c r="C5340" t="s">
        <v>45</v>
      </c>
      <c r="D5340" t="s">
        <v>18</v>
      </c>
      <c r="E5340" t="s">
        <v>19</v>
      </c>
      <c r="F5340" t="s">
        <v>46</v>
      </c>
      <c r="O5340">
        <v>2048</v>
      </c>
      <c r="P5340">
        <v>28.385999999999999</v>
      </c>
    </row>
    <row r="5341" spans="1:16" x14ac:dyDescent="0.3">
      <c r="A5341" t="str">
        <f t="shared" si="83"/>
        <v>PA|AccumulatedNewCapacity|RE1|PWRHYDDAM|2048</v>
      </c>
      <c r="B5341" t="s">
        <v>44</v>
      </c>
      <c r="C5341" t="s">
        <v>45</v>
      </c>
      <c r="D5341" t="s">
        <v>18</v>
      </c>
      <c r="E5341" t="s">
        <v>19</v>
      </c>
      <c r="F5341" t="s">
        <v>24</v>
      </c>
      <c r="O5341">
        <v>2048</v>
      </c>
      <c r="P5341">
        <v>37.840000000000003</v>
      </c>
    </row>
    <row r="5342" spans="1:16" x14ac:dyDescent="0.3">
      <c r="A5342" t="str">
        <f t="shared" si="83"/>
        <v>PA|AccumulatedNewCapacity|RE1|PWRHYDROR|2048</v>
      </c>
      <c r="B5342" t="s">
        <v>44</v>
      </c>
      <c r="C5342" t="s">
        <v>45</v>
      </c>
      <c r="D5342" t="s">
        <v>18</v>
      </c>
      <c r="E5342" t="s">
        <v>19</v>
      </c>
      <c r="F5342" t="s">
        <v>25</v>
      </c>
      <c r="O5342">
        <v>2048</v>
      </c>
    </row>
    <row r="5343" spans="1:16" x14ac:dyDescent="0.3">
      <c r="A5343" t="str">
        <f t="shared" si="83"/>
        <v>PA|AccumulatedNewCapacity|RE1|PWRHYDROR_NDC|2048</v>
      </c>
      <c r="B5343" t="s">
        <v>44</v>
      </c>
      <c r="C5343" t="s">
        <v>45</v>
      </c>
      <c r="D5343" t="s">
        <v>18</v>
      </c>
      <c r="E5343" t="s">
        <v>19</v>
      </c>
      <c r="F5343" t="s">
        <v>26</v>
      </c>
      <c r="O5343">
        <v>2048</v>
      </c>
    </row>
    <row r="5344" spans="1:16" x14ac:dyDescent="0.3">
      <c r="A5344" t="str">
        <f t="shared" si="83"/>
        <v>PA|AccumulatedNewCapacity|RE1|PWRJET|2048</v>
      </c>
      <c r="B5344" t="s">
        <v>44</v>
      </c>
      <c r="C5344" t="s">
        <v>45</v>
      </c>
      <c r="D5344" t="s">
        <v>18</v>
      </c>
      <c r="E5344" t="s">
        <v>19</v>
      </c>
      <c r="F5344" t="s">
        <v>27</v>
      </c>
      <c r="O5344">
        <v>2048</v>
      </c>
    </row>
    <row r="5345" spans="1:16" x14ac:dyDescent="0.3">
      <c r="A5345" t="str">
        <f t="shared" si="83"/>
        <v>PA|AccumulatedNewCapacity|RE1|PWRLPG|2048</v>
      </c>
      <c r="B5345" t="s">
        <v>44</v>
      </c>
      <c r="C5345" t="s">
        <v>45</v>
      </c>
      <c r="D5345" t="s">
        <v>18</v>
      </c>
      <c r="E5345" t="s">
        <v>19</v>
      </c>
      <c r="F5345" t="s">
        <v>28</v>
      </c>
      <c r="O5345">
        <v>2048</v>
      </c>
    </row>
    <row r="5346" spans="1:16" x14ac:dyDescent="0.3">
      <c r="A5346" t="str">
        <f t="shared" si="83"/>
        <v>PA|AccumulatedNewCapacity|RE1|PWRNGS_CC|2048</v>
      </c>
      <c r="B5346" t="s">
        <v>44</v>
      </c>
      <c r="C5346" t="s">
        <v>45</v>
      </c>
      <c r="D5346" t="s">
        <v>18</v>
      </c>
      <c r="E5346" t="s">
        <v>19</v>
      </c>
      <c r="F5346" t="s">
        <v>29</v>
      </c>
      <c r="O5346">
        <v>2048</v>
      </c>
    </row>
    <row r="5347" spans="1:16" x14ac:dyDescent="0.3">
      <c r="A5347" t="str">
        <f t="shared" si="83"/>
        <v>PA|AccumulatedNewCapacity|RE1|PWRNGS_CS|2048</v>
      </c>
      <c r="B5347" t="s">
        <v>44</v>
      </c>
      <c r="C5347" t="s">
        <v>45</v>
      </c>
      <c r="D5347" t="s">
        <v>18</v>
      </c>
      <c r="E5347" t="s">
        <v>19</v>
      </c>
      <c r="F5347" t="s">
        <v>30</v>
      </c>
      <c r="O5347">
        <v>2048</v>
      </c>
    </row>
    <row r="5348" spans="1:16" x14ac:dyDescent="0.3">
      <c r="A5348" t="str">
        <f t="shared" si="83"/>
        <v>PA|AccumulatedNewCapacity|RE1|PWRNUC|2048</v>
      </c>
      <c r="B5348" t="s">
        <v>44</v>
      </c>
      <c r="C5348" t="s">
        <v>45</v>
      </c>
      <c r="D5348" t="s">
        <v>18</v>
      </c>
      <c r="E5348" t="s">
        <v>19</v>
      </c>
      <c r="F5348" t="s">
        <v>47</v>
      </c>
      <c r="O5348">
        <v>2048</v>
      </c>
      <c r="P5348">
        <v>9.5120000000000005</v>
      </c>
    </row>
    <row r="5349" spans="1:16" x14ac:dyDescent="0.3">
      <c r="A5349" t="str">
        <f t="shared" si="83"/>
        <v>PA|AccumulatedNewCapacity|RE1|PWRSOLRTP|2048</v>
      </c>
      <c r="B5349" t="s">
        <v>44</v>
      </c>
      <c r="C5349" t="s">
        <v>45</v>
      </c>
      <c r="D5349" t="s">
        <v>18</v>
      </c>
      <c r="E5349" t="s">
        <v>19</v>
      </c>
      <c r="F5349" t="s">
        <v>31</v>
      </c>
      <c r="O5349">
        <v>2048</v>
      </c>
      <c r="P5349">
        <v>152.89757133798349</v>
      </c>
    </row>
    <row r="5350" spans="1:16" x14ac:dyDescent="0.3">
      <c r="A5350" t="str">
        <f t="shared" si="83"/>
        <v>PA|AccumulatedNewCapacity|RE1|PWRSOLRTP_ZNI|2048</v>
      </c>
      <c r="B5350" t="s">
        <v>44</v>
      </c>
      <c r="C5350" t="s">
        <v>45</v>
      </c>
      <c r="D5350" t="s">
        <v>18</v>
      </c>
      <c r="E5350" t="s">
        <v>19</v>
      </c>
      <c r="F5350" t="s">
        <v>32</v>
      </c>
      <c r="O5350">
        <v>2048</v>
      </c>
    </row>
    <row r="5351" spans="1:16" x14ac:dyDescent="0.3">
      <c r="A5351" t="str">
        <f t="shared" si="83"/>
        <v>PA|AccumulatedNewCapacity|RE1|PWRSOLUGE|2048</v>
      </c>
      <c r="B5351" t="s">
        <v>44</v>
      </c>
      <c r="C5351" t="s">
        <v>45</v>
      </c>
      <c r="D5351" t="s">
        <v>18</v>
      </c>
      <c r="E5351" t="s">
        <v>19</v>
      </c>
      <c r="F5351" t="s">
        <v>33</v>
      </c>
      <c r="O5351">
        <v>2048</v>
      </c>
      <c r="P5351">
        <v>143.394192</v>
      </c>
    </row>
    <row r="5352" spans="1:16" x14ac:dyDescent="0.3">
      <c r="A5352" t="str">
        <f t="shared" si="83"/>
        <v>PA|AccumulatedNewCapacity|RE1|PWRSOLUPE|2048</v>
      </c>
      <c r="B5352" t="s">
        <v>44</v>
      </c>
      <c r="C5352" t="s">
        <v>45</v>
      </c>
      <c r="D5352" t="s">
        <v>18</v>
      </c>
      <c r="E5352" t="s">
        <v>19</v>
      </c>
      <c r="F5352" t="s">
        <v>34</v>
      </c>
      <c r="O5352">
        <v>2048</v>
      </c>
      <c r="P5352">
        <v>12.14419823999993</v>
      </c>
    </row>
    <row r="5353" spans="1:16" x14ac:dyDescent="0.3">
      <c r="A5353" t="str">
        <f t="shared" si="83"/>
        <v>PA|AccumulatedNewCapacity|RE1|PWRSTD|2048</v>
      </c>
      <c r="B5353" t="s">
        <v>44</v>
      </c>
      <c r="C5353" t="s">
        <v>45</v>
      </c>
      <c r="D5353" t="s">
        <v>18</v>
      </c>
      <c r="E5353" t="s">
        <v>19</v>
      </c>
      <c r="F5353" t="s">
        <v>35</v>
      </c>
      <c r="O5353">
        <v>2048</v>
      </c>
    </row>
    <row r="5354" spans="1:16" x14ac:dyDescent="0.3">
      <c r="A5354" t="str">
        <f t="shared" si="83"/>
        <v>PA|AccumulatedNewCapacity|RE1|PWRWNDOFS_FIX|2048</v>
      </c>
      <c r="B5354" t="s">
        <v>44</v>
      </c>
      <c r="C5354" t="s">
        <v>45</v>
      </c>
      <c r="D5354" t="s">
        <v>18</v>
      </c>
      <c r="E5354" t="s">
        <v>19</v>
      </c>
      <c r="F5354" t="s">
        <v>42</v>
      </c>
      <c r="O5354">
        <v>2048</v>
      </c>
      <c r="P5354">
        <v>40.9968</v>
      </c>
    </row>
    <row r="5355" spans="1:16" x14ac:dyDescent="0.3">
      <c r="A5355" t="str">
        <f t="shared" si="83"/>
        <v>PA|AccumulatedNewCapacity|RE1|PWRWNDONS|2048</v>
      </c>
      <c r="B5355" t="s">
        <v>44</v>
      </c>
      <c r="C5355" t="s">
        <v>45</v>
      </c>
      <c r="D5355" t="s">
        <v>18</v>
      </c>
      <c r="E5355" t="s">
        <v>19</v>
      </c>
      <c r="F5355" t="s">
        <v>36</v>
      </c>
      <c r="O5355">
        <v>2048</v>
      </c>
      <c r="P5355">
        <v>490.48662025717852</v>
      </c>
    </row>
    <row r="5356" spans="1:16" x14ac:dyDescent="0.3">
      <c r="A5356" t="str">
        <f t="shared" si="83"/>
        <v>PA|NewCapacity|RE1|PWRBGS|2048</v>
      </c>
      <c r="B5356" t="s">
        <v>44</v>
      </c>
      <c r="C5356" t="s">
        <v>45</v>
      </c>
      <c r="D5356" t="s">
        <v>37</v>
      </c>
      <c r="E5356" t="s">
        <v>19</v>
      </c>
      <c r="F5356" t="s">
        <v>20</v>
      </c>
      <c r="O5356">
        <v>2048</v>
      </c>
    </row>
    <row r="5357" spans="1:16" x14ac:dyDescent="0.3">
      <c r="A5357" t="str">
        <f t="shared" si="83"/>
        <v>PA|NewCapacity|RE1|PWRCOA|2048</v>
      </c>
      <c r="B5357" t="s">
        <v>44</v>
      </c>
      <c r="C5357" t="s">
        <v>45</v>
      </c>
      <c r="D5357" t="s">
        <v>37</v>
      </c>
      <c r="E5357" t="s">
        <v>19</v>
      </c>
      <c r="F5357" t="s">
        <v>21</v>
      </c>
      <c r="O5357">
        <v>2048</v>
      </c>
    </row>
    <row r="5358" spans="1:16" x14ac:dyDescent="0.3">
      <c r="A5358" t="str">
        <f t="shared" si="83"/>
        <v>PA|NewCapacity|RE1|PWRDSL|2048</v>
      </c>
      <c r="B5358" t="s">
        <v>44</v>
      </c>
      <c r="C5358" t="s">
        <v>45</v>
      </c>
      <c r="D5358" t="s">
        <v>37</v>
      </c>
      <c r="E5358" t="s">
        <v>19</v>
      </c>
      <c r="F5358" t="s">
        <v>22</v>
      </c>
      <c r="O5358">
        <v>2048</v>
      </c>
    </row>
    <row r="5359" spans="1:16" x14ac:dyDescent="0.3">
      <c r="A5359" t="str">
        <f t="shared" si="83"/>
        <v>PA|NewCapacity|RE1|PWRFOL|2048</v>
      </c>
      <c r="B5359" t="s">
        <v>44</v>
      </c>
      <c r="C5359" t="s">
        <v>45</v>
      </c>
      <c r="D5359" t="s">
        <v>37</v>
      </c>
      <c r="E5359" t="s">
        <v>19</v>
      </c>
      <c r="F5359" t="s">
        <v>23</v>
      </c>
      <c r="O5359">
        <v>2048</v>
      </c>
    </row>
    <row r="5360" spans="1:16" x14ac:dyDescent="0.3">
      <c r="A5360" t="str">
        <f t="shared" si="83"/>
        <v>PA|NewCapacity|RE1|PWRGEO|2048</v>
      </c>
      <c r="B5360" t="s">
        <v>44</v>
      </c>
      <c r="C5360" t="s">
        <v>45</v>
      </c>
      <c r="D5360" t="s">
        <v>37</v>
      </c>
      <c r="E5360" t="s">
        <v>19</v>
      </c>
      <c r="F5360" t="s">
        <v>46</v>
      </c>
      <c r="O5360">
        <v>2048</v>
      </c>
      <c r="P5360">
        <v>3.1539999999999999</v>
      </c>
    </row>
    <row r="5361" spans="1:16" x14ac:dyDescent="0.3">
      <c r="A5361" t="str">
        <f t="shared" si="83"/>
        <v>PA|NewCapacity|RE1|PWRHYDDAM|2048</v>
      </c>
      <c r="B5361" t="s">
        <v>44</v>
      </c>
      <c r="C5361" t="s">
        <v>45</v>
      </c>
      <c r="D5361" t="s">
        <v>37</v>
      </c>
      <c r="E5361" t="s">
        <v>19</v>
      </c>
      <c r="F5361" t="s">
        <v>24</v>
      </c>
      <c r="O5361">
        <v>2048</v>
      </c>
    </row>
    <row r="5362" spans="1:16" x14ac:dyDescent="0.3">
      <c r="A5362" t="str">
        <f t="shared" si="83"/>
        <v>PA|NewCapacity|RE1|PWRHYDROR|2048</v>
      </c>
      <c r="B5362" t="s">
        <v>44</v>
      </c>
      <c r="C5362" t="s">
        <v>45</v>
      </c>
      <c r="D5362" t="s">
        <v>37</v>
      </c>
      <c r="E5362" t="s">
        <v>19</v>
      </c>
      <c r="F5362" t="s">
        <v>25</v>
      </c>
      <c r="O5362">
        <v>2048</v>
      </c>
    </row>
    <row r="5363" spans="1:16" x14ac:dyDescent="0.3">
      <c r="A5363" t="str">
        <f t="shared" si="83"/>
        <v>PA|NewCapacity|RE1|PWRHYDROR_NDC|2048</v>
      </c>
      <c r="B5363" t="s">
        <v>44</v>
      </c>
      <c r="C5363" t="s">
        <v>45</v>
      </c>
      <c r="D5363" t="s">
        <v>37</v>
      </c>
      <c r="E5363" t="s">
        <v>19</v>
      </c>
      <c r="F5363" t="s">
        <v>26</v>
      </c>
      <c r="O5363">
        <v>2048</v>
      </c>
    </row>
    <row r="5364" spans="1:16" x14ac:dyDescent="0.3">
      <c r="A5364" t="str">
        <f t="shared" si="83"/>
        <v>PA|NewCapacity|RE1|PWRJET|2048</v>
      </c>
      <c r="B5364" t="s">
        <v>44</v>
      </c>
      <c r="C5364" t="s">
        <v>45</v>
      </c>
      <c r="D5364" t="s">
        <v>37</v>
      </c>
      <c r="E5364" t="s">
        <v>19</v>
      </c>
      <c r="F5364" t="s">
        <v>27</v>
      </c>
      <c r="O5364">
        <v>2048</v>
      </c>
    </row>
    <row r="5365" spans="1:16" x14ac:dyDescent="0.3">
      <c r="A5365" t="str">
        <f t="shared" si="83"/>
        <v>PA|NewCapacity|RE1|PWRLPG|2048</v>
      </c>
      <c r="B5365" t="s">
        <v>44</v>
      </c>
      <c r="C5365" t="s">
        <v>45</v>
      </c>
      <c r="D5365" t="s">
        <v>37</v>
      </c>
      <c r="E5365" t="s">
        <v>19</v>
      </c>
      <c r="F5365" t="s">
        <v>28</v>
      </c>
      <c r="O5365">
        <v>2048</v>
      </c>
    </row>
    <row r="5366" spans="1:16" x14ac:dyDescent="0.3">
      <c r="A5366" t="str">
        <f t="shared" si="83"/>
        <v>PA|NewCapacity|RE1|PWRNGS_CC|2048</v>
      </c>
      <c r="B5366" t="s">
        <v>44</v>
      </c>
      <c r="C5366" t="s">
        <v>45</v>
      </c>
      <c r="D5366" t="s">
        <v>37</v>
      </c>
      <c r="E5366" t="s">
        <v>19</v>
      </c>
      <c r="F5366" t="s">
        <v>29</v>
      </c>
      <c r="O5366">
        <v>2048</v>
      </c>
    </row>
    <row r="5367" spans="1:16" x14ac:dyDescent="0.3">
      <c r="A5367" t="str">
        <f t="shared" si="83"/>
        <v>PA|NewCapacity|RE1|PWRNGS_CS|2048</v>
      </c>
      <c r="B5367" t="s">
        <v>44</v>
      </c>
      <c r="C5367" t="s">
        <v>45</v>
      </c>
      <c r="D5367" t="s">
        <v>37</v>
      </c>
      <c r="E5367" t="s">
        <v>19</v>
      </c>
      <c r="F5367" t="s">
        <v>30</v>
      </c>
      <c r="O5367">
        <v>2048</v>
      </c>
    </row>
    <row r="5368" spans="1:16" x14ac:dyDescent="0.3">
      <c r="A5368" t="str">
        <f t="shared" si="83"/>
        <v>PA|NewCapacity|RE1|PWRNUC|2048</v>
      </c>
      <c r="B5368" t="s">
        <v>44</v>
      </c>
      <c r="C5368" t="s">
        <v>45</v>
      </c>
      <c r="D5368" t="s">
        <v>37</v>
      </c>
      <c r="E5368" t="s">
        <v>19</v>
      </c>
      <c r="F5368" t="s">
        <v>47</v>
      </c>
      <c r="O5368">
        <v>2048</v>
      </c>
    </row>
    <row r="5369" spans="1:16" x14ac:dyDescent="0.3">
      <c r="A5369" t="str">
        <f t="shared" si="83"/>
        <v>PA|NewCapacity|RE1|PWRSOLRTP|2048</v>
      </c>
      <c r="B5369" t="s">
        <v>44</v>
      </c>
      <c r="C5369" t="s">
        <v>45</v>
      </c>
      <c r="D5369" t="s">
        <v>37</v>
      </c>
      <c r="E5369" t="s">
        <v>19</v>
      </c>
      <c r="F5369" t="s">
        <v>31</v>
      </c>
      <c r="O5369">
        <v>2048</v>
      </c>
      <c r="P5369">
        <v>1.902346227013316</v>
      </c>
    </row>
    <row r="5370" spans="1:16" x14ac:dyDescent="0.3">
      <c r="A5370" t="str">
        <f t="shared" si="83"/>
        <v>PA|NewCapacity|RE1|PWRSOLRTP_ZNI|2048</v>
      </c>
      <c r="B5370" t="s">
        <v>44</v>
      </c>
      <c r="C5370" t="s">
        <v>45</v>
      </c>
      <c r="D5370" t="s">
        <v>37</v>
      </c>
      <c r="E5370" t="s">
        <v>19</v>
      </c>
      <c r="F5370" t="s">
        <v>32</v>
      </c>
      <c r="O5370">
        <v>2048</v>
      </c>
    </row>
    <row r="5371" spans="1:16" x14ac:dyDescent="0.3">
      <c r="A5371" t="str">
        <f t="shared" si="83"/>
        <v>PA|NewCapacity|RE1|PWRSOLUGE|2048</v>
      </c>
      <c r="B5371" t="s">
        <v>44</v>
      </c>
      <c r="C5371" t="s">
        <v>45</v>
      </c>
      <c r="D5371" t="s">
        <v>37</v>
      </c>
      <c r="E5371" t="s">
        <v>19</v>
      </c>
      <c r="F5371" t="s">
        <v>33</v>
      </c>
      <c r="O5371">
        <v>2048</v>
      </c>
    </row>
    <row r="5372" spans="1:16" x14ac:dyDescent="0.3">
      <c r="A5372" t="str">
        <f t="shared" si="83"/>
        <v>PA|NewCapacity|RE1|PWRSOLUPE|2048</v>
      </c>
      <c r="B5372" t="s">
        <v>44</v>
      </c>
      <c r="C5372" t="s">
        <v>45</v>
      </c>
      <c r="D5372" t="s">
        <v>37</v>
      </c>
      <c r="E5372" t="s">
        <v>19</v>
      </c>
      <c r="F5372" t="s">
        <v>34</v>
      </c>
      <c r="O5372">
        <v>2048</v>
      </c>
    </row>
    <row r="5373" spans="1:16" x14ac:dyDescent="0.3">
      <c r="A5373" t="str">
        <f t="shared" si="83"/>
        <v>PA|NewCapacity|RE1|PWRSTD|2048</v>
      </c>
      <c r="B5373" t="s">
        <v>44</v>
      </c>
      <c r="C5373" t="s">
        <v>45</v>
      </c>
      <c r="D5373" t="s">
        <v>37</v>
      </c>
      <c r="E5373" t="s">
        <v>19</v>
      </c>
      <c r="F5373" t="s">
        <v>35</v>
      </c>
      <c r="O5373">
        <v>2048</v>
      </c>
    </row>
    <row r="5374" spans="1:16" x14ac:dyDescent="0.3">
      <c r="A5374" t="str">
        <f t="shared" si="83"/>
        <v>PA|NewCapacity|RE1|PWRWNDOFS_FIX|2048</v>
      </c>
      <c r="B5374" t="s">
        <v>44</v>
      </c>
      <c r="C5374" t="s">
        <v>45</v>
      </c>
      <c r="D5374" t="s">
        <v>37</v>
      </c>
      <c r="E5374" t="s">
        <v>19</v>
      </c>
      <c r="F5374" t="s">
        <v>42</v>
      </c>
      <c r="O5374">
        <v>2048</v>
      </c>
      <c r="P5374">
        <v>3.1536</v>
      </c>
    </row>
    <row r="5375" spans="1:16" x14ac:dyDescent="0.3">
      <c r="A5375" t="str">
        <f t="shared" si="83"/>
        <v>PA|NewCapacity|RE1|PWRWNDONS|2048</v>
      </c>
      <c r="B5375" t="s">
        <v>44</v>
      </c>
      <c r="C5375" t="s">
        <v>45</v>
      </c>
      <c r="D5375" t="s">
        <v>37</v>
      </c>
      <c r="E5375" t="s">
        <v>19</v>
      </c>
      <c r="F5375" t="s">
        <v>36</v>
      </c>
      <c r="O5375">
        <v>2048</v>
      </c>
      <c r="P5375">
        <v>41.493865567783779</v>
      </c>
    </row>
    <row r="5376" spans="1:16" x14ac:dyDescent="0.3">
      <c r="A5376" t="str">
        <f t="shared" si="83"/>
        <v>PA|TotalCapacityAnnual|RE1|PWRBGS|2048</v>
      </c>
      <c r="B5376" t="s">
        <v>44</v>
      </c>
      <c r="C5376" t="s">
        <v>45</v>
      </c>
      <c r="D5376" t="s">
        <v>38</v>
      </c>
      <c r="E5376" t="s">
        <v>19</v>
      </c>
      <c r="F5376" t="s">
        <v>20</v>
      </c>
      <c r="O5376">
        <v>2048</v>
      </c>
      <c r="P5376">
        <v>2.5488587520000001E-2</v>
      </c>
    </row>
    <row r="5377" spans="1:16" x14ac:dyDescent="0.3">
      <c r="A5377" t="str">
        <f t="shared" si="83"/>
        <v>PA|TotalCapacityAnnual|RE1|PWRCOA|2048</v>
      </c>
      <c r="B5377" t="s">
        <v>44</v>
      </c>
      <c r="C5377" t="s">
        <v>45</v>
      </c>
      <c r="D5377" t="s">
        <v>38</v>
      </c>
      <c r="E5377" t="s">
        <v>19</v>
      </c>
      <c r="F5377" t="s">
        <v>21</v>
      </c>
      <c r="O5377">
        <v>2048</v>
      </c>
    </row>
    <row r="5378" spans="1:16" x14ac:dyDescent="0.3">
      <c r="A5378" t="str">
        <f t="shared" ref="A5378:A5441" si="84">B5378&amp;"|"&amp;D5378&amp;"|"&amp;E5378&amp;"|"&amp;F5378&amp;"|"&amp;O5378</f>
        <v>PA|TotalCapacityAnnual|RE1|PWRDSL|2048</v>
      </c>
      <c r="B5378" t="s">
        <v>44</v>
      </c>
      <c r="C5378" t="s">
        <v>45</v>
      </c>
      <c r="D5378" t="s">
        <v>38</v>
      </c>
      <c r="E5378" t="s">
        <v>19</v>
      </c>
      <c r="F5378" t="s">
        <v>22</v>
      </c>
      <c r="O5378">
        <v>2048</v>
      </c>
      <c r="P5378">
        <v>24.944976</v>
      </c>
    </row>
    <row r="5379" spans="1:16" x14ac:dyDescent="0.3">
      <c r="A5379" t="str">
        <f t="shared" si="84"/>
        <v>PA|TotalCapacityAnnual|RE1|PWRFOL|2048</v>
      </c>
      <c r="B5379" t="s">
        <v>44</v>
      </c>
      <c r="C5379" t="s">
        <v>45</v>
      </c>
      <c r="D5379" t="s">
        <v>38</v>
      </c>
      <c r="E5379" t="s">
        <v>19</v>
      </c>
      <c r="F5379" t="s">
        <v>23</v>
      </c>
      <c r="O5379">
        <v>2048</v>
      </c>
      <c r="P5379">
        <v>8.3885759999999987</v>
      </c>
    </row>
    <row r="5380" spans="1:16" x14ac:dyDescent="0.3">
      <c r="A5380" t="str">
        <f t="shared" si="84"/>
        <v>PA|TotalCapacityAnnual|RE1|PWRGEO|2048</v>
      </c>
      <c r="B5380" t="s">
        <v>44</v>
      </c>
      <c r="C5380" t="s">
        <v>45</v>
      </c>
      <c r="D5380" t="s">
        <v>38</v>
      </c>
      <c r="E5380" t="s">
        <v>19</v>
      </c>
      <c r="F5380" t="s">
        <v>46</v>
      </c>
      <c r="O5380">
        <v>2048</v>
      </c>
      <c r="P5380">
        <v>28.385999999999999</v>
      </c>
    </row>
    <row r="5381" spans="1:16" x14ac:dyDescent="0.3">
      <c r="A5381" t="str">
        <f t="shared" si="84"/>
        <v>PA|TotalCapacityAnnual|RE1|PWRHYDDAM|2048</v>
      </c>
      <c r="B5381" t="s">
        <v>44</v>
      </c>
      <c r="C5381" t="s">
        <v>45</v>
      </c>
      <c r="D5381" t="s">
        <v>38</v>
      </c>
      <c r="E5381" t="s">
        <v>19</v>
      </c>
      <c r="F5381" t="s">
        <v>24</v>
      </c>
      <c r="O5381">
        <v>2048</v>
      </c>
      <c r="P5381">
        <v>440.49164800000011</v>
      </c>
    </row>
    <row r="5382" spans="1:16" x14ac:dyDescent="0.3">
      <c r="A5382" t="str">
        <f t="shared" si="84"/>
        <v>PA|TotalCapacityAnnual|RE1|PWRHYDROR|2048</v>
      </c>
      <c r="B5382" t="s">
        <v>44</v>
      </c>
      <c r="C5382" t="s">
        <v>45</v>
      </c>
      <c r="D5382" t="s">
        <v>38</v>
      </c>
      <c r="E5382" t="s">
        <v>19</v>
      </c>
      <c r="F5382" t="s">
        <v>25</v>
      </c>
      <c r="O5382">
        <v>2048</v>
      </c>
      <c r="P5382">
        <v>21.097584000000001</v>
      </c>
    </row>
    <row r="5383" spans="1:16" x14ac:dyDescent="0.3">
      <c r="A5383" t="str">
        <f t="shared" si="84"/>
        <v>PA|TotalCapacityAnnual|RE1|PWRHYDROR_NDC|2048</v>
      </c>
      <c r="B5383" t="s">
        <v>44</v>
      </c>
      <c r="C5383" t="s">
        <v>45</v>
      </c>
      <c r="D5383" t="s">
        <v>38</v>
      </c>
      <c r="E5383" t="s">
        <v>19</v>
      </c>
      <c r="F5383" t="s">
        <v>26</v>
      </c>
      <c r="O5383">
        <v>2048</v>
      </c>
      <c r="P5383">
        <v>29.725108271999989</v>
      </c>
    </row>
    <row r="5384" spans="1:16" x14ac:dyDescent="0.3">
      <c r="A5384" t="str">
        <f t="shared" si="84"/>
        <v>PA|TotalCapacityAnnual|RE1|PWRJET|2048</v>
      </c>
      <c r="B5384" t="s">
        <v>44</v>
      </c>
      <c r="C5384" t="s">
        <v>45</v>
      </c>
      <c r="D5384" t="s">
        <v>38</v>
      </c>
      <c r="E5384" t="s">
        <v>19</v>
      </c>
      <c r="F5384" t="s">
        <v>27</v>
      </c>
      <c r="O5384">
        <v>2048</v>
      </c>
      <c r="P5384">
        <v>1.5768</v>
      </c>
    </row>
    <row r="5385" spans="1:16" x14ac:dyDescent="0.3">
      <c r="A5385" t="str">
        <f t="shared" si="84"/>
        <v>PA|TotalCapacityAnnual|RE1|PWRLPG|2048</v>
      </c>
      <c r="B5385" t="s">
        <v>44</v>
      </c>
      <c r="C5385" t="s">
        <v>45</v>
      </c>
      <c r="D5385" t="s">
        <v>38</v>
      </c>
      <c r="E5385" t="s">
        <v>19</v>
      </c>
      <c r="F5385" t="s">
        <v>28</v>
      </c>
      <c r="O5385">
        <v>2048</v>
      </c>
      <c r="P5385">
        <v>1.639872</v>
      </c>
    </row>
    <row r="5386" spans="1:16" x14ac:dyDescent="0.3">
      <c r="A5386" t="str">
        <f t="shared" si="84"/>
        <v>PA|TotalCapacityAnnual|RE1|PWRNGS_CC|2048</v>
      </c>
      <c r="B5386" t="s">
        <v>44</v>
      </c>
      <c r="C5386" t="s">
        <v>45</v>
      </c>
      <c r="D5386" t="s">
        <v>38</v>
      </c>
      <c r="E5386" t="s">
        <v>19</v>
      </c>
      <c r="F5386" t="s">
        <v>29</v>
      </c>
      <c r="O5386">
        <v>2048</v>
      </c>
      <c r="P5386">
        <v>70.104500000000002</v>
      </c>
    </row>
    <row r="5387" spans="1:16" x14ac:dyDescent="0.3">
      <c r="A5387" t="str">
        <f t="shared" si="84"/>
        <v>PA|TotalCapacityAnnual|RE1|PWRNGS_CS|2048</v>
      </c>
      <c r="B5387" t="s">
        <v>44</v>
      </c>
      <c r="C5387" t="s">
        <v>45</v>
      </c>
      <c r="D5387" t="s">
        <v>38</v>
      </c>
      <c r="E5387" t="s">
        <v>19</v>
      </c>
      <c r="F5387" t="s">
        <v>30</v>
      </c>
      <c r="O5387">
        <v>2048</v>
      </c>
      <c r="P5387">
        <v>23.084351999999999</v>
      </c>
    </row>
    <row r="5388" spans="1:16" x14ac:dyDescent="0.3">
      <c r="A5388" t="str">
        <f t="shared" si="84"/>
        <v>PA|TotalCapacityAnnual|RE1|PWRNUC|2048</v>
      </c>
      <c r="B5388" t="s">
        <v>44</v>
      </c>
      <c r="C5388" t="s">
        <v>45</v>
      </c>
      <c r="D5388" t="s">
        <v>38</v>
      </c>
      <c r="E5388" t="s">
        <v>19</v>
      </c>
      <c r="F5388" t="s">
        <v>47</v>
      </c>
      <c r="O5388">
        <v>2048</v>
      </c>
      <c r="P5388">
        <v>9.5120000000000005</v>
      </c>
    </row>
    <row r="5389" spans="1:16" x14ac:dyDescent="0.3">
      <c r="A5389" t="str">
        <f t="shared" si="84"/>
        <v>PA|TotalCapacityAnnual|RE1|PWRSOLRTP|2048</v>
      </c>
      <c r="B5389" t="s">
        <v>44</v>
      </c>
      <c r="C5389" t="s">
        <v>45</v>
      </c>
      <c r="D5389" t="s">
        <v>38</v>
      </c>
      <c r="E5389" t="s">
        <v>19</v>
      </c>
      <c r="F5389" t="s">
        <v>31</v>
      </c>
      <c r="O5389">
        <v>2048</v>
      </c>
      <c r="P5389">
        <v>169.23797133798351</v>
      </c>
    </row>
    <row r="5390" spans="1:16" x14ac:dyDescent="0.3">
      <c r="A5390" t="str">
        <f t="shared" si="84"/>
        <v>PA|TotalCapacityAnnual|RE1|PWRSOLRTP_ZNI|2048</v>
      </c>
      <c r="B5390" t="s">
        <v>44</v>
      </c>
      <c r="C5390" t="s">
        <v>45</v>
      </c>
      <c r="D5390" t="s">
        <v>38</v>
      </c>
      <c r="E5390" t="s">
        <v>19</v>
      </c>
      <c r="F5390" t="s">
        <v>32</v>
      </c>
      <c r="O5390">
        <v>2048</v>
      </c>
      <c r="P5390">
        <v>0.46074095999999998</v>
      </c>
    </row>
    <row r="5391" spans="1:16" x14ac:dyDescent="0.3">
      <c r="A5391" t="str">
        <f t="shared" si="84"/>
        <v>PA|TotalCapacityAnnual|RE1|PWRSOLUGE|2048</v>
      </c>
      <c r="B5391" t="s">
        <v>44</v>
      </c>
      <c r="C5391" t="s">
        <v>45</v>
      </c>
      <c r="D5391" t="s">
        <v>38</v>
      </c>
      <c r="E5391" t="s">
        <v>19</v>
      </c>
      <c r="F5391" t="s">
        <v>33</v>
      </c>
      <c r="O5391">
        <v>2048</v>
      </c>
      <c r="P5391">
        <v>191.79189199999999</v>
      </c>
    </row>
    <row r="5392" spans="1:16" x14ac:dyDescent="0.3">
      <c r="A5392" t="str">
        <f t="shared" si="84"/>
        <v>PA|TotalCapacityAnnual|RE1|PWRSOLUPE|2048</v>
      </c>
      <c r="B5392" t="s">
        <v>44</v>
      </c>
      <c r="C5392" t="s">
        <v>45</v>
      </c>
      <c r="D5392" t="s">
        <v>38</v>
      </c>
      <c r="E5392" t="s">
        <v>19</v>
      </c>
      <c r="F5392" t="s">
        <v>34</v>
      </c>
      <c r="O5392">
        <v>2048</v>
      </c>
      <c r="P5392">
        <v>12.14419823999993</v>
      </c>
    </row>
    <row r="5393" spans="1:16" x14ac:dyDescent="0.3">
      <c r="A5393" t="str">
        <f t="shared" si="84"/>
        <v>PA|TotalCapacityAnnual|RE1|PWRSTD|2048</v>
      </c>
      <c r="B5393" t="s">
        <v>44</v>
      </c>
      <c r="C5393" t="s">
        <v>45</v>
      </c>
      <c r="D5393" t="s">
        <v>38</v>
      </c>
      <c r="E5393" t="s">
        <v>19</v>
      </c>
      <c r="F5393" t="s">
        <v>35</v>
      </c>
      <c r="O5393">
        <v>2048</v>
      </c>
      <c r="P5393">
        <v>8.163062064</v>
      </c>
    </row>
    <row r="5394" spans="1:16" x14ac:dyDescent="0.3">
      <c r="A5394" t="str">
        <f t="shared" si="84"/>
        <v>PA|TotalCapacityAnnual|RE1|PWRWNDOFS_FIX|2048</v>
      </c>
      <c r="B5394" t="s">
        <v>44</v>
      </c>
      <c r="C5394" t="s">
        <v>45</v>
      </c>
      <c r="D5394" t="s">
        <v>38</v>
      </c>
      <c r="E5394" t="s">
        <v>19</v>
      </c>
      <c r="F5394" t="s">
        <v>42</v>
      </c>
      <c r="O5394">
        <v>2048</v>
      </c>
      <c r="P5394">
        <v>40.9968</v>
      </c>
    </row>
    <row r="5395" spans="1:16" x14ac:dyDescent="0.3">
      <c r="A5395" t="str">
        <f t="shared" si="84"/>
        <v>PA|TotalCapacityAnnual|RE1|PWRWNDONS|2048</v>
      </c>
      <c r="B5395" t="s">
        <v>44</v>
      </c>
      <c r="C5395" t="s">
        <v>45</v>
      </c>
      <c r="D5395" t="s">
        <v>38</v>
      </c>
      <c r="E5395" t="s">
        <v>19</v>
      </c>
      <c r="F5395" t="s">
        <v>36</v>
      </c>
      <c r="O5395">
        <v>2048</v>
      </c>
      <c r="P5395">
        <v>491.85528265717852</v>
      </c>
    </row>
    <row r="5396" spans="1:16" x14ac:dyDescent="0.3">
      <c r="A5396" t="str">
        <f t="shared" si="84"/>
        <v>PA|AccumulatedNewCapacity|RE1|PWRBGS|2049</v>
      </c>
      <c r="B5396" t="s">
        <v>44</v>
      </c>
      <c r="C5396" t="s">
        <v>45</v>
      </c>
      <c r="D5396" t="s">
        <v>18</v>
      </c>
      <c r="E5396" t="s">
        <v>19</v>
      </c>
      <c r="F5396" t="s">
        <v>20</v>
      </c>
      <c r="O5396">
        <v>2049</v>
      </c>
    </row>
    <row r="5397" spans="1:16" x14ac:dyDescent="0.3">
      <c r="A5397" t="str">
        <f t="shared" si="84"/>
        <v>PA|AccumulatedNewCapacity|RE1|PWRCOA|2049</v>
      </c>
      <c r="B5397" t="s">
        <v>44</v>
      </c>
      <c r="C5397" t="s">
        <v>45</v>
      </c>
      <c r="D5397" t="s">
        <v>18</v>
      </c>
      <c r="E5397" t="s">
        <v>19</v>
      </c>
      <c r="F5397" t="s">
        <v>21</v>
      </c>
      <c r="O5397">
        <v>2049</v>
      </c>
    </row>
    <row r="5398" spans="1:16" x14ac:dyDescent="0.3">
      <c r="A5398" t="str">
        <f t="shared" si="84"/>
        <v>PA|AccumulatedNewCapacity|RE1|PWRDSL|2049</v>
      </c>
      <c r="B5398" t="s">
        <v>44</v>
      </c>
      <c r="C5398" t="s">
        <v>45</v>
      </c>
      <c r="D5398" t="s">
        <v>18</v>
      </c>
      <c r="E5398" t="s">
        <v>19</v>
      </c>
      <c r="F5398" t="s">
        <v>22</v>
      </c>
      <c r="O5398">
        <v>2049</v>
      </c>
    </row>
    <row r="5399" spans="1:16" x14ac:dyDescent="0.3">
      <c r="A5399" t="str">
        <f t="shared" si="84"/>
        <v>PA|AccumulatedNewCapacity|RE1|PWRFOL|2049</v>
      </c>
      <c r="B5399" t="s">
        <v>44</v>
      </c>
      <c r="C5399" t="s">
        <v>45</v>
      </c>
      <c r="D5399" t="s">
        <v>18</v>
      </c>
      <c r="E5399" t="s">
        <v>19</v>
      </c>
      <c r="F5399" t="s">
        <v>23</v>
      </c>
      <c r="O5399">
        <v>2049</v>
      </c>
    </row>
    <row r="5400" spans="1:16" x14ac:dyDescent="0.3">
      <c r="A5400" t="str">
        <f t="shared" si="84"/>
        <v>PA|AccumulatedNewCapacity|RE1|PWRGEO|2049</v>
      </c>
      <c r="B5400" t="s">
        <v>44</v>
      </c>
      <c r="C5400" t="s">
        <v>45</v>
      </c>
      <c r="D5400" t="s">
        <v>18</v>
      </c>
      <c r="E5400" t="s">
        <v>19</v>
      </c>
      <c r="F5400" t="s">
        <v>46</v>
      </c>
      <c r="O5400">
        <v>2049</v>
      </c>
      <c r="P5400">
        <v>31.54</v>
      </c>
    </row>
    <row r="5401" spans="1:16" x14ac:dyDescent="0.3">
      <c r="A5401" t="str">
        <f t="shared" si="84"/>
        <v>PA|AccumulatedNewCapacity|RE1|PWRHYDDAM|2049</v>
      </c>
      <c r="B5401" t="s">
        <v>44</v>
      </c>
      <c r="C5401" t="s">
        <v>45</v>
      </c>
      <c r="D5401" t="s">
        <v>18</v>
      </c>
      <c r="E5401" t="s">
        <v>19</v>
      </c>
      <c r="F5401" t="s">
        <v>24</v>
      </c>
      <c r="O5401">
        <v>2049</v>
      </c>
      <c r="P5401">
        <v>37.840000000000003</v>
      </c>
    </row>
    <row r="5402" spans="1:16" x14ac:dyDescent="0.3">
      <c r="A5402" t="str">
        <f t="shared" si="84"/>
        <v>PA|AccumulatedNewCapacity|RE1|PWRHYDROR|2049</v>
      </c>
      <c r="B5402" t="s">
        <v>44</v>
      </c>
      <c r="C5402" t="s">
        <v>45</v>
      </c>
      <c r="D5402" t="s">
        <v>18</v>
      </c>
      <c r="E5402" t="s">
        <v>19</v>
      </c>
      <c r="F5402" t="s">
        <v>25</v>
      </c>
      <c r="O5402">
        <v>2049</v>
      </c>
    </row>
    <row r="5403" spans="1:16" x14ac:dyDescent="0.3">
      <c r="A5403" t="str">
        <f t="shared" si="84"/>
        <v>PA|AccumulatedNewCapacity|RE1|PWRHYDROR_NDC|2049</v>
      </c>
      <c r="B5403" t="s">
        <v>44</v>
      </c>
      <c r="C5403" t="s">
        <v>45</v>
      </c>
      <c r="D5403" t="s">
        <v>18</v>
      </c>
      <c r="E5403" t="s">
        <v>19</v>
      </c>
      <c r="F5403" t="s">
        <v>26</v>
      </c>
      <c r="O5403">
        <v>2049</v>
      </c>
    </row>
    <row r="5404" spans="1:16" x14ac:dyDescent="0.3">
      <c r="A5404" t="str">
        <f t="shared" si="84"/>
        <v>PA|AccumulatedNewCapacity|RE1|PWRJET|2049</v>
      </c>
      <c r="B5404" t="s">
        <v>44</v>
      </c>
      <c r="C5404" t="s">
        <v>45</v>
      </c>
      <c r="D5404" t="s">
        <v>18</v>
      </c>
      <c r="E5404" t="s">
        <v>19</v>
      </c>
      <c r="F5404" t="s">
        <v>27</v>
      </c>
      <c r="O5404">
        <v>2049</v>
      </c>
    </row>
    <row r="5405" spans="1:16" x14ac:dyDescent="0.3">
      <c r="A5405" t="str">
        <f t="shared" si="84"/>
        <v>PA|AccumulatedNewCapacity|RE1|PWRLPG|2049</v>
      </c>
      <c r="B5405" t="s">
        <v>44</v>
      </c>
      <c r="C5405" t="s">
        <v>45</v>
      </c>
      <c r="D5405" t="s">
        <v>18</v>
      </c>
      <c r="E5405" t="s">
        <v>19</v>
      </c>
      <c r="F5405" t="s">
        <v>28</v>
      </c>
      <c r="O5405">
        <v>2049</v>
      </c>
    </row>
    <row r="5406" spans="1:16" x14ac:dyDescent="0.3">
      <c r="A5406" t="str">
        <f t="shared" si="84"/>
        <v>PA|AccumulatedNewCapacity|RE1|PWRNGS_CC|2049</v>
      </c>
      <c r="B5406" t="s">
        <v>44</v>
      </c>
      <c r="C5406" t="s">
        <v>45</v>
      </c>
      <c r="D5406" t="s">
        <v>18</v>
      </c>
      <c r="E5406" t="s">
        <v>19</v>
      </c>
      <c r="F5406" t="s">
        <v>29</v>
      </c>
      <c r="O5406">
        <v>2049</v>
      </c>
    </row>
    <row r="5407" spans="1:16" x14ac:dyDescent="0.3">
      <c r="A5407" t="str">
        <f t="shared" si="84"/>
        <v>PA|AccumulatedNewCapacity|RE1|PWRNGS_CS|2049</v>
      </c>
      <c r="B5407" t="s">
        <v>44</v>
      </c>
      <c r="C5407" t="s">
        <v>45</v>
      </c>
      <c r="D5407" t="s">
        <v>18</v>
      </c>
      <c r="E5407" t="s">
        <v>19</v>
      </c>
      <c r="F5407" t="s">
        <v>30</v>
      </c>
      <c r="O5407">
        <v>2049</v>
      </c>
    </row>
    <row r="5408" spans="1:16" x14ac:dyDescent="0.3">
      <c r="A5408" t="str">
        <f t="shared" si="84"/>
        <v>PA|AccumulatedNewCapacity|RE1|PWRNUC|2049</v>
      </c>
      <c r="B5408" t="s">
        <v>44</v>
      </c>
      <c r="C5408" t="s">
        <v>45</v>
      </c>
      <c r="D5408" t="s">
        <v>18</v>
      </c>
      <c r="E5408" t="s">
        <v>19</v>
      </c>
      <c r="F5408" t="s">
        <v>47</v>
      </c>
      <c r="O5408">
        <v>2049</v>
      </c>
      <c r="P5408">
        <v>9.5120000000000005</v>
      </c>
    </row>
    <row r="5409" spans="1:16" x14ac:dyDescent="0.3">
      <c r="A5409" t="str">
        <f t="shared" si="84"/>
        <v>PA|AccumulatedNewCapacity|RE1|PWRSOLRTP|2049</v>
      </c>
      <c r="B5409" t="s">
        <v>44</v>
      </c>
      <c r="C5409" t="s">
        <v>45</v>
      </c>
      <c r="D5409" t="s">
        <v>18</v>
      </c>
      <c r="E5409" t="s">
        <v>19</v>
      </c>
      <c r="F5409" t="s">
        <v>31</v>
      </c>
      <c r="O5409">
        <v>2049</v>
      </c>
      <c r="P5409">
        <v>154.7999175649968</v>
      </c>
    </row>
    <row r="5410" spans="1:16" x14ac:dyDescent="0.3">
      <c r="A5410" t="str">
        <f t="shared" si="84"/>
        <v>PA|AccumulatedNewCapacity|RE1|PWRSOLRTP_ZNI|2049</v>
      </c>
      <c r="B5410" t="s">
        <v>44</v>
      </c>
      <c r="C5410" t="s">
        <v>45</v>
      </c>
      <c r="D5410" t="s">
        <v>18</v>
      </c>
      <c r="E5410" t="s">
        <v>19</v>
      </c>
      <c r="F5410" t="s">
        <v>32</v>
      </c>
      <c r="O5410">
        <v>2049</v>
      </c>
    </row>
    <row r="5411" spans="1:16" x14ac:dyDescent="0.3">
      <c r="A5411" t="str">
        <f t="shared" si="84"/>
        <v>PA|AccumulatedNewCapacity|RE1|PWRSOLUGE|2049</v>
      </c>
      <c r="B5411" t="s">
        <v>44</v>
      </c>
      <c r="C5411" t="s">
        <v>45</v>
      </c>
      <c r="D5411" t="s">
        <v>18</v>
      </c>
      <c r="E5411" t="s">
        <v>19</v>
      </c>
      <c r="F5411" t="s">
        <v>33</v>
      </c>
      <c r="O5411">
        <v>2049</v>
      </c>
      <c r="P5411">
        <v>143.394192</v>
      </c>
    </row>
    <row r="5412" spans="1:16" x14ac:dyDescent="0.3">
      <c r="A5412" t="str">
        <f t="shared" si="84"/>
        <v>PA|AccumulatedNewCapacity|RE1|PWRSOLUPE|2049</v>
      </c>
      <c r="B5412" t="s">
        <v>44</v>
      </c>
      <c r="C5412" t="s">
        <v>45</v>
      </c>
      <c r="D5412" t="s">
        <v>18</v>
      </c>
      <c r="E5412" t="s">
        <v>19</v>
      </c>
      <c r="F5412" t="s">
        <v>34</v>
      </c>
      <c r="O5412">
        <v>2049</v>
      </c>
      <c r="P5412">
        <v>12.14419823999993</v>
      </c>
    </row>
    <row r="5413" spans="1:16" x14ac:dyDescent="0.3">
      <c r="A5413" t="str">
        <f t="shared" si="84"/>
        <v>PA|AccumulatedNewCapacity|RE1|PWRSTD|2049</v>
      </c>
      <c r="B5413" t="s">
        <v>44</v>
      </c>
      <c r="C5413" t="s">
        <v>45</v>
      </c>
      <c r="D5413" t="s">
        <v>18</v>
      </c>
      <c r="E5413" t="s">
        <v>19</v>
      </c>
      <c r="F5413" t="s">
        <v>35</v>
      </c>
      <c r="O5413">
        <v>2049</v>
      </c>
    </row>
    <row r="5414" spans="1:16" x14ac:dyDescent="0.3">
      <c r="A5414" t="str">
        <f t="shared" si="84"/>
        <v>PA|AccumulatedNewCapacity|RE1|PWRWNDOFS_FIX|2049</v>
      </c>
      <c r="B5414" t="s">
        <v>44</v>
      </c>
      <c r="C5414" t="s">
        <v>45</v>
      </c>
      <c r="D5414" t="s">
        <v>18</v>
      </c>
      <c r="E5414" t="s">
        <v>19</v>
      </c>
      <c r="F5414" t="s">
        <v>42</v>
      </c>
      <c r="O5414">
        <v>2049</v>
      </c>
      <c r="P5414">
        <v>44.150399999999998</v>
      </c>
    </row>
    <row r="5415" spans="1:16" x14ac:dyDescent="0.3">
      <c r="A5415" t="str">
        <f t="shared" si="84"/>
        <v>PA|AccumulatedNewCapacity|RE1|PWRWNDONS|2049</v>
      </c>
      <c r="B5415" t="s">
        <v>44</v>
      </c>
      <c r="C5415" t="s">
        <v>45</v>
      </c>
      <c r="D5415" t="s">
        <v>18</v>
      </c>
      <c r="E5415" t="s">
        <v>19</v>
      </c>
      <c r="F5415" t="s">
        <v>36</v>
      </c>
      <c r="O5415">
        <v>2049</v>
      </c>
      <c r="P5415">
        <v>490.48662025717852</v>
      </c>
    </row>
    <row r="5416" spans="1:16" x14ac:dyDescent="0.3">
      <c r="A5416" t="str">
        <f t="shared" si="84"/>
        <v>PA|NewCapacity|RE1|PWRBGS|2049</v>
      </c>
      <c r="B5416" t="s">
        <v>44</v>
      </c>
      <c r="C5416" t="s">
        <v>45</v>
      </c>
      <c r="D5416" t="s">
        <v>37</v>
      </c>
      <c r="E5416" t="s">
        <v>19</v>
      </c>
      <c r="F5416" t="s">
        <v>20</v>
      </c>
      <c r="O5416">
        <v>2049</v>
      </c>
    </row>
    <row r="5417" spans="1:16" x14ac:dyDescent="0.3">
      <c r="A5417" t="str">
        <f t="shared" si="84"/>
        <v>PA|NewCapacity|RE1|PWRCOA|2049</v>
      </c>
      <c r="B5417" t="s">
        <v>44</v>
      </c>
      <c r="C5417" t="s">
        <v>45</v>
      </c>
      <c r="D5417" t="s">
        <v>37</v>
      </c>
      <c r="E5417" t="s">
        <v>19</v>
      </c>
      <c r="F5417" t="s">
        <v>21</v>
      </c>
      <c r="O5417">
        <v>2049</v>
      </c>
    </row>
    <row r="5418" spans="1:16" x14ac:dyDescent="0.3">
      <c r="A5418" t="str">
        <f t="shared" si="84"/>
        <v>PA|NewCapacity|RE1|PWRDSL|2049</v>
      </c>
      <c r="B5418" t="s">
        <v>44</v>
      </c>
      <c r="C5418" t="s">
        <v>45</v>
      </c>
      <c r="D5418" t="s">
        <v>37</v>
      </c>
      <c r="E5418" t="s">
        <v>19</v>
      </c>
      <c r="F5418" t="s">
        <v>22</v>
      </c>
      <c r="O5418">
        <v>2049</v>
      </c>
    </row>
    <row r="5419" spans="1:16" x14ac:dyDescent="0.3">
      <c r="A5419" t="str">
        <f t="shared" si="84"/>
        <v>PA|NewCapacity|RE1|PWRFOL|2049</v>
      </c>
      <c r="B5419" t="s">
        <v>44</v>
      </c>
      <c r="C5419" t="s">
        <v>45</v>
      </c>
      <c r="D5419" t="s">
        <v>37</v>
      </c>
      <c r="E5419" t="s">
        <v>19</v>
      </c>
      <c r="F5419" t="s">
        <v>23</v>
      </c>
      <c r="O5419">
        <v>2049</v>
      </c>
    </row>
    <row r="5420" spans="1:16" x14ac:dyDescent="0.3">
      <c r="A5420" t="str">
        <f t="shared" si="84"/>
        <v>PA|NewCapacity|RE1|PWRGEO|2049</v>
      </c>
      <c r="B5420" t="s">
        <v>44</v>
      </c>
      <c r="C5420" t="s">
        <v>45</v>
      </c>
      <c r="D5420" t="s">
        <v>37</v>
      </c>
      <c r="E5420" t="s">
        <v>19</v>
      </c>
      <c r="F5420" t="s">
        <v>46</v>
      </c>
      <c r="O5420">
        <v>2049</v>
      </c>
      <c r="P5420">
        <v>3.1539999999999999</v>
      </c>
    </row>
    <row r="5421" spans="1:16" x14ac:dyDescent="0.3">
      <c r="A5421" t="str">
        <f t="shared" si="84"/>
        <v>PA|NewCapacity|RE1|PWRHYDDAM|2049</v>
      </c>
      <c r="B5421" t="s">
        <v>44</v>
      </c>
      <c r="C5421" t="s">
        <v>45</v>
      </c>
      <c r="D5421" t="s">
        <v>37</v>
      </c>
      <c r="E5421" t="s">
        <v>19</v>
      </c>
      <c r="F5421" t="s">
        <v>24</v>
      </c>
      <c r="O5421">
        <v>2049</v>
      </c>
    </row>
    <row r="5422" spans="1:16" x14ac:dyDescent="0.3">
      <c r="A5422" t="str">
        <f t="shared" si="84"/>
        <v>PA|NewCapacity|RE1|PWRHYDROR|2049</v>
      </c>
      <c r="B5422" t="s">
        <v>44</v>
      </c>
      <c r="C5422" t="s">
        <v>45</v>
      </c>
      <c r="D5422" t="s">
        <v>37</v>
      </c>
      <c r="E5422" t="s">
        <v>19</v>
      </c>
      <c r="F5422" t="s">
        <v>25</v>
      </c>
      <c r="O5422">
        <v>2049</v>
      </c>
    </row>
    <row r="5423" spans="1:16" x14ac:dyDescent="0.3">
      <c r="A5423" t="str">
        <f t="shared" si="84"/>
        <v>PA|NewCapacity|RE1|PWRHYDROR_NDC|2049</v>
      </c>
      <c r="B5423" t="s">
        <v>44</v>
      </c>
      <c r="C5423" t="s">
        <v>45</v>
      </c>
      <c r="D5423" t="s">
        <v>37</v>
      </c>
      <c r="E5423" t="s">
        <v>19</v>
      </c>
      <c r="F5423" t="s">
        <v>26</v>
      </c>
      <c r="O5423">
        <v>2049</v>
      </c>
    </row>
    <row r="5424" spans="1:16" x14ac:dyDescent="0.3">
      <c r="A5424" t="str">
        <f t="shared" si="84"/>
        <v>PA|NewCapacity|RE1|PWRJET|2049</v>
      </c>
      <c r="B5424" t="s">
        <v>44</v>
      </c>
      <c r="C5424" t="s">
        <v>45</v>
      </c>
      <c r="D5424" t="s">
        <v>37</v>
      </c>
      <c r="E5424" t="s">
        <v>19</v>
      </c>
      <c r="F5424" t="s">
        <v>27</v>
      </c>
      <c r="O5424">
        <v>2049</v>
      </c>
    </row>
    <row r="5425" spans="1:16" x14ac:dyDescent="0.3">
      <c r="A5425" t="str">
        <f t="shared" si="84"/>
        <v>PA|NewCapacity|RE1|PWRLPG|2049</v>
      </c>
      <c r="B5425" t="s">
        <v>44</v>
      </c>
      <c r="C5425" t="s">
        <v>45</v>
      </c>
      <c r="D5425" t="s">
        <v>37</v>
      </c>
      <c r="E5425" t="s">
        <v>19</v>
      </c>
      <c r="F5425" t="s">
        <v>28</v>
      </c>
      <c r="O5425">
        <v>2049</v>
      </c>
    </row>
    <row r="5426" spans="1:16" x14ac:dyDescent="0.3">
      <c r="A5426" t="str">
        <f t="shared" si="84"/>
        <v>PA|NewCapacity|RE1|PWRNGS_CC|2049</v>
      </c>
      <c r="B5426" t="s">
        <v>44</v>
      </c>
      <c r="C5426" t="s">
        <v>45</v>
      </c>
      <c r="D5426" t="s">
        <v>37</v>
      </c>
      <c r="E5426" t="s">
        <v>19</v>
      </c>
      <c r="F5426" t="s">
        <v>29</v>
      </c>
      <c r="O5426">
        <v>2049</v>
      </c>
    </row>
    <row r="5427" spans="1:16" x14ac:dyDescent="0.3">
      <c r="A5427" t="str">
        <f t="shared" si="84"/>
        <v>PA|NewCapacity|RE1|PWRNGS_CS|2049</v>
      </c>
      <c r="B5427" t="s">
        <v>44</v>
      </c>
      <c r="C5427" t="s">
        <v>45</v>
      </c>
      <c r="D5427" t="s">
        <v>37</v>
      </c>
      <c r="E5427" t="s">
        <v>19</v>
      </c>
      <c r="F5427" t="s">
        <v>30</v>
      </c>
      <c r="O5427">
        <v>2049</v>
      </c>
    </row>
    <row r="5428" spans="1:16" x14ac:dyDescent="0.3">
      <c r="A5428" t="str">
        <f t="shared" si="84"/>
        <v>PA|NewCapacity|RE1|PWRNUC|2049</v>
      </c>
      <c r="B5428" t="s">
        <v>44</v>
      </c>
      <c r="C5428" t="s">
        <v>45</v>
      </c>
      <c r="D5428" t="s">
        <v>37</v>
      </c>
      <c r="E5428" t="s">
        <v>19</v>
      </c>
      <c r="F5428" t="s">
        <v>47</v>
      </c>
      <c r="O5428">
        <v>2049</v>
      </c>
    </row>
    <row r="5429" spans="1:16" x14ac:dyDescent="0.3">
      <c r="A5429" t="str">
        <f t="shared" si="84"/>
        <v>PA|NewCapacity|RE1|PWRSOLRTP|2049</v>
      </c>
      <c r="B5429" t="s">
        <v>44</v>
      </c>
      <c r="C5429" t="s">
        <v>45</v>
      </c>
      <c r="D5429" t="s">
        <v>37</v>
      </c>
      <c r="E5429" t="s">
        <v>19</v>
      </c>
      <c r="F5429" t="s">
        <v>31</v>
      </c>
      <c r="O5429">
        <v>2049</v>
      </c>
      <c r="P5429">
        <v>1.902346227013316</v>
      </c>
    </row>
    <row r="5430" spans="1:16" x14ac:dyDescent="0.3">
      <c r="A5430" t="str">
        <f t="shared" si="84"/>
        <v>PA|NewCapacity|RE1|PWRSOLRTP_ZNI|2049</v>
      </c>
      <c r="B5430" t="s">
        <v>44</v>
      </c>
      <c r="C5430" t="s">
        <v>45</v>
      </c>
      <c r="D5430" t="s">
        <v>37</v>
      </c>
      <c r="E5430" t="s">
        <v>19</v>
      </c>
      <c r="F5430" t="s">
        <v>32</v>
      </c>
      <c r="O5430">
        <v>2049</v>
      </c>
    </row>
    <row r="5431" spans="1:16" x14ac:dyDescent="0.3">
      <c r="A5431" t="str">
        <f t="shared" si="84"/>
        <v>PA|NewCapacity|RE1|PWRSOLUGE|2049</v>
      </c>
      <c r="B5431" t="s">
        <v>44</v>
      </c>
      <c r="C5431" t="s">
        <v>45</v>
      </c>
      <c r="D5431" t="s">
        <v>37</v>
      </c>
      <c r="E5431" t="s">
        <v>19</v>
      </c>
      <c r="F5431" t="s">
        <v>33</v>
      </c>
      <c r="O5431">
        <v>2049</v>
      </c>
    </row>
    <row r="5432" spans="1:16" x14ac:dyDescent="0.3">
      <c r="A5432" t="str">
        <f t="shared" si="84"/>
        <v>PA|NewCapacity|RE1|PWRSOLUPE|2049</v>
      </c>
      <c r="B5432" t="s">
        <v>44</v>
      </c>
      <c r="C5432" t="s">
        <v>45</v>
      </c>
      <c r="D5432" t="s">
        <v>37</v>
      </c>
      <c r="E5432" t="s">
        <v>19</v>
      </c>
      <c r="F5432" t="s">
        <v>34</v>
      </c>
      <c r="O5432">
        <v>2049</v>
      </c>
    </row>
    <row r="5433" spans="1:16" x14ac:dyDescent="0.3">
      <c r="A5433" t="str">
        <f t="shared" si="84"/>
        <v>PA|NewCapacity|RE1|PWRSTD|2049</v>
      </c>
      <c r="B5433" t="s">
        <v>44</v>
      </c>
      <c r="C5433" t="s">
        <v>45</v>
      </c>
      <c r="D5433" t="s">
        <v>37</v>
      </c>
      <c r="E5433" t="s">
        <v>19</v>
      </c>
      <c r="F5433" t="s">
        <v>35</v>
      </c>
      <c r="O5433">
        <v>2049</v>
      </c>
    </row>
    <row r="5434" spans="1:16" x14ac:dyDescent="0.3">
      <c r="A5434" t="str">
        <f t="shared" si="84"/>
        <v>PA|NewCapacity|RE1|PWRWNDOFS_FIX|2049</v>
      </c>
      <c r="B5434" t="s">
        <v>44</v>
      </c>
      <c r="C5434" t="s">
        <v>45</v>
      </c>
      <c r="D5434" t="s">
        <v>37</v>
      </c>
      <c r="E5434" t="s">
        <v>19</v>
      </c>
      <c r="F5434" t="s">
        <v>42</v>
      </c>
      <c r="O5434">
        <v>2049</v>
      </c>
      <c r="P5434">
        <v>3.1536</v>
      </c>
    </row>
    <row r="5435" spans="1:16" x14ac:dyDescent="0.3">
      <c r="A5435" t="str">
        <f t="shared" si="84"/>
        <v>PA|NewCapacity|RE1|PWRWNDONS|2049</v>
      </c>
      <c r="B5435" t="s">
        <v>44</v>
      </c>
      <c r="C5435" t="s">
        <v>45</v>
      </c>
      <c r="D5435" t="s">
        <v>37</v>
      </c>
      <c r="E5435" t="s">
        <v>19</v>
      </c>
      <c r="F5435" t="s">
        <v>36</v>
      </c>
      <c r="O5435">
        <v>2049</v>
      </c>
    </row>
    <row r="5436" spans="1:16" x14ac:dyDescent="0.3">
      <c r="A5436" t="str">
        <f t="shared" si="84"/>
        <v>PA|TotalCapacityAnnual|RE1|PWRBGS|2049</v>
      </c>
      <c r="B5436" t="s">
        <v>44</v>
      </c>
      <c r="C5436" t="s">
        <v>45</v>
      </c>
      <c r="D5436" t="s">
        <v>38</v>
      </c>
      <c r="E5436" t="s">
        <v>19</v>
      </c>
      <c r="F5436" t="s">
        <v>20</v>
      </c>
      <c r="O5436">
        <v>2049</v>
      </c>
      <c r="P5436">
        <v>2.5488587520000001E-2</v>
      </c>
    </row>
    <row r="5437" spans="1:16" x14ac:dyDescent="0.3">
      <c r="A5437" t="str">
        <f t="shared" si="84"/>
        <v>PA|TotalCapacityAnnual|RE1|PWRCOA|2049</v>
      </c>
      <c r="B5437" t="s">
        <v>44</v>
      </c>
      <c r="C5437" t="s">
        <v>45</v>
      </c>
      <c r="D5437" t="s">
        <v>38</v>
      </c>
      <c r="E5437" t="s">
        <v>19</v>
      </c>
      <c r="F5437" t="s">
        <v>21</v>
      </c>
      <c r="O5437">
        <v>2049</v>
      </c>
    </row>
    <row r="5438" spans="1:16" x14ac:dyDescent="0.3">
      <c r="A5438" t="str">
        <f t="shared" si="84"/>
        <v>PA|TotalCapacityAnnual|RE1|PWRDSL|2049</v>
      </c>
      <c r="B5438" t="s">
        <v>44</v>
      </c>
      <c r="C5438" t="s">
        <v>45</v>
      </c>
      <c r="D5438" t="s">
        <v>38</v>
      </c>
      <c r="E5438" t="s">
        <v>19</v>
      </c>
      <c r="F5438" t="s">
        <v>22</v>
      </c>
      <c r="O5438">
        <v>2049</v>
      </c>
      <c r="P5438">
        <v>24.944976</v>
      </c>
    </row>
    <row r="5439" spans="1:16" x14ac:dyDescent="0.3">
      <c r="A5439" t="str">
        <f t="shared" si="84"/>
        <v>PA|TotalCapacityAnnual|RE1|PWRFOL|2049</v>
      </c>
      <c r="B5439" t="s">
        <v>44</v>
      </c>
      <c r="C5439" t="s">
        <v>45</v>
      </c>
      <c r="D5439" t="s">
        <v>38</v>
      </c>
      <c r="E5439" t="s">
        <v>19</v>
      </c>
      <c r="F5439" t="s">
        <v>23</v>
      </c>
      <c r="O5439">
        <v>2049</v>
      </c>
      <c r="P5439">
        <v>8.3885759999999987</v>
      </c>
    </row>
    <row r="5440" spans="1:16" x14ac:dyDescent="0.3">
      <c r="A5440" t="str">
        <f t="shared" si="84"/>
        <v>PA|TotalCapacityAnnual|RE1|PWRGEO|2049</v>
      </c>
      <c r="B5440" t="s">
        <v>44</v>
      </c>
      <c r="C5440" t="s">
        <v>45</v>
      </c>
      <c r="D5440" t="s">
        <v>38</v>
      </c>
      <c r="E5440" t="s">
        <v>19</v>
      </c>
      <c r="F5440" t="s">
        <v>46</v>
      </c>
      <c r="O5440">
        <v>2049</v>
      </c>
      <c r="P5440">
        <v>31.54</v>
      </c>
    </row>
    <row r="5441" spans="1:16" x14ac:dyDescent="0.3">
      <c r="A5441" t="str">
        <f t="shared" si="84"/>
        <v>PA|TotalCapacityAnnual|RE1|PWRHYDDAM|2049</v>
      </c>
      <c r="B5441" t="s">
        <v>44</v>
      </c>
      <c r="C5441" t="s">
        <v>45</v>
      </c>
      <c r="D5441" t="s">
        <v>38</v>
      </c>
      <c r="E5441" t="s">
        <v>19</v>
      </c>
      <c r="F5441" t="s">
        <v>24</v>
      </c>
      <c r="O5441">
        <v>2049</v>
      </c>
      <c r="P5441">
        <v>440.49164800000011</v>
      </c>
    </row>
    <row r="5442" spans="1:16" x14ac:dyDescent="0.3">
      <c r="A5442" t="str">
        <f t="shared" ref="A5442:A5505" si="85">B5442&amp;"|"&amp;D5442&amp;"|"&amp;E5442&amp;"|"&amp;F5442&amp;"|"&amp;O5442</f>
        <v>PA|TotalCapacityAnnual|RE1|PWRHYDROR|2049</v>
      </c>
      <c r="B5442" t="s">
        <v>44</v>
      </c>
      <c r="C5442" t="s">
        <v>45</v>
      </c>
      <c r="D5442" t="s">
        <v>38</v>
      </c>
      <c r="E5442" t="s">
        <v>19</v>
      </c>
      <c r="F5442" t="s">
        <v>25</v>
      </c>
      <c r="O5442">
        <v>2049</v>
      </c>
      <c r="P5442">
        <v>21.097584000000001</v>
      </c>
    </row>
    <row r="5443" spans="1:16" x14ac:dyDescent="0.3">
      <c r="A5443" t="str">
        <f t="shared" si="85"/>
        <v>PA|TotalCapacityAnnual|RE1|PWRHYDROR_NDC|2049</v>
      </c>
      <c r="B5443" t="s">
        <v>44</v>
      </c>
      <c r="C5443" t="s">
        <v>45</v>
      </c>
      <c r="D5443" t="s">
        <v>38</v>
      </c>
      <c r="E5443" t="s">
        <v>19</v>
      </c>
      <c r="F5443" t="s">
        <v>26</v>
      </c>
      <c r="O5443">
        <v>2049</v>
      </c>
      <c r="P5443">
        <v>29.725108271999989</v>
      </c>
    </row>
    <row r="5444" spans="1:16" x14ac:dyDescent="0.3">
      <c r="A5444" t="str">
        <f t="shared" si="85"/>
        <v>PA|TotalCapacityAnnual|RE1|PWRJET|2049</v>
      </c>
      <c r="B5444" t="s">
        <v>44</v>
      </c>
      <c r="C5444" t="s">
        <v>45</v>
      </c>
      <c r="D5444" t="s">
        <v>38</v>
      </c>
      <c r="E5444" t="s">
        <v>19</v>
      </c>
      <c r="F5444" t="s">
        <v>27</v>
      </c>
      <c r="O5444">
        <v>2049</v>
      </c>
      <c r="P5444">
        <v>1.5768</v>
      </c>
    </row>
    <row r="5445" spans="1:16" x14ac:dyDescent="0.3">
      <c r="A5445" t="str">
        <f t="shared" si="85"/>
        <v>PA|TotalCapacityAnnual|RE1|PWRLPG|2049</v>
      </c>
      <c r="B5445" t="s">
        <v>44</v>
      </c>
      <c r="C5445" t="s">
        <v>45</v>
      </c>
      <c r="D5445" t="s">
        <v>38</v>
      </c>
      <c r="E5445" t="s">
        <v>19</v>
      </c>
      <c r="F5445" t="s">
        <v>28</v>
      </c>
      <c r="O5445">
        <v>2049</v>
      </c>
      <c r="P5445">
        <v>1.639872</v>
      </c>
    </row>
    <row r="5446" spans="1:16" x14ac:dyDescent="0.3">
      <c r="A5446" t="str">
        <f t="shared" si="85"/>
        <v>PA|TotalCapacityAnnual|RE1|PWRNGS_CC|2049</v>
      </c>
      <c r="B5446" t="s">
        <v>44</v>
      </c>
      <c r="C5446" t="s">
        <v>45</v>
      </c>
      <c r="D5446" t="s">
        <v>38</v>
      </c>
      <c r="E5446" t="s">
        <v>19</v>
      </c>
      <c r="F5446" t="s">
        <v>29</v>
      </c>
      <c r="O5446">
        <v>2049</v>
      </c>
      <c r="P5446">
        <v>70.104500000000002</v>
      </c>
    </row>
    <row r="5447" spans="1:16" x14ac:dyDescent="0.3">
      <c r="A5447" t="str">
        <f t="shared" si="85"/>
        <v>PA|TotalCapacityAnnual|RE1|PWRNGS_CS|2049</v>
      </c>
      <c r="B5447" t="s">
        <v>44</v>
      </c>
      <c r="C5447" t="s">
        <v>45</v>
      </c>
      <c r="D5447" t="s">
        <v>38</v>
      </c>
      <c r="E5447" t="s">
        <v>19</v>
      </c>
      <c r="F5447" t="s">
        <v>30</v>
      </c>
      <c r="O5447">
        <v>2049</v>
      </c>
      <c r="P5447">
        <v>23.084351999999999</v>
      </c>
    </row>
    <row r="5448" spans="1:16" x14ac:dyDescent="0.3">
      <c r="A5448" t="str">
        <f t="shared" si="85"/>
        <v>PA|TotalCapacityAnnual|RE1|PWRNUC|2049</v>
      </c>
      <c r="B5448" t="s">
        <v>44</v>
      </c>
      <c r="C5448" t="s">
        <v>45</v>
      </c>
      <c r="D5448" t="s">
        <v>38</v>
      </c>
      <c r="E5448" t="s">
        <v>19</v>
      </c>
      <c r="F5448" t="s">
        <v>47</v>
      </c>
      <c r="O5448">
        <v>2049</v>
      </c>
      <c r="P5448">
        <v>9.5120000000000005</v>
      </c>
    </row>
    <row r="5449" spans="1:16" x14ac:dyDescent="0.3">
      <c r="A5449" t="str">
        <f t="shared" si="85"/>
        <v>PA|TotalCapacityAnnual|RE1|PWRSOLRTP|2049</v>
      </c>
      <c r="B5449" t="s">
        <v>44</v>
      </c>
      <c r="C5449" t="s">
        <v>45</v>
      </c>
      <c r="D5449" t="s">
        <v>38</v>
      </c>
      <c r="E5449" t="s">
        <v>19</v>
      </c>
      <c r="F5449" t="s">
        <v>31</v>
      </c>
      <c r="O5449">
        <v>2049</v>
      </c>
      <c r="P5449">
        <v>165.78421756499679</v>
      </c>
    </row>
    <row r="5450" spans="1:16" x14ac:dyDescent="0.3">
      <c r="A5450" t="str">
        <f t="shared" si="85"/>
        <v>PA|TotalCapacityAnnual|RE1|PWRSOLRTP_ZNI|2049</v>
      </c>
      <c r="B5450" t="s">
        <v>44</v>
      </c>
      <c r="C5450" t="s">
        <v>45</v>
      </c>
      <c r="D5450" t="s">
        <v>38</v>
      </c>
      <c r="E5450" t="s">
        <v>19</v>
      </c>
      <c r="F5450" t="s">
        <v>32</v>
      </c>
      <c r="O5450">
        <v>2049</v>
      </c>
      <c r="P5450">
        <v>0.46074095999999998</v>
      </c>
    </row>
    <row r="5451" spans="1:16" x14ac:dyDescent="0.3">
      <c r="A5451" t="str">
        <f t="shared" si="85"/>
        <v>PA|TotalCapacityAnnual|RE1|PWRSOLUGE|2049</v>
      </c>
      <c r="B5451" t="s">
        <v>44</v>
      </c>
      <c r="C5451" t="s">
        <v>45</v>
      </c>
      <c r="D5451" t="s">
        <v>38</v>
      </c>
      <c r="E5451" t="s">
        <v>19</v>
      </c>
      <c r="F5451" t="s">
        <v>33</v>
      </c>
      <c r="O5451">
        <v>2049</v>
      </c>
      <c r="P5451">
        <v>191.79189199999999</v>
      </c>
    </row>
    <row r="5452" spans="1:16" x14ac:dyDescent="0.3">
      <c r="A5452" t="str">
        <f t="shared" si="85"/>
        <v>PA|TotalCapacityAnnual|RE1|PWRSOLUPE|2049</v>
      </c>
      <c r="B5452" t="s">
        <v>44</v>
      </c>
      <c r="C5452" t="s">
        <v>45</v>
      </c>
      <c r="D5452" t="s">
        <v>38</v>
      </c>
      <c r="E5452" t="s">
        <v>19</v>
      </c>
      <c r="F5452" t="s">
        <v>34</v>
      </c>
      <c r="O5452">
        <v>2049</v>
      </c>
      <c r="P5452">
        <v>12.14419823999993</v>
      </c>
    </row>
    <row r="5453" spans="1:16" x14ac:dyDescent="0.3">
      <c r="A5453" t="str">
        <f t="shared" si="85"/>
        <v>PA|TotalCapacityAnnual|RE1|PWRSTD|2049</v>
      </c>
      <c r="B5453" t="s">
        <v>44</v>
      </c>
      <c r="C5453" t="s">
        <v>45</v>
      </c>
      <c r="D5453" t="s">
        <v>38</v>
      </c>
      <c r="E5453" t="s">
        <v>19</v>
      </c>
      <c r="F5453" t="s">
        <v>35</v>
      </c>
      <c r="O5453">
        <v>2049</v>
      </c>
      <c r="P5453">
        <v>8.163062064</v>
      </c>
    </row>
    <row r="5454" spans="1:16" x14ac:dyDescent="0.3">
      <c r="A5454" t="str">
        <f t="shared" si="85"/>
        <v>PA|TotalCapacityAnnual|RE1|PWRWNDOFS_FIX|2049</v>
      </c>
      <c r="B5454" t="s">
        <v>44</v>
      </c>
      <c r="C5454" t="s">
        <v>45</v>
      </c>
      <c r="D5454" t="s">
        <v>38</v>
      </c>
      <c r="E5454" t="s">
        <v>19</v>
      </c>
      <c r="F5454" t="s">
        <v>42</v>
      </c>
      <c r="O5454">
        <v>2049</v>
      </c>
      <c r="P5454">
        <v>44.150399999999998</v>
      </c>
    </row>
    <row r="5455" spans="1:16" x14ac:dyDescent="0.3">
      <c r="A5455" t="str">
        <f t="shared" si="85"/>
        <v>PA|TotalCapacityAnnual|RE1|PWRWNDONS|2049</v>
      </c>
      <c r="B5455" t="s">
        <v>44</v>
      </c>
      <c r="C5455" t="s">
        <v>45</v>
      </c>
      <c r="D5455" t="s">
        <v>38</v>
      </c>
      <c r="E5455" t="s">
        <v>19</v>
      </c>
      <c r="F5455" t="s">
        <v>36</v>
      </c>
      <c r="O5455">
        <v>2049</v>
      </c>
      <c r="P5455">
        <v>491.85528265717852</v>
      </c>
    </row>
    <row r="5456" spans="1:16" x14ac:dyDescent="0.3">
      <c r="A5456" t="str">
        <f t="shared" si="85"/>
        <v>PA|AccumulatedNewCapacity|RE1|PWRBGS|2050</v>
      </c>
      <c r="B5456" t="s">
        <v>44</v>
      </c>
      <c r="C5456" t="s">
        <v>45</v>
      </c>
      <c r="D5456" t="s">
        <v>18</v>
      </c>
      <c r="E5456" t="s">
        <v>19</v>
      </c>
      <c r="F5456" t="s">
        <v>20</v>
      </c>
      <c r="O5456">
        <v>2050</v>
      </c>
    </row>
    <row r="5457" spans="1:16" x14ac:dyDescent="0.3">
      <c r="A5457" t="str">
        <f t="shared" si="85"/>
        <v>PA|AccumulatedNewCapacity|RE1|PWRCOA|2050</v>
      </c>
      <c r="B5457" t="s">
        <v>44</v>
      </c>
      <c r="C5457" t="s">
        <v>45</v>
      </c>
      <c r="D5457" t="s">
        <v>18</v>
      </c>
      <c r="E5457" t="s">
        <v>19</v>
      </c>
      <c r="F5457" t="s">
        <v>21</v>
      </c>
      <c r="O5457">
        <v>2050</v>
      </c>
    </row>
    <row r="5458" spans="1:16" x14ac:dyDescent="0.3">
      <c r="A5458" t="str">
        <f t="shared" si="85"/>
        <v>PA|AccumulatedNewCapacity|RE1|PWRDSL|2050</v>
      </c>
      <c r="B5458" t="s">
        <v>44</v>
      </c>
      <c r="C5458" t="s">
        <v>45</v>
      </c>
      <c r="D5458" t="s">
        <v>18</v>
      </c>
      <c r="E5458" t="s">
        <v>19</v>
      </c>
      <c r="F5458" t="s">
        <v>22</v>
      </c>
      <c r="O5458">
        <v>2050</v>
      </c>
    </row>
    <row r="5459" spans="1:16" x14ac:dyDescent="0.3">
      <c r="A5459" t="str">
        <f t="shared" si="85"/>
        <v>PA|AccumulatedNewCapacity|RE1|PWRFOL|2050</v>
      </c>
      <c r="B5459" t="s">
        <v>44</v>
      </c>
      <c r="C5459" t="s">
        <v>45</v>
      </c>
      <c r="D5459" t="s">
        <v>18</v>
      </c>
      <c r="E5459" t="s">
        <v>19</v>
      </c>
      <c r="F5459" t="s">
        <v>23</v>
      </c>
      <c r="O5459">
        <v>2050</v>
      </c>
    </row>
    <row r="5460" spans="1:16" x14ac:dyDescent="0.3">
      <c r="A5460" t="str">
        <f t="shared" si="85"/>
        <v>PA|AccumulatedNewCapacity|RE1|PWRGEO|2050</v>
      </c>
      <c r="B5460" t="s">
        <v>44</v>
      </c>
      <c r="C5460" t="s">
        <v>45</v>
      </c>
      <c r="D5460" t="s">
        <v>18</v>
      </c>
      <c r="E5460" t="s">
        <v>19</v>
      </c>
      <c r="F5460" t="s">
        <v>46</v>
      </c>
      <c r="O5460">
        <v>2050</v>
      </c>
      <c r="P5460">
        <v>31.54</v>
      </c>
    </row>
    <row r="5461" spans="1:16" x14ac:dyDescent="0.3">
      <c r="A5461" t="str">
        <f t="shared" si="85"/>
        <v>PA|AccumulatedNewCapacity|RE1|PWRHYDDAM|2050</v>
      </c>
      <c r="B5461" t="s">
        <v>44</v>
      </c>
      <c r="C5461" t="s">
        <v>45</v>
      </c>
      <c r="D5461" t="s">
        <v>18</v>
      </c>
      <c r="E5461" t="s">
        <v>19</v>
      </c>
      <c r="F5461" t="s">
        <v>24</v>
      </c>
      <c r="O5461">
        <v>2050</v>
      </c>
      <c r="P5461">
        <v>37.840000000000003</v>
      </c>
    </row>
    <row r="5462" spans="1:16" x14ac:dyDescent="0.3">
      <c r="A5462" t="str">
        <f t="shared" si="85"/>
        <v>PA|AccumulatedNewCapacity|RE1|PWRHYDROR|2050</v>
      </c>
      <c r="B5462" t="s">
        <v>44</v>
      </c>
      <c r="C5462" t="s">
        <v>45</v>
      </c>
      <c r="D5462" t="s">
        <v>18</v>
      </c>
      <c r="E5462" t="s">
        <v>19</v>
      </c>
      <c r="F5462" t="s">
        <v>25</v>
      </c>
      <c r="O5462">
        <v>2050</v>
      </c>
    </row>
    <row r="5463" spans="1:16" x14ac:dyDescent="0.3">
      <c r="A5463" t="str">
        <f t="shared" si="85"/>
        <v>PA|AccumulatedNewCapacity|RE1|PWRHYDROR_NDC|2050</v>
      </c>
      <c r="B5463" t="s">
        <v>44</v>
      </c>
      <c r="C5463" t="s">
        <v>45</v>
      </c>
      <c r="D5463" t="s">
        <v>18</v>
      </c>
      <c r="E5463" t="s">
        <v>19</v>
      </c>
      <c r="F5463" t="s">
        <v>26</v>
      </c>
      <c r="O5463">
        <v>2050</v>
      </c>
    </row>
    <row r="5464" spans="1:16" x14ac:dyDescent="0.3">
      <c r="A5464" t="str">
        <f t="shared" si="85"/>
        <v>PA|AccumulatedNewCapacity|RE1|PWRJET|2050</v>
      </c>
      <c r="B5464" t="s">
        <v>44</v>
      </c>
      <c r="C5464" t="s">
        <v>45</v>
      </c>
      <c r="D5464" t="s">
        <v>18</v>
      </c>
      <c r="E5464" t="s">
        <v>19</v>
      </c>
      <c r="F5464" t="s">
        <v>27</v>
      </c>
      <c r="O5464">
        <v>2050</v>
      </c>
    </row>
    <row r="5465" spans="1:16" x14ac:dyDescent="0.3">
      <c r="A5465" t="str">
        <f t="shared" si="85"/>
        <v>PA|AccumulatedNewCapacity|RE1|PWRLPG|2050</v>
      </c>
      <c r="B5465" t="s">
        <v>44</v>
      </c>
      <c r="C5465" t="s">
        <v>45</v>
      </c>
      <c r="D5465" t="s">
        <v>18</v>
      </c>
      <c r="E5465" t="s">
        <v>19</v>
      </c>
      <c r="F5465" t="s">
        <v>28</v>
      </c>
      <c r="O5465">
        <v>2050</v>
      </c>
    </row>
    <row r="5466" spans="1:16" x14ac:dyDescent="0.3">
      <c r="A5466" t="str">
        <f t="shared" si="85"/>
        <v>PA|AccumulatedNewCapacity|RE1|PWRNGS_CC|2050</v>
      </c>
      <c r="B5466" t="s">
        <v>44</v>
      </c>
      <c r="C5466" t="s">
        <v>45</v>
      </c>
      <c r="D5466" t="s">
        <v>18</v>
      </c>
      <c r="E5466" t="s">
        <v>19</v>
      </c>
      <c r="F5466" t="s">
        <v>29</v>
      </c>
      <c r="O5466">
        <v>2050</v>
      </c>
    </row>
    <row r="5467" spans="1:16" x14ac:dyDescent="0.3">
      <c r="A5467" t="str">
        <f t="shared" si="85"/>
        <v>PA|AccumulatedNewCapacity|RE1|PWRNGS_CS|2050</v>
      </c>
      <c r="B5467" t="s">
        <v>44</v>
      </c>
      <c r="C5467" t="s">
        <v>45</v>
      </c>
      <c r="D5467" t="s">
        <v>18</v>
      </c>
      <c r="E5467" t="s">
        <v>19</v>
      </c>
      <c r="F5467" t="s">
        <v>30</v>
      </c>
      <c r="O5467">
        <v>2050</v>
      </c>
    </row>
    <row r="5468" spans="1:16" x14ac:dyDescent="0.3">
      <c r="A5468" t="str">
        <f t="shared" si="85"/>
        <v>PA|AccumulatedNewCapacity|RE1|PWRNUC|2050</v>
      </c>
      <c r="B5468" t="s">
        <v>44</v>
      </c>
      <c r="C5468" t="s">
        <v>45</v>
      </c>
      <c r="D5468" t="s">
        <v>18</v>
      </c>
      <c r="E5468" t="s">
        <v>19</v>
      </c>
      <c r="F5468" t="s">
        <v>47</v>
      </c>
      <c r="O5468">
        <v>2050</v>
      </c>
      <c r="P5468">
        <v>9.5120000000000005</v>
      </c>
    </row>
    <row r="5469" spans="1:16" x14ac:dyDescent="0.3">
      <c r="A5469" t="str">
        <f t="shared" si="85"/>
        <v>PA|AccumulatedNewCapacity|RE1|PWRSOLRTP|2050</v>
      </c>
      <c r="B5469" t="s">
        <v>44</v>
      </c>
      <c r="C5469" t="s">
        <v>45</v>
      </c>
      <c r="D5469" t="s">
        <v>18</v>
      </c>
      <c r="E5469" t="s">
        <v>19</v>
      </c>
      <c r="F5469" t="s">
        <v>31</v>
      </c>
      <c r="O5469">
        <v>2050</v>
      </c>
      <c r="P5469">
        <v>156.70226379201009</v>
      </c>
    </row>
    <row r="5470" spans="1:16" x14ac:dyDescent="0.3">
      <c r="A5470" t="str">
        <f t="shared" si="85"/>
        <v>PA|AccumulatedNewCapacity|RE1|PWRSOLRTP_ZNI|2050</v>
      </c>
      <c r="B5470" t="s">
        <v>44</v>
      </c>
      <c r="C5470" t="s">
        <v>45</v>
      </c>
      <c r="D5470" t="s">
        <v>18</v>
      </c>
      <c r="E5470" t="s">
        <v>19</v>
      </c>
      <c r="F5470" t="s">
        <v>32</v>
      </c>
      <c r="O5470">
        <v>2050</v>
      </c>
    </row>
    <row r="5471" spans="1:16" x14ac:dyDescent="0.3">
      <c r="A5471" t="str">
        <f t="shared" si="85"/>
        <v>PA|AccumulatedNewCapacity|RE1|PWRSOLUGE|2050</v>
      </c>
      <c r="B5471" t="s">
        <v>44</v>
      </c>
      <c r="C5471" t="s">
        <v>45</v>
      </c>
      <c r="D5471" t="s">
        <v>18</v>
      </c>
      <c r="E5471" t="s">
        <v>19</v>
      </c>
      <c r="F5471" t="s">
        <v>33</v>
      </c>
      <c r="O5471">
        <v>2050</v>
      </c>
      <c r="P5471">
        <v>143.394192</v>
      </c>
    </row>
    <row r="5472" spans="1:16" x14ac:dyDescent="0.3">
      <c r="A5472" t="str">
        <f t="shared" si="85"/>
        <v>PA|AccumulatedNewCapacity|RE1|PWRSOLUPE|2050</v>
      </c>
      <c r="B5472" t="s">
        <v>44</v>
      </c>
      <c r="C5472" t="s">
        <v>45</v>
      </c>
      <c r="D5472" t="s">
        <v>18</v>
      </c>
      <c r="E5472" t="s">
        <v>19</v>
      </c>
      <c r="F5472" t="s">
        <v>34</v>
      </c>
      <c r="O5472">
        <v>2050</v>
      </c>
      <c r="P5472">
        <v>6.833535839999973</v>
      </c>
    </row>
    <row r="5473" spans="1:16" x14ac:dyDescent="0.3">
      <c r="A5473" t="str">
        <f t="shared" si="85"/>
        <v>PA|AccumulatedNewCapacity|RE1|PWRSTD|2050</v>
      </c>
      <c r="B5473" t="s">
        <v>44</v>
      </c>
      <c r="C5473" t="s">
        <v>45</v>
      </c>
      <c r="D5473" t="s">
        <v>18</v>
      </c>
      <c r="E5473" t="s">
        <v>19</v>
      </c>
      <c r="F5473" t="s">
        <v>35</v>
      </c>
      <c r="O5473">
        <v>2050</v>
      </c>
    </row>
    <row r="5474" spans="1:16" x14ac:dyDescent="0.3">
      <c r="A5474" t="str">
        <f t="shared" si="85"/>
        <v>PA|AccumulatedNewCapacity|RE1|PWRWNDOFS_FIX|2050</v>
      </c>
      <c r="B5474" t="s">
        <v>44</v>
      </c>
      <c r="C5474" t="s">
        <v>45</v>
      </c>
      <c r="D5474" t="s">
        <v>18</v>
      </c>
      <c r="E5474" t="s">
        <v>19</v>
      </c>
      <c r="F5474" t="s">
        <v>42</v>
      </c>
      <c r="O5474">
        <v>2050</v>
      </c>
      <c r="P5474">
        <v>47.303999999999988</v>
      </c>
    </row>
    <row r="5475" spans="1:16" x14ac:dyDescent="0.3">
      <c r="A5475" t="str">
        <f t="shared" si="85"/>
        <v>PA|AccumulatedNewCapacity|RE1|PWRWNDONS|2050</v>
      </c>
      <c r="B5475" t="s">
        <v>44</v>
      </c>
      <c r="C5475" t="s">
        <v>45</v>
      </c>
      <c r="D5475" t="s">
        <v>18</v>
      </c>
      <c r="E5475" t="s">
        <v>19</v>
      </c>
      <c r="F5475" t="s">
        <v>36</v>
      </c>
      <c r="O5475">
        <v>2050</v>
      </c>
      <c r="P5475">
        <v>490.48662025717852</v>
      </c>
    </row>
    <row r="5476" spans="1:16" x14ac:dyDescent="0.3">
      <c r="A5476" t="str">
        <f t="shared" si="85"/>
        <v>PA|NewCapacity|RE1|PWRBGS|2050</v>
      </c>
      <c r="B5476" t="s">
        <v>44</v>
      </c>
      <c r="C5476" t="s">
        <v>45</v>
      </c>
      <c r="D5476" t="s">
        <v>37</v>
      </c>
      <c r="E5476" t="s">
        <v>19</v>
      </c>
      <c r="F5476" t="s">
        <v>20</v>
      </c>
      <c r="O5476">
        <v>2050</v>
      </c>
    </row>
    <row r="5477" spans="1:16" x14ac:dyDescent="0.3">
      <c r="A5477" t="str">
        <f t="shared" si="85"/>
        <v>PA|NewCapacity|RE1|PWRCOA|2050</v>
      </c>
      <c r="B5477" t="s">
        <v>44</v>
      </c>
      <c r="C5477" t="s">
        <v>45</v>
      </c>
      <c r="D5477" t="s">
        <v>37</v>
      </c>
      <c r="E5477" t="s">
        <v>19</v>
      </c>
      <c r="F5477" t="s">
        <v>21</v>
      </c>
      <c r="O5477">
        <v>2050</v>
      </c>
    </row>
    <row r="5478" spans="1:16" x14ac:dyDescent="0.3">
      <c r="A5478" t="str">
        <f t="shared" si="85"/>
        <v>PA|NewCapacity|RE1|PWRDSL|2050</v>
      </c>
      <c r="B5478" t="s">
        <v>44</v>
      </c>
      <c r="C5478" t="s">
        <v>45</v>
      </c>
      <c r="D5478" t="s">
        <v>37</v>
      </c>
      <c r="E5478" t="s">
        <v>19</v>
      </c>
      <c r="F5478" t="s">
        <v>22</v>
      </c>
      <c r="O5478">
        <v>2050</v>
      </c>
    </row>
    <row r="5479" spans="1:16" x14ac:dyDescent="0.3">
      <c r="A5479" t="str">
        <f t="shared" si="85"/>
        <v>PA|NewCapacity|RE1|PWRFOL|2050</v>
      </c>
      <c r="B5479" t="s">
        <v>44</v>
      </c>
      <c r="C5479" t="s">
        <v>45</v>
      </c>
      <c r="D5479" t="s">
        <v>37</v>
      </c>
      <c r="E5479" t="s">
        <v>19</v>
      </c>
      <c r="F5479" t="s">
        <v>23</v>
      </c>
      <c r="O5479">
        <v>2050</v>
      </c>
    </row>
    <row r="5480" spans="1:16" x14ac:dyDescent="0.3">
      <c r="A5480" t="str">
        <f t="shared" si="85"/>
        <v>PA|NewCapacity|RE1|PWRGEO|2050</v>
      </c>
      <c r="B5480" t="s">
        <v>44</v>
      </c>
      <c r="C5480" t="s">
        <v>45</v>
      </c>
      <c r="D5480" t="s">
        <v>37</v>
      </c>
      <c r="E5480" t="s">
        <v>19</v>
      </c>
      <c r="F5480" t="s">
        <v>46</v>
      </c>
      <c r="O5480">
        <v>2050</v>
      </c>
    </row>
    <row r="5481" spans="1:16" x14ac:dyDescent="0.3">
      <c r="A5481" t="str">
        <f t="shared" si="85"/>
        <v>PA|NewCapacity|RE1|PWRHYDDAM|2050</v>
      </c>
      <c r="B5481" t="s">
        <v>44</v>
      </c>
      <c r="C5481" t="s">
        <v>45</v>
      </c>
      <c r="D5481" t="s">
        <v>37</v>
      </c>
      <c r="E5481" t="s">
        <v>19</v>
      </c>
      <c r="F5481" t="s">
        <v>24</v>
      </c>
      <c r="O5481">
        <v>2050</v>
      </c>
    </row>
    <row r="5482" spans="1:16" x14ac:dyDescent="0.3">
      <c r="A5482" t="str">
        <f t="shared" si="85"/>
        <v>PA|NewCapacity|RE1|PWRHYDROR|2050</v>
      </c>
      <c r="B5482" t="s">
        <v>44</v>
      </c>
      <c r="C5482" t="s">
        <v>45</v>
      </c>
      <c r="D5482" t="s">
        <v>37</v>
      </c>
      <c r="E5482" t="s">
        <v>19</v>
      </c>
      <c r="F5482" t="s">
        <v>25</v>
      </c>
      <c r="O5482">
        <v>2050</v>
      </c>
    </row>
    <row r="5483" spans="1:16" x14ac:dyDescent="0.3">
      <c r="A5483" t="str">
        <f t="shared" si="85"/>
        <v>PA|NewCapacity|RE1|PWRHYDROR_NDC|2050</v>
      </c>
      <c r="B5483" t="s">
        <v>44</v>
      </c>
      <c r="C5483" t="s">
        <v>45</v>
      </c>
      <c r="D5483" t="s">
        <v>37</v>
      </c>
      <c r="E5483" t="s">
        <v>19</v>
      </c>
      <c r="F5483" t="s">
        <v>26</v>
      </c>
      <c r="O5483">
        <v>2050</v>
      </c>
    </row>
    <row r="5484" spans="1:16" x14ac:dyDescent="0.3">
      <c r="A5484" t="str">
        <f t="shared" si="85"/>
        <v>PA|NewCapacity|RE1|PWRJET|2050</v>
      </c>
      <c r="B5484" t="s">
        <v>44</v>
      </c>
      <c r="C5484" t="s">
        <v>45</v>
      </c>
      <c r="D5484" t="s">
        <v>37</v>
      </c>
      <c r="E5484" t="s">
        <v>19</v>
      </c>
      <c r="F5484" t="s">
        <v>27</v>
      </c>
      <c r="O5484">
        <v>2050</v>
      </c>
    </row>
    <row r="5485" spans="1:16" x14ac:dyDescent="0.3">
      <c r="A5485" t="str">
        <f t="shared" si="85"/>
        <v>PA|NewCapacity|RE1|PWRLPG|2050</v>
      </c>
      <c r="B5485" t="s">
        <v>44</v>
      </c>
      <c r="C5485" t="s">
        <v>45</v>
      </c>
      <c r="D5485" t="s">
        <v>37</v>
      </c>
      <c r="E5485" t="s">
        <v>19</v>
      </c>
      <c r="F5485" t="s">
        <v>28</v>
      </c>
      <c r="O5485">
        <v>2050</v>
      </c>
    </row>
    <row r="5486" spans="1:16" x14ac:dyDescent="0.3">
      <c r="A5486" t="str">
        <f t="shared" si="85"/>
        <v>PA|NewCapacity|RE1|PWRNGS_CC|2050</v>
      </c>
      <c r="B5486" t="s">
        <v>44</v>
      </c>
      <c r="C5486" t="s">
        <v>45</v>
      </c>
      <c r="D5486" t="s">
        <v>37</v>
      </c>
      <c r="E5486" t="s">
        <v>19</v>
      </c>
      <c r="F5486" t="s">
        <v>29</v>
      </c>
      <c r="O5486">
        <v>2050</v>
      </c>
    </row>
    <row r="5487" spans="1:16" x14ac:dyDescent="0.3">
      <c r="A5487" t="str">
        <f t="shared" si="85"/>
        <v>PA|NewCapacity|RE1|PWRNGS_CS|2050</v>
      </c>
      <c r="B5487" t="s">
        <v>44</v>
      </c>
      <c r="C5487" t="s">
        <v>45</v>
      </c>
      <c r="D5487" t="s">
        <v>37</v>
      </c>
      <c r="E5487" t="s">
        <v>19</v>
      </c>
      <c r="F5487" t="s">
        <v>30</v>
      </c>
      <c r="O5487">
        <v>2050</v>
      </c>
    </row>
    <row r="5488" spans="1:16" x14ac:dyDescent="0.3">
      <c r="A5488" t="str">
        <f t="shared" si="85"/>
        <v>PA|NewCapacity|RE1|PWRNUC|2050</v>
      </c>
      <c r="B5488" t="s">
        <v>44</v>
      </c>
      <c r="C5488" t="s">
        <v>45</v>
      </c>
      <c r="D5488" t="s">
        <v>37</v>
      </c>
      <c r="E5488" t="s">
        <v>19</v>
      </c>
      <c r="F5488" t="s">
        <v>47</v>
      </c>
      <c r="O5488">
        <v>2050</v>
      </c>
    </row>
    <row r="5489" spans="1:16" x14ac:dyDescent="0.3">
      <c r="A5489" t="str">
        <f t="shared" si="85"/>
        <v>PA|NewCapacity|RE1|PWRSOLRTP|2050</v>
      </c>
      <c r="B5489" t="s">
        <v>44</v>
      </c>
      <c r="C5489" t="s">
        <v>45</v>
      </c>
      <c r="D5489" t="s">
        <v>37</v>
      </c>
      <c r="E5489" t="s">
        <v>19</v>
      </c>
      <c r="F5489" t="s">
        <v>31</v>
      </c>
      <c r="O5489">
        <v>2050</v>
      </c>
      <c r="P5489">
        <v>1.902346227013316</v>
      </c>
    </row>
    <row r="5490" spans="1:16" x14ac:dyDescent="0.3">
      <c r="A5490" t="str">
        <f t="shared" si="85"/>
        <v>PA|NewCapacity|RE1|PWRSOLRTP_ZNI|2050</v>
      </c>
      <c r="B5490" t="s">
        <v>44</v>
      </c>
      <c r="C5490" t="s">
        <v>45</v>
      </c>
      <c r="D5490" t="s">
        <v>37</v>
      </c>
      <c r="E5490" t="s">
        <v>19</v>
      </c>
      <c r="F5490" t="s">
        <v>32</v>
      </c>
      <c r="O5490">
        <v>2050</v>
      </c>
    </row>
    <row r="5491" spans="1:16" x14ac:dyDescent="0.3">
      <c r="A5491" t="str">
        <f t="shared" si="85"/>
        <v>PA|NewCapacity|RE1|PWRSOLUGE|2050</v>
      </c>
      <c r="B5491" t="s">
        <v>44</v>
      </c>
      <c r="C5491" t="s">
        <v>45</v>
      </c>
      <c r="D5491" t="s">
        <v>37</v>
      </c>
      <c r="E5491" t="s">
        <v>19</v>
      </c>
      <c r="F5491" t="s">
        <v>33</v>
      </c>
      <c r="O5491">
        <v>2050</v>
      </c>
    </row>
    <row r="5492" spans="1:16" x14ac:dyDescent="0.3">
      <c r="A5492" t="str">
        <f t="shared" si="85"/>
        <v>PA|NewCapacity|RE1|PWRSOLUPE|2050</v>
      </c>
      <c r="B5492" t="s">
        <v>44</v>
      </c>
      <c r="C5492" t="s">
        <v>45</v>
      </c>
      <c r="D5492" t="s">
        <v>37</v>
      </c>
      <c r="E5492" t="s">
        <v>19</v>
      </c>
      <c r="F5492" t="s">
        <v>34</v>
      </c>
      <c r="O5492">
        <v>2050</v>
      </c>
    </row>
    <row r="5493" spans="1:16" x14ac:dyDescent="0.3">
      <c r="A5493" t="str">
        <f t="shared" si="85"/>
        <v>PA|NewCapacity|RE1|PWRSTD|2050</v>
      </c>
      <c r="B5493" t="s">
        <v>44</v>
      </c>
      <c r="C5493" t="s">
        <v>45</v>
      </c>
      <c r="D5493" t="s">
        <v>37</v>
      </c>
      <c r="E5493" t="s">
        <v>19</v>
      </c>
      <c r="F5493" t="s">
        <v>35</v>
      </c>
      <c r="O5493">
        <v>2050</v>
      </c>
    </row>
    <row r="5494" spans="1:16" x14ac:dyDescent="0.3">
      <c r="A5494" t="str">
        <f t="shared" si="85"/>
        <v>PA|NewCapacity|RE1|PWRWNDOFS_FIX|2050</v>
      </c>
      <c r="B5494" t="s">
        <v>44</v>
      </c>
      <c r="C5494" t="s">
        <v>45</v>
      </c>
      <c r="D5494" t="s">
        <v>37</v>
      </c>
      <c r="E5494" t="s">
        <v>19</v>
      </c>
      <c r="F5494" t="s">
        <v>42</v>
      </c>
      <c r="O5494">
        <v>2050</v>
      </c>
      <c r="P5494">
        <v>3.1536</v>
      </c>
    </row>
    <row r="5495" spans="1:16" x14ac:dyDescent="0.3">
      <c r="A5495" t="str">
        <f t="shared" si="85"/>
        <v>PA|NewCapacity|RE1|PWRWNDONS|2050</v>
      </c>
      <c r="B5495" t="s">
        <v>44</v>
      </c>
      <c r="C5495" t="s">
        <v>45</v>
      </c>
      <c r="D5495" t="s">
        <v>37</v>
      </c>
      <c r="E5495" t="s">
        <v>19</v>
      </c>
      <c r="F5495" t="s">
        <v>36</v>
      </c>
      <c r="O5495">
        <v>2050</v>
      </c>
    </row>
    <row r="5496" spans="1:16" x14ac:dyDescent="0.3">
      <c r="A5496" t="str">
        <f t="shared" si="85"/>
        <v>PA|TotalCapacityAnnual|RE1|PWRBGS|2050</v>
      </c>
      <c r="B5496" t="s">
        <v>44</v>
      </c>
      <c r="C5496" t="s">
        <v>45</v>
      </c>
      <c r="D5496" t="s">
        <v>38</v>
      </c>
      <c r="E5496" t="s">
        <v>19</v>
      </c>
      <c r="F5496" t="s">
        <v>20</v>
      </c>
      <c r="O5496">
        <v>2050</v>
      </c>
      <c r="P5496">
        <v>2.5488587520000001E-2</v>
      </c>
    </row>
    <row r="5497" spans="1:16" x14ac:dyDescent="0.3">
      <c r="A5497" t="str">
        <f t="shared" si="85"/>
        <v>PA|TotalCapacityAnnual|RE1|PWRCOA|2050</v>
      </c>
      <c r="B5497" t="s">
        <v>44</v>
      </c>
      <c r="C5497" t="s">
        <v>45</v>
      </c>
      <c r="D5497" t="s">
        <v>38</v>
      </c>
      <c r="E5497" t="s">
        <v>19</v>
      </c>
      <c r="F5497" t="s">
        <v>21</v>
      </c>
      <c r="O5497">
        <v>2050</v>
      </c>
    </row>
    <row r="5498" spans="1:16" x14ac:dyDescent="0.3">
      <c r="A5498" t="str">
        <f t="shared" si="85"/>
        <v>PA|TotalCapacityAnnual|RE1|PWRDSL|2050</v>
      </c>
      <c r="B5498" t="s">
        <v>44</v>
      </c>
      <c r="C5498" t="s">
        <v>45</v>
      </c>
      <c r="D5498" t="s">
        <v>38</v>
      </c>
      <c r="E5498" t="s">
        <v>19</v>
      </c>
      <c r="F5498" t="s">
        <v>22</v>
      </c>
      <c r="O5498">
        <v>2050</v>
      </c>
      <c r="P5498">
        <v>24.944976</v>
      </c>
    </row>
    <row r="5499" spans="1:16" x14ac:dyDescent="0.3">
      <c r="A5499" t="str">
        <f t="shared" si="85"/>
        <v>PA|TotalCapacityAnnual|RE1|PWRFOL|2050</v>
      </c>
      <c r="B5499" t="s">
        <v>44</v>
      </c>
      <c r="C5499" t="s">
        <v>45</v>
      </c>
      <c r="D5499" t="s">
        <v>38</v>
      </c>
      <c r="E5499" t="s">
        <v>19</v>
      </c>
      <c r="F5499" t="s">
        <v>23</v>
      </c>
      <c r="O5499">
        <v>2050</v>
      </c>
      <c r="P5499">
        <v>8.3885759999999987</v>
      </c>
    </row>
    <row r="5500" spans="1:16" x14ac:dyDescent="0.3">
      <c r="A5500" t="str">
        <f t="shared" si="85"/>
        <v>PA|TotalCapacityAnnual|RE1|PWRGEO|2050</v>
      </c>
      <c r="B5500" t="s">
        <v>44</v>
      </c>
      <c r="C5500" t="s">
        <v>45</v>
      </c>
      <c r="D5500" t="s">
        <v>38</v>
      </c>
      <c r="E5500" t="s">
        <v>19</v>
      </c>
      <c r="F5500" t="s">
        <v>46</v>
      </c>
      <c r="O5500">
        <v>2050</v>
      </c>
      <c r="P5500">
        <v>31.54</v>
      </c>
    </row>
    <row r="5501" spans="1:16" x14ac:dyDescent="0.3">
      <c r="A5501" t="str">
        <f t="shared" si="85"/>
        <v>PA|TotalCapacityAnnual|RE1|PWRHYDDAM|2050</v>
      </c>
      <c r="B5501" t="s">
        <v>44</v>
      </c>
      <c r="C5501" t="s">
        <v>45</v>
      </c>
      <c r="D5501" t="s">
        <v>38</v>
      </c>
      <c r="E5501" t="s">
        <v>19</v>
      </c>
      <c r="F5501" t="s">
        <v>24</v>
      </c>
      <c r="O5501">
        <v>2050</v>
      </c>
      <c r="P5501">
        <v>440.49164800000011</v>
      </c>
    </row>
    <row r="5502" spans="1:16" x14ac:dyDescent="0.3">
      <c r="A5502" t="str">
        <f t="shared" si="85"/>
        <v>PA|TotalCapacityAnnual|RE1|PWRHYDROR|2050</v>
      </c>
      <c r="B5502" t="s">
        <v>44</v>
      </c>
      <c r="C5502" t="s">
        <v>45</v>
      </c>
      <c r="D5502" t="s">
        <v>38</v>
      </c>
      <c r="E5502" t="s">
        <v>19</v>
      </c>
      <c r="F5502" t="s">
        <v>25</v>
      </c>
      <c r="O5502">
        <v>2050</v>
      </c>
      <c r="P5502">
        <v>21.097584000000001</v>
      </c>
    </row>
    <row r="5503" spans="1:16" x14ac:dyDescent="0.3">
      <c r="A5503" t="str">
        <f t="shared" si="85"/>
        <v>PA|TotalCapacityAnnual|RE1|PWRHYDROR_NDC|2050</v>
      </c>
      <c r="B5503" t="s">
        <v>44</v>
      </c>
      <c r="C5503" t="s">
        <v>45</v>
      </c>
      <c r="D5503" t="s">
        <v>38</v>
      </c>
      <c r="E5503" t="s">
        <v>19</v>
      </c>
      <c r="F5503" t="s">
        <v>26</v>
      </c>
      <c r="O5503">
        <v>2050</v>
      </c>
      <c r="P5503">
        <v>29.725108271999989</v>
      </c>
    </row>
    <row r="5504" spans="1:16" x14ac:dyDescent="0.3">
      <c r="A5504" t="str">
        <f t="shared" si="85"/>
        <v>PA|TotalCapacityAnnual|RE1|PWRJET|2050</v>
      </c>
      <c r="B5504" t="s">
        <v>44</v>
      </c>
      <c r="C5504" t="s">
        <v>45</v>
      </c>
      <c r="D5504" t="s">
        <v>38</v>
      </c>
      <c r="E5504" t="s">
        <v>19</v>
      </c>
      <c r="F5504" t="s">
        <v>27</v>
      </c>
      <c r="O5504">
        <v>2050</v>
      </c>
      <c r="P5504">
        <v>1.5768</v>
      </c>
    </row>
    <row r="5505" spans="1:16" x14ac:dyDescent="0.3">
      <c r="A5505" t="str">
        <f t="shared" si="85"/>
        <v>PA|TotalCapacityAnnual|RE1|PWRLPG|2050</v>
      </c>
      <c r="B5505" t="s">
        <v>44</v>
      </c>
      <c r="C5505" t="s">
        <v>45</v>
      </c>
      <c r="D5505" t="s">
        <v>38</v>
      </c>
      <c r="E5505" t="s">
        <v>19</v>
      </c>
      <c r="F5505" t="s">
        <v>28</v>
      </c>
      <c r="O5505">
        <v>2050</v>
      </c>
      <c r="P5505">
        <v>1.639872</v>
      </c>
    </row>
    <row r="5506" spans="1:16" x14ac:dyDescent="0.3">
      <c r="A5506" t="str">
        <f t="shared" ref="A5506:A5569" si="86">B5506&amp;"|"&amp;D5506&amp;"|"&amp;E5506&amp;"|"&amp;F5506&amp;"|"&amp;O5506</f>
        <v>PA|TotalCapacityAnnual|RE1|PWRNGS_CC|2050</v>
      </c>
      <c r="B5506" t="s">
        <v>44</v>
      </c>
      <c r="C5506" t="s">
        <v>45</v>
      </c>
      <c r="D5506" t="s">
        <v>38</v>
      </c>
      <c r="E5506" t="s">
        <v>19</v>
      </c>
      <c r="F5506" t="s">
        <v>29</v>
      </c>
      <c r="O5506">
        <v>2050</v>
      </c>
      <c r="P5506">
        <v>70.104500000000002</v>
      </c>
    </row>
    <row r="5507" spans="1:16" x14ac:dyDescent="0.3">
      <c r="A5507" t="str">
        <f t="shared" si="86"/>
        <v>PA|TotalCapacityAnnual|RE1|PWRNGS_CS|2050</v>
      </c>
      <c r="B5507" t="s">
        <v>44</v>
      </c>
      <c r="C5507" t="s">
        <v>45</v>
      </c>
      <c r="D5507" t="s">
        <v>38</v>
      </c>
      <c r="E5507" t="s">
        <v>19</v>
      </c>
      <c r="F5507" t="s">
        <v>30</v>
      </c>
      <c r="O5507">
        <v>2050</v>
      </c>
      <c r="P5507">
        <v>23.084351999999999</v>
      </c>
    </row>
    <row r="5508" spans="1:16" x14ac:dyDescent="0.3">
      <c r="A5508" t="str">
        <f t="shared" si="86"/>
        <v>PA|TotalCapacityAnnual|RE1|PWRNUC|2050</v>
      </c>
      <c r="B5508" t="s">
        <v>44</v>
      </c>
      <c r="C5508" t="s">
        <v>45</v>
      </c>
      <c r="D5508" t="s">
        <v>38</v>
      </c>
      <c r="E5508" t="s">
        <v>19</v>
      </c>
      <c r="F5508" t="s">
        <v>47</v>
      </c>
      <c r="O5508">
        <v>2050</v>
      </c>
      <c r="P5508">
        <v>9.5120000000000005</v>
      </c>
    </row>
    <row r="5509" spans="1:16" x14ac:dyDescent="0.3">
      <c r="A5509" t="str">
        <f t="shared" si="86"/>
        <v>PA|TotalCapacityAnnual|RE1|PWRSOLRTP|2050</v>
      </c>
      <c r="B5509" t="s">
        <v>44</v>
      </c>
      <c r="C5509" t="s">
        <v>45</v>
      </c>
      <c r="D5509" t="s">
        <v>38</v>
      </c>
      <c r="E5509" t="s">
        <v>19</v>
      </c>
      <c r="F5509" t="s">
        <v>31</v>
      </c>
      <c r="O5509">
        <v>2050</v>
      </c>
      <c r="P5509">
        <v>158.44256379201011</v>
      </c>
    </row>
    <row r="5510" spans="1:16" x14ac:dyDescent="0.3">
      <c r="A5510" t="str">
        <f t="shared" si="86"/>
        <v>PA|TotalCapacityAnnual|RE1|PWRSOLRTP_ZNI|2050</v>
      </c>
      <c r="B5510" t="s">
        <v>44</v>
      </c>
      <c r="C5510" t="s">
        <v>45</v>
      </c>
      <c r="D5510" t="s">
        <v>38</v>
      </c>
      <c r="E5510" t="s">
        <v>19</v>
      </c>
      <c r="F5510" t="s">
        <v>32</v>
      </c>
      <c r="O5510">
        <v>2050</v>
      </c>
      <c r="P5510">
        <v>0.46074095999999998</v>
      </c>
    </row>
    <row r="5511" spans="1:16" x14ac:dyDescent="0.3">
      <c r="A5511" t="str">
        <f t="shared" si="86"/>
        <v>PA|TotalCapacityAnnual|RE1|PWRSOLUGE|2050</v>
      </c>
      <c r="B5511" t="s">
        <v>44</v>
      </c>
      <c r="C5511" t="s">
        <v>45</v>
      </c>
      <c r="D5511" t="s">
        <v>38</v>
      </c>
      <c r="E5511" t="s">
        <v>19</v>
      </c>
      <c r="F5511" t="s">
        <v>33</v>
      </c>
      <c r="O5511">
        <v>2050</v>
      </c>
      <c r="P5511">
        <v>191.79189199999999</v>
      </c>
    </row>
    <row r="5512" spans="1:16" x14ac:dyDescent="0.3">
      <c r="A5512" t="str">
        <f t="shared" si="86"/>
        <v>PA|TotalCapacityAnnual|RE1|PWRSOLUPE|2050</v>
      </c>
      <c r="B5512" t="s">
        <v>44</v>
      </c>
      <c r="C5512" t="s">
        <v>45</v>
      </c>
      <c r="D5512" t="s">
        <v>38</v>
      </c>
      <c r="E5512" t="s">
        <v>19</v>
      </c>
      <c r="F5512" t="s">
        <v>34</v>
      </c>
      <c r="O5512">
        <v>2050</v>
      </c>
      <c r="P5512">
        <v>6.833535839999973</v>
      </c>
    </row>
    <row r="5513" spans="1:16" x14ac:dyDescent="0.3">
      <c r="A5513" t="str">
        <f t="shared" si="86"/>
        <v>PA|TotalCapacityAnnual|RE1|PWRSTD|2050</v>
      </c>
      <c r="B5513" t="s">
        <v>44</v>
      </c>
      <c r="C5513" t="s">
        <v>45</v>
      </c>
      <c r="D5513" t="s">
        <v>38</v>
      </c>
      <c r="E5513" t="s">
        <v>19</v>
      </c>
      <c r="F5513" t="s">
        <v>35</v>
      </c>
      <c r="O5513">
        <v>2050</v>
      </c>
      <c r="P5513">
        <v>8.163062064</v>
      </c>
    </row>
    <row r="5514" spans="1:16" x14ac:dyDescent="0.3">
      <c r="A5514" t="str">
        <f t="shared" si="86"/>
        <v>PA|TotalCapacityAnnual|RE1|PWRWNDOFS_FIX|2050</v>
      </c>
      <c r="B5514" t="s">
        <v>44</v>
      </c>
      <c r="C5514" t="s">
        <v>45</v>
      </c>
      <c r="D5514" t="s">
        <v>38</v>
      </c>
      <c r="E5514" t="s">
        <v>19</v>
      </c>
      <c r="F5514" t="s">
        <v>42</v>
      </c>
      <c r="O5514">
        <v>2050</v>
      </c>
      <c r="P5514">
        <v>47.303999999999988</v>
      </c>
    </row>
    <row r="5515" spans="1:16" x14ac:dyDescent="0.3">
      <c r="A5515" t="str">
        <f t="shared" si="86"/>
        <v>PA|TotalCapacityAnnual|RE1|PWRWNDONS|2050</v>
      </c>
      <c r="B5515" t="s">
        <v>44</v>
      </c>
      <c r="C5515" t="s">
        <v>45</v>
      </c>
      <c r="D5515" t="s">
        <v>38</v>
      </c>
      <c r="E5515" t="s">
        <v>19</v>
      </c>
      <c r="F5515" t="s">
        <v>36</v>
      </c>
      <c r="O5515">
        <v>2050</v>
      </c>
      <c r="P5515">
        <v>491.85528265717852</v>
      </c>
    </row>
    <row r="5516" spans="1:16" x14ac:dyDescent="0.3">
      <c r="A5516" t="str">
        <f t="shared" si="86"/>
        <v>PA|AccumulatedNewCapacity|RE1|PWRBGS|2051</v>
      </c>
      <c r="B5516" t="s">
        <v>44</v>
      </c>
      <c r="C5516" t="s">
        <v>45</v>
      </c>
      <c r="D5516" t="s">
        <v>18</v>
      </c>
      <c r="E5516" t="s">
        <v>19</v>
      </c>
      <c r="F5516" t="s">
        <v>20</v>
      </c>
      <c r="O5516">
        <v>2051</v>
      </c>
    </row>
    <row r="5517" spans="1:16" x14ac:dyDescent="0.3">
      <c r="A5517" t="str">
        <f t="shared" si="86"/>
        <v>PA|AccumulatedNewCapacity|RE1|PWRCOA|2051</v>
      </c>
      <c r="B5517" t="s">
        <v>44</v>
      </c>
      <c r="C5517" t="s">
        <v>45</v>
      </c>
      <c r="D5517" t="s">
        <v>18</v>
      </c>
      <c r="E5517" t="s">
        <v>19</v>
      </c>
      <c r="F5517" t="s">
        <v>21</v>
      </c>
      <c r="O5517">
        <v>2051</v>
      </c>
    </row>
    <row r="5518" spans="1:16" x14ac:dyDescent="0.3">
      <c r="A5518" t="str">
        <f t="shared" si="86"/>
        <v>PA|AccumulatedNewCapacity|RE1|PWRDSL|2051</v>
      </c>
      <c r="B5518" t="s">
        <v>44</v>
      </c>
      <c r="C5518" t="s">
        <v>45</v>
      </c>
      <c r="D5518" t="s">
        <v>18</v>
      </c>
      <c r="E5518" t="s">
        <v>19</v>
      </c>
      <c r="F5518" t="s">
        <v>22</v>
      </c>
      <c r="O5518">
        <v>2051</v>
      </c>
    </row>
    <row r="5519" spans="1:16" x14ac:dyDescent="0.3">
      <c r="A5519" t="str">
        <f t="shared" si="86"/>
        <v>PA|AccumulatedNewCapacity|RE1|PWRFOL|2051</v>
      </c>
      <c r="B5519" t="s">
        <v>44</v>
      </c>
      <c r="C5519" t="s">
        <v>45</v>
      </c>
      <c r="D5519" t="s">
        <v>18</v>
      </c>
      <c r="E5519" t="s">
        <v>19</v>
      </c>
      <c r="F5519" t="s">
        <v>23</v>
      </c>
      <c r="O5519">
        <v>2051</v>
      </c>
    </row>
    <row r="5520" spans="1:16" x14ac:dyDescent="0.3">
      <c r="A5520" t="str">
        <f t="shared" si="86"/>
        <v>PA|AccumulatedNewCapacity|RE1|PWRGEO|2051</v>
      </c>
      <c r="B5520" t="s">
        <v>44</v>
      </c>
      <c r="C5520" t="s">
        <v>45</v>
      </c>
      <c r="D5520" t="s">
        <v>18</v>
      </c>
      <c r="E5520" t="s">
        <v>19</v>
      </c>
      <c r="F5520" t="s">
        <v>46</v>
      </c>
      <c r="O5520">
        <v>2051</v>
      </c>
      <c r="P5520">
        <v>31.54</v>
      </c>
    </row>
    <row r="5521" spans="1:16" x14ac:dyDescent="0.3">
      <c r="A5521" t="str">
        <f t="shared" si="86"/>
        <v>PA|AccumulatedNewCapacity|RE1|PWRHYDDAM|2051</v>
      </c>
      <c r="B5521" t="s">
        <v>44</v>
      </c>
      <c r="C5521" t="s">
        <v>45</v>
      </c>
      <c r="D5521" t="s">
        <v>18</v>
      </c>
      <c r="E5521" t="s">
        <v>19</v>
      </c>
      <c r="F5521" t="s">
        <v>24</v>
      </c>
      <c r="O5521">
        <v>2051</v>
      </c>
      <c r="P5521">
        <v>37.840000000000003</v>
      </c>
    </row>
    <row r="5522" spans="1:16" x14ac:dyDescent="0.3">
      <c r="A5522" t="str">
        <f t="shared" si="86"/>
        <v>PA|AccumulatedNewCapacity|RE1|PWRHYDROR|2051</v>
      </c>
      <c r="B5522" t="s">
        <v>44</v>
      </c>
      <c r="C5522" t="s">
        <v>45</v>
      </c>
      <c r="D5522" t="s">
        <v>18</v>
      </c>
      <c r="E5522" t="s">
        <v>19</v>
      </c>
      <c r="F5522" t="s">
        <v>25</v>
      </c>
      <c r="O5522">
        <v>2051</v>
      </c>
    </row>
    <row r="5523" spans="1:16" x14ac:dyDescent="0.3">
      <c r="A5523" t="str">
        <f t="shared" si="86"/>
        <v>PA|AccumulatedNewCapacity|RE1|PWRHYDROR_NDC|2051</v>
      </c>
      <c r="B5523" t="s">
        <v>44</v>
      </c>
      <c r="C5523" t="s">
        <v>45</v>
      </c>
      <c r="D5523" t="s">
        <v>18</v>
      </c>
      <c r="E5523" t="s">
        <v>19</v>
      </c>
      <c r="F5523" t="s">
        <v>26</v>
      </c>
      <c r="O5523">
        <v>2051</v>
      </c>
    </row>
    <row r="5524" spans="1:16" x14ac:dyDescent="0.3">
      <c r="A5524" t="str">
        <f t="shared" si="86"/>
        <v>PA|AccumulatedNewCapacity|RE1|PWRJET|2051</v>
      </c>
      <c r="B5524" t="s">
        <v>44</v>
      </c>
      <c r="C5524" t="s">
        <v>45</v>
      </c>
      <c r="D5524" t="s">
        <v>18</v>
      </c>
      <c r="E5524" t="s">
        <v>19</v>
      </c>
      <c r="F5524" t="s">
        <v>27</v>
      </c>
      <c r="O5524">
        <v>2051</v>
      </c>
    </row>
    <row r="5525" spans="1:16" x14ac:dyDescent="0.3">
      <c r="A5525" t="str">
        <f t="shared" si="86"/>
        <v>PA|AccumulatedNewCapacity|RE1|PWRLPG|2051</v>
      </c>
      <c r="B5525" t="s">
        <v>44</v>
      </c>
      <c r="C5525" t="s">
        <v>45</v>
      </c>
      <c r="D5525" t="s">
        <v>18</v>
      </c>
      <c r="E5525" t="s">
        <v>19</v>
      </c>
      <c r="F5525" t="s">
        <v>28</v>
      </c>
      <c r="O5525">
        <v>2051</v>
      </c>
    </row>
    <row r="5526" spans="1:16" x14ac:dyDescent="0.3">
      <c r="A5526" t="str">
        <f t="shared" si="86"/>
        <v>PA|AccumulatedNewCapacity|RE1|PWRNGS_CC|2051</v>
      </c>
      <c r="B5526" t="s">
        <v>44</v>
      </c>
      <c r="C5526" t="s">
        <v>45</v>
      </c>
      <c r="D5526" t="s">
        <v>18</v>
      </c>
      <c r="E5526" t="s">
        <v>19</v>
      </c>
      <c r="F5526" t="s">
        <v>29</v>
      </c>
      <c r="O5526">
        <v>2051</v>
      </c>
    </row>
    <row r="5527" spans="1:16" x14ac:dyDescent="0.3">
      <c r="A5527" t="str">
        <f t="shared" si="86"/>
        <v>PA|AccumulatedNewCapacity|RE1|PWRNGS_CS|2051</v>
      </c>
      <c r="B5527" t="s">
        <v>44</v>
      </c>
      <c r="C5527" t="s">
        <v>45</v>
      </c>
      <c r="D5527" t="s">
        <v>18</v>
      </c>
      <c r="E5527" t="s">
        <v>19</v>
      </c>
      <c r="F5527" t="s">
        <v>30</v>
      </c>
      <c r="O5527">
        <v>2051</v>
      </c>
    </row>
    <row r="5528" spans="1:16" x14ac:dyDescent="0.3">
      <c r="A5528" t="str">
        <f t="shared" si="86"/>
        <v>PA|AccumulatedNewCapacity|RE1|PWRNUC|2051</v>
      </c>
      <c r="B5528" t="s">
        <v>44</v>
      </c>
      <c r="C5528" t="s">
        <v>45</v>
      </c>
      <c r="D5528" t="s">
        <v>18</v>
      </c>
      <c r="E5528" t="s">
        <v>19</v>
      </c>
      <c r="F5528" t="s">
        <v>47</v>
      </c>
      <c r="O5528">
        <v>2051</v>
      </c>
      <c r="P5528">
        <v>9.5120000000000005</v>
      </c>
    </row>
    <row r="5529" spans="1:16" x14ac:dyDescent="0.3">
      <c r="A5529" t="str">
        <f t="shared" si="86"/>
        <v>PA|AccumulatedNewCapacity|RE1|PWRSOLRTP|2051</v>
      </c>
      <c r="B5529" t="s">
        <v>44</v>
      </c>
      <c r="C5529" t="s">
        <v>45</v>
      </c>
      <c r="D5529" t="s">
        <v>18</v>
      </c>
      <c r="E5529" t="s">
        <v>19</v>
      </c>
      <c r="F5529" t="s">
        <v>31</v>
      </c>
      <c r="O5529">
        <v>2051</v>
      </c>
      <c r="P5529">
        <v>149.71464806594801</v>
      </c>
    </row>
    <row r="5530" spans="1:16" x14ac:dyDescent="0.3">
      <c r="A5530" t="str">
        <f t="shared" si="86"/>
        <v>PA|AccumulatedNewCapacity|RE1|PWRSOLRTP_ZNI|2051</v>
      </c>
      <c r="B5530" t="s">
        <v>44</v>
      </c>
      <c r="C5530" t="s">
        <v>45</v>
      </c>
      <c r="D5530" t="s">
        <v>18</v>
      </c>
      <c r="E5530" t="s">
        <v>19</v>
      </c>
      <c r="F5530" t="s">
        <v>32</v>
      </c>
      <c r="O5530">
        <v>2051</v>
      </c>
    </row>
    <row r="5531" spans="1:16" x14ac:dyDescent="0.3">
      <c r="A5531" t="str">
        <f t="shared" si="86"/>
        <v>PA|AccumulatedNewCapacity|RE1|PWRSOLUGE|2051</v>
      </c>
      <c r="B5531" t="s">
        <v>44</v>
      </c>
      <c r="C5531" t="s">
        <v>45</v>
      </c>
      <c r="D5531" t="s">
        <v>18</v>
      </c>
      <c r="E5531" t="s">
        <v>19</v>
      </c>
      <c r="F5531" t="s">
        <v>33</v>
      </c>
      <c r="O5531">
        <v>2051</v>
      </c>
      <c r="P5531">
        <v>143.394192</v>
      </c>
    </row>
    <row r="5532" spans="1:16" x14ac:dyDescent="0.3">
      <c r="A5532" t="str">
        <f t="shared" si="86"/>
        <v>PA|AccumulatedNewCapacity|RE1|PWRSOLUPE|2051</v>
      </c>
      <c r="B5532" t="s">
        <v>44</v>
      </c>
      <c r="C5532" t="s">
        <v>45</v>
      </c>
      <c r="D5532" t="s">
        <v>18</v>
      </c>
      <c r="E5532" t="s">
        <v>19</v>
      </c>
      <c r="F5532" t="s">
        <v>34</v>
      </c>
      <c r="O5532">
        <v>2051</v>
      </c>
      <c r="P5532">
        <v>3.4689599999999992</v>
      </c>
    </row>
    <row r="5533" spans="1:16" x14ac:dyDescent="0.3">
      <c r="A5533" t="str">
        <f t="shared" si="86"/>
        <v>PA|AccumulatedNewCapacity|RE1|PWRSTD|2051</v>
      </c>
      <c r="B5533" t="s">
        <v>44</v>
      </c>
      <c r="C5533" t="s">
        <v>45</v>
      </c>
      <c r="D5533" t="s">
        <v>18</v>
      </c>
      <c r="E5533" t="s">
        <v>19</v>
      </c>
      <c r="F5533" t="s">
        <v>35</v>
      </c>
      <c r="O5533">
        <v>2051</v>
      </c>
    </row>
    <row r="5534" spans="1:16" x14ac:dyDescent="0.3">
      <c r="A5534" t="str">
        <f t="shared" si="86"/>
        <v>PA|AccumulatedNewCapacity|RE1|PWRWNDOFS_FIX|2051</v>
      </c>
      <c r="B5534" t="s">
        <v>44</v>
      </c>
      <c r="C5534" t="s">
        <v>45</v>
      </c>
      <c r="D5534" t="s">
        <v>18</v>
      </c>
      <c r="E5534" t="s">
        <v>19</v>
      </c>
      <c r="F5534" t="s">
        <v>42</v>
      </c>
      <c r="O5534">
        <v>2051</v>
      </c>
      <c r="P5534">
        <v>47.303999999999988</v>
      </c>
    </row>
    <row r="5535" spans="1:16" x14ac:dyDescent="0.3">
      <c r="A5535" t="str">
        <f t="shared" si="86"/>
        <v>PA|AccumulatedNewCapacity|RE1|PWRWNDONS|2051</v>
      </c>
      <c r="B5535" t="s">
        <v>44</v>
      </c>
      <c r="C5535" t="s">
        <v>45</v>
      </c>
      <c r="D5535" t="s">
        <v>18</v>
      </c>
      <c r="E5535" t="s">
        <v>19</v>
      </c>
      <c r="F5535" t="s">
        <v>36</v>
      </c>
      <c r="O5535">
        <v>2051</v>
      </c>
      <c r="P5535">
        <v>490.48662025717852</v>
      </c>
    </row>
    <row r="5536" spans="1:16" x14ac:dyDescent="0.3">
      <c r="A5536" t="str">
        <f t="shared" si="86"/>
        <v>PA|NewCapacity|RE1|PWRBGS|2051</v>
      </c>
      <c r="B5536" t="s">
        <v>44</v>
      </c>
      <c r="C5536" t="s">
        <v>45</v>
      </c>
      <c r="D5536" t="s">
        <v>37</v>
      </c>
      <c r="E5536" t="s">
        <v>19</v>
      </c>
      <c r="F5536" t="s">
        <v>20</v>
      </c>
      <c r="O5536">
        <v>2051</v>
      </c>
    </row>
    <row r="5537" spans="1:16" x14ac:dyDescent="0.3">
      <c r="A5537" t="str">
        <f t="shared" si="86"/>
        <v>PA|NewCapacity|RE1|PWRCOA|2051</v>
      </c>
      <c r="B5537" t="s">
        <v>44</v>
      </c>
      <c r="C5537" t="s">
        <v>45</v>
      </c>
      <c r="D5537" t="s">
        <v>37</v>
      </c>
      <c r="E5537" t="s">
        <v>19</v>
      </c>
      <c r="F5537" t="s">
        <v>21</v>
      </c>
      <c r="O5537">
        <v>2051</v>
      </c>
    </row>
    <row r="5538" spans="1:16" x14ac:dyDescent="0.3">
      <c r="A5538" t="str">
        <f t="shared" si="86"/>
        <v>PA|NewCapacity|RE1|PWRDSL|2051</v>
      </c>
      <c r="B5538" t="s">
        <v>44</v>
      </c>
      <c r="C5538" t="s">
        <v>45</v>
      </c>
      <c r="D5538" t="s">
        <v>37</v>
      </c>
      <c r="E5538" t="s">
        <v>19</v>
      </c>
      <c r="F5538" t="s">
        <v>22</v>
      </c>
      <c r="O5538">
        <v>2051</v>
      </c>
    </row>
    <row r="5539" spans="1:16" x14ac:dyDescent="0.3">
      <c r="A5539" t="str">
        <f t="shared" si="86"/>
        <v>PA|NewCapacity|RE1|PWRFOL|2051</v>
      </c>
      <c r="B5539" t="s">
        <v>44</v>
      </c>
      <c r="C5539" t="s">
        <v>45</v>
      </c>
      <c r="D5539" t="s">
        <v>37</v>
      </c>
      <c r="E5539" t="s">
        <v>19</v>
      </c>
      <c r="F5539" t="s">
        <v>23</v>
      </c>
      <c r="O5539">
        <v>2051</v>
      </c>
    </row>
    <row r="5540" spans="1:16" x14ac:dyDescent="0.3">
      <c r="A5540" t="str">
        <f t="shared" si="86"/>
        <v>PA|NewCapacity|RE1|PWRGEO|2051</v>
      </c>
      <c r="B5540" t="s">
        <v>44</v>
      </c>
      <c r="C5540" t="s">
        <v>45</v>
      </c>
      <c r="D5540" t="s">
        <v>37</v>
      </c>
      <c r="E5540" t="s">
        <v>19</v>
      </c>
      <c r="F5540" t="s">
        <v>46</v>
      </c>
      <c r="O5540">
        <v>2051</v>
      </c>
    </row>
    <row r="5541" spans="1:16" x14ac:dyDescent="0.3">
      <c r="A5541" t="str">
        <f t="shared" si="86"/>
        <v>PA|NewCapacity|RE1|PWRHYDDAM|2051</v>
      </c>
      <c r="B5541" t="s">
        <v>44</v>
      </c>
      <c r="C5541" t="s">
        <v>45</v>
      </c>
      <c r="D5541" t="s">
        <v>37</v>
      </c>
      <c r="E5541" t="s">
        <v>19</v>
      </c>
      <c r="F5541" t="s">
        <v>24</v>
      </c>
      <c r="O5541">
        <v>2051</v>
      </c>
    </row>
    <row r="5542" spans="1:16" x14ac:dyDescent="0.3">
      <c r="A5542" t="str">
        <f t="shared" si="86"/>
        <v>PA|NewCapacity|RE1|PWRHYDROR|2051</v>
      </c>
      <c r="B5542" t="s">
        <v>44</v>
      </c>
      <c r="C5542" t="s">
        <v>45</v>
      </c>
      <c r="D5542" t="s">
        <v>37</v>
      </c>
      <c r="E5542" t="s">
        <v>19</v>
      </c>
      <c r="F5542" t="s">
        <v>25</v>
      </c>
      <c r="O5542">
        <v>2051</v>
      </c>
    </row>
    <row r="5543" spans="1:16" x14ac:dyDescent="0.3">
      <c r="A5543" t="str">
        <f t="shared" si="86"/>
        <v>PA|NewCapacity|RE1|PWRHYDROR_NDC|2051</v>
      </c>
      <c r="B5543" t="s">
        <v>44</v>
      </c>
      <c r="C5543" t="s">
        <v>45</v>
      </c>
      <c r="D5543" t="s">
        <v>37</v>
      </c>
      <c r="E5543" t="s">
        <v>19</v>
      </c>
      <c r="F5543" t="s">
        <v>26</v>
      </c>
      <c r="O5543">
        <v>2051</v>
      </c>
    </row>
    <row r="5544" spans="1:16" x14ac:dyDescent="0.3">
      <c r="A5544" t="str">
        <f t="shared" si="86"/>
        <v>PA|NewCapacity|RE1|PWRJET|2051</v>
      </c>
      <c r="B5544" t="s">
        <v>44</v>
      </c>
      <c r="C5544" t="s">
        <v>45</v>
      </c>
      <c r="D5544" t="s">
        <v>37</v>
      </c>
      <c r="E5544" t="s">
        <v>19</v>
      </c>
      <c r="F5544" t="s">
        <v>27</v>
      </c>
      <c r="O5544">
        <v>2051</v>
      </c>
    </row>
    <row r="5545" spans="1:16" x14ac:dyDescent="0.3">
      <c r="A5545" t="str">
        <f t="shared" si="86"/>
        <v>PA|NewCapacity|RE1|PWRLPG|2051</v>
      </c>
      <c r="B5545" t="s">
        <v>44</v>
      </c>
      <c r="C5545" t="s">
        <v>45</v>
      </c>
      <c r="D5545" t="s">
        <v>37</v>
      </c>
      <c r="E5545" t="s">
        <v>19</v>
      </c>
      <c r="F5545" t="s">
        <v>28</v>
      </c>
      <c r="O5545">
        <v>2051</v>
      </c>
    </row>
    <row r="5546" spans="1:16" x14ac:dyDescent="0.3">
      <c r="A5546" t="str">
        <f t="shared" si="86"/>
        <v>PA|NewCapacity|RE1|PWRNGS_CC|2051</v>
      </c>
      <c r="B5546" t="s">
        <v>44</v>
      </c>
      <c r="C5546" t="s">
        <v>45</v>
      </c>
      <c r="D5546" t="s">
        <v>37</v>
      </c>
      <c r="E5546" t="s">
        <v>19</v>
      </c>
      <c r="F5546" t="s">
        <v>29</v>
      </c>
      <c r="O5546">
        <v>2051</v>
      </c>
    </row>
    <row r="5547" spans="1:16" x14ac:dyDescent="0.3">
      <c r="A5547" t="str">
        <f t="shared" si="86"/>
        <v>PA|NewCapacity|RE1|PWRNGS_CS|2051</v>
      </c>
      <c r="B5547" t="s">
        <v>44</v>
      </c>
      <c r="C5547" t="s">
        <v>45</v>
      </c>
      <c r="D5547" t="s">
        <v>37</v>
      </c>
      <c r="E5547" t="s">
        <v>19</v>
      </c>
      <c r="F5547" t="s">
        <v>30</v>
      </c>
      <c r="O5547">
        <v>2051</v>
      </c>
    </row>
    <row r="5548" spans="1:16" x14ac:dyDescent="0.3">
      <c r="A5548" t="str">
        <f t="shared" si="86"/>
        <v>PA|NewCapacity|RE1|PWRNUC|2051</v>
      </c>
      <c r="B5548" t="s">
        <v>44</v>
      </c>
      <c r="C5548" t="s">
        <v>45</v>
      </c>
      <c r="D5548" t="s">
        <v>37</v>
      </c>
      <c r="E5548" t="s">
        <v>19</v>
      </c>
      <c r="F5548" t="s">
        <v>47</v>
      </c>
      <c r="O5548">
        <v>2051</v>
      </c>
    </row>
    <row r="5549" spans="1:16" x14ac:dyDescent="0.3">
      <c r="A5549" t="str">
        <f t="shared" si="86"/>
        <v>PA|NewCapacity|RE1|PWRSOLRTP|2051</v>
      </c>
      <c r="B5549" t="s">
        <v>44</v>
      </c>
      <c r="C5549" t="s">
        <v>45</v>
      </c>
      <c r="D5549" t="s">
        <v>37</v>
      </c>
      <c r="E5549" t="s">
        <v>19</v>
      </c>
      <c r="F5549" t="s">
        <v>31</v>
      </c>
      <c r="O5549">
        <v>2051</v>
      </c>
      <c r="P5549">
        <v>1.902346227013316</v>
      </c>
    </row>
    <row r="5550" spans="1:16" x14ac:dyDescent="0.3">
      <c r="A5550" t="str">
        <f t="shared" si="86"/>
        <v>PA|NewCapacity|RE1|PWRSOLRTP_ZNI|2051</v>
      </c>
      <c r="B5550" t="s">
        <v>44</v>
      </c>
      <c r="C5550" t="s">
        <v>45</v>
      </c>
      <c r="D5550" t="s">
        <v>37</v>
      </c>
      <c r="E5550" t="s">
        <v>19</v>
      </c>
      <c r="F5550" t="s">
        <v>32</v>
      </c>
      <c r="O5550">
        <v>2051</v>
      </c>
    </row>
    <row r="5551" spans="1:16" x14ac:dyDescent="0.3">
      <c r="A5551" t="str">
        <f t="shared" si="86"/>
        <v>PA|NewCapacity|RE1|PWRSOLUGE|2051</v>
      </c>
      <c r="B5551" t="s">
        <v>44</v>
      </c>
      <c r="C5551" t="s">
        <v>45</v>
      </c>
      <c r="D5551" t="s">
        <v>37</v>
      </c>
      <c r="E5551" t="s">
        <v>19</v>
      </c>
      <c r="F5551" t="s">
        <v>33</v>
      </c>
      <c r="O5551">
        <v>2051</v>
      </c>
    </row>
    <row r="5552" spans="1:16" x14ac:dyDescent="0.3">
      <c r="A5552" t="str">
        <f t="shared" si="86"/>
        <v>PA|NewCapacity|RE1|PWRSOLUPE|2051</v>
      </c>
      <c r="B5552" t="s">
        <v>44</v>
      </c>
      <c r="C5552" t="s">
        <v>45</v>
      </c>
      <c r="D5552" t="s">
        <v>37</v>
      </c>
      <c r="E5552" t="s">
        <v>19</v>
      </c>
      <c r="F5552" t="s">
        <v>34</v>
      </c>
      <c r="O5552">
        <v>2051</v>
      </c>
    </row>
    <row r="5553" spans="1:16" x14ac:dyDescent="0.3">
      <c r="A5553" t="str">
        <f t="shared" si="86"/>
        <v>PA|NewCapacity|RE1|PWRSTD|2051</v>
      </c>
      <c r="B5553" t="s">
        <v>44</v>
      </c>
      <c r="C5553" t="s">
        <v>45</v>
      </c>
      <c r="D5553" t="s">
        <v>37</v>
      </c>
      <c r="E5553" t="s">
        <v>19</v>
      </c>
      <c r="F5553" t="s">
        <v>35</v>
      </c>
      <c r="O5553">
        <v>2051</v>
      </c>
    </row>
    <row r="5554" spans="1:16" x14ac:dyDescent="0.3">
      <c r="A5554" t="str">
        <f t="shared" si="86"/>
        <v>PA|NewCapacity|RE1|PWRWNDOFS_FIX|2051</v>
      </c>
      <c r="B5554" t="s">
        <v>44</v>
      </c>
      <c r="C5554" t="s">
        <v>45</v>
      </c>
      <c r="D5554" t="s">
        <v>37</v>
      </c>
      <c r="E5554" t="s">
        <v>19</v>
      </c>
      <c r="F5554" t="s">
        <v>42</v>
      </c>
      <c r="O5554">
        <v>2051</v>
      </c>
    </row>
    <row r="5555" spans="1:16" x14ac:dyDescent="0.3">
      <c r="A5555" t="str">
        <f t="shared" si="86"/>
        <v>PA|NewCapacity|RE1|PWRWNDONS|2051</v>
      </c>
      <c r="B5555" t="s">
        <v>44</v>
      </c>
      <c r="C5555" t="s">
        <v>45</v>
      </c>
      <c r="D5555" t="s">
        <v>37</v>
      </c>
      <c r="E5555" t="s">
        <v>19</v>
      </c>
      <c r="F5555" t="s">
        <v>36</v>
      </c>
      <c r="O5555">
        <v>2051</v>
      </c>
    </row>
    <row r="5556" spans="1:16" x14ac:dyDescent="0.3">
      <c r="A5556" t="str">
        <f t="shared" si="86"/>
        <v>PA|TotalCapacityAnnual|RE1|PWRBGS|2051</v>
      </c>
      <c r="B5556" t="s">
        <v>44</v>
      </c>
      <c r="C5556" t="s">
        <v>45</v>
      </c>
      <c r="D5556" t="s">
        <v>38</v>
      </c>
      <c r="E5556" t="s">
        <v>19</v>
      </c>
      <c r="F5556" t="s">
        <v>20</v>
      </c>
      <c r="O5556">
        <v>2051</v>
      </c>
      <c r="P5556">
        <v>2.5488587520000001E-2</v>
      </c>
    </row>
    <row r="5557" spans="1:16" x14ac:dyDescent="0.3">
      <c r="A5557" t="str">
        <f t="shared" si="86"/>
        <v>PA|TotalCapacityAnnual|RE1|PWRCOA|2051</v>
      </c>
      <c r="B5557" t="s">
        <v>44</v>
      </c>
      <c r="C5557" t="s">
        <v>45</v>
      </c>
      <c r="D5557" t="s">
        <v>38</v>
      </c>
      <c r="E5557" t="s">
        <v>19</v>
      </c>
      <c r="F5557" t="s">
        <v>21</v>
      </c>
      <c r="O5557">
        <v>2051</v>
      </c>
    </row>
    <row r="5558" spans="1:16" x14ac:dyDescent="0.3">
      <c r="A5558" t="str">
        <f t="shared" si="86"/>
        <v>PA|TotalCapacityAnnual|RE1|PWRDSL|2051</v>
      </c>
      <c r="B5558" t="s">
        <v>44</v>
      </c>
      <c r="C5558" t="s">
        <v>45</v>
      </c>
      <c r="D5558" t="s">
        <v>38</v>
      </c>
      <c r="E5558" t="s">
        <v>19</v>
      </c>
      <c r="F5558" t="s">
        <v>22</v>
      </c>
      <c r="O5558">
        <v>2051</v>
      </c>
      <c r="P5558">
        <v>24.944976</v>
      </c>
    </row>
    <row r="5559" spans="1:16" x14ac:dyDescent="0.3">
      <c r="A5559" t="str">
        <f t="shared" si="86"/>
        <v>PA|TotalCapacityAnnual|RE1|PWRFOL|2051</v>
      </c>
      <c r="B5559" t="s">
        <v>44</v>
      </c>
      <c r="C5559" t="s">
        <v>45</v>
      </c>
      <c r="D5559" t="s">
        <v>38</v>
      </c>
      <c r="E5559" t="s">
        <v>19</v>
      </c>
      <c r="F5559" t="s">
        <v>23</v>
      </c>
      <c r="O5559">
        <v>2051</v>
      </c>
      <c r="P5559">
        <v>8.3885759999999987</v>
      </c>
    </row>
    <row r="5560" spans="1:16" x14ac:dyDescent="0.3">
      <c r="A5560" t="str">
        <f t="shared" si="86"/>
        <v>PA|TotalCapacityAnnual|RE1|PWRGEO|2051</v>
      </c>
      <c r="B5560" t="s">
        <v>44</v>
      </c>
      <c r="C5560" t="s">
        <v>45</v>
      </c>
      <c r="D5560" t="s">
        <v>38</v>
      </c>
      <c r="E5560" t="s">
        <v>19</v>
      </c>
      <c r="F5560" t="s">
        <v>46</v>
      </c>
      <c r="O5560">
        <v>2051</v>
      </c>
      <c r="P5560">
        <v>31.54</v>
      </c>
    </row>
    <row r="5561" spans="1:16" x14ac:dyDescent="0.3">
      <c r="A5561" t="str">
        <f t="shared" si="86"/>
        <v>PA|TotalCapacityAnnual|RE1|PWRHYDDAM|2051</v>
      </c>
      <c r="B5561" t="s">
        <v>44</v>
      </c>
      <c r="C5561" t="s">
        <v>45</v>
      </c>
      <c r="D5561" t="s">
        <v>38</v>
      </c>
      <c r="E5561" t="s">
        <v>19</v>
      </c>
      <c r="F5561" t="s">
        <v>24</v>
      </c>
      <c r="O5561">
        <v>2051</v>
      </c>
      <c r="P5561">
        <v>440.49164800000011</v>
      </c>
    </row>
    <row r="5562" spans="1:16" x14ac:dyDescent="0.3">
      <c r="A5562" t="str">
        <f t="shared" si="86"/>
        <v>PA|TotalCapacityAnnual|RE1|PWRHYDROR|2051</v>
      </c>
      <c r="B5562" t="s">
        <v>44</v>
      </c>
      <c r="C5562" t="s">
        <v>45</v>
      </c>
      <c r="D5562" t="s">
        <v>38</v>
      </c>
      <c r="E5562" t="s">
        <v>19</v>
      </c>
      <c r="F5562" t="s">
        <v>25</v>
      </c>
      <c r="O5562">
        <v>2051</v>
      </c>
      <c r="P5562">
        <v>21.097584000000001</v>
      </c>
    </row>
    <row r="5563" spans="1:16" x14ac:dyDescent="0.3">
      <c r="A5563" t="str">
        <f t="shared" si="86"/>
        <v>PA|TotalCapacityAnnual|RE1|PWRHYDROR_NDC|2051</v>
      </c>
      <c r="B5563" t="s">
        <v>44</v>
      </c>
      <c r="C5563" t="s">
        <v>45</v>
      </c>
      <c r="D5563" t="s">
        <v>38</v>
      </c>
      <c r="E5563" t="s">
        <v>19</v>
      </c>
      <c r="F5563" t="s">
        <v>26</v>
      </c>
      <c r="O5563">
        <v>2051</v>
      </c>
      <c r="P5563">
        <v>29.725108271999989</v>
      </c>
    </row>
    <row r="5564" spans="1:16" x14ac:dyDescent="0.3">
      <c r="A5564" t="str">
        <f t="shared" si="86"/>
        <v>PA|TotalCapacityAnnual|RE1|PWRJET|2051</v>
      </c>
      <c r="B5564" t="s">
        <v>44</v>
      </c>
      <c r="C5564" t="s">
        <v>45</v>
      </c>
      <c r="D5564" t="s">
        <v>38</v>
      </c>
      <c r="E5564" t="s">
        <v>19</v>
      </c>
      <c r="F5564" t="s">
        <v>27</v>
      </c>
      <c r="O5564">
        <v>2051</v>
      </c>
      <c r="P5564">
        <v>1.5768</v>
      </c>
    </row>
    <row r="5565" spans="1:16" x14ac:dyDescent="0.3">
      <c r="A5565" t="str">
        <f t="shared" si="86"/>
        <v>PA|TotalCapacityAnnual|RE1|PWRLPG|2051</v>
      </c>
      <c r="B5565" t="s">
        <v>44</v>
      </c>
      <c r="C5565" t="s">
        <v>45</v>
      </c>
      <c r="D5565" t="s">
        <v>38</v>
      </c>
      <c r="E5565" t="s">
        <v>19</v>
      </c>
      <c r="F5565" t="s">
        <v>28</v>
      </c>
      <c r="O5565">
        <v>2051</v>
      </c>
      <c r="P5565">
        <v>1.639872</v>
      </c>
    </row>
    <row r="5566" spans="1:16" x14ac:dyDescent="0.3">
      <c r="A5566" t="str">
        <f t="shared" si="86"/>
        <v>PA|TotalCapacityAnnual|RE1|PWRNGS_CC|2051</v>
      </c>
      <c r="B5566" t="s">
        <v>44</v>
      </c>
      <c r="C5566" t="s">
        <v>45</v>
      </c>
      <c r="D5566" t="s">
        <v>38</v>
      </c>
      <c r="E5566" t="s">
        <v>19</v>
      </c>
      <c r="F5566" t="s">
        <v>29</v>
      </c>
      <c r="O5566">
        <v>2051</v>
      </c>
      <c r="P5566">
        <v>70.104500000000002</v>
      </c>
    </row>
    <row r="5567" spans="1:16" x14ac:dyDescent="0.3">
      <c r="A5567" t="str">
        <f t="shared" si="86"/>
        <v>PA|TotalCapacityAnnual|RE1|PWRNGS_CS|2051</v>
      </c>
      <c r="B5567" t="s">
        <v>44</v>
      </c>
      <c r="C5567" t="s">
        <v>45</v>
      </c>
      <c r="D5567" t="s">
        <v>38</v>
      </c>
      <c r="E5567" t="s">
        <v>19</v>
      </c>
      <c r="F5567" t="s">
        <v>30</v>
      </c>
      <c r="O5567">
        <v>2051</v>
      </c>
      <c r="P5567">
        <v>23.084351999999999</v>
      </c>
    </row>
    <row r="5568" spans="1:16" x14ac:dyDescent="0.3">
      <c r="A5568" t="str">
        <f t="shared" si="86"/>
        <v>PA|TotalCapacityAnnual|RE1|PWRNUC|2051</v>
      </c>
      <c r="B5568" t="s">
        <v>44</v>
      </c>
      <c r="C5568" t="s">
        <v>45</v>
      </c>
      <c r="D5568" t="s">
        <v>38</v>
      </c>
      <c r="E5568" t="s">
        <v>19</v>
      </c>
      <c r="F5568" t="s">
        <v>47</v>
      </c>
      <c r="O5568">
        <v>2051</v>
      </c>
      <c r="P5568">
        <v>9.5120000000000005</v>
      </c>
    </row>
    <row r="5569" spans="1:16" x14ac:dyDescent="0.3">
      <c r="A5569" t="str">
        <f t="shared" si="86"/>
        <v>PA|TotalCapacityAnnual|RE1|PWRSOLRTP|2051</v>
      </c>
      <c r="B5569" t="s">
        <v>44</v>
      </c>
      <c r="C5569" t="s">
        <v>45</v>
      </c>
      <c r="D5569" t="s">
        <v>38</v>
      </c>
      <c r="E5569" t="s">
        <v>19</v>
      </c>
      <c r="F5569" t="s">
        <v>31</v>
      </c>
      <c r="O5569">
        <v>2051</v>
      </c>
      <c r="P5569">
        <v>149.71464806594801</v>
      </c>
    </row>
    <row r="5570" spans="1:16" x14ac:dyDescent="0.3">
      <c r="A5570" t="str">
        <f t="shared" ref="A5570:A5633" si="87">B5570&amp;"|"&amp;D5570&amp;"|"&amp;E5570&amp;"|"&amp;F5570&amp;"|"&amp;O5570</f>
        <v>PA|TotalCapacityAnnual|RE1|PWRSOLRTP_ZNI|2051</v>
      </c>
      <c r="B5570" t="s">
        <v>44</v>
      </c>
      <c r="C5570" t="s">
        <v>45</v>
      </c>
      <c r="D5570" t="s">
        <v>38</v>
      </c>
      <c r="E5570" t="s">
        <v>19</v>
      </c>
      <c r="F5570" t="s">
        <v>32</v>
      </c>
      <c r="O5570">
        <v>2051</v>
      </c>
      <c r="P5570">
        <v>0.46074095999999998</v>
      </c>
    </row>
    <row r="5571" spans="1:16" x14ac:dyDescent="0.3">
      <c r="A5571" t="str">
        <f t="shared" si="87"/>
        <v>PA|TotalCapacityAnnual|RE1|PWRSOLUGE|2051</v>
      </c>
      <c r="B5571" t="s">
        <v>44</v>
      </c>
      <c r="C5571" t="s">
        <v>45</v>
      </c>
      <c r="D5571" t="s">
        <v>38</v>
      </c>
      <c r="E5571" t="s">
        <v>19</v>
      </c>
      <c r="F5571" t="s">
        <v>33</v>
      </c>
      <c r="O5571">
        <v>2051</v>
      </c>
      <c r="P5571">
        <v>191.79189199999999</v>
      </c>
    </row>
    <row r="5572" spans="1:16" x14ac:dyDescent="0.3">
      <c r="A5572" t="str">
        <f t="shared" si="87"/>
        <v>PA|TotalCapacityAnnual|RE1|PWRSOLUPE|2051</v>
      </c>
      <c r="B5572" t="s">
        <v>44</v>
      </c>
      <c r="C5572" t="s">
        <v>45</v>
      </c>
      <c r="D5572" t="s">
        <v>38</v>
      </c>
      <c r="E5572" t="s">
        <v>19</v>
      </c>
      <c r="F5572" t="s">
        <v>34</v>
      </c>
      <c r="O5572">
        <v>2051</v>
      </c>
      <c r="P5572">
        <v>3.4689599999999992</v>
      </c>
    </row>
    <row r="5573" spans="1:16" x14ac:dyDescent="0.3">
      <c r="A5573" t="str">
        <f t="shared" si="87"/>
        <v>PA|TotalCapacityAnnual|RE1|PWRSTD|2051</v>
      </c>
      <c r="B5573" t="s">
        <v>44</v>
      </c>
      <c r="C5573" t="s">
        <v>45</v>
      </c>
      <c r="D5573" t="s">
        <v>38</v>
      </c>
      <c r="E5573" t="s">
        <v>19</v>
      </c>
      <c r="F5573" t="s">
        <v>35</v>
      </c>
      <c r="O5573">
        <v>2051</v>
      </c>
      <c r="P5573">
        <v>8.163062064</v>
      </c>
    </row>
    <row r="5574" spans="1:16" x14ac:dyDescent="0.3">
      <c r="A5574" t="str">
        <f t="shared" si="87"/>
        <v>PA|TotalCapacityAnnual|RE1|PWRWNDOFS_FIX|2051</v>
      </c>
      <c r="B5574" t="s">
        <v>44</v>
      </c>
      <c r="C5574" t="s">
        <v>45</v>
      </c>
      <c r="D5574" t="s">
        <v>38</v>
      </c>
      <c r="E5574" t="s">
        <v>19</v>
      </c>
      <c r="F5574" t="s">
        <v>42</v>
      </c>
      <c r="O5574">
        <v>2051</v>
      </c>
      <c r="P5574">
        <v>47.303999999999988</v>
      </c>
    </row>
    <row r="5575" spans="1:16" x14ac:dyDescent="0.3">
      <c r="A5575" t="str">
        <f t="shared" si="87"/>
        <v>PA|TotalCapacityAnnual|RE1|PWRWNDONS|2051</v>
      </c>
      <c r="B5575" t="s">
        <v>44</v>
      </c>
      <c r="C5575" t="s">
        <v>45</v>
      </c>
      <c r="D5575" t="s">
        <v>38</v>
      </c>
      <c r="E5575" t="s">
        <v>19</v>
      </c>
      <c r="F5575" t="s">
        <v>36</v>
      </c>
      <c r="O5575">
        <v>2051</v>
      </c>
      <c r="P5575">
        <v>491.85528265717852</v>
      </c>
    </row>
    <row r="5576" spans="1:16" x14ac:dyDescent="0.3">
      <c r="A5576" t="str">
        <f t="shared" si="87"/>
        <v>PA|AccumulatedNewCapacity|RE1|PWRBGS|2052</v>
      </c>
      <c r="B5576" t="s">
        <v>44</v>
      </c>
      <c r="C5576" t="s">
        <v>45</v>
      </c>
      <c r="D5576" t="s">
        <v>18</v>
      </c>
      <c r="E5576" t="s">
        <v>19</v>
      </c>
      <c r="F5576" t="s">
        <v>20</v>
      </c>
      <c r="O5576">
        <v>2052</v>
      </c>
    </row>
    <row r="5577" spans="1:16" x14ac:dyDescent="0.3">
      <c r="A5577" t="str">
        <f t="shared" si="87"/>
        <v>PA|AccumulatedNewCapacity|RE1|PWRCOA|2052</v>
      </c>
      <c r="B5577" t="s">
        <v>44</v>
      </c>
      <c r="C5577" t="s">
        <v>45</v>
      </c>
      <c r="D5577" t="s">
        <v>18</v>
      </c>
      <c r="E5577" t="s">
        <v>19</v>
      </c>
      <c r="F5577" t="s">
        <v>21</v>
      </c>
      <c r="O5577">
        <v>2052</v>
      </c>
    </row>
    <row r="5578" spans="1:16" x14ac:dyDescent="0.3">
      <c r="A5578" t="str">
        <f t="shared" si="87"/>
        <v>PA|AccumulatedNewCapacity|RE1|PWRDSL|2052</v>
      </c>
      <c r="B5578" t="s">
        <v>44</v>
      </c>
      <c r="C5578" t="s">
        <v>45</v>
      </c>
      <c r="D5578" t="s">
        <v>18</v>
      </c>
      <c r="E5578" t="s">
        <v>19</v>
      </c>
      <c r="F5578" t="s">
        <v>22</v>
      </c>
      <c r="O5578">
        <v>2052</v>
      </c>
    </row>
    <row r="5579" spans="1:16" x14ac:dyDescent="0.3">
      <c r="A5579" t="str">
        <f t="shared" si="87"/>
        <v>PA|AccumulatedNewCapacity|RE1|PWRFOL|2052</v>
      </c>
      <c r="B5579" t="s">
        <v>44</v>
      </c>
      <c r="C5579" t="s">
        <v>45</v>
      </c>
      <c r="D5579" t="s">
        <v>18</v>
      </c>
      <c r="E5579" t="s">
        <v>19</v>
      </c>
      <c r="F5579" t="s">
        <v>23</v>
      </c>
      <c r="O5579">
        <v>2052</v>
      </c>
    </row>
    <row r="5580" spans="1:16" x14ac:dyDescent="0.3">
      <c r="A5580" t="str">
        <f t="shared" si="87"/>
        <v>PA|AccumulatedNewCapacity|RE1|PWRGEO|2052</v>
      </c>
      <c r="B5580" t="s">
        <v>44</v>
      </c>
      <c r="C5580" t="s">
        <v>45</v>
      </c>
      <c r="D5580" t="s">
        <v>18</v>
      </c>
      <c r="E5580" t="s">
        <v>19</v>
      </c>
      <c r="F5580" t="s">
        <v>46</v>
      </c>
      <c r="O5580">
        <v>2052</v>
      </c>
      <c r="P5580">
        <v>31.54</v>
      </c>
    </row>
    <row r="5581" spans="1:16" x14ac:dyDescent="0.3">
      <c r="A5581" t="str">
        <f t="shared" si="87"/>
        <v>PA|AccumulatedNewCapacity|RE1|PWRHYDDAM|2052</v>
      </c>
      <c r="B5581" t="s">
        <v>44</v>
      </c>
      <c r="C5581" t="s">
        <v>45</v>
      </c>
      <c r="D5581" t="s">
        <v>18</v>
      </c>
      <c r="E5581" t="s">
        <v>19</v>
      </c>
      <c r="F5581" t="s">
        <v>24</v>
      </c>
      <c r="O5581">
        <v>2052</v>
      </c>
      <c r="P5581">
        <v>37.840000000000003</v>
      </c>
    </row>
    <row r="5582" spans="1:16" x14ac:dyDescent="0.3">
      <c r="A5582" t="str">
        <f t="shared" si="87"/>
        <v>PA|AccumulatedNewCapacity|RE1|PWRHYDROR|2052</v>
      </c>
      <c r="B5582" t="s">
        <v>44</v>
      </c>
      <c r="C5582" t="s">
        <v>45</v>
      </c>
      <c r="D5582" t="s">
        <v>18</v>
      </c>
      <c r="E5582" t="s">
        <v>19</v>
      </c>
      <c r="F5582" t="s">
        <v>25</v>
      </c>
      <c r="O5582">
        <v>2052</v>
      </c>
    </row>
    <row r="5583" spans="1:16" x14ac:dyDescent="0.3">
      <c r="A5583" t="str">
        <f t="shared" si="87"/>
        <v>PA|AccumulatedNewCapacity|RE1|PWRHYDROR_NDC|2052</v>
      </c>
      <c r="B5583" t="s">
        <v>44</v>
      </c>
      <c r="C5583" t="s">
        <v>45</v>
      </c>
      <c r="D5583" t="s">
        <v>18</v>
      </c>
      <c r="E5583" t="s">
        <v>19</v>
      </c>
      <c r="F5583" t="s">
        <v>26</v>
      </c>
      <c r="O5583">
        <v>2052</v>
      </c>
    </row>
    <row r="5584" spans="1:16" x14ac:dyDescent="0.3">
      <c r="A5584" t="str">
        <f t="shared" si="87"/>
        <v>PA|AccumulatedNewCapacity|RE1|PWRJET|2052</v>
      </c>
      <c r="B5584" t="s">
        <v>44</v>
      </c>
      <c r="C5584" t="s">
        <v>45</v>
      </c>
      <c r="D5584" t="s">
        <v>18</v>
      </c>
      <c r="E5584" t="s">
        <v>19</v>
      </c>
      <c r="F5584" t="s">
        <v>27</v>
      </c>
      <c r="O5584">
        <v>2052</v>
      </c>
    </row>
    <row r="5585" spans="1:16" x14ac:dyDescent="0.3">
      <c r="A5585" t="str">
        <f t="shared" si="87"/>
        <v>PA|AccumulatedNewCapacity|RE1|PWRLPG|2052</v>
      </c>
      <c r="B5585" t="s">
        <v>44</v>
      </c>
      <c r="C5585" t="s">
        <v>45</v>
      </c>
      <c r="D5585" t="s">
        <v>18</v>
      </c>
      <c r="E5585" t="s">
        <v>19</v>
      </c>
      <c r="F5585" t="s">
        <v>28</v>
      </c>
      <c r="O5585">
        <v>2052</v>
      </c>
    </row>
    <row r="5586" spans="1:16" x14ac:dyDescent="0.3">
      <c r="A5586" t="str">
        <f t="shared" si="87"/>
        <v>PA|AccumulatedNewCapacity|RE1|PWRNGS_CC|2052</v>
      </c>
      <c r="B5586" t="s">
        <v>44</v>
      </c>
      <c r="C5586" t="s">
        <v>45</v>
      </c>
      <c r="D5586" t="s">
        <v>18</v>
      </c>
      <c r="E5586" t="s">
        <v>19</v>
      </c>
      <c r="F5586" t="s">
        <v>29</v>
      </c>
      <c r="O5586">
        <v>2052</v>
      </c>
    </row>
    <row r="5587" spans="1:16" x14ac:dyDescent="0.3">
      <c r="A5587" t="str">
        <f t="shared" si="87"/>
        <v>PA|AccumulatedNewCapacity|RE1|PWRNGS_CS|2052</v>
      </c>
      <c r="B5587" t="s">
        <v>44</v>
      </c>
      <c r="C5587" t="s">
        <v>45</v>
      </c>
      <c r="D5587" t="s">
        <v>18</v>
      </c>
      <c r="E5587" t="s">
        <v>19</v>
      </c>
      <c r="F5587" t="s">
        <v>30</v>
      </c>
      <c r="O5587">
        <v>2052</v>
      </c>
    </row>
    <row r="5588" spans="1:16" x14ac:dyDescent="0.3">
      <c r="A5588" t="str">
        <f t="shared" si="87"/>
        <v>PA|AccumulatedNewCapacity|RE1|PWRNUC|2052</v>
      </c>
      <c r="B5588" t="s">
        <v>44</v>
      </c>
      <c r="C5588" t="s">
        <v>45</v>
      </c>
      <c r="D5588" t="s">
        <v>18</v>
      </c>
      <c r="E5588" t="s">
        <v>19</v>
      </c>
      <c r="F5588" t="s">
        <v>47</v>
      </c>
      <c r="O5588">
        <v>2052</v>
      </c>
      <c r="P5588">
        <v>9.5120000000000005</v>
      </c>
    </row>
    <row r="5589" spans="1:16" x14ac:dyDescent="0.3">
      <c r="A5589" t="str">
        <f t="shared" si="87"/>
        <v>PA|AccumulatedNewCapacity|RE1|PWRSOLRTP|2052</v>
      </c>
      <c r="B5589" t="s">
        <v>44</v>
      </c>
      <c r="C5589" t="s">
        <v>45</v>
      </c>
      <c r="D5589" t="s">
        <v>18</v>
      </c>
      <c r="E5589" t="s">
        <v>19</v>
      </c>
      <c r="F5589" t="s">
        <v>31</v>
      </c>
      <c r="O5589">
        <v>2052</v>
      </c>
      <c r="P5589">
        <v>139.09321496512359</v>
      </c>
    </row>
    <row r="5590" spans="1:16" x14ac:dyDescent="0.3">
      <c r="A5590" t="str">
        <f t="shared" si="87"/>
        <v>PA|AccumulatedNewCapacity|RE1|PWRSOLRTP_ZNI|2052</v>
      </c>
      <c r="B5590" t="s">
        <v>44</v>
      </c>
      <c r="C5590" t="s">
        <v>45</v>
      </c>
      <c r="D5590" t="s">
        <v>18</v>
      </c>
      <c r="E5590" t="s">
        <v>19</v>
      </c>
      <c r="F5590" t="s">
        <v>32</v>
      </c>
      <c r="O5590">
        <v>2052</v>
      </c>
    </row>
    <row r="5591" spans="1:16" x14ac:dyDescent="0.3">
      <c r="A5591" t="str">
        <f t="shared" si="87"/>
        <v>PA|AccumulatedNewCapacity|RE1|PWRSOLUGE|2052</v>
      </c>
      <c r="B5591" t="s">
        <v>44</v>
      </c>
      <c r="C5591" t="s">
        <v>45</v>
      </c>
      <c r="D5591" t="s">
        <v>18</v>
      </c>
      <c r="E5591" t="s">
        <v>19</v>
      </c>
      <c r="F5591" t="s">
        <v>33</v>
      </c>
      <c r="O5591">
        <v>2052</v>
      </c>
      <c r="P5591">
        <v>143.394192</v>
      </c>
    </row>
    <row r="5592" spans="1:16" x14ac:dyDescent="0.3">
      <c r="A5592" t="str">
        <f t="shared" si="87"/>
        <v>PA|AccumulatedNewCapacity|RE1|PWRSOLUPE|2052</v>
      </c>
      <c r="B5592" t="s">
        <v>44</v>
      </c>
      <c r="C5592" t="s">
        <v>45</v>
      </c>
      <c r="D5592" t="s">
        <v>18</v>
      </c>
      <c r="E5592" t="s">
        <v>19</v>
      </c>
      <c r="F5592" t="s">
        <v>34</v>
      </c>
      <c r="O5592">
        <v>2052</v>
      </c>
    </row>
    <row r="5593" spans="1:16" x14ac:dyDescent="0.3">
      <c r="A5593" t="str">
        <f t="shared" si="87"/>
        <v>PA|AccumulatedNewCapacity|RE1|PWRSTD|2052</v>
      </c>
      <c r="B5593" t="s">
        <v>44</v>
      </c>
      <c r="C5593" t="s">
        <v>45</v>
      </c>
      <c r="D5593" t="s">
        <v>18</v>
      </c>
      <c r="E5593" t="s">
        <v>19</v>
      </c>
      <c r="F5593" t="s">
        <v>35</v>
      </c>
      <c r="O5593">
        <v>2052</v>
      </c>
    </row>
    <row r="5594" spans="1:16" x14ac:dyDescent="0.3">
      <c r="A5594" t="str">
        <f t="shared" si="87"/>
        <v>PA|AccumulatedNewCapacity|RE1|PWRWNDOFS_FIX|2052</v>
      </c>
      <c r="B5594" t="s">
        <v>44</v>
      </c>
      <c r="C5594" t="s">
        <v>45</v>
      </c>
      <c r="D5594" t="s">
        <v>18</v>
      </c>
      <c r="E5594" t="s">
        <v>19</v>
      </c>
      <c r="F5594" t="s">
        <v>42</v>
      </c>
      <c r="O5594">
        <v>2052</v>
      </c>
      <c r="P5594">
        <v>47.303999999999988</v>
      </c>
    </row>
    <row r="5595" spans="1:16" x14ac:dyDescent="0.3">
      <c r="A5595" t="str">
        <f t="shared" si="87"/>
        <v>PA|AccumulatedNewCapacity|RE1|PWRWNDONS|2052</v>
      </c>
      <c r="B5595" t="s">
        <v>44</v>
      </c>
      <c r="C5595" t="s">
        <v>45</v>
      </c>
      <c r="D5595" t="s">
        <v>18</v>
      </c>
      <c r="E5595" t="s">
        <v>19</v>
      </c>
      <c r="F5595" t="s">
        <v>36</v>
      </c>
      <c r="O5595">
        <v>2052</v>
      </c>
      <c r="P5595">
        <v>537.79662025717857</v>
      </c>
    </row>
    <row r="5596" spans="1:16" x14ac:dyDescent="0.3">
      <c r="A5596" t="str">
        <f t="shared" si="87"/>
        <v>PA|NewCapacity|RE1|PWRBGS|2052</v>
      </c>
      <c r="B5596" t="s">
        <v>44</v>
      </c>
      <c r="C5596" t="s">
        <v>45</v>
      </c>
      <c r="D5596" t="s">
        <v>37</v>
      </c>
      <c r="E5596" t="s">
        <v>19</v>
      </c>
      <c r="F5596" t="s">
        <v>20</v>
      </c>
      <c r="O5596">
        <v>2052</v>
      </c>
    </row>
    <row r="5597" spans="1:16" x14ac:dyDescent="0.3">
      <c r="A5597" t="str">
        <f t="shared" si="87"/>
        <v>PA|NewCapacity|RE1|PWRCOA|2052</v>
      </c>
      <c r="B5597" t="s">
        <v>44</v>
      </c>
      <c r="C5597" t="s">
        <v>45</v>
      </c>
      <c r="D5597" t="s">
        <v>37</v>
      </c>
      <c r="E5597" t="s">
        <v>19</v>
      </c>
      <c r="F5597" t="s">
        <v>21</v>
      </c>
      <c r="O5597">
        <v>2052</v>
      </c>
    </row>
    <row r="5598" spans="1:16" x14ac:dyDescent="0.3">
      <c r="A5598" t="str">
        <f t="shared" si="87"/>
        <v>PA|NewCapacity|RE1|PWRDSL|2052</v>
      </c>
      <c r="B5598" t="s">
        <v>44</v>
      </c>
      <c r="C5598" t="s">
        <v>45</v>
      </c>
      <c r="D5598" t="s">
        <v>37</v>
      </c>
      <c r="E5598" t="s">
        <v>19</v>
      </c>
      <c r="F5598" t="s">
        <v>22</v>
      </c>
      <c r="O5598">
        <v>2052</v>
      </c>
    </row>
    <row r="5599" spans="1:16" x14ac:dyDescent="0.3">
      <c r="A5599" t="str">
        <f t="shared" si="87"/>
        <v>PA|NewCapacity|RE1|PWRFOL|2052</v>
      </c>
      <c r="B5599" t="s">
        <v>44</v>
      </c>
      <c r="C5599" t="s">
        <v>45</v>
      </c>
      <c r="D5599" t="s">
        <v>37</v>
      </c>
      <c r="E5599" t="s">
        <v>19</v>
      </c>
      <c r="F5599" t="s">
        <v>23</v>
      </c>
      <c r="O5599">
        <v>2052</v>
      </c>
    </row>
    <row r="5600" spans="1:16" x14ac:dyDescent="0.3">
      <c r="A5600" t="str">
        <f t="shared" si="87"/>
        <v>PA|NewCapacity|RE1|PWRGEO|2052</v>
      </c>
      <c r="B5600" t="s">
        <v>44</v>
      </c>
      <c r="C5600" t="s">
        <v>45</v>
      </c>
      <c r="D5600" t="s">
        <v>37</v>
      </c>
      <c r="E5600" t="s">
        <v>19</v>
      </c>
      <c r="F5600" t="s">
        <v>46</v>
      </c>
      <c r="O5600">
        <v>2052</v>
      </c>
    </row>
    <row r="5601" spans="1:16" x14ac:dyDescent="0.3">
      <c r="A5601" t="str">
        <f t="shared" si="87"/>
        <v>PA|NewCapacity|RE1|PWRHYDDAM|2052</v>
      </c>
      <c r="B5601" t="s">
        <v>44</v>
      </c>
      <c r="C5601" t="s">
        <v>45</v>
      </c>
      <c r="D5601" t="s">
        <v>37</v>
      </c>
      <c r="E5601" t="s">
        <v>19</v>
      </c>
      <c r="F5601" t="s">
        <v>24</v>
      </c>
      <c r="O5601">
        <v>2052</v>
      </c>
    </row>
    <row r="5602" spans="1:16" x14ac:dyDescent="0.3">
      <c r="A5602" t="str">
        <f t="shared" si="87"/>
        <v>PA|NewCapacity|RE1|PWRHYDROR|2052</v>
      </c>
      <c r="B5602" t="s">
        <v>44</v>
      </c>
      <c r="C5602" t="s">
        <v>45</v>
      </c>
      <c r="D5602" t="s">
        <v>37</v>
      </c>
      <c r="E5602" t="s">
        <v>19</v>
      </c>
      <c r="F5602" t="s">
        <v>25</v>
      </c>
      <c r="O5602">
        <v>2052</v>
      </c>
    </row>
    <row r="5603" spans="1:16" x14ac:dyDescent="0.3">
      <c r="A5603" t="str">
        <f t="shared" si="87"/>
        <v>PA|NewCapacity|RE1|PWRHYDROR_NDC|2052</v>
      </c>
      <c r="B5603" t="s">
        <v>44</v>
      </c>
      <c r="C5603" t="s">
        <v>45</v>
      </c>
      <c r="D5603" t="s">
        <v>37</v>
      </c>
      <c r="E5603" t="s">
        <v>19</v>
      </c>
      <c r="F5603" t="s">
        <v>26</v>
      </c>
      <c r="O5603">
        <v>2052</v>
      </c>
    </row>
    <row r="5604" spans="1:16" x14ac:dyDescent="0.3">
      <c r="A5604" t="str">
        <f t="shared" si="87"/>
        <v>PA|NewCapacity|RE1|PWRJET|2052</v>
      </c>
      <c r="B5604" t="s">
        <v>44</v>
      </c>
      <c r="C5604" t="s">
        <v>45</v>
      </c>
      <c r="D5604" t="s">
        <v>37</v>
      </c>
      <c r="E5604" t="s">
        <v>19</v>
      </c>
      <c r="F5604" t="s">
        <v>27</v>
      </c>
      <c r="O5604">
        <v>2052</v>
      </c>
    </row>
    <row r="5605" spans="1:16" x14ac:dyDescent="0.3">
      <c r="A5605" t="str">
        <f t="shared" si="87"/>
        <v>PA|NewCapacity|RE1|PWRLPG|2052</v>
      </c>
      <c r="B5605" t="s">
        <v>44</v>
      </c>
      <c r="C5605" t="s">
        <v>45</v>
      </c>
      <c r="D5605" t="s">
        <v>37</v>
      </c>
      <c r="E5605" t="s">
        <v>19</v>
      </c>
      <c r="F5605" t="s">
        <v>28</v>
      </c>
      <c r="O5605">
        <v>2052</v>
      </c>
    </row>
    <row r="5606" spans="1:16" x14ac:dyDescent="0.3">
      <c r="A5606" t="str">
        <f t="shared" si="87"/>
        <v>PA|NewCapacity|RE1|PWRNGS_CC|2052</v>
      </c>
      <c r="B5606" t="s">
        <v>44</v>
      </c>
      <c r="C5606" t="s">
        <v>45</v>
      </c>
      <c r="D5606" t="s">
        <v>37</v>
      </c>
      <c r="E5606" t="s">
        <v>19</v>
      </c>
      <c r="F5606" t="s">
        <v>29</v>
      </c>
      <c r="O5606">
        <v>2052</v>
      </c>
    </row>
    <row r="5607" spans="1:16" x14ac:dyDescent="0.3">
      <c r="A5607" t="str">
        <f t="shared" si="87"/>
        <v>PA|NewCapacity|RE1|PWRNGS_CS|2052</v>
      </c>
      <c r="B5607" t="s">
        <v>44</v>
      </c>
      <c r="C5607" t="s">
        <v>45</v>
      </c>
      <c r="D5607" t="s">
        <v>37</v>
      </c>
      <c r="E5607" t="s">
        <v>19</v>
      </c>
      <c r="F5607" t="s">
        <v>30</v>
      </c>
      <c r="O5607">
        <v>2052</v>
      </c>
    </row>
    <row r="5608" spans="1:16" x14ac:dyDescent="0.3">
      <c r="A5608" t="str">
        <f t="shared" si="87"/>
        <v>PA|NewCapacity|RE1|PWRNUC|2052</v>
      </c>
      <c r="B5608" t="s">
        <v>44</v>
      </c>
      <c r="C5608" t="s">
        <v>45</v>
      </c>
      <c r="D5608" t="s">
        <v>37</v>
      </c>
      <c r="E5608" t="s">
        <v>19</v>
      </c>
      <c r="F5608" t="s">
        <v>47</v>
      </c>
      <c r="O5608">
        <v>2052</v>
      </c>
    </row>
    <row r="5609" spans="1:16" x14ac:dyDescent="0.3">
      <c r="A5609" t="str">
        <f t="shared" si="87"/>
        <v>PA|NewCapacity|RE1|PWRSOLRTP|2052</v>
      </c>
      <c r="B5609" t="s">
        <v>44</v>
      </c>
      <c r="C5609" t="s">
        <v>45</v>
      </c>
      <c r="D5609" t="s">
        <v>37</v>
      </c>
      <c r="E5609" t="s">
        <v>19</v>
      </c>
      <c r="F5609" t="s">
        <v>31</v>
      </c>
      <c r="O5609">
        <v>2052</v>
      </c>
      <c r="P5609">
        <v>1.902346227013316</v>
      </c>
    </row>
    <row r="5610" spans="1:16" x14ac:dyDescent="0.3">
      <c r="A5610" t="str">
        <f t="shared" si="87"/>
        <v>PA|NewCapacity|RE1|PWRSOLRTP_ZNI|2052</v>
      </c>
      <c r="B5610" t="s">
        <v>44</v>
      </c>
      <c r="C5610" t="s">
        <v>45</v>
      </c>
      <c r="D5610" t="s">
        <v>37</v>
      </c>
      <c r="E5610" t="s">
        <v>19</v>
      </c>
      <c r="F5610" t="s">
        <v>32</v>
      </c>
      <c r="O5610">
        <v>2052</v>
      </c>
    </row>
    <row r="5611" spans="1:16" x14ac:dyDescent="0.3">
      <c r="A5611" t="str">
        <f t="shared" si="87"/>
        <v>PA|NewCapacity|RE1|PWRSOLUGE|2052</v>
      </c>
      <c r="B5611" t="s">
        <v>44</v>
      </c>
      <c r="C5611" t="s">
        <v>45</v>
      </c>
      <c r="D5611" t="s">
        <v>37</v>
      </c>
      <c r="E5611" t="s">
        <v>19</v>
      </c>
      <c r="F5611" t="s">
        <v>33</v>
      </c>
      <c r="O5611">
        <v>2052</v>
      </c>
    </row>
    <row r="5612" spans="1:16" x14ac:dyDescent="0.3">
      <c r="A5612" t="str">
        <f t="shared" si="87"/>
        <v>PA|NewCapacity|RE1|PWRSOLUPE|2052</v>
      </c>
      <c r="B5612" t="s">
        <v>44</v>
      </c>
      <c r="C5612" t="s">
        <v>45</v>
      </c>
      <c r="D5612" t="s">
        <v>37</v>
      </c>
      <c r="E5612" t="s">
        <v>19</v>
      </c>
      <c r="F5612" t="s">
        <v>34</v>
      </c>
      <c r="O5612">
        <v>2052</v>
      </c>
    </row>
    <row r="5613" spans="1:16" x14ac:dyDescent="0.3">
      <c r="A5613" t="str">
        <f t="shared" si="87"/>
        <v>PA|NewCapacity|RE1|PWRSTD|2052</v>
      </c>
      <c r="B5613" t="s">
        <v>44</v>
      </c>
      <c r="C5613" t="s">
        <v>45</v>
      </c>
      <c r="D5613" t="s">
        <v>37</v>
      </c>
      <c r="E5613" t="s">
        <v>19</v>
      </c>
      <c r="F5613" t="s">
        <v>35</v>
      </c>
      <c r="O5613">
        <v>2052</v>
      </c>
    </row>
    <row r="5614" spans="1:16" x14ac:dyDescent="0.3">
      <c r="A5614" t="str">
        <f t="shared" si="87"/>
        <v>PA|NewCapacity|RE1|PWRWNDOFS_FIX|2052</v>
      </c>
      <c r="B5614" t="s">
        <v>44</v>
      </c>
      <c r="C5614" t="s">
        <v>45</v>
      </c>
      <c r="D5614" t="s">
        <v>37</v>
      </c>
      <c r="E5614" t="s">
        <v>19</v>
      </c>
      <c r="F5614" t="s">
        <v>42</v>
      </c>
      <c r="O5614">
        <v>2052</v>
      </c>
    </row>
    <row r="5615" spans="1:16" x14ac:dyDescent="0.3">
      <c r="A5615" t="str">
        <f t="shared" si="87"/>
        <v>PA|NewCapacity|RE1|PWRWNDONS|2052</v>
      </c>
      <c r="B5615" t="s">
        <v>44</v>
      </c>
      <c r="C5615" t="s">
        <v>45</v>
      </c>
      <c r="D5615" t="s">
        <v>37</v>
      </c>
      <c r="E5615" t="s">
        <v>19</v>
      </c>
      <c r="F5615" t="s">
        <v>36</v>
      </c>
      <c r="O5615">
        <v>2052</v>
      </c>
      <c r="P5615">
        <v>47.31</v>
      </c>
    </row>
    <row r="5616" spans="1:16" x14ac:dyDescent="0.3">
      <c r="A5616" t="str">
        <f t="shared" si="87"/>
        <v>PA|TotalCapacityAnnual|RE1|PWRBGS|2052</v>
      </c>
      <c r="B5616" t="s">
        <v>44</v>
      </c>
      <c r="C5616" t="s">
        <v>45</v>
      </c>
      <c r="D5616" t="s">
        <v>38</v>
      </c>
      <c r="E5616" t="s">
        <v>19</v>
      </c>
      <c r="F5616" t="s">
        <v>20</v>
      </c>
      <c r="O5616">
        <v>2052</v>
      </c>
      <c r="P5616">
        <v>2.5488587520000001E-2</v>
      </c>
    </row>
    <row r="5617" spans="1:16" x14ac:dyDescent="0.3">
      <c r="A5617" t="str">
        <f t="shared" si="87"/>
        <v>PA|TotalCapacityAnnual|RE1|PWRCOA|2052</v>
      </c>
      <c r="B5617" t="s">
        <v>44</v>
      </c>
      <c r="C5617" t="s">
        <v>45</v>
      </c>
      <c r="D5617" t="s">
        <v>38</v>
      </c>
      <c r="E5617" t="s">
        <v>19</v>
      </c>
      <c r="F5617" t="s">
        <v>21</v>
      </c>
      <c r="O5617">
        <v>2052</v>
      </c>
    </row>
    <row r="5618" spans="1:16" x14ac:dyDescent="0.3">
      <c r="A5618" t="str">
        <f t="shared" si="87"/>
        <v>PA|TotalCapacityAnnual|RE1|PWRDSL|2052</v>
      </c>
      <c r="B5618" t="s">
        <v>44</v>
      </c>
      <c r="C5618" t="s">
        <v>45</v>
      </c>
      <c r="D5618" t="s">
        <v>38</v>
      </c>
      <c r="E5618" t="s">
        <v>19</v>
      </c>
      <c r="F5618" t="s">
        <v>22</v>
      </c>
      <c r="O5618">
        <v>2052</v>
      </c>
      <c r="P5618">
        <v>24.944976</v>
      </c>
    </row>
    <row r="5619" spans="1:16" x14ac:dyDescent="0.3">
      <c r="A5619" t="str">
        <f t="shared" si="87"/>
        <v>PA|TotalCapacityAnnual|RE1|PWRFOL|2052</v>
      </c>
      <c r="B5619" t="s">
        <v>44</v>
      </c>
      <c r="C5619" t="s">
        <v>45</v>
      </c>
      <c r="D5619" t="s">
        <v>38</v>
      </c>
      <c r="E5619" t="s">
        <v>19</v>
      </c>
      <c r="F5619" t="s">
        <v>23</v>
      </c>
      <c r="O5619">
        <v>2052</v>
      </c>
      <c r="P5619">
        <v>8.3885759999999987</v>
      </c>
    </row>
    <row r="5620" spans="1:16" x14ac:dyDescent="0.3">
      <c r="A5620" t="str">
        <f t="shared" si="87"/>
        <v>PA|TotalCapacityAnnual|RE1|PWRGEO|2052</v>
      </c>
      <c r="B5620" t="s">
        <v>44</v>
      </c>
      <c r="C5620" t="s">
        <v>45</v>
      </c>
      <c r="D5620" t="s">
        <v>38</v>
      </c>
      <c r="E5620" t="s">
        <v>19</v>
      </c>
      <c r="F5620" t="s">
        <v>46</v>
      </c>
      <c r="O5620">
        <v>2052</v>
      </c>
      <c r="P5620">
        <v>31.54</v>
      </c>
    </row>
    <row r="5621" spans="1:16" x14ac:dyDescent="0.3">
      <c r="A5621" t="str">
        <f t="shared" si="87"/>
        <v>PA|TotalCapacityAnnual|RE1|PWRHYDDAM|2052</v>
      </c>
      <c r="B5621" t="s">
        <v>44</v>
      </c>
      <c r="C5621" t="s">
        <v>45</v>
      </c>
      <c r="D5621" t="s">
        <v>38</v>
      </c>
      <c r="E5621" t="s">
        <v>19</v>
      </c>
      <c r="F5621" t="s">
        <v>24</v>
      </c>
      <c r="O5621">
        <v>2052</v>
      </c>
      <c r="P5621">
        <v>440.49164800000011</v>
      </c>
    </row>
    <row r="5622" spans="1:16" x14ac:dyDescent="0.3">
      <c r="A5622" t="str">
        <f t="shared" si="87"/>
        <v>PA|TotalCapacityAnnual|RE1|PWRHYDROR|2052</v>
      </c>
      <c r="B5622" t="s">
        <v>44</v>
      </c>
      <c r="C5622" t="s">
        <v>45</v>
      </c>
      <c r="D5622" t="s">
        <v>38</v>
      </c>
      <c r="E5622" t="s">
        <v>19</v>
      </c>
      <c r="F5622" t="s">
        <v>25</v>
      </c>
      <c r="O5622">
        <v>2052</v>
      </c>
      <c r="P5622">
        <v>21.097584000000001</v>
      </c>
    </row>
    <row r="5623" spans="1:16" x14ac:dyDescent="0.3">
      <c r="A5623" t="str">
        <f t="shared" si="87"/>
        <v>PA|TotalCapacityAnnual|RE1|PWRHYDROR_NDC|2052</v>
      </c>
      <c r="B5623" t="s">
        <v>44</v>
      </c>
      <c r="C5623" t="s">
        <v>45</v>
      </c>
      <c r="D5623" t="s">
        <v>38</v>
      </c>
      <c r="E5623" t="s">
        <v>19</v>
      </c>
      <c r="F5623" t="s">
        <v>26</v>
      </c>
      <c r="O5623">
        <v>2052</v>
      </c>
      <c r="P5623">
        <v>29.725108271999989</v>
      </c>
    </row>
    <row r="5624" spans="1:16" x14ac:dyDescent="0.3">
      <c r="A5624" t="str">
        <f t="shared" si="87"/>
        <v>PA|TotalCapacityAnnual|RE1|PWRJET|2052</v>
      </c>
      <c r="B5624" t="s">
        <v>44</v>
      </c>
      <c r="C5624" t="s">
        <v>45</v>
      </c>
      <c r="D5624" t="s">
        <v>38</v>
      </c>
      <c r="E5624" t="s">
        <v>19</v>
      </c>
      <c r="F5624" t="s">
        <v>27</v>
      </c>
      <c r="O5624">
        <v>2052</v>
      </c>
      <c r="P5624">
        <v>1.5768</v>
      </c>
    </row>
    <row r="5625" spans="1:16" x14ac:dyDescent="0.3">
      <c r="A5625" t="str">
        <f t="shared" si="87"/>
        <v>PA|TotalCapacityAnnual|RE1|PWRLPG|2052</v>
      </c>
      <c r="B5625" t="s">
        <v>44</v>
      </c>
      <c r="C5625" t="s">
        <v>45</v>
      </c>
      <c r="D5625" t="s">
        <v>38</v>
      </c>
      <c r="E5625" t="s">
        <v>19</v>
      </c>
      <c r="F5625" t="s">
        <v>28</v>
      </c>
      <c r="O5625">
        <v>2052</v>
      </c>
      <c r="P5625">
        <v>1.639872</v>
      </c>
    </row>
    <row r="5626" spans="1:16" x14ac:dyDescent="0.3">
      <c r="A5626" t="str">
        <f t="shared" si="87"/>
        <v>PA|TotalCapacityAnnual|RE1|PWRNGS_CC|2052</v>
      </c>
      <c r="B5626" t="s">
        <v>44</v>
      </c>
      <c r="C5626" t="s">
        <v>45</v>
      </c>
      <c r="D5626" t="s">
        <v>38</v>
      </c>
      <c r="E5626" t="s">
        <v>19</v>
      </c>
      <c r="F5626" t="s">
        <v>29</v>
      </c>
      <c r="O5626">
        <v>2052</v>
      </c>
      <c r="P5626">
        <v>70.104500000000002</v>
      </c>
    </row>
    <row r="5627" spans="1:16" x14ac:dyDescent="0.3">
      <c r="A5627" t="str">
        <f t="shared" si="87"/>
        <v>PA|TotalCapacityAnnual|RE1|PWRNGS_CS|2052</v>
      </c>
      <c r="B5627" t="s">
        <v>44</v>
      </c>
      <c r="C5627" t="s">
        <v>45</v>
      </c>
      <c r="D5627" t="s">
        <v>38</v>
      </c>
      <c r="E5627" t="s">
        <v>19</v>
      </c>
      <c r="F5627" t="s">
        <v>30</v>
      </c>
      <c r="O5627">
        <v>2052</v>
      </c>
      <c r="P5627">
        <v>23.084351999999999</v>
      </c>
    </row>
    <row r="5628" spans="1:16" x14ac:dyDescent="0.3">
      <c r="A5628" t="str">
        <f t="shared" si="87"/>
        <v>PA|TotalCapacityAnnual|RE1|PWRNUC|2052</v>
      </c>
      <c r="B5628" t="s">
        <v>44</v>
      </c>
      <c r="C5628" t="s">
        <v>45</v>
      </c>
      <c r="D5628" t="s">
        <v>38</v>
      </c>
      <c r="E5628" t="s">
        <v>19</v>
      </c>
      <c r="F5628" t="s">
        <v>47</v>
      </c>
      <c r="O5628">
        <v>2052</v>
      </c>
      <c r="P5628">
        <v>9.5120000000000005</v>
      </c>
    </row>
    <row r="5629" spans="1:16" x14ac:dyDescent="0.3">
      <c r="A5629" t="str">
        <f t="shared" si="87"/>
        <v>PA|TotalCapacityAnnual|RE1|PWRSOLRTP|2052</v>
      </c>
      <c r="B5629" t="s">
        <v>44</v>
      </c>
      <c r="C5629" t="s">
        <v>45</v>
      </c>
      <c r="D5629" t="s">
        <v>38</v>
      </c>
      <c r="E5629" t="s">
        <v>19</v>
      </c>
      <c r="F5629" t="s">
        <v>31</v>
      </c>
      <c r="O5629">
        <v>2052</v>
      </c>
      <c r="P5629">
        <v>139.09321496512359</v>
      </c>
    </row>
    <row r="5630" spans="1:16" x14ac:dyDescent="0.3">
      <c r="A5630" t="str">
        <f t="shared" si="87"/>
        <v>PA|TotalCapacityAnnual|RE1|PWRSOLRTP_ZNI|2052</v>
      </c>
      <c r="B5630" t="s">
        <v>44</v>
      </c>
      <c r="C5630" t="s">
        <v>45</v>
      </c>
      <c r="D5630" t="s">
        <v>38</v>
      </c>
      <c r="E5630" t="s">
        <v>19</v>
      </c>
      <c r="F5630" t="s">
        <v>32</v>
      </c>
      <c r="O5630">
        <v>2052</v>
      </c>
      <c r="P5630">
        <v>0.46074095999999998</v>
      </c>
    </row>
    <row r="5631" spans="1:16" x14ac:dyDescent="0.3">
      <c r="A5631" t="str">
        <f t="shared" si="87"/>
        <v>PA|TotalCapacityAnnual|RE1|PWRSOLUGE|2052</v>
      </c>
      <c r="B5631" t="s">
        <v>44</v>
      </c>
      <c r="C5631" t="s">
        <v>45</v>
      </c>
      <c r="D5631" t="s">
        <v>38</v>
      </c>
      <c r="E5631" t="s">
        <v>19</v>
      </c>
      <c r="F5631" t="s">
        <v>33</v>
      </c>
      <c r="O5631">
        <v>2052</v>
      </c>
      <c r="P5631">
        <v>191.79189199999999</v>
      </c>
    </row>
    <row r="5632" spans="1:16" x14ac:dyDescent="0.3">
      <c r="A5632" t="str">
        <f t="shared" si="87"/>
        <v>PA|TotalCapacityAnnual|RE1|PWRSOLUPE|2052</v>
      </c>
      <c r="B5632" t="s">
        <v>44</v>
      </c>
      <c r="C5632" t="s">
        <v>45</v>
      </c>
      <c r="D5632" t="s">
        <v>38</v>
      </c>
      <c r="E5632" t="s">
        <v>19</v>
      </c>
      <c r="F5632" t="s">
        <v>34</v>
      </c>
      <c r="O5632">
        <v>2052</v>
      </c>
    </row>
    <row r="5633" spans="1:16" x14ac:dyDescent="0.3">
      <c r="A5633" t="str">
        <f t="shared" si="87"/>
        <v>PA|TotalCapacityAnnual|RE1|PWRSTD|2052</v>
      </c>
      <c r="B5633" t="s">
        <v>44</v>
      </c>
      <c r="C5633" t="s">
        <v>45</v>
      </c>
      <c r="D5633" t="s">
        <v>38</v>
      </c>
      <c r="E5633" t="s">
        <v>19</v>
      </c>
      <c r="F5633" t="s">
        <v>35</v>
      </c>
      <c r="O5633">
        <v>2052</v>
      </c>
      <c r="P5633">
        <v>8.163062064</v>
      </c>
    </row>
    <row r="5634" spans="1:16" x14ac:dyDescent="0.3">
      <c r="A5634" t="str">
        <f t="shared" ref="A5634:A5697" si="88">B5634&amp;"|"&amp;D5634&amp;"|"&amp;E5634&amp;"|"&amp;F5634&amp;"|"&amp;O5634</f>
        <v>PA|TotalCapacityAnnual|RE1|PWRWNDOFS_FIX|2052</v>
      </c>
      <c r="B5634" t="s">
        <v>44</v>
      </c>
      <c r="C5634" t="s">
        <v>45</v>
      </c>
      <c r="D5634" t="s">
        <v>38</v>
      </c>
      <c r="E5634" t="s">
        <v>19</v>
      </c>
      <c r="F5634" t="s">
        <v>42</v>
      </c>
      <c r="O5634">
        <v>2052</v>
      </c>
      <c r="P5634">
        <v>47.303999999999988</v>
      </c>
    </row>
    <row r="5635" spans="1:16" x14ac:dyDescent="0.3">
      <c r="A5635" t="str">
        <f t="shared" si="88"/>
        <v>PA|TotalCapacityAnnual|RE1|PWRWNDONS|2052</v>
      </c>
      <c r="B5635" t="s">
        <v>44</v>
      </c>
      <c r="C5635" t="s">
        <v>45</v>
      </c>
      <c r="D5635" t="s">
        <v>38</v>
      </c>
      <c r="E5635" t="s">
        <v>19</v>
      </c>
      <c r="F5635" t="s">
        <v>36</v>
      </c>
      <c r="O5635">
        <v>2052</v>
      </c>
      <c r="P5635">
        <v>539.16528265717852</v>
      </c>
    </row>
    <row r="5636" spans="1:16" x14ac:dyDescent="0.3">
      <c r="A5636" t="str">
        <f t="shared" si="88"/>
        <v>PA|AccumulatedNewCapacity|RE1|PWRBGS|2053</v>
      </c>
      <c r="B5636" t="s">
        <v>44</v>
      </c>
      <c r="C5636" t="s">
        <v>45</v>
      </c>
      <c r="D5636" t="s">
        <v>18</v>
      </c>
      <c r="E5636" t="s">
        <v>19</v>
      </c>
      <c r="F5636" t="s">
        <v>20</v>
      </c>
      <c r="O5636">
        <v>2053</v>
      </c>
    </row>
    <row r="5637" spans="1:16" x14ac:dyDescent="0.3">
      <c r="A5637" t="str">
        <f t="shared" si="88"/>
        <v>PA|AccumulatedNewCapacity|RE1|PWRCOA|2053</v>
      </c>
      <c r="B5637" t="s">
        <v>44</v>
      </c>
      <c r="C5637" t="s">
        <v>45</v>
      </c>
      <c r="D5637" t="s">
        <v>18</v>
      </c>
      <c r="E5637" t="s">
        <v>19</v>
      </c>
      <c r="F5637" t="s">
        <v>21</v>
      </c>
      <c r="O5637">
        <v>2053</v>
      </c>
    </row>
    <row r="5638" spans="1:16" x14ac:dyDescent="0.3">
      <c r="A5638" t="str">
        <f t="shared" si="88"/>
        <v>PA|AccumulatedNewCapacity|RE1|PWRDSL|2053</v>
      </c>
      <c r="B5638" t="s">
        <v>44</v>
      </c>
      <c r="C5638" t="s">
        <v>45</v>
      </c>
      <c r="D5638" t="s">
        <v>18</v>
      </c>
      <c r="E5638" t="s">
        <v>19</v>
      </c>
      <c r="F5638" t="s">
        <v>22</v>
      </c>
      <c r="O5638">
        <v>2053</v>
      </c>
    </row>
    <row r="5639" spans="1:16" x14ac:dyDescent="0.3">
      <c r="A5639" t="str">
        <f t="shared" si="88"/>
        <v>PA|AccumulatedNewCapacity|RE1|PWRFOL|2053</v>
      </c>
      <c r="B5639" t="s">
        <v>44</v>
      </c>
      <c r="C5639" t="s">
        <v>45</v>
      </c>
      <c r="D5639" t="s">
        <v>18</v>
      </c>
      <c r="E5639" t="s">
        <v>19</v>
      </c>
      <c r="F5639" t="s">
        <v>23</v>
      </c>
      <c r="O5639">
        <v>2053</v>
      </c>
    </row>
    <row r="5640" spans="1:16" x14ac:dyDescent="0.3">
      <c r="A5640" t="str">
        <f t="shared" si="88"/>
        <v>PA|AccumulatedNewCapacity|RE1|PWRGEO|2053</v>
      </c>
      <c r="B5640" t="s">
        <v>44</v>
      </c>
      <c r="C5640" t="s">
        <v>45</v>
      </c>
      <c r="D5640" t="s">
        <v>18</v>
      </c>
      <c r="E5640" t="s">
        <v>19</v>
      </c>
      <c r="F5640" t="s">
        <v>46</v>
      </c>
      <c r="O5640">
        <v>2053</v>
      </c>
      <c r="P5640">
        <v>31.54</v>
      </c>
    </row>
    <row r="5641" spans="1:16" x14ac:dyDescent="0.3">
      <c r="A5641" t="str">
        <f t="shared" si="88"/>
        <v>PA|AccumulatedNewCapacity|RE1|PWRHYDDAM|2053</v>
      </c>
      <c r="B5641" t="s">
        <v>44</v>
      </c>
      <c r="C5641" t="s">
        <v>45</v>
      </c>
      <c r="D5641" t="s">
        <v>18</v>
      </c>
      <c r="E5641" t="s">
        <v>19</v>
      </c>
      <c r="F5641" t="s">
        <v>24</v>
      </c>
      <c r="O5641">
        <v>2053</v>
      </c>
      <c r="P5641">
        <v>37.840000000000003</v>
      </c>
    </row>
    <row r="5642" spans="1:16" x14ac:dyDescent="0.3">
      <c r="A5642" t="str">
        <f t="shared" si="88"/>
        <v>PA|AccumulatedNewCapacity|RE1|PWRHYDROR|2053</v>
      </c>
      <c r="B5642" t="s">
        <v>44</v>
      </c>
      <c r="C5642" t="s">
        <v>45</v>
      </c>
      <c r="D5642" t="s">
        <v>18</v>
      </c>
      <c r="E5642" t="s">
        <v>19</v>
      </c>
      <c r="F5642" t="s">
        <v>25</v>
      </c>
      <c r="O5642">
        <v>2053</v>
      </c>
    </row>
    <row r="5643" spans="1:16" x14ac:dyDescent="0.3">
      <c r="A5643" t="str">
        <f t="shared" si="88"/>
        <v>PA|AccumulatedNewCapacity|RE1|PWRHYDROR_NDC|2053</v>
      </c>
      <c r="B5643" t="s">
        <v>44</v>
      </c>
      <c r="C5643" t="s">
        <v>45</v>
      </c>
      <c r="D5643" t="s">
        <v>18</v>
      </c>
      <c r="E5643" t="s">
        <v>19</v>
      </c>
      <c r="F5643" t="s">
        <v>26</v>
      </c>
      <c r="O5643">
        <v>2053</v>
      </c>
    </row>
    <row r="5644" spans="1:16" x14ac:dyDescent="0.3">
      <c r="A5644" t="str">
        <f t="shared" si="88"/>
        <v>PA|AccumulatedNewCapacity|RE1|PWRJET|2053</v>
      </c>
      <c r="B5644" t="s">
        <v>44</v>
      </c>
      <c r="C5644" t="s">
        <v>45</v>
      </c>
      <c r="D5644" t="s">
        <v>18</v>
      </c>
      <c r="E5644" t="s">
        <v>19</v>
      </c>
      <c r="F5644" t="s">
        <v>27</v>
      </c>
      <c r="O5644">
        <v>2053</v>
      </c>
    </row>
    <row r="5645" spans="1:16" x14ac:dyDescent="0.3">
      <c r="A5645" t="str">
        <f t="shared" si="88"/>
        <v>PA|AccumulatedNewCapacity|RE1|PWRLPG|2053</v>
      </c>
      <c r="B5645" t="s">
        <v>44</v>
      </c>
      <c r="C5645" t="s">
        <v>45</v>
      </c>
      <c r="D5645" t="s">
        <v>18</v>
      </c>
      <c r="E5645" t="s">
        <v>19</v>
      </c>
      <c r="F5645" t="s">
        <v>28</v>
      </c>
      <c r="O5645">
        <v>2053</v>
      </c>
    </row>
    <row r="5646" spans="1:16" x14ac:dyDescent="0.3">
      <c r="A5646" t="str">
        <f t="shared" si="88"/>
        <v>PA|AccumulatedNewCapacity|RE1|PWRNGS_CC|2053</v>
      </c>
      <c r="B5646" t="s">
        <v>44</v>
      </c>
      <c r="C5646" t="s">
        <v>45</v>
      </c>
      <c r="D5646" t="s">
        <v>18</v>
      </c>
      <c r="E5646" t="s">
        <v>19</v>
      </c>
      <c r="F5646" t="s">
        <v>29</v>
      </c>
      <c r="O5646">
        <v>2053</v>
      </c>
    </row>
    <row r="5647" spans="1:16" x14ac:dyDescent="0.3">
      <c r="A5647" t="str">
        <f t="shared" si="88"/>
        <v>PA|AccumulatedNewCapacity|RE1|PWRNGS_CS|2053</v>
      </c>
      <c r="B5647" t="s">
        <v>44</v>
      </c>
      <c r="C5647" t="s">
        <v>45</v>
      </c>
      <c r="D5647" t="s">
        <v>18</v>
      </c>
      <c r="E5647" t="s">
        <v>19</v>
      </c>
      <c r="F5647" t="s">
        <v>30</v>
      </c>
      <c r="O5647">
        <v>2053</v>
      </c>
    </row>
    <row r="5648" spans="1:16" x14ac:dyDescent="0.3">
      <c r="A5648" t="str">
        <f t="shared" si="88"/>
        <v>PA|AccumulatedNewCapacity|RE1|PWRNUC|2053</v>
      </c>
      <c r="B5648" t="s">
        <v>44</v>
      </c>
      <c r="C5648" t="s">
        <v>45</v>
      </c>
      <c r="D5648" t="s">
        <v>18</v>
      </c>
      <c r="E5648" t="s">
        <v>19</v>
      </c>
      <c r="F5648" t="s">
        <v>47</v>
      </c>
      <c r="O5648">
        <v>2053</v>
      </c>
      <c r="P5648">
        <v>9.5120000000000005</v>
      </c>
    </row>
    <row r="5649" spans="1:16" x14ac:dyDescent="0.3">
      <c r="A5649" t="str">
        <f t="shared" si="88"/>
        <v>PA|AccumulatedNewCapacity|RE1|PWRSOLRTP|2053</v>
      </c>
      <c r="B5649" t="s">
        <v>44</v>
      </c>
      <c r="C5649" t="s">
        <v>45</v>
      </c>
      <c r="D5649" t="s">
        <v>18</v>
      </c>
      <c r="E5649" t="s">
        <v>19</v>
      </c>
      <c r="F5649" t="s">
        <v>31</v>
      </c>
      <c r="O5649">
        <v>2053</v>
      </c>
      <c r="P5649">
        <v>127.2035510462904</v>
      </c>
    </row>
    <row r="5650" spans="1:16" x14ac:dyDescent="0.3">
      <c r="A5650" t="str">
        <f t="shared" si="88"/>
        <v>PA|AccumulatedNewCapacity|RE1|PWRSOLRTP_ZNI|2053</v>
      </c>
      <c r="B5650" t="s">
        <v>44</v>
      </c>
      <c r="C5650" t="s">
        <v>45</v>
      </c>
      <c r="D5650" t="s">
        <v>18</v>
      </c>
      <c r="E5650" t="s">
        <v>19</v>
      </c>
      <c r="F5650" t="s">
        <v>32</v>
      </c>
      <c r="O5650">
        <v>2053</v>
      </c>
    </row>
    <row r="5651" spans="1:16" x14ac:dyDescent="0.3">
      <c r="A5651" t="str">
        <f t="shared" si="88"/>
        <v>PA|AccumulatedNewCapacity|RE1|PWRSOLUGE|2053</v>
      </c>
      <c r="B5651" t="s">
        <v>44</v>
      </c>
      <c r="C5651" t="s">
        <v>45</v>
      </c>
      <c r="D5651" t="s">
        <v>18</v>
      </c>
      <c r="E5651" t="s">
        <v>19</v>
      </c>
      <c r="F5651" t="s">
        <v>33</v>
      </c>
      <c r="O5651">
        <v>2053</v>
      </c>
      <c r="P5651">
        <v>143.394192</v>
      </c>
    </row>
    <row r="5652" spans="1:16" x14ac:dyDescent="0.3">
      <c r="A5652" t="str">
        <f t="shared" si="88"/>
        <v>PA|AccumulatedNewCapacity|RE1|PWRSOLUPE|2053</v>
      </c>
      <c r="B5652" t="s">
        <v>44</v>
      </c>
      <c r="C5652" t="s">
        <v>45</v>
      </c>
      <c r="D5652" t="s">
        <v>18</v>
      </c>
      <c r="E5652" t="s">
        <v>19</v>
      </c>
      <c r="F5652" t="s">
        <v>34</v>
      </c>
      <c r="O5652">
        <v>2053</v>
      </c>
    </row>
    <row r="5653" spans="1:16" x14ac:dyDescent="0.3">
      <c r="A5653" t="str">
        <f t="shared" si="88"/>
        <v>PA|AccumulatedNewCapacity|RE1|PWRSTD|2053</v>
      </c>
      <c r="B5653" t="s">
        <v>44</v>
      </c>
      <c r="C5653" t="s">
        <v>45</v>
      </c>
      <c r="D5653" t="s">
        <v>18</v>
      </c>
      <c r="E5653" t="s">
        <v>19</v>
      </c>
      <c r="F5653" t="s">
        <v>35</v>
      </c>
      <c r="O5653">
        <v>2053</v>
      </c>
    </row>
    <row r="5654" spans="1:16" x14ac:dyDescent="0.3">
      <c r="A5654" t="str">
        <f t="shared" si="88"/>
        <v>PA|AccumulatedNewCapacity|RE1|PWRWNDOFS_FIX|2053</v>
      </c>
      <c r="B5654" t="s">
        <v>44</v>
      </c>
      <c r="C5654" t="s">
        <v>45</v>
      </c>
      <c r="D5654" t="s">
        <v>18</v>
      </c>
      <c r="E5654" t="s">
        <v>19</v>
      </c>
      <c r="F5654" t="s">
        <v>42</v>
      </c>
      <c r="O5654">
        <v>2053</v>
      </c>
      <c r="P5654">
        <v>47.303999999999988</v>
      </c>
    </row>
    <row r="5655" spans="1:16" x14ac:dyDescent="0.3">
      <c r="A5655" t="str">
        <f t="shared" si="88"/>
        <v>PA|AccumulatedNewCapacity|RE1|PWRWNDONS|2053</v>
      </c>
      <c r="B5655" t="s">
        <v>44</v>
      </c>
      <c r="C5655" t="s">
        <v>45</v>
      </c>
      <c r="D5655" t="s">
        <v>18</v>
      </c>
      <c r="E5655" t="s">
        <v>19</v>
      </c>
      <c r="F5655" t="s">
        <v>36</v>
      </c>
      <c r="O5655">
        <v>2053</v>
      </c>
      <c r="P5655">
        <v>585.10662025717852</v>
      </c>
    </row>
    <row r="5656" spans="1:16" x14ac:dyDescent="0.3">
      <c r="A5656" t="str">
        <f t="shared" si="88"/>
        <v>PA|NewCapacity|RE1|PWRBGS|2053</v>
      </c>
      <c r="B5656" t="s">
        <v>44</v>
      </c>
      <c r="C5656" t="s">
        <v>45</v>
      </c>
      <c r="D5656" t="s">
        <v>37</v>
      </c>
      <c r="E5656" t="s">
        <v>19</v>
      </c>
      <c r="F5656" t="s">
        <v>20</v>
      </c>
      <c r="O5656">
        <v>2053</v>
      </c>
    </row>
    <row r="5657" spans="1:16" x14ac:dyDescent="0.3">
      <c r="A5657" t="str">
        <f t="shared" si="88"/>
        <v>PA|NewCapacity|RE1|PWRCOA|2053</v>
      </c>
      <c r="B5657" t="s">
        <v>44</v>
      </c>
      <c r="C5657" t="s">
        <v>45</v>
      </c>
      <c r="D5657" t="s">
        <v>37</v>
      </c>
      <c r="E5657" t="s">
        <v>19</v>
      </c>
      <c r="F5657" t="s">
        <v>21</v>
      </c>
      <c r="O5657">
        <v>2053</v>
      </c>
    </row>
    <row r="5658" spans="1:16" x14ac:dyDescent="0.3">
      <c r="A5658" t="str">
        <f t="shared" si="88"/>
        <v>PA|NewCapacity|RE1|PWRDSL|2053</v>
      </c>
      <c r="B5658" t="s">
        <v>44</v>
      </c>
      <c r="C5658" t="s">
        <v>45</v>
      </c>
      <c r="D5658" t="s">
        <v>37</v>
      </c>
      <c r="E5658" t="s">
        <v>19</v>
      </c>
      <c r="F5658" t="s">
        <v>22</v>
      </c>
      <c r="O5658">
        <v>2053</v>
      </c>
    </row>
    <row r="5659" spans="1:16" x14ac:dyDescent="0.3">
      <c r="A5659" t="str">
        <f t="shared" si="88"/>
        <v>PA|NewCapacity|RE1|PWRFOL|2053</v>
      </c>
      <c r="B5659" t="s">
        <v>44</v>
      </c>
      <c r="C5659" t="s">
        <v>45</v>
      </c>
      <c r="D5659" t="s">
        <v>37</v>
      </c>
      <c r="E5659" t="s">
        <v>19</v>
      </c>
      <c r="F5659" t="s">
        <v>23</v>
      </c>
      <c r="O5659">
        <v>2053</v>
      </c>
    </row>
    <row r="5660" spans="1:16" x14ac:dyDescent="0.3">
      <c r="A5660" t="str">
        <f t="shared" si="88"/>
        <v>PA|NewCapacity|RE1|PWRGEO|2053</v>
      </c>
      <c r="B5660" t="s">
        <v>44</v>
      </c>
      <c r="C5660" t="s">
        <v>45</v>
      </c>
      <c r="D5660" t="s">
        <v>37</v>
      </c>
      <c r="E5660" t="s">
        <v>19</v>
      </c>
      <c r="F5660" t="s">
        <v>46</v>
      </c>
      <c r="O5660">
        <v>2053</v>
      </c>
    </row>
    <row r="5661" spans="1:16" x14ac:dyDescent="0.3">
      <c r="A5661" t="str">
        <f t="shared" si="88"/>
        <v>PA|NewCapacity|RE1|PWRHYDDAM|2053</v>
      </c>
      <c r="B5661" t="s">
        <v>44</v>
      </c>
      <c r="C5661" t="s">
        <v>45</v>
      </c>
      <c r="D5661" t="s">
        <v>37</v>
      </c>
      <c r="E5661" t="s">
        <v>19</v>
      </c>
      <c r="F5661" t="s">
        <v>24</v>
      </c>
      <c r="O5661">
        <v>2053</v>
      </c>
    </row>
    <row r="5662" spans="1:16" x14ac:dyDescent="0.3">
      <c r="A5662" t="str">
        <f t="shared" si="88"/>
        <v>PA|NewCapacity|RE1|PWRHYDROR|2053</v>
      </c>
      <c r="B5662" t="s">
        <v>44</v>
      </c>
      <c r="C5662" t="s">
        <v>45</v>
      </c>
      <c r="D5662" t="s">
        <v>37</v>
      </c>
      <c r="E5662" t="s">
        <v>19</v>
      </c>
      <c r="F5662" t="s">
        <v>25</v>
      </c>
      <c r="O5662">
        <v>2053</v>
      </c>
    </row>
    <row r="5663" spans="1:16" x14ac:dyDescent="0.3">
      <c r="A5663" t="str">
        <f t="shared" si="88"/>
        <v>PA|NewCapacity|RE1|PWRHYDROR_NDC|2053</v>
      </c>
      <c r="B5663" t="s">
        <v>44</v>
      </c>
      <c r="C5663" t="s">
        <v>45</v>
      </c>
      <c r="D5663" t="s">
        <v>37</v>
      </c>
      <c r="E5663" t="s">
        <v>19</v>
      </c>
      <c r="F5663" t="s">
        <v>26</v>
      </c>
      <c r="O5663">
        <v>2053</v>
      </c>
    </row>
    <row r="5664" spans="1:16" x14ac:dyDescent="0.3">
      <c r="A5664" t="str">
        <f t="shared" si="88"/>
        <v>PA|NewCapacity|RE1|PWRJET|2053</v>
      </c>
      <c r="B5664" t="s">
        <v>44</v>
      </c>
      <c r="C5664" t="s">
        <v>45</v>
      </c>
      <c r="D5664" t="s">
        <v>37</v>
      </c>
      <c r="E5664" t="s">
        <v>19</v>
      </c>
      <c r="F5664" t="s">
        <v>27</v>
      </c>
      <c r="O5664">
        <v>2053</v>
      </c>
    </row>
    <row r="5665" spans="1:16" x14ac:dyDescent="0.3">
      <c r="A5665" t="str">
        <f t="shared" si="88"/>
        <v>PA|NewCapacity|RE1|PWRLPG|2053</v>
      </c>
      <c r="B5665" t="s">
        <v>44</v>
      </c>
      <c r="C5665" t="s">
        <v>45</v>
      </c>
      <c r="D5665" t="s">
        <v>37</v>
      </c>
      <c r="E5665" t="s">
        <v>19</v>
      </c>
      <c r="F5665" t="s">
        <v>28</v>
      </c>
      <c r="O5665">
        <v>2053</v>
      </c>
    </row>
    <row r="5666" spans="1:16" x14ac:dyDescent="0.3">
      <c r="A5666" t="str">
        <f t="shared" si="88"/>
        <v>PA|NewCapacity|RE1|PWRNGS_CC|2053</v>
      </c>
      <c r="B5666" t="s">
        <v>44</v>
      </c>
      <c r="C5666" t="s">
        <v>45</v>
      </c>
      <c r="D5666" t="s">
        <v>37</v>
      </c>
      <c r="E5666" t="s">
        <v>19</v>
      </c>
      <c r="F5666" t="s">
        <v>29</v>
      </c>
      <c r="O5666">
        <v>2053</v>
      </c>
    </row>
    <row r="5667" spans="1:16" x14ac:dyDescent="0.3">
      <c r="A5667" t="str">
        <f t="shared" si="88"/>
        <v>PA|NewCapacity|RE1|PWRNGS_CS|2053</v>
      </c>
      <c r="B5667" t="s">
        <v>44</v>
      </c>
      <c r="C5667" t="s">
        <v>45</v>
      </c>
      <c r="D5667" t="s">
        <v>37</v>
      </c>
      <c r="E5667" t="s">
        <v>19</v>
      </c>
      <c r="F5667" t="s">
        <v>30</v>
      </c>
      <c r="O5667">
        <v>2053</v>
      </c>
    </row>
    <row r="5668" spans="1:16" x14ac:dyDescent="0.3">
      <c r="A5668" t="str">
        <f t="shared" si="88"/>
        <v>PA|NewCapacity|RE1|PWRNUC|2053</v>
      </c>
      <c r="B5668" t="s">
        <v>44</v>
      </c>
      <c r="C5668" t="s">
        <v>45</v>
      </c>
      <c r="D5668" t="s">
        <v>37</v>
      </c>
      <c r="E5668" t="s">
        <v>19</v>
      </c>
      <c r="F5668" t="s">
        <v>47</v>
      </c>
      <c r="O5668">
        <v>2053</v>
      </c>
    </row>
    <row r="5669" spans="1:16" x14ac:dyDescent="0.3">
      <c r="A5669" t="str">
        <f t="shared" si="88"/>
        <v>PA|NewCapacity|RE1|PWRSOLRTP|2053</v>
      </c>
      <c r="B5669" t="s">
        <v>44</v>
      </c>
      <c r="C5669" t="s">
        <v>45</v>
      </c>
      <c r="D5669" t="s">
        <v>37</v>
      </c>
      <c r="E5669" t="s">
        <v>19</v>
      </c>
      <c r="F5669" t="s">
        <v>31</v>
      </c>
      <c r="O5669">
        <v>2053</v>
      </c>
      <c r="P5669">
        <v>1.902346227013316</v>
      </c>
    </row>
    <row r="5670" spans="1:16" x14ac:dyDescent="0.3">
      <c r="A5670" t="str">
        <f t="shared" si="88"/>
        <v>PA|NewCapacity|RE1|PWRSOLRTP_ZNI|2053</v>
      </c>
      <c r="B5670" t="s">
        <v>44</v>
      </c>
      <c r="C5670" t="s">
        <v>45</v>
      </c>
      <c r="D5670" t="s">
        <v>37</v>
      </c>
      <c r="E5670" t="s">
        <v>19</v>
      </c>
      <c r="F5670" t="s">
        <v>32</v>
      </c>
      <c r="O5670">
        <v>2053</v>
      </c>
    </row>
    <row r="5671" spans="1:16" x14ac:dyDescent="0.3">
      <c r="A5671" t="str">
        <f t="shared" si="88"/>
        <v>PA|NewCapacity|RE1|PWRSOLUGE|2053</v>
      </c>
      <c r="B5671" t="s">
        <v>44</v>
      </c>
      <c r="C5671" t="s">
        <v>45</v>
      </c>
      <c r="D5671" t="s">
        <v>37</v>
      </c>
      <c r="E5671" t="s">
        <v>19</v>
      </c>
      <c r="F5671" t="s">
        <v>33</v>
      </c>
      <c r="O5671">
        <v>2053</v>
      </c>
    </row>
    <row r="5672" spans="1:16" x14ac:dyDescent="0.3">
      <c r="A5672" t="str">
        <f t="shared" si="88"/>
        <v>PA|NewCapacity|RE1|PWRSOLUPE|2053</v>
      </c>
      <c r="B5672" t="s">
        <v>44</v>
      </c>
      <c r="C5672" t="s">
        <v>45</v>
      </c>
      <c r="D5672" t="s">
        <v>37</v>
      </c>
      <c r="E5672" t="s">
        <v>19</v>
      </c>
      <c r="F5672" t="s">
        <v>34</v>
      </c>
      <c r="O5672">
        <v>2053</v>
      </c>
    </row>
    <row r="5673" spans="1:16" x14ac:dyDescent="0.3">
      <c r="A5673" t="str">
        <f t="shared" si="88"/>
        <v>PA|NewCapacity|RE1|PWRSTD|2053</v>
      </c>
      <c r="B5673" t="s">
        <v>44</v>
      </c>
      <c r="C5673" t="s">
        <v>45</v>
      </c>
      <c r="D5673" t="s">
        <v>37</v>
      </c>
      <c r="E5673" t="s">
        <v>19</v>
      </c>
      <c r="F5673" t="s">
        <v>35</v>
      </c>
      <c r="O5673">
        <v>2053</v>
      </c>
    </row>
    <row r="5674" spans="1:16" x14ac:dyDescent="0.3">
      <c r="A5674" t="str">
        <f t="shared" si="88"/>
        <v>PA|NewCapacity|RE1|PWRWNDOFS_FIX|2053</v>
      </c>
      <c r="B5674" t="s">
        <v>44</v>
      </c>
      <c r="C5674" t="s">
        <v>45</v>
      </c>
      <c r="D5674" t="s">
        <v>37</v>
      </c>
      <c r="E5674" t="s">
        <v>19</v>
      </c>
      <c r="F5674" t="s">
        <v>42</v>
      </c>
      <c r="O5674">
        <v>2053</v>
      </c>
    </row>
    <row r="5675" spans="1:16" x14ac:dyDescent="0.3">
      <c r="A5675" t="str">
        <f t="shared" si="88"/>
        <v>PA|NewCapacity|RE1|PWRWNDONS|2053</v>
      </c>
      <c r="B5675" t="s">
        <v>44</v>
      </c>
      <c r="C5675" t="s">
        <v>45</v>
      </c>
      <c r="D5675" t="s">
        <v>37</v>
      </c>
      <c r="E5675" t="s">
        <v>19</v>
      </c>
      <c r="F5675" t="s">
        <v>36</v>
      </c>
      <c r="O5675">
        <v>2053</v>
      </c>
      <c r="P5675">
        <v>47.31</v>
      </c>
    </row>
    <row r="5676" spans="1:16" x14ac:dyDescent="0.3">
      <c r="A5676" t="str">
        <f t="shared" si="88"/>
        <v>PA|TotalCapacityAnnual|RE1|PWRBGS|2053</v>
      </c>
      <c r="B5676" t="s">
        <v>44</v>
      </c>
      <c r="C5676" t="s">
        <v>45</v>
      </c>
      <c r="D5676" t="s">
        <v>38</v>
      </c>
      <c r="E5676" t="s">
        <v>19</v>
      </c>
      <c r="F5676" t="s">
        <v>20</v>
      </c>
      <c r="O5676">
        <v>2053</v>
      </c>
      <c r="P5676">
        <v>2.5488587520000001E-2</v>
      </c>
    </row>
    <row r="5677" spans="1:16" x14ac:dyDescent="0.3">
      <c r="A5677" t="str">
        <f t="shared" si="88"/>
        <v>PA|TotalCapacityAnnual|RE1|PWRCOA|2053</v>
      </c>
      <c r="B5677" t="s">
        <v>44</v>
      </c>
      <c r="C5677" t="s">
        <v>45</v>
      </c>
      <c r="D5677" t="s">
        <v>38</v>
      </c>
      <c r="E5677" t="s">
        <v>19</v>
      </c>
      <c r="F5677" t="s">
        <v>21</v>
      </c>
      <c r="O5677">
        <v>2053</v>
      </c>
    </row>
    <row r="5678" spans="1:16" x14ac:dyDescent="0.3">
      <c r="A5678" t="str">
        <f t="shared" si="88"/>
        <v>PA|TotalCapacityAnnual|RE1|PWRDSL|2053</v>
      </c>
      <c r="B5678" t="s">
        <v>44</v>
      </c>
      <c r="C5678" t="s">
        <v>45</v>
      </c>
      <c r="D5678" t="s">
        <v>38</v>
      </c>
      <c r="E5678" t="s">
        <v>19</v>
      </c>
      <c r="F5678" t="s">
        <v>22</v>
      </c>
      <c r="O5678">
        <v>2053</v>
      </c>
      <c r="P5678">
        <v>24.944976</v>
      </c>
    </row>
    <row r="5679" spans="1:16" x14ac:dyDescent="0.3">
      <c r="A5679" t="str">
        <f t="shared" si="88"/>
        <v>PA|TotalCapacityAnnual|RE1|PWRFOL|2053</v>
      </c>
      <c r="B5679" t="s">
        <v>44</v>
      </c>
      <c r="C5679" t="s">
        <v>45</v>
      </c>
      <c r="D5679" t="s">
        <v>38</v>
      </c>
      <c r="E5679" t="s">
        <v>19</v>
      </c>
      <c r="F5679" t="s">
        <v>23</v>
      </c>
      <c r="O5679">
        <v>2053</v>
      </c>
      <c r="P5679">
        <v>8.3885759999999987</v>
      </c>
    </row>
    <row r="5680" spans="1:16" x14ac:dyDescent="0.3">
      <c r="A5680" t="str">
        <f t="shared" si="88"/>
        <v>PA|TotalCapacityAnnual|RE1|PWRGEO|2053</v>
      </c>
      <c r="B5680" t="s">
        <v>44</v>
      </c>
      <c r="C5680" t="s">
        <v>45</v>
      </c>
      <c r="D5680" t="s">
        <v>38</v>
      </c>
      <c r="E5680" t="s">
        <v>19</v>
      </c>
      <c r="F5680" t="s">
        <v>46</v>
      </c>
      <c r="O5680">
        <v>2053</v>
      </c>
      <c r="P5680">
        <v>31.54</v>
      </c>
    </row>
    <row r="5681" spans="1:16" x14ac:dyDescent="0.3">
      <c r="A5681" t="str">
        <f t="shared" si="88"/>
        <v>PA|TotalCapacityAnnual|RE1|PWRHYDDAM|2053</v>
      </c>
      <c r="B5681" t="s">
        <v>44</v>
      </c>
      <c r="C5681" t="s">
        <v>45</v>
      </c>
      <c r="D5681" t="s">
        <v>38</v>
      </c>
      <c r="E5681" t="s">
        <v>19</v>
      </c>
      <c r="F5681" t="s">
        <v>24</v>
      </c>
      <c r="O5681">
        <v>2053</v>
      </c>
      <c r="P5681">
        <v>440.49164800000011</v>
      </c>
    </row>
    <row r="5682" spans="1:16" x14ac:dyDescent="0.3">
      <c r="A5682" t="str">
        <f t="shared" si="88"/>
        <v>PA|TotalCapacityAnnual|RE1|PWRHYDROR|2053</v>
      </c>
      <c r="B5682" t="s">
        <v>44</v>
      </c>
      <c r="C5682" t="s">
        <v>45</v>
      </c>
      <c r="D5682" t="s">
        <v>38</v>
      </c>
      <c r="E5682" t="s">
        <v>19</v>
      </c>
      <c r="F5682" t="s">
        <v>25</v>
      </c>
      <c r="O5682">
        <v>2053</v>
      </c>
      <c r="P5682">
        <v>21.097584000000001</v>
      </c>
    </row>
    <row r="5683" spans="1:16" x14ac:dyDescent="0.3">
      <c r="A5683" t="str">
        <f t="shared" si="88"/>
        <v>PA|TotalCapacityAnnual|RE1|PWRHYDROR_NDC|2053</v>
      </c>
      <c r="B5683" t="s">
        <v>44</v>
      </c>
      <c r="C5683" t="s">
        <v>45</v>
      </c>
      <c r="D5683" t="s">
        <v>38</v>
      </c>
      <c r="E5683" t="s">
        <v>19</v>
      </c>
      <c r="F5683" t="s">
        <v>26</v>
      </c>
      <c r="O5683">
        <v>2053</v>
      </c>
      <c r="P5683">
        <v>29.725108271999989</v>
      </c>
    </row>
    <row r="5684" spans="1:16" x14ac:dyDescent="0.3">
      <c r="A5684" t="str">
        <f t="shared" si="88"/>
        <v>PA|TotalCapacityAnnual|RE1|PWRJET|2053</v>
      </c>
      <c r="B5684" t="s">
        <v>44</v>
      </c>
      <c r="C5684" t="s">
        <v>45</v>
      </c>
      <c r="D5684" t="s">
        <v>38</v>
      </c>
      <c r="E5684" t="s">
        <v>19</v>
      </c>
      <c r="F5684" t="s">
        <v>27</v>
      </c>
      <c r="O5684">
        <v>2053</v>
      </c>
      <c r="P5684">
        <v>1.5768</v>
      </c>
    </row>
    <row r="5685" spans="1:16" x14ac:dyDescent="0.3">
      <c r="A5685" t="str">
        <f t="shared" si="88"/>
        <v>PA|TotalCapacityAnnual|RE1|PWRLPG|2053</v>
      </c>
      <c r="B5685" t="s">
        <v>44</v>
      </c>
      <c r="C5685" t="s">
        <v>45</v>
      </c>
      <c r="D5685" t="s">
        <v>38</v>
      </c>
      <c r="E5685" t="s">
        <v>19</v>
      </c>
      <c r="F5685" t="s">
        <v>28</v>
      </c>
      <c r="O5685">
        <v>2053</v>
      </c>
      <c r="P5685">
        <v>1.639872</v>
      </c>
    </row>
    <row r="5686" spans="1:16" x14ac:dyDescent="0.3">
      <c r="A5686" t="str">
        <f t="shared" si="88"/>
        <v>PA|TotalCapacityAnnual|RE1|PWRNGS_CC|2053</v>
      </c>
      <c r="B5686" t="s">
        <v>44</v>
      </c>
      <c r="C5686" t="s">
        <v>45</v>
      </c>
      <c r="D5686" t="s">
        <v>38</v>
      </c>
      <c r="E5686" t="s">
        <v>19</v>
      </c>
      <c r="F5686" t="s">
        <v>29</v>
      </c>
      <c r="O5686">
        <v>2053</v>
      </c>
      <c r="P5686">
        <v>70.104500000000002</v>
      </c>
    </row>
    <row r="5687" spans="1:16" x14ac:dyDescent="0.3">
      <c r="A5687" t="str">
        <f t="shared" si="88"/>
        <v>PA|TotalCapacityAnnual|RE1|PWRNGS_CS|2053</v>
      </c>
      <c r="B5687" t="s">
        <v>44</v>
      </c>
      <c r="C5687" t="s">
        <v>45</v>
      </c>
      <c r="D5687" t="s">
        <v>38</v>
      </c>
      <c r="E5687" t="s">
        <v>19</v>
      </c>
      <c r="F5687" t="s">
        <v>30</v>
      </c>
      <c r="O5687">
        <v>2053</v>
      </c>
      <c r="P5687">
        <v>23.084351999999999</v>
      </c>
    </row>
    <row r="5688" spans="1:16" x14ac:dyDescent="0.3">
      <c r="A5688" t="str">
        <f t="shared" si="88"/>
        <v>PA|TotalCapacityAnnual|RE1|PWRNUC|2053</v>
      </c>
      <c r="B5688" t="s">
        <v>44</v>
      </c>
      <c r="C5688" t="s">
        <v>45</v>
      </c>
      <c r="D5688" t="s">
        <v>38</v>
      </c>
      <c r="E5688" t="s">
        <v>19</v>
      </c>
      <c r="F5688" t="s">
        <v>47</v>
      </c>
      <c r="O5688">
        <v>2053</v>
      </c>
      <c r="P5688">
        <v>9.5120000000000005</v>
      </c>
    </row>
    <row r="5689" spans="1:16" x14ac:dyDescent="0.3">
      <c r="A5689" t="str">
        <f t="shared" si="88"/>
        <v>PA|TotalCapacityAnnual|RE1|PWRSOLRTP|2053</v>
      </c>
      <c r="B5689" t="s">
        <v>44</v>
      </c>
      <c r="C5689" t="s">
        <v>45</v>
      </c>
      <c r="D5689" t="s">
        <v>38</v>
      </c>
      <c r="E5689" t="s">
        <v>19</v>
      </c>
      <c r="F5689" t="s">
        <v>31</v>
      </c>
      <c r="O5689">
        <v>2053</v>
      </c>
      <c r="P5689">
        <v>127.2035510462904</v>
      </c>
    </row>
    <row r="5690" spans="1:16" x14ac:dyDescent="0.3">
      <c r="A5690" t="str">
        <f t="shared" si="88"/>
        <v>PA|TotalCapacityAnnual|RE1|PWRSOLRTP_ZNI|2053</v>
      </c>
      <c r="B5690" t="s">
        <v>44</v>
      </c>
      <c r="C5690" t="s">
        <v>45</v>
      </c>
      <c r="D5690" t="s">
        <v>38</v>
      </c>
      <c r="E5690" t="s">
        <v>19</v>
      </c>
      <c r="F5690" t="s">
        <v>32</v>
      </c>
      <c r="O5690">
        <v>2053</v>
      </c>
      <c r="P5690">
        <v>0.46074095999999998</v>
      </c>
    </row>
    <row r="5691" spans="1:16" x14ac:dyDescent="0.3">
      <c r="A5691" t="str">
        <f t="shared" si="88"/>
        <v>PA|TotalCapacityAnnual|RE1|PWRSOLUGE|2053</v>
      </c>
      <c r="B5691" t="s">
        <v>44</v>
      </c>
      <c r="C5691" t="s">
        <v>45</v>
      </c>
      <c r="D5691" t="s">
        <v>38</v>
      </c>
      <c r="E5691" t="s">
        <v>19</v>
      </c>
      <c r="F5691" t="s">
        <v>33</v>
      </c>
      <c r="O5691">
        <v>2053</v>
      </c>
      <c r="P5691">
        <v>191.79189199999999</v>
      </c>
    </row>
    <row r="5692" spans="1:16" x14ac:dyDescent="0.3">
      <c r="A5692" t="str">
        <f t="shared" si="88"/>
        <v>PA|TotalCapacityAnnual|RE1|PWRSOLUPE|2053</v>
      </c>
      <c r="B5692" t="s">
        <v>44</v>
      </c>
      <c r="C5692" t="s">
        <v>45</v>
      </c>
      <c r="D5692" t="s">
        <v>38</v>
      </c>
      <c r="E5692" t="s">
        <v>19</v>
      </c>
      <c r="F5692" t="s">
        <v>34</v>
      </c>
      <c r="O5692">
        <v>2053</v>
      </c>
    </row>
    <row r="5693" spans="1:16" x14ac:dyDescent="0.3">
      <c r="A5693" t="str">
        <f t="shared" si="88"/>
        <v>PA|TotalCapacityAnnual|RE1|PWRSTD|2053</v>
      </c>
      <c r="B5693" t="s">
        <v>44</v>
      </c>
      <c r="C5693" t="s">
        <v>45</v>
      </c>
      <c r="D5693" t="s">
        <v>38</v>
      </c>
      <c r="E5693" t="s">
        <v>19</v>
      </c>
      <c r="F5693" t="s">
        <v>35</v>
      </c>
      <c r="O5693">
        <v>2053</v>
      </c>
      <c r="P5693">
        <v>8.163062064</v>
      </c>
    </row>
    <row r="5694" spans="1:16" x14ac:dyDescent="0.3">
      <c r="A5694" t="str">
        <f t="shared" si="88"/>
        <v>PA|TotalCapacityAnnual|RE1|PWRWNDOFS_FIX|2053</v>
      </c>
      <c r="B5694" t="s">
        <v>44</v>
      </c>
      <c r="C5694" t="s">
        <v>45</v>
      </c>
      <c r="D5694" t="s">
        <v>38</v>
      </c>
      <c r="E5694" t="s">
        <v>19</v>
      </c>
      <c r="F5694" t="s">
        <v>42</v>
      </c>
      <c r="O5694">
        <v>2053</v>
      </c>
      <c r="P5694">
        <v>47.303999999999988</v>
      </c>
    </row>
    <row r="5695" spans="1:16" x14ac:dyDescent="0.3">
      <c r="A5695" t="str">
        <f t="shared" si="88"/>
        <v>PA|TotalCapacityAnnual|RE1|PWRWNDONS|2053</v>
      </c>
      <c r="B5695" t="s">
        <v>44</v>
      </c>
      <c r="C5695" t="s">
        <v>45</v>
      </c>
      <c r="D5695" t="s">
        <v>38</v>
      </c>
      <c r="E5695" t="s">
        <v>19</v>
      </c>
      <c r="F5695" t="s">
        <v>36</v>
      </c>
      <c r="O5695">
        <v>2053</v>
      </c>
      <c r="P5695">
        <v>586.47528265717847</v>
      </c>
    </row>
    <row r="5696" spans="1:16" x14ac:dyDescent="0.3">
      <c r="A5696" t="str">
        <f t="shared" si="88"/>
        <v>PA|AccumulatedNewCapacity|RE1|PWRBGS|2054</v>
      </c>
      <c r="B5696" t="s">
        <v>44</v>
      </c>
      <c r="C5696" t="s">
        <v>45</v>
      </c>
      <c r="D5696" t="s">
        <v>18</v>
      </c>
      <c r="E5696" t="s">
        <v>19</v>
      </c>
      <c r="F5696" t="s">
        <v>20</v>
      </c>
      <c r="O5696">
        <v>2054</v>
      </c>
    </row>
    <row r="5697" spans="1:16" x14ac:dyDescent="0.3">
      <c r="A5697" t="str">
        <f t="shared" si="88"/>
        <v>PA|AccumulatedNewCapacity|RE1|PWRCOA|2054</v>
      </c>
      <c r="B5697" t="s">
        <v>44</v>
      </c>
      <c r="C5697" t="s">
        <v>45</v>
      </c>
      <c r="D5697" t="s">
        <v>18</v>
      </c>
      <c r="E5697" t="s">
        <v>19</v>
      </c>
      <c r="F5697" t="s">
        <v>21</v>
      </c>
      <c r="O5697">
        <v>2054</v>
      </c>
    </row>
    <row r="5698" spans="1:16" x14ac:dyDescent="0.3">
      <c r="A5698" t="str">
        <f t="shared" ref="A5698:A5761" si="89">B5698&amp;"|"&amp;D5698&amp;"|"&amp;E5698&amp;"|"&amp;F5698&amp;"|"&amp;O5698</f>
        <v>PA|AccumulatedNewCapacity|RE1|PWRDSL|2054</v>
      </c>
      <c r="B5698" t="s">
        <v>44</v>
      </c>
      <c r="C5698" t="s">
        <v>45</v>
      </c>
      <c r="D5698" t="s">
        <v>18</v>
      </c>
      <c r="E5698" t="s">
        <v>19</v>
      </c>
      <c r="F5698" t="s">
        <v>22</v>
      </c>
      <c r="O5698">
        <v>2054</v>
      </c>
    </row>
    <row r="5699" spans="1:16" x14ac:dyDescent="0.3">
      <c r="A5699" t="str">
        <f t="shared" si="89"/>
        <v>PA|AccumulatedNewCapacity|RE1|PWRFOL|2054</v>
      </c>
      <c r="B5699" t="s">
        <v>44</v>
      </c>
      <c r="C5699" t="s">
        <v>45</v>
      </c>
      <c r="D5699" t="s">
        <v>18</v>
      </c>
      <c r="E5699" t="s">
        <v>19</v>
      </c>
      <c r="F5699" t="s">
        <v>23</v>
      </c>
      <c r="O5699">
        <v>2054</v>
      </c>
    </row>
    <row r="5700" spans="1:16" x14ac:dyDescent="0.3">
      <c r="A5700" t="str">
        <f t="shared" si="89"/>
        <v>PA|AccumulatedNewCapacity|RE1|PWRGEO|2054</v>
      </c>
      <c r="B5700" t="s">
        <v>44</v>
      </c>
      <c r="C5700" t="s">
        <v>45</v>
      </c>
      <c r="D5700" t="s">
        <v>18</v>
      </c>
      <c r="E5700" t="s">
        <v>19</v>
      </c>
      <c r="F5700" t="s">
        <v>46</v>
      </c>
      <c r="O5700">
        <v>2054</v>
      </c>
      <c r="P5700">
        <v>31.54</v>
      </c>
    </row>
    <row r="5701" spans="1:16" x14ac:dyDescent="0.3">
      <c r="A5701" t="str">
        <f t="shared" si="89"/>
        <v>PA|AccumulatedNewCapacity|RE1|PWRHYDDAM|2054</v>
      </c>
      <c r="B5701" t="s">
        <v>44</v>
      </c>
      <c r="C5701" t="s">
        <v>45</v>
      </c>
      <c r="D5701" t="s">
        <v>18</v>
      </c>
      <c r="E5701" t="s">
        <v>19</v>
      </c>
      <c r="F5701" t="s">
        <v>24</v>
      </c>
      <c r="O5701">
        <v>2054</v>
      </c>
      <c r="P5701">
        <v>37.840000000000003</v>
      </c>
    </row>
    <row r="5702" spans="1:16" x14ac:dyDescent="0.3">
      <c r="A5702" t="str">
        <f t="shared" si="89"/>
        <v>PA|AccumulatedNewCapacity|RE1|PWRHYDROR|2054</v>
      </c>
      <c r="B5702" t="s">
        <v>44</v>
      </c>
      <c r="C5702" t="s">
        <v>45</v>
      </c>
      <c r="D5702" t="s">
        <v>18</v>
      </c>
      <c r="E5702" t="s">
        <v>19</v>
      </c>
      <c r="F5702" t="s">
        <v>25</v>
      </c>
      <c r="O5702">
        <v>2054</v>
      </c>
    </row>
    <row r="5703" spans="1:16" x14ac:dyDescent="0.3">
      <c r="A5703" t="str">
        <f t="shared" si="89"/>
        <v>PA|AccumulatedNewCapacity|RE1|PWRHYDROR_NDC|2054</v>
      </c>
      <c r="B5703" t="s">
        <v>44</v>
      </c>
      <c r="C5703" t="s">
        <v>45</v>
      </c>
      <c r="D5703" t="s">
        <v>18</v>
      </c>
      <c r="E5703" t="s">
        <v>19</v>
      </c>
      <c r="F5703" t="s">
        <v>26</v>
      </c>
      <c r="O5703">
        <v>2054</v>
      </c>
    </row>
    <row r="5704" spans="1:16" x14ac:dyDescent="0.3">
      <c r="A5704" t="str">
        <f t="shared" si="89"/>
        <v>PA|AccumulatedNewCapacity|RE1|PWRJET|2054</v>
      </c>
      <c r="B5704" t="s">
        <v>44</v>
      </c>
      <c r="C5704" t="s">
        <v>45</v>
      </c>
      <c r="D5704" t="s">
        <v>18</v>
      </c>
      <c r="E5704" t="s">
        <v>19</v>
      </c>
      <c r="F5704" t="s">
        <v>27</v>
      </c>
      <c r="O5704">
        <v>2054</v>
      </c>
    </row>
    <row r="5705" spans="1:16" x14ac:dyDescent="0.3">
      <c r="A5705" t="str">
        <f t="shared" si="89"/>
        <v>PA|AccumulatedNewCapacity|RE1|PWRLPG|2054</v>
      </c>
      <c r="B5705" t="s">
        <v>44</v>
      </c>
      <c r="C5705" t="s">
        <v>45</v>
      </c>
      <c r="D5705" t="s">
        <v>18</v>
      </c>
      <c r="E5705" t="s">
        <v>19</v>
      </c>
      <c r="F5705" t="s">
        <v>28</v>
      </c>
      <c r="O5705">
        <v>2054</v>
      </c>
    </row>
    <row r="5706" spans="1:16" x14ac:dyDescent="0.3">
      <c r="A5706" t="str">
        <f t="shared" si="89"/>
        <v>PA|AccumulatedNewCapacity|RE1|PWRNGS_CC|2054</v>
      </c>
      <c r="B5706" t="s">
        <v>44</v>
      </c>
      <c r="C5706" t="s">
        <v>45</v>
      </c>
      <c r="D5706" t="s">
        <v>18</v>
      </c>
      <c r="E5706" t="s">
        <v>19</v>
      </c>
      <c r="F5706" t="s">
        <v>29</v>
      </c>
      <c r="O5706">
        <v>2054</v>
      </c>
    </row>
    <row r="5707" spans="1:16" x14ac:dyDescent="0.3">
      <c r="A5707" t="str">
        <f t="shared" si="89"/>
        <v>PA|AccumulatedNewCapacity|RE1|PWRNGS_CS|2054</v>
      </c>
      <c r="B5707" t="s">
        <v>44</v>
      </c>
      <c r="C5707" t="s">
        <v>45</v>
      </c>
      <c r="D5707" t="s">
        <v>18</v>
      </c>
      <c r="E5707" t="s">
        <v>19</v>
      </c>
      <c r="F5707" t="s">
        <v>30</v>
      </c>
      <c r="O5707">
        <v>2054</v>
      </c>
    </row>
    <row r="5708" spans="1:16" x14ac:dyDescent="0.3">
      <c r="A5708" t="str">
        <f t="shared" si="89"/>
        <v>PA|AccumulatedNewCapacity|RE1|PWRNUC|2054</v>
      </c>
      <c r="B5708" t="s">
        <v>44</v>
      </c>
      <c r="C5708" t="s">
        <v>45</v>
      </c>
      <c r="D5708" t="s">
        <v>18</v>
      </c>
      <c r="E5708" t="s">
        <v>19</v>
      </c>
      <c r="F5708" t="s">
        <v>47</v>
      </c>
      <c r="O5708">
        <v>2054</v>
      </c>
      <c r="P5708">
        <v>9.5120000000000005</v>
      </c>
    </row>
    <row r="5709" spans="1:16" x14ac:dyDescent="0.3">
      <c r="A5709" t="str">
        <f t="shared" si="89"/>
        <v>PA|AccumulatedNewCapacity|RE1|PWRSOLRTP|2054</v>
      </c>
      <c r="B5709" t="s">
        <v>44</v>
      </c>
      <c r="C5709" t="s">
        <v>45</v>
      </c>
      <c r="D5709" t="s">
        <v>18</v>
      </c>
      <c r="E5709" t="s">
        <v>19</v>
      </c>
      <c r="F5709" t="s">
        <v>31</v>
      </c>
      <c r="O5709">
        <v>2054</v>
      </c>
      <c r="P5709">
        <v>114.83830057070379</v>
      </c>
    </row>
    <row r="5710" spans="1:16" x14ac:dyDescent="0.3">
      <c r="A5710" t="str">
        <f t="shared" si="89"/>
        <v>PA|AccumulatedNewCapacity|RE1|PWRSOLRTP_ZNI|2054</v>
      </c>
      <c r="B5710" t="s">
        <v>44</v>
      </c>
      <c r="C5710" t="s">
        <v>45</v>
      </c>
      <c r="D5710" t="s">
        <v>18</v>
      </c>
      <c r="E5710" t="s">
        <v>19</v>
      </c>
      <c r="F5710" t="s">
        <v>32</v>
      </c>
      <c r="O5710">
        <v>2054</v>
      </c>
    </row>
    <row r="5711" spans="1:16" x14ac:dyDescent="0.3">
      <c r="A5711" t="str">
        <f t="shared" si="89"/>
        <v>PA|AccumulatedNewCapacity|RE1|PWRSOLUGE|2054</v>
      </c>
      <c r="B5711" t="s">
        <v>44</v>
      </c>
      <c r="C5711" t="s">
        <v>45</v>
      </c>
      <c r="D5711" t="s">
        <v>18</v>
      </c>
      <c r="E5711" t="s">
        <v>19</v>
      </c>
      <c r="F5711" t="s">
        <v>33</v>
      </c>
      <c r="O5711">
        <v>2054</v>
      </c>
      <c r="P5711">
        <v>143.394192</v>
      </c>
    </row>
    <row r="5712" spans="1:16" x14ac:dyDescent="0.3">
      <c r="A5712" t="str">
        <f t="shared" si="89"/>
        <v>PA|AccumulatedNewCapacity|RE1|PWRSOLUPE|2054</v>
      </c>
      <c r="B5712" t="s">
        <v>44</v>
      </c>
      <c r="C5712" t="s">
        <v>45</v>
      </c>
      <c r="D5712" t="s">
        <v>18</v>
      </c>
      <c r="E5712" t="s">
        <v>19</v>
      </c>
      <c r="F5712" t="s">
        <v>34</v>
      </c>
      <c r="O5712">
        <v>2054</v>
      </c>
    </row>
    <row r="5713" spans="1:16" x14ac:dyDescent="0.3">
      <c r="A5713" t="str">
        <f t="shared" si="89"/>
        <v>PA|AccumulatedNewCapacity|RE1|PWRSTD|2054</v>
      </c>
      <c r="B5713" t="s">
        <v>44</v>
      </c>
      <c r="C5713" t="s">
        <v>45</v>
      </c>
      <c r="D5713" t="s">
        <v>18</v>
      </c>
      <c r="E5713" t="s">
        <v>19</v>
      </c>
      <c r="F5713" t="s">
        <v>35</v>
      </c>
      <c r="O5713">
        <v>2054</v>
      </c>
    </row>
    <row r="5714" spans="1:16" x14ac:dyDescent="0.3">
      <c r="A5714" t="str">
        <f t="shared" si="89"/>
        <v>PA|AccumulatedNewCapacity|RE1|PWRWNDOFS_FIX|2054</v>
      </c>
      <c r="B5714" t="s">
        <v>44</v>
      </c>
      <c r="C5714" t="s">
        <v>45</v>
      </c>
      <c r="D5714" t="s">
        <v>18</v>
      </c>
      <c r="E5714" t="s">
        <v>19</v>
      </c>
      <c r="F5714" t="s">
        <v>42</v>
      </c>
      <c r="O5714">
        <v>2054</v>
      </c>
      <c r="P5714">
        <v>47.303999999999988</v>
      </c>
    </row>
    <row r="5715" spans="1:16" x14ac:dyDescent="0.3">
      <c r="A5715" t="str">
        <f t="shared" si="89"/>
        <v>PA|AccumulatedNewCapacity|RE1|PWRWNDONS|2054</v>
      </c>
      <c r="B5715" t="s">
        <v>44</v>
      </c>
      <c r="C5715" t="s">
        <v>45</v>
      </c>
      <c r="D5715" t="s">
        <v>18</v>
      </c>
      <c r="E5715" t="s">
        <v>19</v>
      </c>
      <c r="F5715" t="s">
        <v>36</v>
      </c>
      <c r="O5715">
        <v>2054</v>
      </c>
      <c r="P5715">
        <v>632.41662025717847</v>
      </c>
    </row>
    <row r="5716" spans="1:16" x14ac:dyDescent="0.3">
      <c r="A5716" t="str">
        <f t="shared" si="89"/>
        <v>PA|NewCapacity|RE1|PWRBGS|2054</v>
      </c>
      <c r="B5716" t="s">
        <v>44</v>
      </c>
      <c r="C5716" t="s">
        <v>45</v>
      </c>
      <c r="D5716" t="s">
        <v>37</v>
      </c>
      <c r="E5716" t="s">
        <v>19</v>
      </c>
      <c r="F5716" t="s">
        <v>20</v>
      </c>
      <c r="O5716">
        <v>2054</v>
      </c>
    </row>
    <row r="5717" spans="1:16" x14ac:dyDescent="0.3">
      <c r="A5717" t="str">
        <f t="shared" si="89"/>
        <v>PA|NewCapacity|RE1|PWRCOA|2054</v>
      </c>
      <c r="B5717" t="s">
        <v>44</v>
      </c>
      <c r="C5717" t="s">
        <v>45</v>
      </c>
      <c r="D5717" t="s">
        <v>37</v>
      </c>
      <c r="E5717" t="s">
        <v>19</v>
      </c>
      <c r="F5717" t="s">
        <v>21</v>
      </c>
      <c r="O5717">
        <v>2054</v>
      </c>
    </row>
    <row r="5718" spans="1:16" x14ac:dyDescent="0.3">
      <c r="A5718" t="str">
        <f t="shared" si="89"/>
        <v>PA|NewCapacity|RE1|PWRDSL|2054</v>
      </c>
      <c r="B5718" t="s">
        <v>44</v>
      </c>
      <c r="C5718" t="s">
        <v>45</v>
      </c>
      <c r="D5718" t="s">
        <v>37</v>
      </c>
      <c r="E5718" t="s">
        <v>19</v>
      </c>
      <c r="F5718" t="s">
        <v>22</v>
      </c>
      <c r="O5718">
        <v>2054</v>
      </c>
    </row>
    <row r="5719" spans="1:16" x14ac:dyDescent="0.3">
      <c r="A5719" t="str">
        <f t="shared" si="89"/>
        <v>PA|NewCapacity|RE1|PWRFOL|2054</v>
      </c>
      <c r="B5719" t="s">
        <v>44</v>
      </c>
      <c r="C5719" t="s">
        <v>45</v>
      </c>
      <c r="D5719" t="s">
        <v>37</v>
      </c>
      <c r="E5719" t="s">
        <v>19</v>
      </c>
      <c r="F5719" t="s">
        <v>23</v>
      </c>
      <c r="O5719">
        <v>2054</v>
      </c>
    </row>
    <row r="5720" spans="1:16" x14ac:dyDescent="0.3">
      <c r="A5720" t="str">
        <f t="shared" si="89"/>
        <v>PA|NewCapacity|RE1|PWRGEO|2054</v>
      </c>
      <c r="B5720" t="s">
        <v>44</v>
      </c>
      <c r="C5720" t="s">
        <v>45</v>
      </c>
      <c r="D5720" t="s">
        <v>37</v>
      </c>
      <c r="E5720" t="s">
        <v>19</v>
      </c>
      <c r="F5720" t="s">
        <v>46</v>
      </c>
      <c r="O5720">
        <v>2054</v>
      </c>
    </row>
    <row r="5721" spans="1:16" x14ac:dyDescent="0.3">
      <c r="A5721" t="str">
        <f t="shared" si="89"/>
        <v>PA|NewCapacity|RE1|PWRHYDDAM|2054</v>
      </c>
      <c r="B5721" t="s">
        <v>44</v>
      </c>
      <c r="C5721" t="s">
        <v>45</v>
      </c>
      <c r="D5721" t="s">
        <v>37</v>
      </c>
      <c r="E5721" t="s">
        <v>19</v>
      </c>
      <c r="F5721" t="s">
        <v>24</v>
      </c>
      <c r="O5721">
        <v>2054</v>
      </c>
    </row>
    <row r="5722" spans="1:16" x14ac:dyDescent="0.3">
      <c r="A5722" t="str">
        <f t="shared" si="89"/>
        <v>PA|NewCapacity|RE1|PWRHYDROR|2054</v>
      </c>
      <c r="B5722" t="s">
        <v>44</v>
      </c>
      <c r="C5722" t="s">
        <v>45</v>
      </c>
      <c r="D5722" t="s">
        <v>37</v>
      </c>
      <c r="E5722" t="s">
        <v>19</v>
      </c>
      <c r="F5722" t="s">
        <v>25</v>
      </c>
      <c r="O5722">
        <v>2054</v>
      </c>
    </row>
    <row r="5723" spans="1:16" x14ac:dyDescent="0.3">
      <c r="A5723" t="str">
        <f t="shared" si="89"/>
        <v>PA|NewCapacity|RE1|PWRHYDROR_NDC|2054</v>
      </c>
      <c r="B5723" t="s">
        <v>44</v>
      </c>
      <c r="C5723" t="s">
        <v>45</v>
      </c>
      <c r="D5723" t="s">
        <v>37</v>
      </c>
      <c r="E5723" t="s">
        <v>19</v>
      </c>
      <c r="F5723" t="s">
        <v>26</v>
      </c>
      <c r="O5723">
        <v>2054</v>
      </c>
    </row>
    <row r="5724" spans="1:16" x14ac:dyDescent="0.3">
      <c r="A5724" t="str">
        <f t="shared" si="89"/>
        <v>PA|NewCapacity|RE1|PWRJET|2054</v>
      </c>
      <c r="B5724" t="s">
        <v>44</v>
      </c>
      <c r="C5724" t="s">
        <v>45</v>
      </c>
      <c r="D5724" t="s">
        <v>37</v>
      </c>
      <c r="E5724" t="s">
        <v>19</v>
      </c>
      <c r="F5724" t="s">
        <v>27</v>
      </c>
      <c r="O5724">
        <v>2054</v>
      </c>
    </row>
    <row r="5725" spans="1:16" x14ac:dyDescent="0.3">
      <c r="A5725" t="str">
        <f t="shared" si="89"/>
        <v>PA|NewCapacity|RE1|PWRLPG|2054</v>
      </c>
      <c r="B5725" t="s">
        <v>44</v>
      </c>
      <c r="C5725" t="s">
        <v>45</v>
      </c>
      <c r="D5725" t="s">
        <v>37</v>
      </c>
      <c r="E5725" t="s">
        <v>19</v>
      </c>
      <c r="F5725" t="s">
        <v>28</v>
      </c>
      <c r="O5725">
        <v>2054</v>
      </c>
    </row>
    <row r="5726" spans="1:16" x14ac:dyDescent="0.3">
      <c r="A5726" t="str">
        <f t="shared" si="89"/>
        <v>PA|NewCapacity|RE1|PWRNGS_CC|2054</v>
      </c>
      <c r="B5726" t="s">
        <v>44</v>
      </c>
      <c r="C5726" t="s">
        <v>45</v>
      </c>
      <c r="D5726" t="s">
        <v>37</v>
      </c>
      <c r="E5726" t="s">
        <v>19</v>
      </c>
      <c r="F5726" t="s">
        <v>29</v>
      </c>
      <c r="O5726">
        <v>2054</v>
      </c>
    </row>
    <row r="5727" spans="1:16" x14ac:dyDescent="0.3">
      <c r="A5727" t="str">
        <f t="shared" si="89"/>
        <v>PA|NewCapacity|RE1|PWRNGS_CS|2054</v>
      </c>
      <c r="B5727" t="s">
        <v>44</v>
      </c>
      <c r="C5727" t="s">
        <v>45</v>
      </c>
      <c r="D5727" t="s">
        <v>37</v>
      </c>
      <c r="E5727" t="s">
        <v>19</v>
      </c>
      <c r="F5727" t="s">
        <v>30</v>
      </c>
      <c r="O5727">
        <v>2054</v>
      </c>
    </row>
    <row r="5728" spans="1:16" x14ac:dyDescent="0.3">
      <c r="A5728" t="str">
        <f t="shared" si="89"/>
        <v>PA|NewCapacity|RE1|PWRNUC|2054</v>
      </c>
      <c r="B5728" t="s">
        <v>44</v>
      </c>
      <c r="C5728" t="s">
        <v>45</v>
      </c>
      <c r="D5728" t="s">
        <v>37</v>
      </c>
      <c r="E5728" t="s">
        <v>19</v>
      </c>
      <c r="F5728" t="s">
        <v>47</v>
      </c>
      <c r="O5728">
        <v>2054</v>
      </c>
    </row>
    <row r="5729" spans="1:16" x14ac:dyDescent="0.3">
      <c r="A5729" t="str">
        <f t="shared" si="89"/>
        <v>PA|NewCapacity|RE1|PWRSOLRTP|2054</v>
      </c>
      <c r="B5729" t="s">
        <v>44</v>
      </c>
      <c r="C5729" t="s">
        <v>45</v>
      </c>
      <c r="D5729" t="s">
        <v>37</v>
      </c>
      <c r="E5729" t="s">
        <v>19</v>
      </c>
      <c r="F5729" t="s">
        <v>31</v>
      </c>
      <c r="O5729">
        <v>2054</v>
      </c>
      <c r="P5729">
        <v>1.902346227013316</v>
      </c>
    </row>
    <row r="5730" spans="1:16" x14ac:dyDescent="0.3">
      <c r="A5730" t="str">
        <f t="shared" si="89"/>
        <v>PA|NewCapacity|RE1|PWRSOLRTP_ZNI|2054</v>
      </c>
      <c r="B5730" t="s">
        <v>44</v>
      </c>
      <c r="C5730" t="s">
        <v>45</v>
      </c>
      <c r="D5730" t="s">
        <v>37</v>
      </c>
      <c r="E5730" t="s">
        <v>19</v>
      </c>
      <c r="F5730" t="s">
        <v>32</v>
      </c>
      <c r="O5730">
        <v>2054</v>
      </c>
    </row>
    <row r="5731" spans="1:16" x14ac:dyDescent="0.3">
      <c r="A5731" t="str">
        <f t="shared" si="89"/>
        <v>PA|NewCapacity|RE1|PWRSOLUGE|2054</v>
      </c>
      <c r="B5731" t="s">
        <v>44</v>
      </c>
      <c r="C5731" t="s">
        <v>45</v>
      </c>
      <c r="D5731" t="s">
        <v>37</v>
      </c>
      <c r="E5731" t="s">
        <v>19</v>
      </c>
      <c r="F5731" t="s">
        <v>33</v>
      </c>
      <c r="O5731">
        <v>2054</v>
      </c>
    </row>
    <row r="5732" spans="1:16" x14ac:dyDescent="0.3">
      <c r="A5732" t="str">
        <f t="shared" si="89"/>
        <v>PA|NewCapacity|RE1|PWRSOLUPE|2054</v>
      </c>
      <c r="B5732" t="s">
        <v>44</v>
      </c>
      <c r="C5732" t="s">
        <v>45</v>
      </c>
      <c r="D5732" t="s">
        <v>37</v>
      </c>
      <c r="E5732" t="s">
        <v>19</v>
      </c>
      <c r="F5732" t="s">
        <v>34</v>
      </c>
      <c r="O5732">
        <v>2054</v>
      </c>
    </row>
    <row r="5733" spans="1:16" x14ac:dyDescent="0.3">
      <c r="A5733" t="str">
        <f t="shared" si="89"/>
        <v>PA|NewCapacity|RE1|PWRSTD|2054</v>
      </c>
      <c r="B5733" t="s">
        <v>44</v>
      </c>
      <c r="C5733" t="s">
        <v>45</v>
      </c>
      <c r="D5733" t="s">
        <v>37</v>
      </c>
      <c r="E5733" t="s">
        <v>19</v>
      </c>
      <c r="F5733" t="s">
        <v>35</v>
      </c>
      <c r="O5733">
        <v>2054</v>
      </c>
    </row>
    <row r="5734" spans="1:16" x14ac:dyDescent="0.3">
      <c r="A5734" t="str">
        <f t="shared" si="89"/>
        <v>PA|NewCapacity|RE1|PWRWNDOFS_FIX|2054</v>
      </c>
      <c r="B5734" t="s">
        <v>44</v>
      </c>
      <c r="C5734" t="s">
        <v>45</v>
      </c>
      <c r="D5734" t="s">
        <v>37</v>
      </c>
      <c r="E5734" t="s">
        <v>19</v>
      </c>
      <c r="F5734" t="s">
        <v>42</v>
      </c>
      <c r="O5734">
        <v>2054</v>
      </c>
    </row>
    <row r="5735" spans="1:16" x14ac:dyDescent="0.3">
      <c r="A5735" t="str">
        <f t="shared" si="89"/>
        <v>PA|NewCapacity|RE1|PWRWNDONS|2054</v>
      </c>
      <c r="B5735" t="s">
        <v>44</v>
      </c>
      <c r="C5735" t="s">
        <v>45</v>
      </c>
      <c r="D5735" t="s">
        <v>37</v>
      </c>
      <c r="E5735" t="s">
        <v>19</v>
      </c>
      <c r="F5735" t="s">
        <v>36</v>
      </c>
      <c r="O5735">
        <v>2054</v>
      </c>
      <c r="P5735">
        <v>47.31</v>
      </c>
    </row>
    <row r="5736" spans="1:16" x14ac:dyDescent="0.3">
      <c r="A5736" t="str">
        <f t="shared" si="89"/>
        <v>PA|TotalCapacityAnnual|RE1|PWRBGS|2054</v>
      </c>
      <c r="B5736" t="s">
        <v>44</v>
      </c>
      <c r="C5736" t="s">
        <v>45</v>
      </c>
      <c r="D5736" t="s">
        <v>38</v>
      </c>
      <c r="E5736" t="s">
        <v>19</v>
      </c>
      <c r="F5736" t="s">
        <v>20</v>
      </c>
      <c r="O5736">
        <v>2054</v>
      </c>
      <c r="P5736">
        <v>2.5488587520000001E-2</v>
      </c>
    </row>
    <row r="5737" spans="1:16" x14ac:dyDescent="0.3">
      <c r="A5737" t="str">
        <f t="shared" si="89"/>
        <v>PA|TotalCapacityAnnual|RE1|PWRCOA|2054</v>
      </c>
      <c r="B5737" t="s">
        <v>44</v>
      </c>
      <c r="C5737" t="s">
        <v>45</v>
      </c>
      <c r="D5737" t="s">
        <v>38</v>
      </c>
      <c r="E5737" t="s">
        <v>19</v>
      </c>
      <c r="F5737" t="s">
        <v>21</v>
      </c>
      <c r="O5737">
        <v>2054</v>
      </c>
    </row>
    <row r="5738" spans="1:16" x14ac:dyDescent="0.3">
      <c r="A5738" t="str">
        <f t="shared" si="89"/>
        <v>PA|TotalCapacityAnnual|RE1|PWRDSL|2054</v>
      </c>
      <c r="B5738" t="s">
        <v>44</v>
      </c>
      <c r="C5738" t="s">
        <v>45</v>
      </c>
      <c r="D5738" t="s">
        <v>38</v>
      </c>
      <c r="E5738" t="s">
        <v>19</v>
      </c>
      <c r="F5738" t="s">
        <v>22</v>
      </c>
      <c r="O5738">
        <v>2054</v>
      </c>
      <c r="P5738">
        <v>24.944976</v>
      </c>
    </row>
    <row r="5739" spans="1:16" x14ac:dyDescent="0.3">
      <c r="A5739" t="str">
        <f t="shared" si="89"/>
        <v>PA|TotalCapacityAnnual|RE1|PWRFOL|2054</v>
      </c>
      <c r="B5739" t="s">
        <v>44</v>
      </c>
      <c r="C5739" t="s">
        <v>45</v>
      </c>
      <c r="D5739" t="s">
        <v>38</v>
      </c>
      <c r="E5739" t="s">
        <v>19</v>
      </c>
      <c r="F5739" t="s">
        <v>23</v>
      </c>
      <c r="O5739">
        <v>2054</v>
      </c>
      <c r="P5739">
        <v>8.3885759999999987</v>
      </c>
    </row>
    <row r="5740" spans="1:16" x14ac:dyDescent="0.3">
      <c r="A5740" t="str">
        <f t="shared" si="89"/>
        <v>PA|TotalCapacityAnnual|RE1|PWRGEO|2054</v>
      </c>
      <c r="B5740" t="s">
        <v>44</v>
      </c>
      <c r="C5740" t="s">
        <v>45</v>
      </c>
      <c r="D5740" t="s">
        <v>38</v>
      </c>
      <c r="E5740" t="s">
        <v>19</v>
      </c>
      <c r="F5740" t="s">
        <v>46</v>
      </c>
      <c r="O5740">
        <v>2054</v>
      </c>
      <c r="P5740">
        <v>31.54</v>
      </c>
    </row>
    <row r="5741" spans="1:16" x14ac:dyDescent="0.3">
      <c r="A5741" t="str">
        <f t="shared" si="89"/>
        <v>PA|TotalCapacityAnnual|RE1|PWRHYDDAM|2054</v>
      </c>
      <c r="B5741" t="s">
        <v>44</v>
      </c>
      <c r="C5741" t="s">
        <v>45</v>
      </c>
      <c r="D5741" t="s">
        <v>38</v>
      </c>
      <c r="E5741" t="s">
        <v>19</v>
      </c>
      <c r="F5741" t="s">
        <v>24</v>
      </c>
      <c r="O5741">
        <v>2054</v>
      </c>
      <c r="P5741">
        <v>440.49164800000011</v>
      </c>
    </row>
    <row r="5742" spans="1:16" x14ac:dyDescent="0.3">
      <c r="A5742" t="str">
        <f t="shared" si="89"/>
        <v>PA|TotalCapacityAnnual|RE1|PWRHYDROR|2054</v>
      </c>
      <c r="B5742" t="s">
        <v>44</v>
      </c>
      <c r="C5742" t="s">
        <v>45</v>
      </c>
      <c r="D5742" t="s">
        <v>38</v>
      </c>
      <c r="E5742" t="s">
        <v>19</v>
      </c>
      <c r="F5742" t="s">
        <v>25</v>
      </c>
      <c r="O5742">
        <v>2054</v>
      </c>
      <c r="P5742">
        <v>21.097584000000001</v>
      </c>
    </row>
    <row r="5743" spans="1:16" x14ac:dyDescent="0.3">
      <c r="A5743" t="str">
        <f t="shared" si="89"/>
        <v>PA|TotalCapacityAnnual|RE1|PWRHYDROR_NDC|2054</v>
      </c>
      <c r="B5743" t="s">
        <v>44</v>
      </c>
      <c r="C5743" t="s">
        <v>45</v>
      </c>
      <c r="D5743" t="s">
        <v>38</v>
      </c>
      <c r="E5743" t="s">
        <v>19</v>
      </c>
      <c r="F5743" t="s">
        <v>26</v>
      </c>
      <c r="O5743">
        <v>2054</v>
      </c>
      <c r="P5743">
        <v>29.725108271999989</v>
      </c>
    </row>
    <row r="5744" spans="1:16" x14ac:dyDescent="0.3">
      <c r="A5744" t="str">
        <f t="shared" si="89"/>
        <v>PA|TotalCapacityAnnual|RE1|PWRJET|2054</v>
      </c>
      <c r="B5744" t="s">
        <v>44</v>
      </c>
      <c r="C5744" t="s">
        <v>45</v>
      </c>
      <c r="D5744" t="s">
        <v>38</v>
      </c>
      <c r="E5744" t="s">
        <v>19</v>
      </c>
      <c r="F5744" t="s">
        <v>27</v>
      </c>
      <c r="O5744">
        <v>2054</v>
      </c>
      <c r="P5744">
        <v>1.5768</v>
      </c>
    </row>
    <row r="5745" spans="1:16" x14ac:dyDescent="0.3">
      <c r="A5745" t="str">
        <f t="shared" si="89"/>
        <v>PA|TotalCapacityAnnual|RE1|PWRLPG|2054</v>
      </c>
      <c r="B5745" t="s">
        <v>44</v>
      </c>
      <c r="C5745" t="s">
        <v>45</v>
      </c>
      <c r="D5745" t="s">
        <v>38</v>
      </c>
      <c r="E5745" t="s">
        <v>19</v>
      </c>
      <c r="F5745" t="s">
        <v>28</v>
      </c>
      <c r="O5745">
        <v>2054</v>
      </c>
      <c r="P5745">
        <v>1.639872</v>
      </c>
    </row>
    <row r="5746" spans="1:16" x14ac:dyDescent="0.3">
      <c r="A5746" t="str">
        <f t="shared" si="89"/>
        <v>PA|TotalCapacityAnnual|RE1|PWRNGS_CC|2054</v>
      </c>
      <c r="B5746" t="s">
        <v>44</v>
      </c>
      <c r="C5746" t="s">
        <v>45</v>
      </c>
      <c r="D5746" t="s">
        <v>38</v>
      </c>
      <c r="E5746" t="s">
        <v>19</v>
      </c>
      <c r="F5746" t="s">
        <v>29</v>
      </c>
      <c r="O5746">
        <v>2054</v>
      </c>
      <c r="P5746">
        <v>70.104500000000002</v>
      </c>
    </row>
    <row r="5747" spans="1:16" x14ac:dyDescent="0.3">
      <c r="A5747" t="str">
        <f t="shared" si="89"/>
        <v>PA|TotalCapacityAnnual|RE1|PWRNGS_CS|2054</v>
      </c>
      <c r="B5747" t="s">
        <v>44</v>
      </c>
      <c r="C5747" t="s">
        <v>45</v>
      </c>
      <c r="D5747" t="s">
        <v>38</v>
      </c>
      <c r="E5747" t="s">
        <v>19</v>
      </c>
      <c r="F5747" t="s">
        <v>30</v>
      </c>
      <c r="O5747">
        <v>2054</v>
      </c>
      <c r="P5747">
        <v>23.084351999999999</v>
      </c>
    </row>
    <row r="5748" spans="1:16" x14ac:dyDescent="0.3">
      <c r="A5748" t="str">
        <f t="shared" si="89"/>
        <v>PA|TotalCapacityAnnual|RE1|PWRNUC|2054</v>
      </c>
      <c r="B5748" t="s">
        <v>44</v>
      </c>
      <c r="C5748" t="s">
        <v>45</v>
      </c>
      <c r="D5748" t="s">
        <v>38</v>
      </c>
      <c r="E5748" t="s">
        <v>19</v>
      </c>
      <c r="F5748" t="s">
        <v>47</v>
      </c>
      <c r="O5748">
        <v>2054</v>
      </c>
      <c r="P5748">
        <v>9.5120000000000005</v>
      </c>
    </row>
    <row r="5749" spans="1:16" x14ac:dyDescent="0.3">
      <c r="A5749" t="str">
        <f t="shared" si="89"/>
        <v>PA|TotalCapacityAnnual|RE1|PWRSOLRTP|2054</v>
      </c>
      <c r="B5749" t="s">
        <v>44</v>
      </c>
      <c r="C5749" t="s">
        <v>45</v>
      </c>
      <c r="D5749" t="s">
        <v>38</v>
      </c>
      <c r="E5749" t="s">
        <v>19</v>
      </c>
      <c r="F5749" t="s">
        <v>31</v>
      </c>
      <c r="O5749">
        <v>2054</v>
      </c>
      <c r="P5749">
        <v>114.83830057070379</v>
      </c>
    </row>
    <row r="5750" spans="1:16" x14ac:dyDescent="0.3">
      <c r="A5750" t="str">
        <f t="shared" si="89"/>
        <v>PA|TotalCapacityAnnual|RE1|PWRSOLRTP_ZNI|2054</v>
      </c>
      <c r="B5750" t="s">
        <v>44</v>
      </c>
      <c r="C5750" t="s">
        <v>45</v>
      </c>
      <c r="D5750" t="s">
        <v>38</v>
      </c>
      <c r="E5750" t="s">
        <v>19</v>
      </c>
      <c r="F5750" t="s">
        <v>32</v>
      </c>
      <c r="O5750">
        <v>2054</v>
      </c>
      <c r="P5750">
        <v>0.46074095999999998</v>
      </c>
    </row>
    <row r="5751" spans="1:16" x14ac:dyDescent="0.3">
      <c r="A5751" t="str">
        <f t="shared" si="89"/>
        <v>PA|TotalCapacityAnnual|RE1|PWRSOLUGE|2054</v>
      </c>
      <c r="B5751" t="s">
        <v>44</v>
      </c>
      <c r="C5751" t="s">
        <v>45</v>
      </c>
      <c r="D5751" t="s">
        <v>38</v>
      </c>
      <c r="E5751" t="s">
        <v>19</v>
      </c>
      <c r="F5751" t="s">
        <v>33</v>
      </c>
      <c r="O5751">
        <v>2054</v>
      </c>
      <c r="P5751">
        <v>191.79189199999999</v>
      </c>
    </row>
    <row r="5752" spans="1:16" x14ac:dyDescent="0.3">
      <c r="A5752" t="str">
        <f t="shared" si="89"/>
        <v>PA|TotalCapacityAnnual|RE1|PWRSOLUPE|2054</v>
      </c>
      <c r="B5752" t="s">
        <v>44</v>
      </c>
      <c r="C5752" t="s">
        <v>45</v>
      </c>
      <c r="D5752" t="s">
        <v>38</v>
      </c>
      <c r="E5752" t="s">
        <v>19</v>
      </c>
      <c r="F5752" t="s">
        <v>34</v>
      </c>
      <c r="O5752">
        <v>2054</v>
      </c>
    </row>
    <row r="5753" spans="1:16" x14ac:dyDescent="0.3">
      <c r="A5753" t="str">
        <f t="shared" si="89"/>
        <v>PA|TotalCapacityAnnual|RE1|PWRSTD|2054</v>
      </c>
      <c r="B5753" t="s">
        <v>44</v>
      </c>
      <c r="C5753" t="s">
        <v>45</v>
      </c>
      <c r="D5753" t="s">
        <v>38</v>
      </c>
      <c r="E5753" t="s">
        <v>19</v>
      </c>
      <c r="F5753" t="s">
        <v>35</v>
      </c>
      <c r="O5753">
        <v>2054</v>
      </c>
      <c r="P5753">
        <v>8.163062064</v>
      </c>
    </row>
    <row r="5754" spans="1:16" x14ac:dyDescent="0.3">
      <c r="A5754" t="str">
        <f t="shared" si="89"/>
        <v>PA|TotalCapacityAnnual|RE1|PWRWNDOFS_FIX|2054</v>
      </c>
      <c r="B5754" t="s">
        <v>44</v>
      </c>
      <c r="C5754" t="s">
        <v>45</v>
      </c>
      <c r="D5754" t="s">
        <v>38</v>
      </c>
      <c r="E5754" t="s">
        <v>19</v>
      </c>
      <c r="F5754" t="s">
        <v>42</v>
      </c>
      <c r="O5754">
        <v>2054</v>
      </c>
      <c r="P5754">
        <v>47.303999999999988</v>
      </c>
    </row>
    <row r="5755" spans="1:16" x14ac:dyDescent="0.3">
      <c r="A5755" t="str">
        <f t="shared" si="89"/>
        <v>PA|TotalCapacityAnnual|RE1|PWRWNDONS|2054</v>
      </c>
      <c r="B5755" t="s">
        <v>44</v>
      </c>
      <c r="C5755" t="s">
        <v>45</v>
      </c>
      <c r="D5755" t="s">
        <v>38</v>
      </c>
      <c r="E5755" t="s">
        <v>19</v>
      </c>
      <c r="F5755" t="s">
        <v>36</v>
      </c>
      <c r="O5755">
        <v>2054</v>
      </c>
      <c r="P5755">
        <v>633.78528265717841</v>
      </c>
    </row>
    <row r="5756" spans="1:16" x14ac:dyDescent="0.3">
      <c r="A5756" t="str">
        <f t="shared" si="89"/>
        <v>PA|AccumulatedNewCapacity|RE1|PWRBGS|2055</v>
      </c>
      <c r="B5756" t="s">
        <v>44</v>
      </c>
      <c r="C5756" t="s">
        <v>45</v>
      </c>
      <c r="D5756" t="s">
        <v>18</v>
      </c>
      <c r="E5756" t="s">
        <v>19</v>
      </c>
      <c r="F5756" t="s">
        <v>20</v>
      </c>
      <c r="O5756">
        <v>2055</v>
      </c>
    </row>
    <row r="5757" spans="1:16" x14ac:dyDescent="0.3">
      <c r="A5757" t="str">
        <f t="shared" si="89"/>
        <v>PA|AccumulatedNewCapacity|RE1|PWRCOA|2055</v>
      </c>
      <c r="B5757" t="s">
        <v>44</v>
      </c>
      <c r="C5757" t="s">
        <v>45</v>
      </c>
      <c r="D5757" t="s">
        <v>18</v>
      </c>
      <c r="E5757" t="s">
        <v>19</v>
      </c>
      <c r="F5757" t="s">
        <v>21</v>
      </c>
      <c r="O5757">
        <v>2055</v>
      </c>
    </row>
    <row r="5758" spans="1:16" x14ac:dyDescent="0.3">
      <c r="A5758" t="str">
        <f t="shared" si="89"/>
        <v>PA|AccumulatedNewCapacity|RE1|PWRDSL|2055</v>
      </c>
      <c r="B5758" t="s">
        <v>44</v>
      </c>
      <c r="C5758" t="s">
        <v>45</v>
      </c>
      <c r="D5758" t="s">
        <v>18</v>
      </c>
      <c r="E5758" t="s">
        <v>19</v>
      </c>
      <c r="F5758" t="s">
        <v>22</v>
      </c>
      <c r="O5758">
        <v>2055</v>
      </c>
    </row>
    <row r="5759" spans="1:16" x14ac:dyDescent="0.3">
      <c r="A5759" t="str">
        <f t="shared" si="89"/>
        <v>PA|AccumulatedNewCapacity|RE1|PWRFOL|2055</v>
      </c>
      <c r="B5759" t="s">
        <v>44</v>
      </c>
      <c r="C5759" t="s">
        <v>45</v>
      </c>
      <c r="D5759" t="s">
        <v>18</v>
      </c>
      <c r="E5759" t="s">
        <v>19</v>
      </c>
      <c r="F5759" t="s">
        <v>23</v>
      </c>
      <c r="O5759">
        <v>2055</v>
      </c>
    </row>
    <row r="5760" spans="1:16" x14ac:dyDescent="0.3">
      <c r="A5760" t="str">
        <f t="shared" si="89"/>
        <v>PA|AccumulatedNewCapacity|RE1|PWRGEO|2055</v>
      </c>
      <c r="B5760" t="s">
        <v>44</v>
      </c>
      <c r="C5760" t="s">
        <v>45</v>
      </c>
      <c r="D5760" t="s">
        <v>18</v>
      </c>
      <c r="E5760" t="s">
        <v>19</v>
      </c>
      <c r="F5760" t="s">
        <v>46</v>
      </c>
      <c r="O5760">
        <v>2055</v>
      </c>
      <c r="P5760">
        <v>31.54</v>
      </c>
    </row>
    <row r="5761" spans="1:16" x14ac:dyDescent="0.3">
      <c r="A5761" t="str">
        <f t="shared" si="89"/>
        <v>PA|AccumulatedNewCapacity|RE1|PWRHYDDAM|2055</v>
      </c>
      <c r="B5761" t="s">
        <v>44</v>
      </c>
      <c r="C5761" t="s">
        <v>45</v>
      </c>
      <c r="D5761" t="s">
        <v>18</v>
      </c>
      <c r="E5761" t="s">
        <v>19</v>
      </c>
      <c r="F5761" t="s">
        <v>24</v>
      </c>
      <c r="O5761">
        <v>2055</v>
      </c>
      <c r="P5761">
        <v>37.840000000000003</v>
      </c>
    </row>
    <row r="5762" spans="1:16" x14ac:dyDescent="0.3">
      <c r="A5762" t="str">
        <f t="shared" ref="A5762:A5815" si="90">B5762&amp;"|"&amp;D5762&amp;"|"&amp;E5762&amp;"|"&amp;F5762&amp;"|"&amp;O5762</f>
        <v>PA|AccumulatedNewCapacity|RE1|PWRHYDROR|2055</v>
      </c>
      <c r="B5762" t="s">
        <v>44</v>
      </c>
      <c r="C5762" t="s">
        <v>45</v>
      </c>
      <c r="D5762" t="s">
        <v>18</v>
      </c>
      <c r="E5762" t="s">
        <v>19</v>
      </c>
      <c r="F5762" t="s">
        <v>25</v>
      </c>
      <c r="O5762">
        <v>2055</v>
      </c>
    </row>
    <row r="5763" spans="1:16" x14ac:dyDescent="0.3">
      <c r="A5763" t="str">
        <f t="shared" si="90"/>
        <v>PA|AccumulatedNewCapacity|RE1|PWRHYDROR_NDC|2055</v>
      </c>
      <c r="B5763" t="s">
        <v>44</v>
      </c>
      <c r="C5763" t="s">
        <v>45</v>
      </c>
      <c r="D5763" t="s">
        <v>18</v>
      </c>
      <c r="E5763" t="s">
        <v>19</v>
      </c>
      <c r="F5763" t="s">
        <v>26</v>
      </c>
      <c r="O5763">
        <v>2055</v>
      </c>
    </row>
    <row r="5764" spans="1:16" x14ac:dyDescent="0.3">
      <c r="A5764" t="str">
        <f t="shared" si="90"/>
        <v>PA|AccumulatedNewCapacity|RE1|PWRJET|2055</v>
      </c>
      <c r="B5764" t="s">
        <v>44</v>
      </c>
      <c r="C5764" t="s">
        <v>45</v>
      </c>
      <c r="D5764" t="s">
        <v>18</v>
      </c>
      <c r="E5764" t="s">
        <v>19</v>
      </c>
      <c r="F5764" t="s">
        <v>27</v>
      </c>
      <c r="O5764">
        <v>2055</v>
      </c>
    </row>
    <row r="5765" spans="1:16" x14ac:dyDescent="0.3">
      <c r="A5765" t="str">
        <f t="shared" si="90"/>
        <v>PA|AccumulatedNewCapacity|RE1|PWRLPG|2055</v>
      </c>
      <c r="B5765" t="s">
        <v>44</v>
      </c>
      <c r="C5765" t="s">
        <v>45</v>
      </c>
      <c r="D5765" t="s">
        <v>18</v>
      </c>
      <c r="E5765" t="s">
        <v>19</v>
      </c>
      <c r="F5765" t="s">
        <v>28</v>
      </c>
      <c r="O5765">
        <v>2055</v>
      </c>
    </row>
    <row r="5766" spans="1:16" x14ac:dyDescent="0.3">
      <c r="A5766" t="str">
        <f t="shared" si="90"/>
        <v>PA|AccumulatedNewCapacity|RE1|PWRNGS_CC|2055</v>
      </c>
      <c r="B5766" t="s">
        <v>44</v>
      </c>
      <c r="C5766" t="s">
        <v>45</v>
      </c>
      <c r="D5766" t="s">
        <v>18</v>
      </c>
      <c r="E5766" t="s">
        <v>19</v>
      </c>
      <c r="F5766" t="s">
        <v>29</v>
      </c>
      <c r="O5766">
        <v>2055</v>
      </c>
    </row>
    <row r="5767" spans="1:16" x14ac:dyDescent="0.3">
      <c r="A5767" t="str">
        <f t="shared" si="90"/>
        <v>PA|AccumulatedNewCapacity|RE1|PWRNGS_CS|2055</v>
      </c>
      <c r="B5767" t="s">
        <v>44</v>
      </c>
      <c r="C5767" t="s">
        <v>45</v>
      </c>
      <c r="D5767" t="s">
        <v>18</v>
      </c>
      <c r="E5767" t="s">
        <v>19</v>
      </c>
      <c r="F5767" t="s">
        <v>30</v>
      </c>
      <c r="O5767">
        <v>2055</v>
      </c>
    </row>
    <row r="5768" spans="1:16" x14ac:dyDescent="0.3">
      <c r="A5768" t="str">
        <f t="shared" si="90"/>
        <v>PA|AccumulatedNewCapacity|RE1|PWRNUC|2055</v>
      </c>
      <c r="B5768" t="s">
        <v>44</v>
      </c>
      <c r="C5768" t="s">
        <v>45</v>
      </c>
      <c r="D5768" t="s">
        <v>18</v>
      </c>
      <c r="E5768" t="s">
        <v>19</v>
      </c>
      <c r="F5768" t="s">
        <v>47</v>
      </c>
      <c r="O5768">
        <v>2055</v>
      </c>
      <c r="P5768">
        <v>9.5120000000000005</v>
      </c>
    </row>
    <row r="5769" spans="1:16" x14ac:dyDescent="0.3">
      <c r="A5769" t="str">
        <f t="shared" si="90"/>
        <v>PA|AccumulatedNewCapacity|RE1|PWRSOLRTP|2055</v>
      </c>
      <c r="B5769" t="s">
        <v>44</v>
      </c>
      <c r="C5769" t="s">
        <v>45</v>
      </c>
      <c r="D5769" t="s">
        <v>18</v>
      </c>
      <c r="E5769" t="s">
        <v>19</v>
      </c>
      <c r="F5769" t="s">
        <v>31</v>
      </c>
      <c r="O5769">
        <v>2055</v>
      </c>
      <c r="P5769">
        <v>102.79010779961951</v>
      </c>
    </row>
    <row r="5770" spans="1:16" x14ac:dyDescent="0.3">
      <c r="A5770" t="str">
        <f t="shared" si="90"/>
        <v>PA|AccumulatedNewCapacity|RE1|PWRSOLRTP_ZNI|2055</v>
      </c>
      <c r="B5770" t="s">
        <v>44</v>
      </c>
      <c r="C5770" t="s">
        <v>45</v>
      </c>
      <c r="D5770" t="s">
        <v>18</v>
      </c>
      <c r="E5770" t="s">
        <v>19</v>
      </c>
      <c r="F5770" t="s">
        <v>32</v>
      </c>
      <c r="O5770">
        <v>2055</v>
      </c>
    </row>
    <row r="5771" spans="1:16" x14ac:dyDescent="0.3">
      <c r="A5771" t="str">
        <f t="shared" si="90"/>
        <v>PA|AccumulatedNewCapacity|RE1|PWRSOLUGE|2055</v>
      </c>
      <c r="B5771" t="s">
        <v>44</v>
      </c>
      <c r="C5771" t="s">
        <v>45</v>
      </c>
      <c r="D5771" t="s">
        <v>18</v>
      </c>
      <c r="E5771" t="s">
        <v>19</v>
      </c>
      <c r="F5771" t="s">
        <v>33</v>
      </c>
      <c r="O5771">
        <v>2055</v>
      </c>
      <c r="P5771">
        <v>136.67702399999999</v>
      </c>
    </row>
    <row r="5772" spans="1:16" x14ac:dyDescent="0.3">
      <c r="A5772" t="str">
        <f t="shared" si="90"/>
        <v>PA|AccumulatedNewCapacity|RE1|PWRSOLUPE|2055</v>
      </c>
      <c r="B5772" t="s">
        <v>44</v>
      </c>
      <c r="C5772" t="s">
        <v>45</v>
      </c>
      <c r="D5772" t="s">
        <v>18</v>
      </c>
      <c r="E5772" t="s">
        <v>19</v>
      </c>
      <c r="F5772" t="s">
        <v>34</v>
      </c>
      <c r="O5772">
        <v>2055</v>
      </c>
    </row>
    <row r="5773" spans="1:16" x14ac:dyDescent="0.3">
      <c r="A5773" t="str">
        <f t="shared" si="90"/>
        <v>PA|AccumulatedNewCapacity|RE1|PWRSTD|2055</v>
      </c>
      <c r="B5773" t="s">
        <v>44</v>
      </c>
      <c r="C5773" t="s">
        <v>45</v>
      </c>
      <c r="D5773" t="s">
        <v>18</v>
      </c>
      <c r="E5773" t="s">
        <v>19</v>
      </c>
      <c r="F5773" t="s">
        <v>35</v>
      </c>
      <c r="O5773">
        <v>2055</v>
      </c>
    </row>
    <row r="5774" spans="1:16" x14ac:dyDescent="0.3">
      <c r="A5774" t="str">
        <f t="shared" si="90"/>
        <v>PA|AccumulatedNewCapacity|RE1|PWRWNDOFS_FIX|2055</v>
      </c>
      <c r="B5774" t="s">
        <v>44</v>
      </c>
      <c r="C5774" t="s">
        <v>45</v>
      </c>
      <c r="D5774" t="s">
        <v>18</v>
      </c>
      <c r="E5774" t="s">
        <v>19</v>
      </c>
      <c r="F5774" t="s">
        <v>42</v>
      </c>
      <c r="O5774">
        <v>2055</v>
      </c>
      <c r="P5774">
        <v>47.303999999999988</v>
      </c>
    </row>
    <row r="5775" spans="1:16" x14ac:dyDescent="0.3">
      <c r="A5775" t="str">
        <f t="shared" si="90"/>
        <v>PA|AccumulatedNewCapacity|RE1|PWRWNDONS|2055</v>
      </c>
      <c r="B5775" t="s">
        <v>44</v>
      </c>
      <c r="C5775" t="s">
        <v>45</v>
      </c>
      <c r="D5775" t="s">
        <v>18</v>
      </c>
      <c r="E5775" t="s">
        <v>19</v>
      </c>
      <c r="F5775" t="s">
        <v>36</v>
      </c>
      <c r="O5775">
        <v>2055</v>
      </c>
      <c r="P5775">
        <v>656.56282969529104</v>
      </c>
    </row>
    <row r="5776" spans="1:16" x14ac:dyDescent="0.3">
      <c r="A5776" t="str">
        <f t="shared" si="90"/>
        <v>PA|NewCapacity|RE1|PWRBGS|2055</v>
      </c>
      <c r="B5776" t="s">
        <v>44</v>
      </c>
      <c r="C5776" t="s">
        <v>45</v>
      </c>
      <c r="D5776" t="s">
        <v>37</v>
      </c>
      <c r="E5776" t="s">
        <v>19</v>
      </c>
      <c r="F5776" t="s">
        <v>20</v>
      </c>
      <c r="O5776">
        <v>2055</v>
      </c>
    </row>
    <row r="5777" spans="1:16" x14ac:dyDescent="0.3">
      <c r="A5777" t="str">
        <f t="shared" si="90"/>
        <v>PA|NewCapacity|RE1|PWRCOA|2055</v>
      </c>
      <c r="B5777" t="s">
        <v>44</v>
      </c>
      <c r="C5777" t="s">
        <v>45</v>
      </c>
      <c r="D5777" t="s">
        <v>37</v>
      </c>
      <c r="E5777" t="s">
        <v>19</v>
      </c>
      <c r="F5777" t="s">
        <v>21</v>
      </c>
      <c r="O5777">
        <v>2055</v>
      </c>
    </row>
    <row r="5778" spans="1:16" x14ac:dyDescent="0.3">
      <c r="A5778" t="str">
        <f t="shared" si="90"/>
        <v>PA|NewCapacity|RE1|PWRDSL|2055</v>
      </c>
      <c r="B5778" t="s">
        <v>44</v>
      </c>
      <c r="C5778" t="s">
        <v>45</v>
      </c>
      <c r="D5778" t="s">
        <v>37</v>
      </c>
      <c r="E5778" t="s">
        <v>19</v>
      </c>
      <c r="F5778" t="s">
        <v>22</v>
      </c>
      <c r="O5778">
        <v>2055</v>
      </c>
    </row>
    <row r="5779" spans="1:16" x14ac:dyDescent="0.3">
      <c r="A5779" t="str">
        <f t="shared" si="90"/>
        <v>PA|NewCapacity|RE1|PWRFOL|2055</v>
      </c>
      <c r="B5779" t="s">
        <v>44</v>
      </c>
      <c r="C5779" t="s">
        <v>45</v>
      </c>
      <c r="D5779" t="s">
        <v>37</v>
      </c>
      <c r="E5779" t="s">
        <v>19</v>
      </c>
      <c r="F5779" t="s">
        <v>23</v>
      </c>
      <c r="O5779">
        <v>2055</v>
      </c>
    </row>
    <row r="5780" spans="1:16" x14ac:dyDescent="0.3">
      <c r="A5780" t="str">
        <f t="shared" si="90"/>
        <v>PA|NewCapacity|RE1|PWRGEO|2055</v>
      </c>
      <c r="B5780" t="s">
        <v>44</v>
      </c>
      <c r="C5780" t="s">
        <v>45</v>
      </c>
      <c r="D5780" t="s">
        <v>37</v>
      </c>
      <c r="E5780" t="s">
        <v>19</v>
      </c>
      <c r="F5780" t="s">
        <v>46</v>
      </c>
      <c r="O5780">
        <v>2055</v>
      </c>
    </row>
    <row r="5781" spans="1:16" x14ac:dyDescent="0.3">
      <c r="A5781" t="str">
        <f t="shared" si="90"/>
        <v>PA|NewCapacity|RE1|PWRHYDDAM|2055</v>
      </c>
      <c r="B5781" t="s">
        <v>44</v>
      </c>
      <c r="C5781" t="s">
        <v>45</v>
      </c>
      <c r="D5781" t="s">
        <v>37</v>
      </c>
      <c r="E5781" t="s">
        <v>19</v>
      </c>
      <c r="F5781" t="s">
        <v>24</v>
      </c>
      <c r="O5781">
        <v>2055</v>
      </c>
    </row>
    <row r="5782" spans="1:16" x14ac:dyDescent="0.3">
      <c r="A5782" t="str">
        <f t="shared" si="90"/>
        <v>PA|NewCapacity|RE1|PWRHYDROR|2055</v>
      </c>
      <c r="B5782" t="s">
        <v>44</v>
      </c>
      <c r="C5782" t="s">
        <v>45</v>
      </c>
      <c r="D5782" t="s">
        <v>37</v>
      </c>
      <c r="E5782" t="s">
        <v>19</v>
      </c>
      <c r="F5782" t="s">
        <v>25</v>
      </c>
      <c r="O5782">
        <v>2055</v>
      </c>
    </row>
    <row r="5783" spans="1:16" x14ac:dyDescent="0.3">
      <c r="A5783" t="str">
        <f t="shared" si="90"/>
        <v>PA|NewCapacity|RE1|PWRHYDROR_NDC|2055</v>
      </c>
      <c r="B5783" t="s">
        <v>44</v>
      </c>
      <c r="C5783" t="s">
        <v>45</v>
      </c>
      <c r="D5783" t="s">
        <v>37</v>
      </c>
      <c r="E5783" t="s">
        <v>19</v>
      </c>
      <c r="F5783" t="s">
        <v>26</v>
      </c>
      <c r="O5783">
        <v>2055</v>
      </c>
    </row>
    <row r="5784" spans="1:16" x14ac:dyDescent="0.3">
      <c r="A5784" t="str">
        <f t="shared" si="90"/>
        <v>PA|NewCapacity|RE1|PWRJET|2055</v>
      </c>
      <c r="B5784" t="s">
        <v>44</v>
      </c>
      <c r="C5784" t="s">
        <v>45</v>
      </c>
      <c r="D5784" t="s">
        <v>37</v>
      </c>
      <c r="E5784" t="s">
        <v>19</v>
      </c>
      <c r="F5784" t="s">
        <v>27</v>
      </c>
      <c r="O5784">
        <v>2055</v>
      </c>
    </row>
    <row r="5785" spans="1:16" x14ac:dyDescent="0.3">
      <c r="A5785" t="str">
        <f t="shared" si="90"/>
        <v>PA|NewCapacity|RE1|PWRLPG|2055</v>
      </c>
      <c r="B5785" t="s">
        <v>44</v>
      </c>
      <c r="C5785" t="s">
        <v>45</v>
      </c>
      <c r="D5785" t="s">
        <v>37</v>
      </c>
      <c r="E5785" t="s">
        <v>19</v>
      </c>
      <c r="F5785" t="s">
        <v>28</v>
      </c>
      <c r="O5785">
        <v>2055</v>
      </c>
    </row>
    <row r="5786" spans="1:16" x14ac:dyDescent="0.3">
      <c r="A5786" t="str">
        <f t="shared" si="90"/>
        <v>PA|NewCapacity|RE1|PWRNGS_CC|2055</v>
      </c>
      <c r="B5786" t="s">
        <v>44</v>
      </c>
      <c r="C5786" t="s">
        <v>45</v>
      </c>
      <c r="D5786" t="s">
        <v>37</v>
      </c>
      <c r="E5786" t="s">
        <v>19</v>
      </c>
      <c r="F5786" t="s">
        <v>29</v>
      </c>
      <c r="O5786">
        <v>2055</v>
      </c>
    </row>
    <row r="5787" spans="1:16" x14ac:dyDescent="0.3">
      <c r="A5787" t="str">
        <f t="shared" si="90"/>
        <v>PA|NewCapacity|RE1|PWRNGS_CS|2055</v>
      </c>
      <c r="B5787" t="s">
        <v>44</v>
      </c>
      <c r="C5787" t="s">
        <v>45</v>
      </c>
      <c r="D5787" t="s">
        <v>37</v>
      </c>
      <c r="E5787" t="s">
        <v>19</v>
      </c>
      <c r="F5787" t="s">
        <v>30</v>
      </c>
      <c r="O5787">
        <v>2055</v>
      </c>
    </row>
    <row r="5788" spans="1:16" x14ac:dyDescent="0.3">
      <c r="A5788" t="str">
        <f t="shared" si="90"/>
        <v>PA|NewCapacity|RE1|PWRNUC|2055</v>
      </c>
      <c r="B5788" t="s">
        <v>44</v>
      </c>
      <c r="C5788" t="s">
        <v>45</v>
      </c>
      <c r="D5788" t="s">
        <v>37</v>
      </c>
      <c r="E5788" t="s">
        <v>19</v>
      </c>
      <c r="F5788" t="s">
        <v>47</v>
      </c>
      <c r="O5788">
        <v>2055</v>
      </c>
    </row>
    <row r="5789" spans="1:16" x14ac:dyDescent="0.3">
      <c r="A5789" t="str">
        <f t="shared" si="90"/>
        <v>PA|NewCapacity|RE1|PWRSOLRTP|2055</v>
      </c>
      <c r="B5789" t="s">
        <v>44</v>
      </c>
      <c r="C5789" t="s">
        <v>45</v>
      </c>
      <c r="D5789" t="s">
        <v>37</v>
      </c>
      <c r="E5789" t="s">
        <v>19</v>
      </c>
      <c r="F5789" t="s">
        <v>31</v>
      </c>
      <c r="O5789">
        <v>2055</v>
      </c>
      <c r="P5789">
        <v>1.902346227013316</v>
      </c>
    </row>
    <row r="5790" spans="1:16" x14ac:dyDescent="0.3">
      <c r="A5790" t="str">
        <f t="shared" si="90"/>
        <v>PA|NewCapacity|RE1|PWRSOLRTP_ZNI|2055</v>
      </c>
      <c r="B5790" t="s">
        <v>44</v>
      </c>
      <c r="C5790" t="s">
        <v>45</v>
      </c>
      <c r="D5790" t="s">
        <v>37</v>
      </c>
      <c r="E5790" t="s">
        <v>19</v>
      </c>
      <c r="F5790" t="s">
        <v>32</v>
      </c>
      <c r="O5790">
        <v>2055</v>
      </c>
    </row>
    <row r="5791" spans="1:16" x14ac:dyDescent="0.3">
      <c r="A5791" t="str">
        <f t="shared" si="90"/>
        <v>PA|NewCapacity|RE1|PWRSOLUGE|2055</v>
      </c>
      <c r="B5791" t="s">
        <v>44</v>
      </c>
      <c r="C5791" t="s">
        <v>45</v>
      </c>
      <c r="D5791" t="s">
        <v>37</v>
      </c>
      <c r="E5791" t="s">
        <v>19</v>
      </c>
      <c r="F5791" t="s">
        <v>33</v>
      </c>
      <c r="O5791">
        <v>2055</v>
      </c>
    </row>
    <row r="5792" spans="1:16" x14ac:dyDescent="0.3">
      <c r="A5792" t="str">
        <f t="shared" si="90"/>
        <v>PA|NewCapacity|RE1|PWRSOLUPE|2055</v>
      </c>
      <c r="B5792" t="s">
        <v>44</v>
      </c>
      <c r="C5792" t="s">
        <v>45</v>
      </c>
      <c r="D5792" t="s">
        <v>37</v>
      </c>
      <c r="E5792" t="s">
        <v>19</v>
      </c>
      <c r="F5792" t="s">
        <v>34</v>
      </c>
      <c r="O5792">
        <v>2055</v>
      </c>
    </row>
    <row r="5793" spans="1:16" x14ac:dyDescent="0.3">
      <c r="A5793" t="str">
        <f t="shared" si="90"/>
        <v>PA|NewCapacity|RE1|PWRSTD|2055</v>
      </c>
      <c r="B5793" t="s">
        <v>44</v>
      </c>
      <c r="C5793" t="s">
        <v>45</v>
      </c>
      <c r="D5793" t="s">
        <v>37</v>
      </c>
      <c r="E5793" t="s">
        <v>19</v>
      </c>
      <c r="F5793" t="s">
        <v>35</v>
      </c>
      <c r="O5793">
        <v>2055</v>
      </c>
    </row>
    <row r="5794" spans="1:16" x14ac:dyDescent="0.3">
      <c r="A5794" t="str">
        <f t="shared" si="90"/>
        <v>PA|NewCapacity|RE1|PWRWNDOFS_FIX|2055</v>
      </c>
      <c r="B5794" t="s">
        <v>44</v>
      </c>
      <c r="C5794" t="s">
        <v>45</v>
      </c>
      <c r="D5794" t="s">
        <v>37</v>
      </c>
      <c r="E5794" t="s">
        <v>19</v>
      </c>
      <c r="F5794" t="s">
        <v>42</v>
      </c>
      <c r="O5794">
        <v>2055</v>
      </c>
    </row>
    <row r="5795" spans="1:16" x14ac:dyDescent="0.3">
      <c r="A5795" t="str">
        <f t="shared" si="90"/>
        <v>PA|NewCapacity|RE1|PWRWNDONS|2055</v>
      </c>
      <c r="B5795" t="s">
        <v>44</v>
      </c>
      <c r="C5795" t="s">
        <v>45</v>
      </c>
      <c r="D5795" t="s">
        <v>37</v>
      </c>
      <c r="E5795" t="s">
        <v>19</v>
      </c>
      <c r="F5795" t="s">
        <v>36</v>
      </c>
      <c r="O5795">
        <v>2055</v>
      </c>
      <c r="P5795">
        <v>24.299832752398249</v>
      </c>
    </row>
    <row r="5796" spans="1:16" x14ac:dyDescent="0.3">
      <c r="A5796" t="str">
        <f t="shared" si="90"/>
        <v>PA|TotalCapacityAnnual|RE1|PWRBGS|2055</v>
      </c>
      <c r="B5796" t="s">
        <v>44</v>
      </c>
      <c r="C5796" t="s">
        <v>45</v>
      </c>
      <c r="D5796" t="s">
        <v>38</v>
      </c>
      <c r="E5796" t="s">
        <v>19</v>
      </c>
      <c r="F5796" t="s">
        <v>20</v>
      </c>
      <c r="O5796">
        <v>2055</v>
      </c>
      <c r="P5796">
        <v>2.5488587520000001E-2</v>
      </c>
    </row>
    <row r="5797" spans="1:16" x14ac:dyDescent="0.3">
      <c r="A5797" t="str">
        <f t="shared" si="90"/>
        <v>PA|TotalCapacityAnnual|RE1|PWRCOA|2055</v>
      </c>
      <c r="B5797" t="s">
        <v>44</v>
      </c>
      <c r="C5797" t="s">
        <v>45</v>
      </c>
      <c r="D5797" t="s">
        <v>38</v>
      </c>
      <c r="E5797" t="s">
        <v>19</v>
      </c>
      <c r="F5797" t="s">
        <v>21</v>
      </c>
      <c r="O5797">
        <v>2055</v>
      </c>
    </row>
    <row r="5798" spans="1:16" x14ac:dyDescent="0.3">
      <c r="A5798" t="str">
        <f t="shared" si="90"/>
        <v>PA|TotalCapacityAnnual|RE1|PWRDSL|2055</v>
      </c>
      <c r="B5798" t="s">
        <v>44</v>
      </c>
      <c r="C5798" t="s">
        <v>45</v>
      </c>
      <c r="D5798" t="s">
        <v>38</v>
      </c>
      <c r="E5798" t="s">
        <v>19</v>
      </c>
      <c r="F5798" t="s">
        <v>22</v>
      </c>
      <c r="O5798">
        <v>2055</v>
      </c>
      <c r="P5798">
        <v>24.944976</v>
      </c>
    </row>
    <row r="5799" spans="1:16" x14ac:dyDescent="0.3">
      <c r="A5799" t="str">
        <f t="shared" si="90"/>
        <v>PA|TotalCapacityAnnual|RE1|PWRFOL|2055</v>
      </c>
      <c r="B5799" t="s">
        <v>44</v>
      </c>
      <c r="C5799" t="s">
        <v>45</v>
      </c>
      <c r="D5799" t="s">
        <v>38</v>
      </c>
      <c r="E5799" t="s">
        <v>19</v>
      </c>
      <c r="F5799" t="s">
        <v>23</v>
      </c>
      <c r="O5799">
        <v>2055</v>
      </c>
      <c r="P5799">
        <v>8.3885759999999987</v>
      </c>
    </row>
    <row r="5800" spans="1:16" x14ac:dyDescent="0.3">
      <c r="A5800" t="str">
        <f t="shared" si="90"/>
        <v>PA|TotalCapacityAnnual|RE1|PWRGEO|2055</v>
      </c>
      <c r="B5800" t="s">
        <v>44</v>
      </c>
      <c r="C5800" t="s">
        <v>45</v>
      </c>
      <c r="D5800" t="s">
        <v>38</v>
      </c>
      <c r="E5800" t="s">
        <v>19</v>
      </c>
      <c r="F5800" t="s">
        <v>46</v>
      </c>
      <c r="O5800">
        <v>2055</v>
      </c>
      <c r="P5800">
        <v>31.54</v>
      </c>
    </row>
    <row r="5801" spans="1:16" x14ac:dyDescent="0.3">
      <c r="A5801" t="str">
        <f t="shared" si="90"/>
        <v>PA|TotalCapacityAnnual|RE1|PWRHYDDAM|2055</v>
      </c>
      <c r="B5801" t="s">
        <v>44</v>
      </c>
      <c r="C5801" t="s">
        <v>45</v>
      </c>
      <c r="D5801" t="s">
        <v>38</v>
      </c>
      <c r="E5801" t="s">
        <v>19</v>
      </c>
      <c r="F5801" t="s">
        <v>24</v>
      </c>
      <c r="O5801">
        <v>2055</v>
      </c>
      <c r="P5801">
        <v>440.49164800000011</v>
      </c>
    </row>
    <row r="5802" spans="1:16" x14ac:dyDescent="0.3">
      <c r="A5802" t="str">
        <f t="shared" si="90"/>
        <v>PA|TotalCapacityAnnual|RE1|PWRHYDROR|2055</v>
      </c>
      <c r="B5802" t="s">
        <v>44</v>
      </c>
      <c r="C5802" t="s">
        <v>45</v>
      </c>
      <c r="D5802" t="s">
        <v>38</v>
      </c>
      <c r="E5802" t="s">
        <v>19</v>
      </c>
      <c r="F5802" t="s">
        <v>25</v>
      </c>
      <c r="O5802">
        <v>2055</v>
      </c>
      <c r="P5802">
        <v>21.097584000000001</v>
      </c>
    </row>
    <row r="5803" spans="1:16" x14ac:dyDescent="0.3">
      <c r="A5803" t="str">
        <f t="shared" si="90"/>
        <v>PA|TotalCapacityAnnual|RE1|PWRHYDROR_NDC|2055</v>
      </c>
      <c r="B5803" t="s">
        <v>44</v>
      </c>
      <c r="C5803" t="s">
        <v>45</v>
      </c>
      <c r="D5803" t="s">
        <v>38</v>
      </c>
      <c r="E5803" t="s">
        <v>19</v>
      </c>
      <c r="F5803" t="s">
        <v>26</v>
      </c>
      <c r="O5803">
        <v>2055</v>
      </c>
      <c r="P5803">
        <v>29.725108271999989</v>
      </c>
    </row>
    <row r="5804" spans="1:16" x14ac:dyDescent="0.3">
      <c r="A5804" t="str">
        <f t="shared" si="90"/>
        <v>PA|TotalCapacityAnnual|RE1|PWRJET|2055</v>
      </c>
      <c r="B5804" t="s">
        <v>44</v>
      </c>
      <c r="C5804" t="s">
        <v>45</v>
      </c>
      <c r="D5804" t="s">
        <v>38</v>
      </c>
      <c r="E5804" t="s">
        <v>19</v>
      </c>
      <c r="F5804" t="s">
        <v>27</v>
      </c>
      <c r="O5804">
        <v>2055</v>
      </c>
      <c r="P5804">
        <v>1.5768</v>
      </c>
    </row>
    <row r="5805" spans="1:16" x14ac:dyDescent="0.3">
      <c r="A5805" t="str">
        <f t="shared" si="90"/>
        <v>PA|TotalCapacityAnnual|RE1|PWRLPG|2055</v>
      </c>
      <c r="B5805" t="s">
        <v>44</v>
      </c>
      <c r="C5805" t="s">
        <v>45</v>
      </c>
      <c r="D5805" t="s">
        <v>38</v>
      </c>
      <c r="E5805" t="s">
        <v>19</v>
      </c>
      <c r="F5805" t="s">
        <v>28</v>
      </c>
      <c r="O5805">
        <v>2055</v>
      </c>
      <c r="P5805">
        <v>1.639872</v>
      </c>
    </row>
    <row r="5806" spans="1:16" x14ac:dyDescent="0.3">
      <c r="A5806" t="str">
        <f t="shared" si="90"/>
        <v>PA|TotalCapacityAnnual|RE1|PWRNGS_CC|2055</v>
      </c>
      <c r="B5806" t="s">
        <v>44</v>
      </c>
      <c r="C5806" t="s">
        <v>45</v>
      </c>
      <c r="D5806" t="s">
        <v>38</v>
      </c>
      <c r="E5806" t="s">
        <v>19</v>
      </c>
      <c r="F5806" t="s">
        <v>29</v>
      </c>
      <c r="O5806">
        <v>2055</v>
      </c>
      <c r="P5806">
        <v>70.104500000000002</v>
      </c>
    </row>
    <row r="5807" spans="1:16" x14ac:dyDescent="0.3">
      <c r="A5807" t="str">
        <f t="shared" si="90"/>
        <v>PA|TotalCapacityAnnual|RE1|PWRNGS_CS|2055</v>
      </c>
      <c r="B5807" t="s">
        <v>44</v>
      </c>
      <c r="C5807" t="s">
        <v>45</v>
      </c>
      <c r="D5807" t="s">
        <v>38</v>
      </c>
      <c r="E5807" t="s">
        <v>19</v>
      </c>
      <c r="F5807" t="s">
        <v>30</v>
      </c>
      <c r="O5807">
        <v>2055</v>
      </c>
      <c r="P5807">
        <v>23.084351999999999</v>
      </c>
    </row>
    <row r="5808" spans="1:16" x14ac:dyDescent="0.3">
      <c r="A5808" t="str">
        <f t="shared" si="90"/>
        <v>PA|TotalCapacityAnnual|RE1|PWRNUC|2055</v>
      </c>
      <c r="B5808" t="s">
        <v>44</v>
      </c>
      <c r="C5808" t="s">
        <v>45</v>
      </c>
      <c r="D5808" t="s">
        <v>38</v>
      </c>
      <c r="E5808" t="s">
        <v>19</v>
      </c>
      <c r="F5808" t="s">
        <v>47</v>
      </c>
      <c r="O5808">
        <v>2055</v>
      </c>
      <c r="P5808">
        <v>9.5120000000000005</v>
      </c>
    </row>
    <row r="5809" spans="1:16" x14ac:dyDescent="0.3">
      <c r="A5809" t="str">
        <f t="shared" si="90"/>
        <v>PA|TotalCapacityAnnual|RE1|PWRSOLRTP|2055</v>
      </c>
      <c r="B5809" t="s">
        <v>44</v>
      </c>
      <c r="C5809" t="s">
        <v>45</v>
      </c>
      <c r="D5809" t="s">
        <v>38</v>
      </c>
      <c r="E5809" t="s">
        <v>19</v>
      </c>
      <c r="F5809" t="s">
        <v>31</v>
      </c>
      <c r="O5809">
        <v>2055</v>
      </c>
      <c r="P5809">
        <v>102.79010779961951</v>
      </c>
    </row>
    <row r="5810" spans="1:16" x14ac:dyDescent="0.3">
      <c r="A5810" t="str">
        <f t="shared" si="90"/>
        <v>PA|TotalCapacityAnnual|RE1|PWRSOLRTP_ZNI|2055</v>
      </c>
      <c r="B5810" t="s">
        <v>44</v>
      </c>
      <c r="C5810" t="s">
        <v>45</v>
      </c>
      <c r="D5810" t="s">
        <v>38</v>
      </c>
      <c r="E5810" t="s">
        <v>19</v>
      </c>
      <c r="F5810" t="s">
        <v>32</v>
      </c>
      <c r="O5810">
        <v>2055</v>
      </c>
      <c r="P5810">
        <v>0.46074095999999998</v>
      </c>
    </row>
    <row r="5811" spans="1:16" x14ac:dyDescent="0.3">
      <c r="A5811" t="str">
        <f t="shared" si="90"/>
        <v>PA|TotalCapacityAnnual|RE1|PWRSOLUGE|2055</v>
      </c>
      <c r="B5811" t="s">
        <v>44</v>
      </c>
      <c r="C5811" t="s">
        <v>45</v>
      </c>
      <c r="D5811" t="s">
        <v>38</v>
      </c>
      <c r="E5811" t="s">
        <v>19</v>
      </c>
      <c r="F5811" t="s">
        <v>33</v>
      </c>
      <c r="O5811">
        <v>2055</v>
      </c>
      <c r="P5811">
        <v>185.07472400000009</v>
      </c>
    </row>
    <row r="5812" spans="1:16" x14ac:dyDescent="0.3">
      <c r="A5812" t="str">
        <f t="shared" si="90"/>
        <v>PA|TotalCapacityAnnual|RE1|PWRSOLUPE|2055</v>
      </c>
      <c r="B5812" t="s">
        <v>44</v>
      </c>
      <c r="C5812" t="s">
        <v>45</v>
      </c>
      <c r="D5812" t="s">
        <v>38</v>
      </c>
      <c r="E5812" t="s">
        <v>19</v>
      </c>
      <c r="F5812" t="s">
        <v>34</v>
      </c>
      <c r="O5812">
        <v>2055</v>
      </c>
    </row>
    <row r="5813" spans="1:16" x14ac:dyDescent="0.3">
      <c r="A5813" t="str">
        <f t="shared" si="90"/>
        <v>PA|TotalCapacityAnnual|RE1|PWRSTD|2055</v>
      </c>
      <c r="B5813" t="s">
        <v>44</v>
      </c>
      <c r="C5813" t="s">
        <v>45</v>
      </c>
      <c r="D5813" t="s">
        <v>38</v>
      </c>
      <c r="E5813" t="s">
        <v>19</v>
      </c>
      <c r="F5813" t="s">
        <v>35</v>
      </c>
      <c r="O5813">
        <v>2055</v>
      </c>
      <c r="P5813">
        <v>8.163062064</v>
      </c>
    </row>
    <row r="5814" spans="1:16" x14ac:dyDescent="0.3">
      <c r="A5814" t="str">
        <f t="shared" si="90"/>
        <v>PA|TotalCapacityAnnual|RE1|PWRWNDOFS_FIX|2055</v>
      </c>
      <c r="B5814" t="s">
        <v>44</v>
      </c>
      <c r="C5814" t="s">
        <v>45</v>
      </c>
      <c r="D5814" t="s">
        <v>38</v>
      </c>
      <c r="E5814" t="s">
        <v>19</v>
      </c>
      <c r="F5814" t="s">
        <v>42</v>
      </c>
      <c r="O5814">
        <v>2055</v>
      </c>
      <c r="P5814">
        <v>47.303999999999988</v>
      </c>
    </row>
    <row r="5815" spans="1:16" x14ac:dyDescent="0.3">
      <c r="A5815" t="str">
        <f t="shared" si="90"/>
        <v>PA|TotalCapacityAnnual|RE1|PWRWNDONS|2055</v>
      </c>
      <c r="B5815" t="s">
        <v>44</v>
      </c>
      <c r="C5815" t="s">
        <v>45</v>
      </c>
      <c r="D5815" t="s">
        <v>38</v>
      </c>
      <c r="E5815" t="s">
        <v>19</v>
      </c>
      <c r="F5815" t="s">
        <v>36</v>
      </c>
      <c r="O5815">
        <v>2055</v>
      </c>
      <c r="P5815">
        <v>657.93149209529099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31"/>
  <sheetViews>
    <sheetView workbookViewId="0">
      <pane ySplit="1" topLeftCell="A291" activePane="bottomLeft" state="frozen"/>
      <selection pane="bottomLeft" sqref="A1:U331"/>
    </sheetView>
  </sheetViews>
  <sheetFormatPr defaultRowHeight="14.4" x14ac:dyDescent="0.3"/>
  <sheetData>
    <row r="1" spans="1:21" x14ac:dyDescent="0.3">
      <c r="A1" t="s">
        <v>48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</row>
    <row r="2" spans="1:21" x14ac:dyDescent="0.3">
      <c r="A2" t="str">
        <f t="shared" ref="A2:A65" si="0">C2&amp;"|"&amp;G2&amp;"|"&amp;D2&amp;"|"&amp;E2</f>
        <v>Battery storage (grid)|2047|Construction&amp;Manufacturing|Direct</v>
      </c>
      <c r="B2" t="s">
        <v>116</v>
      </c>
      <c r="C2" t="s">
        <v>78</v>
      </c>
      <c r="D2" t="s">
        <v>70</v>
      </c>
      <c r="E2" t="s">
        <v>65</v>
      </c>
      <c r="F2" t="s">
        <v>117</v>
      </c>
      <c r="G2">
        <v>2047</v>
      </c>
      <c r="H2">
        <v>0.384571185363</v>
      </c>
      <c r="I2">
        <v>0.384571185363</v>
      </c>
      <c r="J2" t="s">
        <v>118</v>
      </c>
      <c r="M2" t="s">
        <v>119</v>
      </c>
      <c r="O2" t="s">
        <v>120</v>
      </c>
      <c r="P2">
        <v>2030</v>
      </c>
      <c r="Q2">
        <v>2047</v>
      </c>
      <c r="R2">
        <v>0.384571185363</v>
      </c>
      <c r="S2" t="s">
        <v>121</v>
      </c>
      <c r="T2" t="s">
        <v>116</v>
      </c>
    </row>
    <row r="3" spans="1:21" x14ac:dyDescent="0.3">
      <c r="A3" t="str">
        <f t="shared" si="0"/>
        <v>Battery storage (grid)|2047|O&amp;M|Direct</v>
      </c>
      <c r="B3" t="s">
        <v>116</v>
      </c>
      <c r="C3" t="s">
        <v>78</v>
      </c>
      <c r="D3" t="s">
        <v>64</v>
      </c>
      <c r="E3" t="s">
        <v>65</v>
      </c>
      <c r="F3" t="s">
        <v>122</v>
      </c>
      <c r="G3">
        <v>2047</v>
      </c>
      <c r="H3">
        <v>1.79946754795E-2</v>
      </c>
      <c r="I3">
        <v>1.79946754795E-2</v>
      </c>
      <c r="J3" t="s">
        <v>118</v>
      </c>
      <c r="M3" t="s">
        <v>119</v>
      </c>
      <c r="O3" t="s">
        <v>123</v>
      </c>
      <c r="P3">
        <v>2030</v>
      </c>
      <c r="Q3">
        <v>2047</v>
      </c>
      <c r="R3">
        <v>1.79946754795E-2</v>
      </c>
      <c r="S3" t="s">
        <v>121</v>
      </c>
      <c r="T3" t="s">
        <v>116</v>
      </c>
    </row>
    <row r="4" spans="1:21" x14ac:dyDescent="0.3">
      <c r="A4" t="str">
        <f t="shared" si="0"/>
        <v>Battery storage (grid)|2048|O&amp;M|Direct</v>
      </c>
      <c r="B4" t="s">
        <v>116</v>
      </c>
      <c r="C4" t="s">
        <v>78</v>
      </c>
      <c r="D4" t="s">
        <v>64</v>
      </c>
      <c r="E4" t="s">
        <v>65</v>
      </c>
      <c r="F4" t="s">
        <v>122</v>
      </c>
      <c r="G4">
        <v>2048</v>
      </c>
      <c r="H4">
        <v>1.7779112713399998E-2</v>
      </c>
      <c r="I4">
        <v>1.7779112713399998E-2</v>
      </c>
      <c r="J4" t="s">
        <v>118</v>
      </c>
      <c r="M4" t="s">
        <v>119</v>
      </c>
      <c r="O4" t="s">
        <v>123</v>
      </c>
      <c r="P4">
        <v>2030</v>
      </c>
      <c r="Q4">
        <v>2048</v>
      </c>
      <c r="R4">
        <v>1.7779112713399998E-2</v>
      </c>
      <c r="S4" t="s">
        <v>121</v>
      </c>
      <c r="T4" t="s">
        <v>116</v>
      </c>
    </row>
    <row r="5" spans="1:21" x14ac:dyDescent="0.3">
      <c r="A5" t="str">
        <f t="shared" si="0"/>
        <v>Battery storage (grid)|2049|O&amp;M|Direct</v>
      </c>
      <c r="B5" t="s">
        <v>116</v>
      </c>
      <c r="C5" t="s">
        <v>78</v>
      </c>
      <c r="D5" t="s">
        <v>64</v>
      </c>
      <c r="E5" t="s">
        <v>65</v>
      </c>
      <c r="F5" t="s">
        <v>122</v>
      </c>
      <c r="G5">
        <v>2049</v>
      </c>
      <c r="H5">
        <v>1.75635499473E-2</v>
      </c>
      <c r="I5">
        <v>1.75635499473E-2</v>
      </c>
      <c r="J5" t="s">
        <v>118</v>
      </c>
      <c r="M5" t="s">
        <v>119</v>
      </c>
      <c r="O5" t="s">
        <v>123</v>
      </c>
      <c r="P5">
        <v>2030</v>
      </c>
      <c r="Q5">
        <v>2049</v>
      </c>
      <c r="R5">
        <v>1.75635499473E-2</v>
      </c>
      <c r="S5" t="s">
        <v>121</v>
      </c>
      <c r="T5" t="s">
        <v>116</v>
      </c>
    </row>
    <row r="6" spans="1:21" x14ac:dyDescent="0.3">
      <c r="A6" t="str">
        <f t="shared" si="0"/>
        <v>Battery storage (grid)|2050|O&amp;M|Direct</v>
      </c>
      <c r="B6" t="s">
        <v>116</v>
      </c>
      <c r="C6" t="s">
        <v>78</v>
      </c>
      <c r="D6" t="s">
        <v>64</v>
      </c>
      <c r="E6" t="s">
        <v>65</v>
      </c>
      <c r="F6" t="s">
        <v>122</v>
      </c>
      <c r="G6">
        <v>2050</v>
      </c>
      <c r="H6">
        <v>1.7347987181099998E-2</v>
      </c>
      <c r="I6">
        <v>1.7347987181099998E-2</v>
      </c>
      <c r="J6" t="s">
        <v>124</v>
      </c>
      <c r="M6" t="s">
        <v>119</v>
      </c>
      <c r="O6" t="s">
        <v>123</v>
      </c>
      <c r="P6">
        <v>2030</v>
      </c>
      <c r="Q6">
        <v>2050</v>
      </c>
      <c r="R6">
        <v>1.7347987181099998E-2</v>
      </c>
      <c r="S6" t="s">
        <v>125</v>
      </c>
      <c r="T6" t="s">
        <v>116</v>
      </c>
    </row>
    <row r="7" spans="1:21" x14ac:dyDescent="0.3">
      <c r="A7" t="str">
        <f t="shared" si="0"/>
        <v>Battery storage (grid)|2051|O&amp;M|Direct</v>
      </c>
      <c r="B7" t="s">
        <v>116</v>
      </c>
      <c r="C7" t="s">
        <v>78</v>
      </c>
      <c r="D7" t="s">
        <v>64</v>
      </c>
      <c r="E7" t="s">
        <v>65</v>
      </c>
      <c r="F7" t="s">
        <v>122</v>
      </c>
      <c r="G7">
        <v>2051</v>
      </c>
      <c r="H7">
        <v>1.7347987181099998E-2</v>
      </c>
      <c r="I7">
        <v>1.7347987181099998E-2</v>
      </c>
      <c r="J7" t="s">
        <v>118</v>
      </c>
      <c r="M7" t="s">
        <v>119</v>
      </c>
      <c r="O7" t="s">
        <v>123</v>
      </c>
      <c r="P7">
        <v>2030</v>
      </c>
      <c r="Q7">
        <v>2051</v>
      </c>
      <c r="R7">
        <v>1.7347987181099998E-2</v>
      </c>
      <c r="S7" t="s">
        <v>126</v>
      </c>
      <c r="T7" t="s">
        <v>116</v>
      </c>
    </row>
    <row r="8" spans="1:21" x14ac:dyDescent="0.3">
      <c r="A8" t="str">
        <f t="shared" si="0"/>
        <v>Battery storage (grid)|2052|O&amp;M|Direct</v>
      </c>
      <c r="B8" t="s">
        <v>116</v>
      </c>
      <c r="C8" t="s">
        <v>78</v>
      </c>
      <c r="D8" t="s">
        <v>64</v>
      </c>
      <c r="E8" t="s">
        <v>65</v>
      </c>
      <c r="F8" t="s">
        <v>122</v>
      </c>
      <c r="G8">
        <v>2052</v>
      </c>
      <c r="H8">
        <v>1.7347987181099998E-2</v>
      </c>
      <c r="I8">
        <v>1.7347987181099998E-2</v>
      </c>
      <c r="J8" t="s">
        <v>118</v>
      </c>
      <c r="M8" t="s">
        <v>119</v>
      </c>
      <c r="O8" t="s">
        <v>123</v>
      </c>
      <c r="P8">
        <v>2030</v>
      </c>
      <c r="Q8">
        <v>2052</v>
      </c>
      <c r="R8">
        <v>1.7347987181099998E-2</v>
      </c>
      <c r="S8" t="s">
        <v>126</v>
      </c>
      <c r="T8" t="s">
        <v>116</v>
      </c>
    </row>
    <row r="9" spans="1:21" x14ac:dyDescent="0.3">
      <c r="A9" t="str">
        <f t="shared" si="0"/>
        <v>Battery storage (grid)|2053|O&amp;M|Direct</v>
      </c>
      <c r="B9" t="s">
        <v>116</v>
      </c>
      <c r="C9" t="s">
        <v>78</v>
      </c>
      <c r="D9" t="s">
        <v>64</v>
      </c>
      <c r="E9" t="s">
        <v>65</v>
      </c>
      <c r="F9" t="s">
        <v>122</v>
      </c>
      <c r="G9">
        <v>2053</v>
      </c>
      <c r="H9">
        <v>1.7347987181099998E-2</v>
      </c>
      <c r="I9">
        <v>1.7347987181099998E-2</v>
      </c>
      <c r="J9" t="s">
        <v>118</v>
      </c>
      <c r="M9" t="s">
        <v>119</v>
      </c>
      <c r="O9" t="s">
        <v>123</v>
      </c>
      <c r="P9">
        <v>2030</v>
      </c>
      <c r="Q9">
        <v>2053</v>
      </c>
      <c r="R9">
        <v>1.7347987181099998E-2</v>
      </c>
      <c r="S9" t="s">
        <v>126</v>
      </c>
      <c r="T9" t="s">
        <v>116</v>
      </c>
    </row>
    <row r="10" spans="1:21" x14ac:dyDescent="0.3">
      <c r="A10" t="str">
        <f t="shared" si="0"/>
        <v>Battery storage (grid)|2054|O&amp;M|Direct</v>
      </c>
      <c r="B10" t="s">
        <v>116</v>
      </c>
      <c r="C10" t="s">
        <v>78</v>
      </c>
      <c r="D10" t="s">
        <v>64</v>
      </c>
      <c r="E10" t="s">
        <v>65</v>
      </c>
      <c r="F10" t="s">
        <v>122</v>
      </c>
      <c r="G10">
        <v>2054</v>
      </c>
      <c r="H10">
        <v>1.7347987181099998E-2</v>
      </c>
      <c r="I10">
        <v>1.7347987181099998E-2</v>
      </c>
      <c r="J10" t="s">
        <v>118</v>
      </c>
      <c r="M10" t="s">
        <v>119</v>
      </c>
      <c r="O10" t="s">
        <v>123</v>
      </c>
      <c r="P10">
        <v>2030</v>
      </c>
      <c r="Q10">
        <v>2054</v>
      </c>
      <c r="R10">
        <v>1.7347987181099998E-2</v>
      </c>
      <c r="S10" t="s">
        <v>126</v>
      </c>
      <c r="T10" t="s">
        <v>116</v>
      </c>
    </row>
    <row r="11" spans="1:21" x14ac:dyDescent="0.3">
      <c r="A11" t="str">
        <f t="shared" si="0"/>
        <v>Battery storage (grid)|2055|O&amp;M|Direct</v>
      </c>
      <c r="B11" t="s">
        <v>116</v>
      </c>
      <c r="C11" t="s">
        <v>78</v>
      </c>
      <c r="D11" t="s">
        <v>64</v>
      </c>
      <c r="E11" t="s">
        <v>65</v>
      </c>
      <c r="F11" t="s">
        <v>122</v>
      </c>
      <c r="G11">
        <v>2055</v>
      </c>
      <c r="H11">
        <v>1.7347987181099998E-2</v>
      </c>
      <c r="I11">
        <v>1.7347987181099998E-2</v>
      </c>
      <c r="J11" t="s">
        <v>118</v>
      </c>
      <c r="M11" t="s">
        <v>119</v>
      </c>
      <c r="O11" t="s">
        <v>123</v>
      </c>
      <c r="P11">
        <v>2030</v>
      </c>
      <c r="Q11">
        <v>2055</v>
      </c>
      <c r="R11">
        <v>1.7347987181099998E-2</v>
      </c>
      <c r="S11" t="s">
        <v>126</v>
      </c>
      <c r="T11" t="s">
        <v>116</v>
      </c>
    </row>
    <row r="12" spans="1:21" x14ac:dyDescent="0.3">
      <c r="A12" t="str">
        <f t="shared" si="0"/>
        <v>Geothermal|2040|Construction&amp;Manufacturing|Direct</v>
      </c>
      <c r="B12" t="s">
        <v>127</v>
      </c>
      <c r="C12" t="s">
        <v>82</v>
      </c>
      <c r="D12" t="s">
        <v>70</v>
      </c>
      <c r="E12" t="s">
        <v>65</v>
      </c>
      <c r="F12" t="s">
        <v>117</v>
      </c>
      <c r="G12">
        <v>2040</v>
      </c>
      <c r="H12">
        <v>4.6071987464399999</v>
      </c>
      <c r="I12">
        <v>4.6071987464399999</v>
      </c>
      <c r="J12" t="s">
        <v>118</v>
      </c>
      <c r="M12" t="s">
        <v>128</v>
      </c>
      <c r="O12" t="s">
        <v>129</v>
      </c>
      <c r="P12">
        <v>2030</v>
      </c>
      <c r="Q12">
        <v>2040</v>
      </c>
      <c r="R12">
        <v>4.6071987464399999</v>
      </c>
      <c r="S12" t="s">
        <v>121</v>
      </c>
      <c r="T12" t="s">
        <v>127</v>
      </c>
    </row>
    <row r="13" spans="1:21" x14ac:dyDescent="0.3">
      <c r="A13" t="str">
        <f t="shared" si="0"/>
        <v>Geothermal|2041|Construction&amp;Manufacturing|Direct</v>
      </c>
      <c r="B13" t="s">
        <v>127</v>
      </c>
      <c r="C13" t="s">
        <v>82</v>
      </c>
      <c r="D13" t="s">
        <v>70</v>
      </c>
      <c r="E13" t="s">
        <v>65</v>
      </c>
      <c r="F13" t="s">
        <v>117</v>
      </c>
      <c r="G13">
        <v>2041</v>
      </c>
      <c r="H13">
        <v>4.5887320217500003</v>
      </c>
      <c r="I13">
        <v>4.5887320217500003</v>
      </c>
      <c r="J13" t="s">
        <v>118</v>
      </c>
      <c r="M13" t="s">
        <v>128</v>
      </c>
      <c r="O13" t="s">
        <v>129</v>
      </c>
      <c r="P13">
        <v>2030</v>
      </c>
      <c r="Q13">
        <v>2041</v>
      </c>
      <c r="R13">
        <v>4.5887320217500003</v>
      </c>
      <c r="S13" t="s">
        <v>121</v>
      </c>
      <c r="T13" t="s">
        <v>127</v>
      </c>
    </row>
    <row r="14" spans="1:21" x14ac:dyDescent="0.3">
      <c r="A14" t="str">
        <f t="shared" si="0"/>
        <v>Geothermal|2042|Construction&amp;Manufacturing|Direct</v>
      </c>
      <c r="B14" t="s">
        <v>127</v>
      </c>
      <c r="C14" t="s">
        <v>82</v>
      </c>
      <c r="D14" t="s">
        <v>70</v>
      </c>
      <c r="E14" t="s">
        <v>65</v>
      </c>
      <c r="F14" t="s">
        <v>117</v>
      </c>
      <c r="G14">
        <v>2042</v>
      </c>
      <c r="H14">
        <v>4.5702652970599997</v>
      </c>
      <c r="I14">
        <v>4.5702652970599997</v>
      </c>
      <c r="J14" t="s">
        <v>118</v>
      </c>
      <c r="M14" t="s">
        <v>128</v>
      </c>
      <c r="O14" t="s">
        <v>129</v>
      </c>
      <c r="P14">
        <v>2030</v>
      </c>
      <c r="Q14">
        <v>2042</v>
      </c>
      <c r="R14">
        <v>4.5702652970599997</v>
      </c>
      <c r="S14" t="s">
        <v>121</v>
      </c>
      <c r="T14" t="s">
        <v>127</v>
      </c>
    </row>
    <row r="15" spans="1:21" x14ac:dyDescent="0.3">
      <c r="A15" t="str">
        <f t="shared" si="0"/>
        <v>Geothermal|2043|Construction&amp;Manufacturing|Direct</v>
      </c>
      <c r="B15" t="s">
        <v>127</v>
      </c>
      <c r="C15" t="s">
        <v>82</v>
      </c>
      <c r="D15" t="s">
        <v>70</v>
      </c>
      <c r="E15" t="s">
        <v>65</v>
      </c>
      <c r="F15" t="s">
        <v>117</v>
      </c>
      <c r="G15">
        <v>2043</v>
      </c>
      <c r="H15">
        <v>4.5517985723700001</v>
      </c>
      <c r="I15">
        <v>4.5517985723700001</v>
      </c>
      <c r="J15" t="s">
        <v>118</v>
      </c>
      <c r="M15" t="s">
        <v>128</v>
      </c>
      <c r="O15" t="s">
        <v>129</v>
      </c>
      <c r="P15">
        <v>2030</v>
      </c>
      <c r="Q15">
        <v>2043</v>
      </c>
      <c r="R15">
        <v>4.5517985723700001</v>
      </c>
      <c r="S15" t="s">
        <v>121</v>
      </c>
      <c r="T15" t="s">
        <v>127</v>
      </c>
    </row>
    <row r="16" spans="1:21" x14ac:dyDescent="0.3">
      <c r="A16" t="str">
        <f t="shared" si="0"/>
        <v>Geothermal|2044|Construction&amp;Manufacturing|Direct</v>
      </c>
      <c r="B16" t="s">
        <v>127</v>
      </c>
      <c r="C16" t="s">
        <v>82</v>
      </c>
      <c r="D16" t="s">
        <v>70</v>
      </c>
      <c r="E16" t="s">
        <v>65</v>
      </c>
      <c r="F16" t="s">
        <v>117</v>
      </c>
      <c r="G16">
        <v>2044</v>
      </c>
      <c r="H16">
        <v>4.5333318476800004</v>
      </c>
      <c r="I16">
        <v>4.5333318476800004</v>
      </c>
      <c r="J16" t="s">
        <v>118</v>
      </c>
      <c r="M16" t="s">
        <v>128</v>
      </c>
      <c r="O16" t="s">
        <v>129</v>
      </c>
      <c r="P16">
        <v>2030</v>
      </c>
      <c r="Q16">
        <v>2044</v>
      </c>
      <c r="R16">
        <v>4.5333318476800004</v>
      </c>
      <c r="S16" t="s">
        <v>121</v>
      </c>
      <c r="T16" t="s">
        <v>127</v>
      </c>
    </row>
    <row r="17" spans="1:20" x14ac:dyDescent="0.3">
      <c r="A17" t="str">
        <f t="shared" si="0"/>
        <v>Geothermal|2045|Construction&amp;Manufacturing|Direct</v>
      </c>
      <c r="B17" t="s">
        <v>127</v>
      </c>
      <c r="C17" t="s">
        <v>82</v>
      </c>
      <c r="D17" t="s">
        <v>70</v>
      </c>
      <c r="E17" t="s">
        <v>65</v>
      </c>
      <c r="F17" t="s">
        <v>117</v>
      </c>
      <c r="G17">
        <v>2045</v>
      </c>
      <c r="H17">
        <v>4.5148651229899999</v>
      </c>
      <c r="I17">
        <v>4.5148651229899999</v>
      </c>
      <c r="J17" t="s">
        <v>118</v>
      </c>
      <c r="M17" t="s">
        <v>128</v>
      </c>
      <c r="O17" t="s">
        <v>129</v>
      </c>
      <c r="P17">
        <v>2030</v>
      </c>
      <c r="Q17">
        <v>2045</v>
      </c>
      <c r="R17">
        <v>4.5148651229899999</v>
      </c>
      <c r="S17" t="s">
        <v>121</v>
      </c>
      <c r="T17" t="s">
        <v>127</v>
      </c>
    </row>
    <row r="18" spans="1:20" x14ac:dyDescent="0.3">
      <c r="A18" t="str">
        <f t="shared" si="0"/>
        <v>Geothermal|2046|Construction&amp;Manufacturing|Direct</v>
      </c>
      <c r="B18" t="s">
        <v>127</v>
      </c>
      <c r="C18" t="s">
        <v>82</v>
      </c>
      <c r="D18" t="s">
        <v>70</v>
      </c>
      <c r="E18" t="s">
        <v>65</v>
      </c>
      <c r="F18" t="s">
        <v>117</v>
      </c>
      <c r="G18">
        <v>2046</v>
      </c>
      <c r="H18">
        <v>4.4963983983000002</v>
      </c>
      <c r="I18">
        <v>4.4963983983000002</v>
      </c>
      <c r="J18" t="s">
        <v>118</v>
      </c>
      <c r="M18" t="s">
        <v>128</v>
      </c>
      <c r="O18" t="s">
        <v>129</v>
      </c>
      <c r="P18">
        <v>2030</v>
      </c>
      <c r="Q18">
        <v>2046</v>
      </c>
      <c r="R18">
        <v>4.4963983983000002</v>
      </c>
      <c r="S18" t="s">
        <v>121</v>
      </c>
      <c r="T18" t="s">
        <v>127</v>
      </c>
    </row>
    <row r="19" spans="1:20" x14ac:dyDescent="0.3">
      <c r="A19" t="str">
        <f t="shared" si="0"/>
        <v>Geothermal|2047|Construction&amp;Manufacturing|Direct</v>
      </c>
      <c r="B19" t="s">
        <v>127</v>
      </c>
      <c r="C19" t="s">
        <v>82</v>
      </c>
      <c r="D19" t="s">
        <v>70</v>
      </c>
      <c r="E19" t="s">
        <v>65</v>
      </c>
      <c r="F19" t="s">
        <v>117</v>
      </c>
      <c r="G19">
        <v>2047</v>
      </c>
      <c r="H19">
        <v>4.4779316736099997</v>
      </c>
      <c r="I19">
        <v>4.4779316736099997</v>
      </c>
      <c r="J19" t="s">
        <v>118</v>
      </c>
      <c r="M19" t="s">
        <v>128</v>
      </c>
      <c r="O19" t="s">
        <v>129</v>
      </c>
      <c r="P19">
        <v>2030</v>
      </c>
      <c r="Q19">
        <v>2047</v>
      </c>
      <c r="R19">
        <v>4.4779316736099997</v>
      </c>
      <c r="S19" t="s">
        <v>121</v>
      </c>
      <c r="T19" t="s">
        <v>127</v>
      </c>
    </row>
    <row r="20" spans="1:20" x14ac:dyDescent="0.3">
      <c r="A20" t="str">
        <f t="shared" si="0"/>
        <v>Geothermal|2048|Construction&amp;Manufacturing|Direct</v>
      </c>
      <c r="B20" t="s">
        <v>127</v>
      </c>
      <c r="C20" t="s">
        <v>82</v>
      </c>
      <c r="D20" t="s">
        <v>70</v>
      </c>
      <c r="E20" t="s">
        <v>65</v>
      </c>
      <c r="F20" t="s">
        <v>117</v>
      </c>
      <c r="G20">
        <v>2048</v>
      </c>
      <c r="H20">
        <v>4.45946494892</v>
      </c>
      <c r="I20">
        <v>4.45946494892</v>
      </c>
      <c r="J20" t="s">
        <v>118</v>
      </c>
      <c r="M20" t="s">
        <v>128</v>
      </c>
      <c r="O20" t="s">
        <v>129</v>
      </c>
      <c r="P20">
        <v>2030</v>
      </c>
      <c r="Q20">
        <v>2048</v>
      </c>
      <c r="R20">
        <v>4.45946494892</v>
      </c>
      <c r="S20" t="s">
        <v>121</v>
      </c>
      <c r="T20" t="s">
        <v>127</v>
      </c>
    </row>
    <row r="21" spans="1:20" x14ac:dyDescent="0.3">
      <c r="A21" t="str">
        <f t="shared" si="0"/>
        <v>Geothermal|2049|Construction&amp;Manufacturing|Direct</v>
      </c>
      <c r="B21" t="s">
        <v>127</v>
      </c>
      <c r="C21" t="s">
        <v>82</v>
      </c>
      <c r="D21" t="s">
        <v>70</v>
      </c>
      <c r="E21" t="s">
        <v>65</v>
      </c>
      <c r="F21" t="s">
        <v>117</v>
      </c>
      <c r="G21">
        <v>2049</v>
      </c>
      <c r="H21">
        <v>4.4409982242300003</v>
      </c>
      <c r="I21">
        <v>4.4409982242300003</v>
      </c>
      <c r="J21" t="s">
        <v>118</v>
      </c>
      <c r="M21" t="s">
        <v>128</v>
      </c>
      <c r="O21" t="s">
        <v>129</v>
      </c>
      <c r="P21">
        <v>2030</v>
      </c>
      <c r="Q21">
        <v>2049</v>
      </c>
      <c r="R21">
        <v>4.4409982242300003</v>
      </c>
      <c r="S21" t="s">
        <v>121</v>
      </c>
      <c r="T21" t="s">
        <v>127</v>
      </c>
    </row>
    <row r="22" spans="1:20" x14ac:dyDescent="0.3">
      <c r="A22" t="str">
        <f t="shared" si="0"/>
        <v>Geothermal|2040|O&amp;M|Direct</v>
      </c>
      <c r="B22" t="s">
        <v>127</v>
      </c>
      <c r="C22" t="s">
        <v>82</v>
      </c>
      <c r="D22" t="s">
        <v>64</v>
      </c>
      <c r="E22" t="s">
        <v>65</v>
      </c>
      <c r="F22" t="s">
        <v>122</v>
      </c>
      <c r="G22">
        <v>2040</v>
      </c>
      <c r="H22">
        <v>7.2472160356299997E-3</v>
      </c>
      <c r="I22">
        <v>7.2472160356299997E-3</v>
      </c>
      <c r="J22" t="s">
        <v>118</v>
      </c>
      <c r="M22" t="s">
        <v>128</v>
      </c>
      <c r="O22" t="s">
        <v>130</v>
      </c>
      <c r="P22">
        <v>2030</v>
      </c>
      <c r="Q22">
        <v>2040</v>
      </c>
      <c r="R22">
        <v>7.2472160356299997E-3</v>
      </c>
      <c r="S22" t="s">
        <v>121</v>
      </c>
      <c r="T22" t="s">
        <v>127</v>
      </c>
    </row>
    <row r="23" spans="1:20" x14ac:dyDescent="0.3">
      <c r="A23" t="str">
        <f t="shared" si="0"/>
        <v>Geothermal|2041|O&amp;M|Direct</v>
      </c>
      <c r="B23" t="s">
        <v>127</v>
      </c>
      <c r="C23" t="s">
        <v>82</v>
      </c>
      <c r="D23" t="s">
        <v>64</v>
      </c>
      <c r="E23" t="s">
        <v>65</v>
      </c>
      <c r="F23" t="s">
        <v>122</v>
      </c>
      <c r="G23">
        <v>2041</v>
      </c>
      <c r="H23">
        <v>7.2182628062399997E-3</v>
      </c>
      <c r="I23">
        <v>7.2182628062399997E-3</v>
      </c>
      <c r="J23" t="s">
        <v>118</v>
      </c>
      <c r="M23" t="s">
        <v>128</v>
      </c>
      <c r="O23" t="s">
        <v>130</v>
      </c>
      <c r="P23">
        <v>2030</v>
      </c>
      <c r="Q23">
        <v>2041</v>
      </c>
      <c r="R23">
        <v>7.2182628062399997E-3</v>
      </c>
      <c r="S23" t="s">
        <v>121</v>
      </c>
      <c r="T23" t="s">
        <v>127</v>
      </c>
    </row>
    <row r="24" spans="1:20" x14ac:dyDescent="0.3">
      <c r="A24" t="str">
        <f t="shared" si="0"/>
        <v>Geothermal|2042|O&amp;M|Direct</v>
      </c>
      <c r="B24" t="s">
        <v>127</v>
      </c>
      <c r="C24" t="s">
        <v>82</v>
      </c>
      <c r="D24" t="s">
        <v>64</v>
      </c>
      <c r="E24" t="s">
        <v>65</v>
      </c>
      <c r="F24" t="s">
        <v>122</v>
      </c>
      <c r="G24">
        <v>2042</v>
      </c>
      <c r="H24">
        <v>7.1893095768399999E-3</v>
      </c>
      <c r="I24">
        <v>7.1893095768399999E-3</v>
      </c>
      <c r="J24" t="s">
        <v>118</v>
      </c>
      <c r="M24" t="s">
        <v>128</v>
      </c>
      <c r="O24" t="s">
        <v>130</v>
      </c>
      <c r="P24">
        <v>2030</v>
      </c>
      <c r="Q24">
        <v>2042</v>
      </c>
      <c r="R24">
        <v>7.1893095768399999E-3</v>
      </c>
      <c r="S24" t="s">
        <v>121</v>
      </c>
      <c r="T24" t="s">
        <v>127</v>
      </c>
    </row>
    <row r="25" spans="1:20" x14ac:dyDescent="0.3">
      <c r="A25" t="str">
        <f t="shared" si="0"/>
        <v>Geothermal|2043|O&amp;M|Direct</v>
      </c>
      <c r="B25" t="s">
        <v>127</v>
      </c>
      <c r="C25" t="s">
        <v>82</v>
      </c>
      <c r="D25" t="s">
        <v>64</v>
      </c>
      <c r="E25" t="s">
        <v>65</v>
      </c>
      <c r="F25" t="s">
        <v>122</v>
      </c>
      <c r="G25">
        <v>2043</v>
      </c>
      <c r="H25">
        <v>7.16035634744E-3</v>
      </c>
      <c r="I25">
        <v>7.16035634744E-3</v>
      </c>
      <c r="J25" t="s">
        <v>118</v>
      </c>
      <c r="M25" t="s">
        <v>128</v>
      </c>
      <c r="O25" t="s">
        <v>130</v>
      </c>
      <c r="P25">
        <v>2030</v>
      </c>
      <c r="Q25">
        <v>2043</v>
      </c>
      <c r="R25">
        <v>7.16035634744E-3</v>
      </c>
      <c r="S25" t="s">
        <v>121</v>
      </c>
      <c r="T25" t="s">
        <v>127</v>
      </c>
    </row>
    <row r="26" spans="1:20" x14ac:dyDescent="0.3">
      <c r="A26" t="str">
        <f t="shared" si="0"/>
        <v>Geothermal|2044|O&amp;M|Direct</v>
      </c>
      <c r="B26" t="s">
        <v>127</v>
      </c>
      <c r="C26" t="s">
        <v>82</v>
      </c>
      <c r="D26" t="s">
        <v>64</v>
      </c>
      <c r="E26" t="s">
        <v>65</v>
      </c>
      <c r="F26" t="s">
        <v>122</v>
      </c>
      <c r="G26">
        <v>2044</v>
      </c>
      <c r="H26">
        <v>7.1314031180400002E-3</v>
      </c>
      <c r="I26">
        <v>7.1314031180400002E-3</v>
      </c>
      <c r="J26" t="s">
        <v>118</v>
      </c>
      <c r="M26" t="s">
        <v>128</v>
      </c>
      <c r="O26" t="s">
        <v>130</v>
      </c>
      <c r="P26">
        <v>2030</v>
      </c>
      <c r="Q26">
        <v>2044</v>
      </c>
      <c r="R26">
        <v>7.1314031180400002E-3</v>
      </c>
      <c r="S26" t="s">
        <v>121</v>
      </c>
      <c r="T26" t="s">
        <v>127</v>
      </c>
    </row>
    <row r="27" spans="1:20" x14ac:dyDescent="0.3">
      <c r="A27" t="str">
        <f t="shared" si="0"/>
        <v>Geothermal|2045|O&amp;M|Direct</v>
      </c>
      <c r="B27" t="s">
        <v>127</v>
      </c>
      <c r="C27" t="s">
        <v>82</v>
      </c>
      <c r="D27" t="s">
        <v>64</v>
      </c>
      <c r="E27" t="s">
        <v>65</v>
      </c>
      <c r="F27" t="s">
        <v>122</v>
      </c>
      <c r="G27">
        <v>2045</v>
      </c>
      <c r="H27">
        <v>7.1024498886400004E-3</v>
      </c>
      <c r="I27">
        <v>7.1024498886400004E-3</v>
      </c>
      <c r="J27" t="s">
        <v>118</v>
      </c>
      <c r="M27" t="s">
        <v>128</v>
      </c>
      <c r="O27" t="s">
        <v>130</v>
      </c>
      <c r="P27">
        <v>2030</v>
      </c>
      <c r="Q27">
        <v>2045</v>
      </c>
      <c r="R27">
        <v>7.1024498886400004E-3</v>
      </c>
      <c r="S27" t="s">
        <v>121</v>
      </c>
      <c r="T27" t="s">
        <v>127</v>
      </c>
    </row>
    <row r="28" spans="1:20" x14ac:dyDescent="0.3">
      <c r="A28" t="str">
        <f t="shared" si="0"/>
        <v>Geothermal|2046|O&amp;M|Direct</v>
      </c>
      <c r="B28" t="s">
        <v>127</v>
      </c>
      <c r="C28" t="s">
        <v>82</v>
      </c>
      <c r="D28" t="s">
        <v>64</v>
      </c>
      <c r="E28" t="s">
        <v>65</v>
      </c>
      <c r="F28" t="s">
        <v>122</v>
      </c>
      <c r="G28">
        <v>2046</v>
      </c>
      <c r="H28">
        <v>7.0734966592399997E-3</v>
      </c>
      <c r="I28">
        <v>7.0734966592399997E-3</v>
      </c>
      <c r="J28" t="s">
        <v>118</v>
      </c>
      <c r="M28" t="s">
        <v>128</v>
      </c>
      <c r="O28" t="s">
        <v>130</v>
      </c>
      <c r="P28">
        <v>2030</v>
      </c>
      <c r="Q28">
        <v>2046</v>
      </c>
      <c r="R28">
        <v>7.0734966592399997E-3</v>
      </c>
      <c r="S28" t="s">
        <v>121</v>
      </c>
      <c r="T28" t="s">
        <v>127</v>
      </c>
    </row>
    <row r="29" spans="1:20" x14ac:dyDescent="0.3">
      <c r="A29" t="str">
        <f t="shared" si="0"/>
        <v>Geothermal|2047|O&amp;M|Direct</v>
      </c>
      <c r="B29" t="s">
        <v>127</v>
      </c>
      <c r="C29" t="s">
        <v>82</v>
      </c>
      <c r="D29" t="s">
        <v>64</v>
      </c>
      <c r="E29" t="s">
        <v>65</v>
      </c>
      <c r="F29" t="s">
        <v>122</v>
      </c>
      <c r="G29">
        <v>2047</v>
      </c>
      <c r="H29">
        <v>7.0445434298399999E-3</v>
      </c>
      <c r="I29">
        <v>7.0445434298399999E-3</v>
      </c>
      <c r="J29" t="s">
        <v>118</v>
      </c>
      <c r="M29" t="s">
        <v>128</v>
      </c>
      <c r="O29" t="s">
        <v>130</v>
      </c>
      <c r="P29">
        <v>2030</v>
      </c>
      <c r="Q29">
        <v>2047</v>
      </c>
      <c r="R29">
        <v>7.0445434298399999E-3</v>
      </c>
      <c r="S29" t="s">
        <v>121</v>
      </c>
      <c r="T29" t="s">
        <v>127</v>
      </c>
    </row>
    <row r="30" spans="1:20" x14ac:dyDescent="0.3">
      <c r="A30" t="str">
        <f t="shared" si="0"/>
        <v>Geothermal|2048|O&amp;M|Direct</v>
      </c>
      <c r="B30" t="s">
        <v>127</v>
      </c>
      <c r="C30" t="s">
        <v>82</v>
      </c>
      <c r="D30" t="s">
        <v>64</v>
      </c>
      <c r="E30" t="s">
        <v>65</v>
      </c>
      <c r="F30" t="s">
        <v>122</v>
      </c>
      <c r="G30">
        <v>2048</v>
      </c>
      <c r="H30">
        <v>7.0155902004499998E-3</v>
      </c>
      <c r="I30">
        <v>7.0155902004499998E-3</v>
      </c>
      <c r="J30" t="s">
        <v>118</v>
      </c>
      <c r="M30" t="s">
        <v>128</v>
      </c>
      <c r="O30" t="s">
        <v>130</v>
      </c>
      <c r="P30">
        <v>2030</v>
      </c>
      <c r="Q30">
        <v>2048</v>
      </c>
      <c r="R30">
        <v>7.0155902004499998E-3</v>
      </c>
      <c r="S30" t="s">
        <v>121</v>
      </c>
      <c r="T30" t="s">
        <v>127</v>
      </c>
    </row>
    <row r="31" spans="1:20" x14ac:dyDescent="0.3">
      <c r="A31" t="str">
        <f t="shared" si="0"/>
        <v>Geothermal|2049|O&amp;M|Direct</v>
      </c>
      <c r="B31" t="s">
        <v>127</v>
      </c>
      <c r="C31" t="s">
        <v>82</v>
      </c>
      <c r="D31" t="s">
        <v>64</v>
      </c>
      <c r="E31" t="s">
        <v>65</v>
      </c>
      <c r="F31" t="s">
        <v>122</v>
      </c>
      <c r="G31">
        <v>2049</v>
      </c>
      <c r="H31">
        <v>6.98663697105E-3</v>
      </c>
      <c r="I31">
        <v>6.98663697105E-3</v>
      </c>
      <c r="J31" t="s">
        <v>118</v>
      </c>
      <c r="M31" t="s">
        <v>128</v>
      </c>
      <c r="O31" t="s">
        <v>130</v>
      </c>
      <c r="P31">
        <v>2030</v>
      </c>
      <c r="Q31">
        <v>2049</v>
      </c>
      <c r="R31">
        <v>6.98663697105E-3</v>
      </c>
      <c r="S31" t="s">
        <v>121</v>
      </c>
      <c r="T31" t="s">
        <v>127</v>
      </c>
    </row>
    <row r="32" spans="1:20" x14ac:dyDescent="0.3">
      <c r="A32" t="str">
        <f t="shared" si="0"/>
        <v>Geothermal|2050|O&amp;M|Direct</v>
      </c>
      <c r="B32" t="s">
        <v>127</v>
      </c>
      <c r="C32" t="s">
        <v>82</v>
      </c>
      <c r="D32" t="s">
        <v>64</v>
      </c>
      <c r="E32" t="s">
        <v>65</v>
      </c>
      <c r="F32" t="s">
        <v>122</v>
      </c>
      <c r="G32">
        <v>2050</v>
      </c>
      <c r="H32">
        <v>6.9576837416500002E-3</v>
      </c>
      <c r="I32">
        <v>6.9576837416500002E-3</v>
      </c>
      <c r="J32" t="s">
        <v>124</v>
      </c>
      <c r="M32" t="s">
        <v>128</v>
      </c>
      <c r="O32" t="s">
        <v>130</v>
      </c>
      <c r="P32">
        <v>2030</v>
      </c>
      <c r="Q32">
        <v>2050</v>
      </c>
      <c r="R32">
        <v>6.9576837416500002E-3</v>
      </c>
      <c r="S32" t="s">
        <v>125</v>
      </c>
      <c r="T32" t="s">
        <v>127</v>
      </c>
    </row>
    <row r="33" spans="1:20" x14ac:dyDescent="0.3">
      <c r="A33" t="str">
        <f t="shared" si="0"/>
        <v>Geothermal|2051|O&amp;M|Direct</v>
      </c>
      <c r="B33" t="s">
        <v>127</v>
      </c>
      <c r="C33" t="s">
        <v>82</v>
      </c>
      <c r="D33" t="s">
        <v>64</v>
      </c>
      <c r="E33" t="s">
        <v>65</v>
      </c>
      <c r="F33" t="s">
        <v>122</v>
      </c>
      <c r="G33">
        <v>2051</v>
      </c>
      <c r="H33">
        <v>6.9576837416500002E-3</v>
      </c>
      <c r="I33">
        <v>6.9576837416500002E-3</v>
      </c>
      <c r="J33" t="s">
        <v>118</v>
      </c>
      <c r="M33" t="s">
        <v>128</v>
      </c>
      <c r="O33" t="s">
        <v>130</v>
      </c>
      <c r="P33">
        <v>2030</v>
      </c>
      <c r="Q33">
        <v>2051</v>
      </c>
      <c r="R33">
        <v>6.9576837416500002E-3</v>
      </c>
      <c r="S33" t="s">
        <v>126</v>
      </c>
      <c r="T33" t="s">
        <v>127</v>
      </c>
    </row>
    <row r="34" spans="1:20" x14ac:dyDescent="0.3">
      <c r="A34" t="str">
        <f t="shared" si="0"/>
        <v>Geothermal|2052|O&amp;M|Direct</v>
      </c>
      <c r="B34" t="s">
        <v>127</v>
      </c>
      <c r="C34" t="s">
        <v>82</v>
      </c>
      <c r="D34" t="s">
        <v>64</v>
      </c>
      <c r="E34" t="s">
        <v>65</v>
      </c>
      <c r="F34" t="s">
        <v>122</v>
      </c>
      <c r="G34">
        <v>2052</v>
      </c>
      <c r="H34">
        <v>6.9576837416500002E-3</v>
      </c>
      <c r="I34">
        <v>6.9576837416500002E-3</v>
      </c>
      <c r="J34" t="s">
        <v>118</v>
      </c>
      <c r="M34" t="s">
        <v>128</v>
      </c>
      <c r="O34" t="s">
        <v>130</v>
      </c>
      <c r="P34">
        <v>2030</v>
      </c>
      <c r="Q34">
        <v>2052</v>
      </c>
      <c r="R34">
        <v>6.9576837416500002E-3</v>
      </c>
      <c r="S34" t="s">
        <v>126</v>
      </c>
      <c r="T34" t="s">
        <v>127</v>
      </c>
    </row>
    <row r="35" spans="1:20" x14ac:dyDescent="0.3">
      <c r="A35" t="str">
        <f t="shared" si="0"/>
        <v>Geothermal|2053|O&amp;M|Direct</v>
      </c>
      <c r="B35" t="s">
        <v>127</v>
      </c>
      <c r="C35" t="s">
        <v>82</v>
      </c>
      <c r="D35" t="s">
        <v>64</v>
      </c>
      <c r="E35" t="s">
        <v>65</v>
      </c>
      <c r="F35" t="s">
        <v>122</v>
      </c>
      <c r="G35">
        <v>2053</v>
      </c>
      <c r="H35">
        <v>6.9576837416500002E-3</v>
      </c>
      <c r="I35">
        <v>6.9576837416500002E-3</v>
      </c>
      <c r="J35" t="s">
        <v>118</v>
      </c>
      <c r="M35" t="s">
        <v>128</v>
      </c>
      <c r="O35" t="s">
        <v>130</v>
      </c>
      <c r="P35">
        <v>2030</v>
      </c>
      <c r="Q35">
        <v>2053</v>
      </c>
      <c r="R35">
        <v>6.9576837416500002E-3</v>
      </c>
      <c r="S35" t="s">
        <v>126</v>
      </c>
      <c r="T35" t="s">
        <v>127</v>
      </c>
    </row>
    <row r="36" spans="1:20" x14ac:dyDescent="0.3">
      <c r="A36" t="str">
        <f t="shared" si="0"/>
        <v>Geothermal|2054|O&amp;M|Direct</v>
      </c>
      <c r="B36" t="s">
        <v>127</v>
      </c>
      <c r="C36" t="s">
        <v>82</v>
      </c>
      <c r="D36" t="s">
        <v>64</v>
      </c>
      <c r="E36" t="s">
        <v>65</v>
      </c>
      <c r="F36" t="s">
        <v>122</v>
      </c>
      <c r="G36">
        <v>2054</v>
      </c>
      <c r="H36">
        <v>6.9576837416500002E-3</v>
      </c>
      <c r="I36">
        <v>6.9576837416500002E-3</v>
      </c>
      <c r="J36" t="s">
        <v>118</v>
      </c>
      <c r="M36" t="s">
        <v>128</v>
      </c>
      <c r="O36" t="s">
        <v>130</v>
      </c>
      <c r="P36">
        <v>2030</v>
      </c>
      <c r="Q36">
        <v>2054</v>
      </c>
      <c r="R36">
        <v>6.9576837416500002E-3</v>
      </c>
      <c r="S36" t="s">
        <v>126</v>
      </c>
      <c r="T36" t="s">
        <v>127</v>
      </c>
    </row>
    <row r="37" spans="1:20" x14ac:dyDescent="0.3">
      <c r="A37" t="str">
        <f t="shared" si="0"/>
        <v>Geothermal|2055|O&amp;M|Direct</v>
      </c>
      <c r="B37" t="s">
        <v>127</v>
      </c>
      <c r="C37" t="s">
        <v>82</v>
      </c>
      <c r="D37" t="s">
        <v>64</v>
      </c>
      <c r="E37" t="s">
        <v>65</v>
      </c>
      <c r="F37" t="s">
        <v>122</v>
      </c>
      <c r="G37">
        <v>2055</v>
      </c>
      <c r="H37">
        <v>6.9576837416500002E-3</v>
      </c>
      <c r="I37">
        <v>6.9576837416500002E-3</v>
      </c>
      <c r="J37" t="s">
        <v>118</v>
      </c>
      <c r="M37" t="s">
        <v>128</v>
      </c>
      <c r="O37" t="s">
        <v>130</v>
      </c>
      <c r="P37">
        <v>2030</v>
      </c>
      <c r="Q37">
        <v>2055</v>
      </c>
      <c r="R37">
        <v>6.9576837416500002E-3</v>
      </c>
      <c r="S37" t="s">
        <v>126</v>
      </c>
      <c r="T37" t="s">
        <v>127</v>
      </c>
    </row>
    <row r="38" spans="1:20" x14ac:dyDescent="0.3">
      <c r="A38" t="str">
        <f t="shared" si="0"/>
        <v>Hydro (large)|2028|Construction&amp;Manufacturing|Direct</v>
      </c>
      <c r="B38" t="s">
        <v>131</v>
      </c>
      <c r="C38" t="s">
        <v>72</v>
      </c>
      <c r="D38" t="s">
        <v>70</v>
      </c>
      <c r="E38" t="s">
        <v>65</v>
      </c>
      <c r="F38" t="s">
        <v>117</v>
      </c>
      <c r="G38">
        <v>2028</v>
      </c>
      <c r="H38">
        <v>11.5612666667</v>
      </c>
      <c r="I38">
        <v>11.5612666667</v>
      </c>
      <c r="J38" t="s">
        <v>118</v>
      </c>
      <c r="K38" t="s">
        <v>132</v>
      </c>
      <c r="M38" t="s">
        <v>133</v>
      </c>
      <c r="O38" t="s">
        <v>134</v>
      </c>
      <c r="P38">
        <v>2030</v>
      </c>
      <c r="Q38">
        <v>2028</v>
      </c>
      <c r="R38">
        <v>11.5612666667</v>
      </c>
      <c r="S38" t="s">
        <v>121</v>
      </c>
      <c r="T38" t="s">
        <v>131</v>
      </c>
    </row>
    <row r="39" spans="1:20" x14ac:dyDescent="0.3">
      <c r="A39" t="str">
        <f t="shared" si="0"/>
        <v>Hydro (large)|2028|O&amp;M|Direct</v>
      </c>
      <c r="B39" t="s">
        <v>131</v>
      </c>
      <c r="C39" t="s">
        <v>72</v>
      </c>
      <c r="D39" t="s">
        <v>64</v>
      </c>
      <c r="E39" t="s">
        <v>65</v>
      </c>
      <c r="F39" t="s">
        <v>122</v>
      </c>
      <c r="G39">
        <v>2028</v>
      </c>
      <c r="H39">
        <v>0.63639999999999997</v>
      </c>
      <c r="I39">
        <v>0.63639999999999997</v>
      </c>
      <c r="J39" t="s">
        <v>118</v>
      </c>
      <c r="K39" t="s">
        <v>132</v>
      </c>
      <c r="M39" t="s">
        <v>133</v>
      </c>
      <c r="O39" t="s">
        <v>135</v>
      </c>
      <c r="P39">
        <v>2030</v>
      </c>
      <c r="Q39">
        <v>2028</v>
      </c>
      <c r="R39">
        <v>0.63639999999999997</v>
      </c>
      <c r="S39" t="s">
        <v>121</v>
      </c>
      <c r="T39" t="s">
        <v>131</v>
      </c>
    </row>
    <row r="40" spans="1:20" x14ac:dyDescent="0.3">
      <c r="A40" t="str">
        <f t="shared" si="0"/>
        <v>Hydro (large)|2029|O&amp;M|Direct</v>
      </c>
      <c r="B40" t="s">
        <v>131</v>
      </c>
      <c r="C40" t="s">
        <v>72</v>
      </c>
      <c r="D40" t="s">
        <v>64</v>
      </c>
      <c r="E40" t="s">
        <v>65</v>
      </c>
      <c r="F40" t="s">
        <v>122</v>
      </c>
      <c r="G40">
        <v>2029</v>
      </c>
      <c r="H40">
        <v>0.63919999999999999</v>
      </c>
      <c r="I40">
        <v>0.63919999999999999</v>
      </c>
      <c r="J40" t="s">
        <v>118</v>
      </c>
      <c r="K40" t="s">
        <v>132</v>
      </c>
      <c r="M40" t="s">
        <v>133</v>
      </c>
      <c r="O40" t="s">
        <v>135</v>
      </c>
      <c r="P40">
        <v>2030</v>
      </c>
      <c r="Q40">
        <v>2029</v>
      </c>
      <c r="R40">
        <v>0.63919999999999999</v>
      </c>
      <c r="S40" t="s">
        <v>121</v>
      </c>
      <c r="T40" t="s">
        <v>131</v>
      </c>
    </row>
    <row r="41" spans="1:20" x14ac:dyDescent="0.3">
      <c r="A41" t="str">
        <f t="shared" si="0"/>
        <v>Hydro (large)|2030|O&amp;M|Direct</v>
      </c>
      <c r="B41" t="s">
        <v>131</v>
      </c>
      <c r="C41" t="s">
        <v>72</v>
      </c>
      <c r="D41" t="s">
        <v>64</v>
      </c>
      <c r="E41" t="s">
        <v>65</v>
      </c>
      <c r="F41" t="s">
        <v>122</v>
      </c>
      <c r="G41">
        <v>2030</v>
      </c>
      <c r="H41">
        <v>0.64200000000000002</v>
      </c>
      <c r="I41">
        <v>0.64200000000000002</v>
      </c>
      <c r="J41" t="s">
        <v>136</v>
      </c>
      <c r="K41" t="s">
        <v>132</v>
      </c>
      <c r="L41">
        <v>1.07</v>
      </c>
      <c r="O41" t="s">
        <v>137</v>
      </c>
      <c r="P41">
        <v>2015</v>
      </c>
      <c r="Q41">
        <v>2030</v>
      </c>
      <c r="R41">
        <v>0.64200000000000002</v>
      </c>
      <c r="S41" t="s">
        <v>125</v>
      </c>
      <c r="T41" t="s">
        <v>131</v>
      </c>
    </row>
    <row r="42" spans="1:20" x14ac:dyDescent="0.3">
      <c r="A42" t="str">
        <f t="shared" si="0"/>
        <v>Hydro (large)|2031|O&amp;M|Direct</v>
      </c>
      <c r="B42" t="s">
        <v>131</v>
      </c>
      <c r="C42" t="s">
        <v>72</v>
      </c>
      <c r="D42" t="s">
        <v>64</v>
      </c>
      <c r="E42" t="s">
        <v>65</v>
      </c>
      <c r="F42" t="s">
        <v>122</v>
      </c>
      <c r="G42">
        <v>2031</v>
      </c>
      <c r="H42">
        <v>0.64182459016399995</v>
      </c>
      <c r="I42">
        <v>0.64182459016399995</v>
      </c>
      <c r="J42" t="s">
        <v>118</v>
      </c>
      <c r="K42" t="s">
        <v>132</v>
      </c>
      <c r="M42" t="s">
        <v>133</v>
      </c>
      <c r="O42" t="s">
        <v>135</v>
      </c>
      <c r="P42">
        <v>2030</v>
      </c>
      <c r="Q42">
        <v>2031</v>
      </c>
      <c r="R42">
        <v>0.64182459016399995</v>
      </c>
      <c r="S42" t="s">
        <v>121</v>
      </c>
      <c r="T42" t="s">
        <v>131</v>
      </c>
    </row>
    <row r="43" spans="1:20" x14ac:dyDescent="0.3">
      <c r="A43" t="str">
        <f t="shared" si="0"/>
        <v>Hydro (large)|2032|O&amp;M|Direct</v>
      </c>
      <c r="B43" t="s">
        <v>131</v>
      </c>
      <c r="C43" t="s">
        <v>72</v>
      </c>
      <c r="D43" t="s">
        <v>64</v>
      </c>
      <c r="E43" t="s">
        <v>65</v>
      </c>
      <c r="F43" t="s">
        <v>122</v>
      </c>
      <c r="G43">
        <v>2032</v>
      </c>
      <c r="H43">
        <v>0.641649180328</v>
      </c>
      <c r="I43">
        <v>0.641649180328</v>
      </c>
      <c r="J43" t="s">
        <v>118</v>
      </c>
      <c r="K43" t="s">
        <v>132</v>
      </c>
      <c r="M43" t="s">
        <v>133</v>
      </c>
      <c r="O43" t="s">
        <v>135</v>
      </c>
      <c r="P43">
        <v>2030</v>
      </c>
      <c r="Q43">
        <v>2032</v>
      </c>
      <c r="R43">
        <v>0.641649180328</v>
      </c>
      <c r="S43" t="s">
        <v>121</v>
      </c>
      <c r="T43" t="s">
        <v>131</v>
      </c>
    </row>
    <row r="44" spans="1:20" x14ac:dyDescent="0.3">
      <c r="A44" t="str">
        <f t="shared" si="0"/>
        <v>Hydro (large)|2033|O&amp;M|Direct</v>
      </c>
      <c r="B44" t="s">
        <v>131</v>
      </c>
      <c r="C44" t="s">
        <v>72</v>
      </c>
      <c r="D44" t="s">
        <v>64</v>
      </c>
      <c r="E44" t="s">
        <v>65</v>
      </c>
      <c r="F44" t="s">
        <v>122</v>
      </c>
      <c r="G44">
        <v>2033</v>
      </c>
      <c r="H44">
        <v>0.64147377049200005</v>
      </c>
      <c r="I44">
        <v>0.64147377049200005</v>
      </c>
      <c r="J44" t="s">
        <v>118</v>
      </c>
      <c r="K44" t="s">
        <v>132</v>
      </c>
      <c r="M44" t="s">
        <v>133</v>
      </c>
      <c r="O44" t="s">
        <v>135</v>
      </c>
      <c r="P44">
        <v>2030</v>
      </c>
      <c r="Q44">
        <v>2033</v>
      </c>
      <c r="R44">
        <v>0.64147377049200005</v>
      </c>
      <c r="S44" t="s">
        <v>121</v>
      </c>
      <c r="T44" t="s">
        <v>131</v>
      </c>
    </row>
    <row r="45" spans="1:20" x14ac:dyDescent="0.3">
      <c r="A45" t="str">
        <f t="shared" si="0"/>
        <v>Hydro (large)|2034|O&amp;M|Direct</v>
      </c>
      <c r="B45" t="s">
        <v>131</v>
      </c>
      <c r="C45" t="s">
        <v>72</v>
      </c>
      <c r="D45" t="s">
        <v>64</v>
      </c>
      <c r="E45" t="s">
        <v>65</v>
      </c>
      <c r="F45" t="s">
        <v>122</v>
      </c>
      <c r="G45">
        <v>2034</v>
      </c>
      <c r="H45">
        <v>0.64129836065599999</v>
      </c>
      <c r="I45">
        <v>0.64129836065599999</v>
      </c>
      <c r="J45" t="s">
        <v>118</v>
      </c>
      <c r="K45" t="s">
        <v>132</v>
      </c>
      <c r="M45" t="s">
        <v>133</v>
      </c>
      <c r="O45" t="s">
        <v>135</v>
      </c>
      <c r="P45">
        <v>2030</v>
      </c>
      <c r="Q45">
        <v>2034</v>
      </c>
      <c r="R45">
        <v>0.64129836065599999</v>
      </c>
      <c r="S45" t="s">
        <v>121</v>
      </c>
      <c r="T45" t="s">
        <v>131</v>
      </c>
    </row>
    <row r="46" spans="1:20" x14ac:dyDescent="0.3">
      <c r="A46" t="str">
        <f t="shared" si="0"/>
        <v>Hydro (large)|2035|O&amp;M|Direct</v>
      </c>
      <c r="B46" t="s">
        <v>131</v>
      </c>
      <c r="C46" t="s">
        <v>72</v>
      </c>
      <c r="D46" t="s">
        <v>64</v>
      </c>
      <c r="E46" t="s">
        <v>65</v>
      </c>
      <c r="F46" t="s">
        <v>122</v>
      </c>
      <c r="G46">
        <v>2035</v>
      </c>
      <c r="H46">
        <v>0.64112295082000004</v>
      </c>
      <c r="I46">
        <v>0.64112295082000004</v>
      </c>
      <c r="J46" t="s">
        <v>118</v>
      </c>
      <c r="K46" t="s">
        <v>132</v>
      </c>
      <c r="M46" t="s">
        <v>133</v>
      </c>
      <c r="O46" t="s">
        <v>135</v>
      </c>
      <c r="P46">
        <v>2030</v>
      </c>
      <c r="Q46">
        <v>2035</v>
      </c>
      <c r="R46">
        <v>0.64112295082000004</v>
      </c>
      <c r="S46" t="s">
        <v>121</v>
      </c>
      <c r="T46" t="s">
        <v>131</v>
      </c>
    </row>
    <row r="47" spans="1:20" x14ac:dyDescent="0.3">
      <c r="A47" t="str">
        <f t="shared" si="0"/>
        <v>Hydro (large)|2036|O&amp;M|Direct</v>
      </c>
      <c r="B47" t="s">
        <v>131</v>
      </c>
      <c r="C47" t="s">
        <v>72</v>
      </c>
      <c r="D47" t="s">
        <v>64</v>
      </c>
      <c r="E47" t="s">
        <v>65</v>
      </c>
      <c r="F47" t="s">
        <v>122</v>
      </c>
      <c r="G47">
        <v>2036</v>
      </c>
      <c r="H47">
        <v>0.64094754098399997</v>
      </c>
      <c r="I47">
        <v>0.64094754098399997</v>
      </c>
      <c r="J47" t="s">
        <v>118</v>
      </c>
      <c r="K47" t="s">
        <v>132</v>
      </c>
      <c r="M47" t="s">
        <v>133</v>
      </c>
      <c r="O47" t="s">
        <v>135</v>
      </c>
      <c r="P47">
        <v>2030</v>
      </c>
      <c r="Q47">
        <v>2036</v>
      </c>
      <c r="R47">
        <v>0.64094754098399997</v>
      </c>
      <c r="S47" t="s">
        <v>121</v>
      </c>
      <c r="T47" t="s">
        <v>131</v>
      </c>
    </row>
    <row r="48" spans="1:20" x14ac:dyDescent="0.3">
      <c r="A48" t="str">
        <f t="shared" si="0"/>
        <v>Hydro (large)|2037|O&amp;M|Direct</v>
      </c>
      <c r="B48" t="s">
        <v>131</v>
      </c>
      <c r="C48" t="s">
        <v>72</v>
      </c>
      <c r="D48" t="s">
        <v>64</v>
      </c>
      <c r="E48" t="s">
        <v>65</v>
      </c>
      <c r="F48" t="s">
        <v>122</v>
      </c>
      <c r="G48">
        <v>2037</v>
      </c>
      <c r="H48">
        <v>0.64077213114800002</v>
      </c>
      <c r="I48">
        <v>0.64077213114800002</v>
      </c>
      <c r="J48" t="s">
        <v>118</v>
      </c>
      <c r="K48" t="s">
        <v>132</v>
      </c>
      <c r="M48" t="s">
        <v>133</v>
      </c>
      <c r="O48" t="s">
        <v>135</v>
      </c>
      <c r="P48">
        <v>2030</v>
      </c>
      <c r="Q48">
        <v>2037</v>
      </c>
      <c r="R48">
        <v>0.64077213114800002</v>
      </c>
      <c r="S48" t="s">
        <v>121</v>
      </c>
      <c r="T48" t="s">
        <v>131</v>
      </c>
    </row>
    <row r="49" spans="1:20" x14ac:dyDescent="0.3">
      <c r="A49" t="str">
        <f t="shared" si="0"/>
        <v>Hydro (large)|2038|O&amp;M|Direct</v>
      </c>
      <c r="B49" t="s">
        <v>131</v>
      </c>
      <c r="C49" t="s">
        <v>72</v>
      </c>
      <c r="D49" t="s">
        <v>64</v>
      </c>
      <c r="E49" t="s">
        <v>65</v>
      </c>
      <c r="F49" t="s">
        <v>122</v>
      </c>
      <c r="G49">
        <v>2038</v>
      </c>
      <c r="H49">
        <v>0.64059672131099998</v>
      </c>
      <c r="I49">
        <v>0.64059672131099998</v>
      </c>
      <c r="J49" t="s">
        <v>118</v>
      </c>
      <c r="K49" t="s">
        <v>132</v>
      </c>
      <c r="M49" t="s">
        <v>133</v>
      </c>
      <c r="O49" t="s">
        <v>135</v>
      </c>
      <c r="P49">
        <v>2030</v>
      </c>
      <c r="Q49">
        <v>2038</v>
      </c>
      <c r="R49">
        <v>0.64059672131099998</v>
      </c>
      <c r="S49" t="s">
        <v>121</v>
      </c>
      <c r="T49" t="s">
        <v>131</v>
      </c>
    </row>
    <row r="50" spans="1:20" x14ac:dyDescent="0.3">
      <c r="A50" t="str">
        <f t="shared" si="0"/>
        <v>Hydro (large)|2039|O&amp;M|Direct</v>
      </c>
      <c r="B50" t="s">
        <v>131</v>
      </c>
      <c r="C50" t="s">
        <v>72</v>
      </c>
      <c r="D50" t="s">
        <v>64</v>
      </c>
      <c r="E50" t="s">
        <v>65</v>
      </c>
      <c r="F50" t="s">
        <v>122</v>
      </c>
      <c r="G50">
        <v>2039</v>
      </c>
      <c r="H50">
        <v>0.64042131147500003</v>
      </c>
      <c r="I50">
        <v>0.64042131147500003</v>
      </c>
      <c r="J50" t="s">
        <v>118</v>
      </c>
      <c r="K50" t="s">
        <v>132</v>
      </c>
      <c r="M50" t="s">
        <v>133</v>
      </c>
      <c r="O50" t="s">
        <v>135</v>
      </c>
      <c r="P50">
        <v>2030</v>
      </c>
      <c r="Q50">
        <v>2039</v>
      </c>
      <c r="R50">
        <v>0.64042131147500003</v>
      </c>
      <c r="S50" t="s">
        <v>121</v>
      </c>
      <c r="T50" t="s">
        <v>131</v>
      </c>
    </row>
    <row r="51" spans="1:20" x14ac:dyDescent="0.3">
      <c r="A51" t="str">
        <f t="shared" si="0"/>
        <v>Hydro (large)|2040|O&amp;M|Direct</v>
      </c>
      <c r="B51" t="s">
        <v>131</v>
      </c>
      <c r="C51" t="s">
        <v>72</v>
      </c>
      <c r="D51" t="s">
        <v>64</v>
      </c>
      <c r="E51" t="s">
        <v>65</v>
      </c>
      <c r="F51" t="s">
        <v>122</v>
      </c>
      <c r="G51">
        <v>2040</v>
      </c>
      <c r="H51">
        <v>0.64024590163899997</v>
      </c>
      <c r="I51">
        <v>0.64024590163899997</v>
      </c>
      <c r="J51" t="s">
        <v>118</v>
      </c>
      <c r="K51" t="s">
        <v>132</v>
      </c>
      <c r="M51" t="s">
        <v>133</v>
      </c>
      <c r="O51" t="s">
        <v>135</v>
      </c>
      <c r="P51">
        <v>2030</v>
      </c>
      <c r="Q51">
        <v>2040</v>
      </c>
      <c r="R51">
        <v>0.64024590163899997</v>
      </c>
      <c r="S51" t="s">
        <v>121</v>
      </c>
      <c r="T51" t="s">
        <v>131</v>
      </c>
    </row>
    <row r="52" spans="1:20" x14ac:dyDescent="0.3">
      <c r="A52" t="str">
        <f t="shared" si="0"/>
        <v>Hydro (large)|2041|O&amp;M|Direct</v>
      </c>
      <c r="B52" t="s">
        <v>131</v>
      </c>
      <c r="C52" t="s">
        <v>72</v>
      </c>
      <c r="D52" t="s">
        <v>64</v>
      </c>
      <c r="E52" t="s">
        <v>65</v>
      </c>
      <c r="F52" t="s">
        <v>122</v>
      </c>
      <c r="G52">
        <v>2041</v>
      </c>
      <c r="H52">
        <v>0.64007049180300002</v>
      </c>
      <c r="I52">
        <v>0.64007049180300002</v>
      </c>
      <c r="J52" t="s">
        <v>118</v>
      </c>
      <c r="K52" t="s">
        <v>132</v>
      </c>
      <c r="M52" t="s">
        <v>133</v>
      </c>
      <c r="O52" t="s">
        <v>135</v>
      </c>
      <c r="P52">
        <v>2030</v>
      </c>
      <c r="Q52">
        <v>2041</v>
      </c>
      <c r="R52">
        <v>0.64007049180300002</v>
      </c>
      <c r="S52" t="s">
        <v>121</v>
      </c>
      <c r="T52" t="s">
        <v>131</v>
      </c>
    </row>
    <row r="53" spans="1:20" x14ac:dyDescent="0.3">
      <c r="A53" t="str">
        <f t="shared" si="0"/>
        <v>Hydro (large)|2042|O&amp;M|Direct</v>
      </c>
      <c r="B53" t="s">
        <v>131</v>
      </c>
      <c r="C53" t="s">
        <v>72</v>
      </c>
      <c r="D53" t="s">
        <v>64</v>
      </c>
      <c r="E53" t="s">
        <v>65</v>
      </c>
      <c r="F53" t="s">
        <v>122</v>
      </c>
      <c r="G53">
        <v>2042</v>
      </c>
      <c r="H53">
        <v>0.63989508196699996</v>
      </c>
      <c r="I53">
        <v>0.63989508196699996</v>
      </c>
      <c r="J53" t="s">
        <v>118</v>
      </c>
      <c r="K53" t="s">
        <v>132</v>
      </c>
      <c r="M53" t="s">
        <v>133</v>
      </c>
      <c r="O53" t="s">
        <v>135</v>
      </c>
      <c r="P53">
        <v>2030</v>
      </c>
      <c r="Q53">
        <v>2042</v>
      </c>
      <c r="R53">
        <v>0.63989508196699996</v>
      </c>
      <c r="S53" t="s">
        <v>121</v>
      </c>
      <c r="T53" t="s">
        <v>131</v>
      </c>
    </row>
    <row r="54" spans="1:20" x14ac:dyDescent="0.3">
      <c r="A54" t="str">
        <f t="shared" si="0"/>
        <v>Hydro (large)|2043|O&amp;M|Direct</v>
      </c>
      <c r="B54" t="s">
        <v>131</v>
      </c>
      <c r="C54" t="s">
        <v>72</v>
      </c>
      <c r="D54" t="s">
        <v>64</v>
      </c>
      <c r="E54" t="s">
        <v>65</v>
      </c>
      <c r="F54" t="s">
        <v>122</v>
      </c>
      <c r="G54">
        <v>2043</v>
      </c>
      <c r="H54">
        <v>0.63971967213100001</v>
      </c>
      <c r="I54">
        <v>0.63971967213100001</v>
      </c>
      <c r="J54" t="s">
        <v>118</v>
      </c>
      <c r="K54" t="s">
        <v>132</v>
      </c>
      <c r="M54" t="s">
        <v>133</v>
      </c>
      <c r="O54" t="s">
        <v>135</v>
      </c>
      <c r="P54">
        <v>2030</v>
      </c>
      <c r="Q54">
        <v>2043</v>
      </c>
      <c r="R54">
        <v>0.63971967213100001</v>
      </c>
      <c r="S54" t="s">
        <v>121</v>
      </c>
      <c r="T54" t="s">
        <v>131</v>
      </c>
    </row>
    <row r="55" spans="1:20" x14ac:dyDescent="0.3">
      <c r="A55" t="str">
        <f t="shared" si="0"/>
        <v>Hydro (large)|2044|O&amp;M|Direct</v>
      </c>
      <c r="B55" t="s">
        <v>131</v>
      </c>
      <c r="C55" t="s">
        <v>72</v>
      </c>
      <c r="D55" t="s">
        <v>64</v>
      </c>
      <c r="E55" t="s">
        <v>65</v>
      </c>
      <c r="F55" t="s">
        <v>122</v>
      </c>
      <c r="G55">
        <v>2044</v>
      </c>
      <c r="H55">
        <v>0.63954426229500005</v>
      </c>
      <c r="I55">
        <v>0.63954426229500005</v>
      </c>
      <c r="J55" t="s">
        <v>118</v>
      </c>
      <c r="K55" t="s">
        <v>132</v>
      </c>
      <c r="M55" t="s">
        <v>133</v>
      </c>
      <c r="O55" t="s">
        <v>135</v>
      </c>
      <c r="P55">
        <v>2030</v>
      </c>
      <c r="Q55">
        <v>2044</v>
      </c>
      <c r="R55">
        <v>0.63954426229500005</v>
      </c>
      <c r="S55" t="s">
        <v>121</v>
      </c>
      <c r="T55" t="s">
        <v>131</v>
      </c>
    </row>
    <row r="56" spans="1:20" x14ac:dyDescent="0.3">
      <c r="A56" t="str">
        <f t="shared" si="0"/>
        <v>Hydro (large)|2045|O&amp;M|Direct</v>
      </c>
      <c r="B56" t="s">
        <v>131</v>
      </c>
      <c r="C56" t="s">
        <v>72</v>
      </c>
      <c r="D56" t="s">
        <v>64</v>
      </c>
      <c r="E56" t="s">
        <v>65</v>
      </c>
      <c r="F56" t="s">
        <v>122</v>
      </c>
      <c r="G56">
        <v>2045</v>
      </c>
      <c r="H56">
        <v>0.63936885245899999</v>
      </c>
      <c r="I56">
        <v>0.63936885245899999</v>
      </c>
      <c r="J56" t="s">
        <v>118</v>
      </c>
      <c r="K56" t="s">
        <v>132</v>
      </c>
      <c r="M56" t="s">
        <v>133</v>
      </c>
      <c r="O56" t="s">
        <v>135</v>
      </c>
      <c r="P56">
        <v>2030</v>
      </c>
      <c r="Q56">
        <v>2045</v>
      </c>
      <c r="R56">
        <v>0.63936885245899999</v>
      </c>
      <c r="S56" t="s">
        <v>121</v>
      </c>
      <c r="T56" t="s">
        <v>131</v>
      </c>
    </row>
    <row r="57" spans="1:20" x14ac:dyDescent="0.3">
      <c r="A57" t="str">
        <f t="shared" si="0"/>
        <v>Hydro (large)|2046|O&amp;M|Direct</v>
      </c>
      <c r="B57" t="s">
        <v>131</v>
      </c>
      <c r="C57" t="s">
        <v>72</v>
      </c>
      <c r="D57" t="s">
        <v>64</v>
      </c>
      <c r="E57" t="s">
        <v>65</v>
      </c>
      <c r="F57" t="s">
        <v>122</v>
      </c>
      <c r="G57">
        <v>2046</v>
      </c>
      <c r="H57">
        <v>0.63919344262300004</v>
      </c>
      <c r="I57">
        <v>0.63919344262300004</v>
      </c>
      <c r="J57" t="s">
        <v>118</v>
      </c>
      <c r="K57" t="s">
        <v>132</v>
      </c>
      <c r="M57" t="s">
        <v>133</v>
      </c>
      <c r="O57" t="s">
        <v>135</v>
      </c>
      <c r="P57">
        <v>2030</v>
      </c>
      <c r="Q57">
        <v>2046</v>
      </c>
      <c r="R57">
        <v>0.63919344262300004</v>
      </c>
      <c r="S57" t="s">
        <v>121</v>
      </c>
      <c r="T57" t="s">
        <v>131</v>
      </c>
    </row>
    <row r="58" spans="1:20" x14ac:dyDescent="0.3">
      <c r="A58" t="str">
        <f t="shared" si="0"/>
        <v>Hydro (large)|2047|O&amp;M|Direct</v>
      </c>
      <c r="B58" t="s">
        <v>131</v>
      </c>
      <c r="C58" t="s">
        <v>72</v>
      </c>
      <c r="D58" t="s">
        <v>64</v>
      </c>
      <c r="E58" t="s">
        <v>65</v>
      </c>
      <c r="F58" t="s">
        <v>122</v>
      </c>
      <c r="G58">
        <v>2047</v>
      </c>
      <c r="H58">
        <v>0.63901803278699998</v>
      </c>
      <c r="I58">
        <v>0.63901803278699998</v>
      </c>
      <c r="J58" t="s">
        <v>118</v>
      </c>
      <c r="K58" t="s">
        <v>132</v>
      </c>
      <c r="M58" t="s">
        <v>133</v>
      </c>
      <c r="O58" t="s">
        <v>135</v>
      </c>
      <c r="P58">
        <v>2030</v>
      </c>
      <c r="Q58">
        <v>2047</v>
      </c>
      <c r="R58">
        <v>0.63901803278699998</v>
      </c>
      <c r="S58" t="s">
        <v>121</v>
      </c>
      <c r="T58" t="s">
        <v>131</v>
      </c>
    </row>
    <row r="59" spans="1:20" x14ac:dyDescent="0.3">
      <c r="A59" t="str">
        <f t="shared" si="0"/>
        <v>Hydro (large)|2048|O&amp;M|Direct</v>
      </c>
      <c r="B59" t="s">
        <v>131</v>
      </c>
      <c r="C59" t="s">
        <v>72</v>
      </c>
      <c r="D59" t="s">
        <v>64</v>
      </c>
      <c r="E59" t="s">
        <v>65</v>
      </c>
      <c r="F59" t="s">
        <v>122</v>
      </c>
      <c r="G59">
        <v>2048</v>
      </c>
      <c r="H59">
        <v>0.63884262295100003</v>
      </c>
      <c r="I59">
        <v>0.63884262295100003</v>
      </c>
      <c r="J59" t="s">
        <v>118</v>
      </c>
      <c r="K59" t="s">
        <v>132</v>
      </c>
      <c r="M59" t="s">
        <v>133</v>
      </c>
      <c r="O59" t="s">
        <v>135</v>
      </c>
      <c r="P59">
        <v>2030</v>
      </c>
      <c r="Q59">
        <v>2048</v>
      </c>
      <c r="R59">
        <v>0.63884262295100003</v>
      </c>
      <c r="S59" t="s">
        <v>121</v>
      </c>
      <c r="T59" t="s">
        <v>131</v>
      </c>
    </row>
    <row r="60" spans="1:20" x14ac:dyDescent="0.3">
      <c r="A60" t="str">
        <f t="shared" si="0"/>
        <v>Hydro (large)|2049|O&amp;M|Direct</v>
      </c>
      <c r="B60" t="s">
        <v>131</v>
      </c>
      <c r="C60" t="s">
        <v>72</v>
      </c>
      <c r="D60" t="s">
        <v>64</v>
      </c>
      <c r="E60" t="s">
        <v>65</v>
      </c>
      <c r="F60" t="s">
        <v>122</v>
      </c>
      <c r="G60">
        <v>2049</v>
      </c>
      <c r="H60">
        <v>0.63866721311499997</v>
      </c>
      <c r="I60">
        <v>0.63866721311499997</v>
      </c>
      <c r="J60" t="s">
        <v>118</v>
      </c>
      <c r="K60" t="s">
        <v>132</v>
      </c>
      <c r="M60" t="s">
        <v>133</v>
      </c>
      <c r="O60" t="s">
        <v>135</v>
      </c>
      <c r="P60">
        <v>2030</v>
      </c>
      <c r="Q60">
        <v>2049</v>
      </c>
      <c r="R60">
        <v>0.63866721311499997</v>
      </c>
      <c r="S60" t="s">
        <v>121</v>
      </c>
      <c r="T60" t="s">
        <v>131</v>
      </c>
    </row>
    <row r="61" spans="1:20" x14ac:dyDescent="0.3">
      <c r="A61" t="str">
        <f t="shared" si="0"/>
        <v>Hydro (large)|2050|O&amp;M|Direct</v>
      </c>
      <c r="B61" t="s">
        <v>131</v>
      </c>
      <c r="C61" t="s">
        <v>72</v>
      </c>
      <c r="D61" t="s">
        <v>64</v>
      </c>
      <c r="E61" t="s">
        <v>65</v>
      </c>
      <c r="F61" t="s">
        <v>122</v>
      </c>
      <c r="G61">
        <v>2050</v>
      </c>
      <c r="H61">
        <v>0.63849180327900001</v>
      </c>
      <c r="I61">
        <v>0.63849180327900001</v>
      </c>
      <c r="J61" t="s">
        <v>124</v>
      </c>
      <c r="K61" t="s">
        <v>132</v>
      </c>
      <c r="M61" t="s">
        <v>133</v>
      </c>
      <c r="O61" t="s">
        <v>135</v>
      </c>
      <c r="P61">
        <v>2030</v>
      </c>
      <c r="Q61">
        <v>2050</v>
      </c>
      <c r="R61">
        <v>0.63849180327900001</v>
      </c>
      <c r="S61" t="s">
        <v>125</v>
      </c>
      <c r="T61" t="s">
        <v>131</v>
      </c>
    </row>
    <row r="62" spans="1:20" x14ac:dyDescent="0.3">
      <c r="A62" t="str">
        <f t="shared" si="0"/>
        <v>Hydro (large)|2051|O&amp;M|Direct</v>
      </c>
      <c r="B62" t="s">
        <v>131</v>
      </c>
      <c r="C62" t="s">
        <v>72</v>
      </c>
      <c r="D62" t="s">
        <v>64</v>
      </c>
      <c r="E62" t="s">
        <v>65</v>
      </c>
      <c r="F62" t="s">
        <v>122</v>
      </c>
      <c r="G62">
        <v>2051</v>
      </c>
      <c r="H62">
        <v>0.63849180327900001</v>
      </c>
      <c r="I62">
        <v>0.63849180327900001</v>
      </c>
      <c r="J62" t="s">
        <v>118</v>
      </c>
      <c r="K62" t="s">
        <v>132</v>
      </c>
      <c r="M62" t="s">
        <v>133</v>
      </c>
      <c r="O62" t="s">
        <v>135</v>
      </c>
      <c r="P62">
        <v>2030</v>
      </c>
      <c r="Q62">
        <v>2051</v>
      </c>
      <c r="R62">
        <v>0.63849180327900001</v>
      </c>
      <c r="S62" t="s">
        <v>126</v>
      </c>
      <c r="T62" t="s">
        <v>131</v>
      </c>
    </row>
    <row r="63" spans="1:20" x14ac:dyDescent="0.3">
      <c r="A63" t="str">
        <f t="shared" si="0"/>
        <v>Hydro (large)|2052|O&amp;M|Direct</v>
      </c>
      <c r="B63" t="s">
        <v>131</v>
      </c>
      <c r="C63" t="s">
        <v>72</v>
      </c>
      <c r="D63" t="s">
        <v>64</v>
      </c>
      <c r="E63" t="s">
        <v>65</v>
      </c>
      <c r="F63" t="s">
        <v>122</v>
      </c>
      <c r="G63">
        <v>2052</v>
      </c>
      <c r="H63">
        <v>0.63849180327900001</v>
      </c>
      <c r="I63">
        <v>0.63849180327900001</v>
      </c>
      <c r="J63" t="s">
        <v>118</v>
      </c>
      <c r="K63" t="s">
        <v>132</v>
      </c>
      <c r="M63" t="s">
        <v>133</v>
      </c>
      <c r="O63" t="s">
        <v>135</v>
      </c>
      <c r="P63">
        <v>2030</v>
      </c>
      <c r="Q63">
        <v>2052</v>
      </c>
      <c r="R63">
        <v>0.63849180327900001</v>
      </c>
      <c r="S63" t="s">
        <v>126</v>
      </c>
      <c r="T63" t="s">
        <v>131</v>
      </c>
    </row>
    <row r="64" spans="1:20" x14ac:dyDescent="0.3">
      <c r="A64" t="str">
        <f t="shared" si="0"/>
        <v>Hydro (large)|2053|O&amp;M|Direct</v>
      </c>
      <c r="B64" t="s">
        <v>131</v>
      </c>
      <c r="C64" t="s">
        <v>72</v>
      </c>
      <c r="D64" t="s">
        <v>64</v>
      </c>
      <c r="E64" t="s">
        <v>65</v>
      </c>
      <c r="F64" t="s">
        <v>122</v>
      </c>
      <c r="G64">
        <v>2053</v>
      </c>
      <c r="H64">
        <v>0.63849180327900001</v>
      </c>
      <c r="I64">
        <v>0.63849180327900001</v>
      </c>
      <c r="J64" t="s">
        <v>118</v>
      </c>
      <c r="K64" t="s">
        <v>132</v>
      </c>
      <c r="M64" t="s">
        <v>133</v>
      </c>
      <c r="O64" t="s">
        <v>135</v>
      </c>
      <c r="P64">
        <v>2030</v>
      </c>
      <c r="Q64">
        <v>2053</v>
      </c>
      <c r="R64">
        <v>0.63849180327900001</v>
      </c>
      <c r="S64" t="s">
        <v>126</v>
      </c>
      <c r="T64" t="s">
        <v>131</v>
      </c>
    </row>
    <row r="65" spans="1:20" x14ac:dyDescent="0.3">
      <c r="A65" t="str">
        <f t="shared" si="0"/>
        <v>Hydro (large)|2054|O&amp;M|Direct</v>
      </c>
      <c r="B65" t="s">
        <v>131</v>
      </c>
      <c r="C65" t="s">
        <v>72</v>
      </c>
      <c r="D65" t="s">
        <v>64</v>
      </c>
      <c r="E65" t="s">
        <v>65</v>
      </c>
      <c r="F65" t="s">
        <v>122</v>
      </c>
      <c r="G65">
        <v>2054</v>
      </c>
      <c r="H65">
        <v>0.63849180327900001</v>
      </c>
      <c r="I65">
        <v>0.63849180327900001</v>
      </c>
      <c r="J65" t="s">
        <v>118</v>
      </c>
      <c r="K65" t="s">
        <v>132</v>
      </c>
      <c r="M65" t="s">
        <v>133</v>
      </c>
      <c r="O65" t="s">
        <v>135</v>
      </c>
      <c r="P65">
        <v>2030</v>
      </c>
      <c r="Q65">
        <v>2054</v>
      </c>
      <c r="R65">
        <v>0.63849180327900001</v>
      </c>
      <c r="S65" t="s">
        <v>126</v>
      </c>
      <c r="T65" t="s">
        <v>131</v>
      </c>
    </row>
    <row r="66" spans="1:20" x14ac:dyDescent="0.3">
      <c r="A66" t="str">
        <f t="shared" ref="A66:A129" si="1">C66&amp;"|"&amp;G66&amp;"|"&amp;D66&amp;"|"&amp;E66</f>
        <v>Hydro (large)|2055|O&amp;M|Direct</v>
      </c>
      <c r="B66" t="s">
        <v>131</v>
      </c>
      <c r="C66" t="s">
        <v>72</v>
      </c>
      <c r="D66" t="s">
        <v>64</v>
      </c>
      <c r="E66" t="s">
        <v>65</v>
      </c>
      <c r="F66" t="s">
        <v>122</v>
      </c>
      <c r="G66">
        <v>2055</v>
      </c>
      <c r="H66">
        <v>0.63849180327900001</v>
      </c>
      <c r="I66">
        <v>0.63849180327900001</v>
      </c>
      <c r="J66" t="s">
        <v>118</v>
      </c>
      <c r="K66" t="s">
        <v>132</v>
      </c>
      <c r="M66" t="s">
        <v>133</v>
      </c>
      <c r="O66" t="s">
        <v>135</v>
      </c>
      <c r="P66">
        <v>2030</v>
      </c>
      <c r="Q66">
        <v>2055</v>
      </c>
      <c r="R66">
        <v>0.63849180327900001</v>
      </c>
      <c r="S66" t="s">
        <v>126</v>
      </c>
      <c r="T66" t="s">
        <v>131</v>
      </c>
    </row>
    <row r="67" spans="1:20" x14ac:dyDescent="0.3">
      <c r="A67" t="str">
        <f t="shared" si="1"/>
        <v>Hydro (small)|2040|Construction&amp;Manufacturing|Direct</v>
      </c>
      <c r="B67" t="s">
        <v>131</v>
      </c>
      <c r="C67" t="s">
        <v>75</v>
      </c>
      <c r="D67" t="s">
        <v>70</v>
      </c>
      <c r="E67" t="s">
        <v>65</v>
      </c>
      <c r="F67" t="s">
        <v>117</v>
      </c>
      <c r="G67">
        <v>2040</v>
      </c>
      <c r="H67">
        <v>28.496301703899999</v>
      </c>
      <c r="I67">
        <v>28.496301703899999</v>
      </c>
      <c r="J67" t="s">
        <v>118</v>
      </c>
      <c r="K67" t="s">
        <v>138</v>
      </c>
      <c r="M67" t="s">
        <v>139</v>
      </c>
      <c r="O67" t="s">
        <v>134</v>
      </c>
      <c r="P67">
        <v>2030</v>
      </c>
      <c r="Q67">
        <v>2040</v>
      </c>
      <c r="R67">
        <v>28.496301703899999</v>
      </c>
      <c r="S67" t="s">
        <v>121</v>
      </c>
      <c r="T67" t="s">
        <v>131</v>
      </c>
    </row>
    <row r="68" spans="1:20" x14ac:dyDescent="0.3">
      <c r="A68" t="str">
        <f t="shared" si="1"/>
        <v>Hydro (small)|2041|Construction&amp;Manufacturing|Direct</v>
      </c>
      <c r="B68" t="s">
        <v>131</v>
      </c>
      <c r="C68" t="s">
        <v>75</v>
      </c>
      <c r="D68" t="s">
        <v>70</v>
      </c>
      <c r="E68" t="s">
        <v>65</v>
      </c>
      <c r="F68" t="s">
        <v>117</v>
      </c>
      <c r="G68">
        <v>2041</v>
      </c>
      <c r="H68">
        <v>28.4890318743</v>
      </c>
      <c r="I68">
        <v>28.4890318743</v>
      </c>
      <c r="J68" t="s">
        <v>118</v>
      </c>
      <c r="K68" t="s">
        <v>138</v>
      </c>
      <c r="M68" t="s">
        <v>139</v>
      </c>
      <c r="O68" t="s">
        <v>134</v>
      </c>
      <c r="P68">
        <v>2030</v>
      </c>
      <c r="Q68">
        <v>2041</v>
      </c>
      <c r="R68">
        <v>28.4890318743</v>
      </c>
      <c r="S68" t="s">
        <v>121</v>
      </c>
      <c r="T68" t="s">
        <v>131</v>
      </c>
    </row>
    <row r="69" spans="1:20" x14ac:dyDescent="0.3">
      <c r="A69" t="str">
        <f t="shared" si="1"/>
        <v>Hydro (small)|2047|Construction&amp;Manufacturing|Direct</v>
      </c>
      <c r="B69" t="s">
        <v>131</v>
      </c>
      <c r="C69" t="s">
        <v>75</v>
      </c>
      <c r="D69" t="s">
        <v>70</v>
      </c>
      <c r="E69" t="s">
        <v>65</v>
      </c>
      <c r="F69" t="s">
        <v>117</v>
      </c>
      <c r="G69">
        <v>2047</v>
      </c>
      <c r="H69">
        <v>28.445412896699999</v>
      </c>
      <c r="I69">
        <v>28.445412896699999</v>
      </c>
      <c r="J69" t="s">
        <v>118</v>
      </c>
      <c r="K69" t="s">
        <v>138</v>
      </c>
      <c r="M69" t="s">
        <v>139</v>
      </c>
      <c r="O69" t="s">
        <v>134</v>
      </c>
      <c r="P69">
        <v>2030</v>
      </c>
      <c r="Q69">
        <v>2047</v>
      </c>
      <c r="R69">
        <v>28.445412896699999</v>
      </c>
      <c r="S69" t="s">
        <v>121</v>
      </c>
      <c r="T69" t="s">
        <v>131</v>
      </c>
    </row>
    <row r="70" spans="1:20" x14ac:dyDescent="0.3">
      <c r="A70" t="str">
        <f t="shared" si="1"/>
        <v>Hydro (small)|2048|Construction&amp;Manufacturing|Direct</v>
      </c>
      <c r="B70" t="s">
        <v>131</v>
      </c>
      <c r="C70" t="s">
        <v>75</v>
      </c>
      <c r="D70" t="s">
        <v>70</v>
      </c>
      <c r="E70" t="s">
        <v>65</v>
      </c>
      <c r="F70" t="s">
        <v>117</v>
      </c>
      <c r="G70">
        <v>2048</v>
      </c>
      <c r="H70">
        <v>28.4381430671</v>
      </c>
      <c r="I70">
        <v>28.4381430671</v>
      </c>
      <c r="J70" t="s">
        <v>118</v>
      </c>
      <c r="K70" t="s">
        <v>138</v>
      </c>
      <c r="M70" t="s">
        <v>139</v>
      </c>
      <c r="O70" t="s">
        <v>134</v>
      </c>
      <c r="P70">
        <v>2030</v>
      </c>
      <c r="Q70">
        <v>2048</v>
      </c>
      <c r="R70">
        <v>28.4381430671</v>
      </c>
      <c r="S70" t="s">
        <v>121</v>
      </c>
      <c r="T70" t="s">
        <v>131</v>
      </c>
    </row>
    <row r="71" spans="1:20" x14ac:dyDescent="0.3">
      <c r="A71" t="str">
        <f t="shared" si="1"/>
        <v>Hydro (small)|2040|O&amp;M|Direct</v>
      </c>
      <c r="B71" t="s">
        <v>131</v>
      </c>
      <c r="C71" t="s">
        <v>75</v>
      </c>
      <c r="D71" t="s">
        <v>64</v>
      </c>
      <c r="E71" t="s">
        <v>65</v>
      </c>
      <c r="F71" t="s">
        <v>122</v>
      </c>
      <c r="G71">
        <v>2040</v>
      </c>
      <c r="H71">
        <v>5.2272078313300003</v>
      </c>
      <c r="I71">
        <v>5.2272078313300003</v>
      </c>
      <c r="J71" t="s">
        <v>118</v>
      </c>
      <c r="K71" t="s">
        <v>138</v>
      </c>
      <c r="M71" t="s">
        <v>139</v>
      </c>
      <c r="O71" t="s">
        <v>140</v>
      </c>
      <c r="P71">
        <v>2030</v>
      </c>
      <c r="Q71">
        <v>2040</v>
      </c>
      <c r="R71">
        <v>5.2272078313300003</v>
      </c>
      <c r="S71" t="s">
        <v>121</v>
      </c>
      <c r="T71" t="s">
        <v>131</v>
      </c>
    </row>
    <row r="72" spans="1:20" x14ac:dyDescent="0.3">
      <c r="A72" t="str">
        <f t="shared" si="1"/>
        <v>Hydro (small)|2041|O&amp;M|Direct</v>
      </c>
      <c r="B72" t="s">
        <v>131</v>
      </c>
      <c r="C72" t="s">
        <v>75</v>
      </c>
      <c r="D72" t="s">
        <v>64</v>
      </c>
      <c r="E72" t="s">
        <v>65</v>
      </c>
      <c r="F72" t="s">
        <v>122</v>
      </c>
      <c r="G72">
        <v>2041</v>
      </c>
      <c r="H72">
        <v>5.2256286144599997</v>
      </c>
      <c r="I72">
        <v>5.2256286144599997</v>
      </c>
      <c r="J72" t="s">
        <v>118</v>
      </c>
      <c r="K72" t="s">
        <v>138</v>
      </c>
      <c r="M72" t="s">
        <v>139</v>
      </c>
      <c r="O72" t="s">
        <v>140</v>
      </c>
      <c r="P72">
        <v>2030</v>
      </c>
      <c r="Q72">
        <v>2041</v>
      </c>
      <c r="R72">
        <v>5.2256286144599997</v>
      </c>
      <c r="S72" t="s">
        <v>121</v>
      </c>
      <c r="T72" t="s">
        <v>131</v>
      </c>
    </row>
    <row r="73" spans="1:20" x14ac:dyDescent="0.3">
      <c r="A73" t="str">
        <f t="shared" si="1"/>
        <v>Hydro (small)|2042|O&amp;M|Direct</v>
      </c>
      <c r="B73" t="s">
        <v>131</v>
      </c>
      <c r="C73" t="s">
        <v>75</v>
      </c>
      <c r="D73" t="s">
        <v>64</v>
      </c>
      <c r="E73" t="s">
        <v>65</v>
      </c>
      <c r="F73" t="s">
        <v>122</v>
      </c>
      <c r="G73">
        <v>2042</v>
      </c>
      <c r="H73">
        <v>5.22404939759</v>
      </c>
      <c r="I73">
        <v>5.22404939759</v>
      </c>
      <c r="J73" t="s">
        <v>118</v>
      </c>
      <c r="K73" t="s">
        <v>138</v>
      </c>
      <c r="M73" t="s">
        <v>139</v>
      </c>
      <c r="O73" t="s">
        <v>140</v>
      </c>
      <c r="P73">
        <v>2030</v>
      </c>
      <c r="Q73">
        <v>2042</v>
      </c>
      <c r="R73">
        <v>5.22404939759</v>
      </c>
      <c r="S73" t="s">
        <v>121</v>
      </c>
      <c r="T73" t="s">
        <v>131</v>
      </c>
    </row>
    <row r="74" spans="1:20" x14ac:dyDescent="0.3">
      <c r="A74" t="str">
        <f t="shared" si="1"/>
        <v>Hydro (small)|2043|O&amp;M|Direct</v>
      </c>
      <c r="B74" t="s">
        <v>131</v>
      </c>
      <c r="C74" t="s">
        <v>75</v>
      </c>
      <c r="D74" t="s">
        <v>64</v>
      </c>
      <c r="E74" t="s">
        <v>65</v>
      </c>
      <c r="F74" t="s">
        <v>122</v>
      </c>
      <c r="G74">
        <v>2043</v>
      </c>
      <c r="H74">
        <v>5.2224701807200002</v>
      </c>
      <c r="I74">
        <v>5.2224701807200002</v>
      </c>
      <c r="J74" t="s">
        <v>118</v>
      </c>
      <c r="K74" t="s">
        <v>138</v>
      </c>
      <c r="M74" t="s">
        <v>139</v>
      </c>
      <c r="O74" t="s">
        <v>140</v>
      </c>
      <c r="P74">
        <v>2030</v>
      </c>
      <c r="Q74">
        <v>2043</v>
      </c>
      <c r="R74">
        <v>5.2224701807200002</v>
      </c>
      <c r="S74" t="s">
        <v>121</v>
      </c>
      <c r="T74" t="s">
        <v>131</v>
      </c>
    </row>
    <row r="75" spans="1:20" x14ac:dyDescent="0.3">
      <c r="A75" t="str">
        <f t="shared" si="1"/>
        <v>Hydro (small)|2044|O&amp;M|Direct</v>
      </c>
      <c r="B75" t="s">
        <v>131</v>
      </c>
      <c r="C75" t="s">
        <v>75</v>
      </c>
      <c r="D75" t="s">
        <v>64</v>
      </c>
      <c r="E75" t="s">
        <v>65</v>
      </c>
      <c r="F75" t="s">
        <v>122</v>
      </c>
      <c r="G75">
        <v>2044</v>
      </c>
      <c r="H75">
        <v>5.2208909638599996</v>
      </c>
      <c r="I75">
        <v>5.2208909638599996</v>
      </c>
      <c r="J75" t="s">
        <v>118</v>
      </c>
      <c r="K75" t="s">
        <v>138</v>
      </c>
      <c r="M75" t="s">
        <v>139</v>
      </c>
      <c r="O75" t="s">
        <v>140</v>
      </c>
      <c r="P75">
        <v>2030</v>
      </c>
      <c r="Q75">
        <v>2044</v>
      </c>
      <c r="R75">
        <v>5.2208909638599996</v>
      </c>
      <c r="S75" t="s">
        <v>121</v>
      </c>
      <c r="T75" t="s">
        <v>131</v>
      </c>
    </row>
    <row r="76" spans="1:20" x14ac:dyDescent="0.3">
      <c r="A76" t="str">
        <f t="shared" si="1"/>
        <v>Hydro (small)|2045|O&amp;M|Direct</v>
      </c>
      <c r="B76" t="s">
        <v>131</v>
      </c>
      <c r="C76" t="s">
        <v>75</v>
      </c>
      <c r="D76" t="s">
        <v>64</v>
      </c>
      <c r="E76" t="s">
        <v>65</v>
      </c>
      <c r="F76" t="s">
        <v>122</v>
      </c>
      <c r="G76">
        <v>2045</v>
      </c>
      <c r="H76">
        <v>5.2193117469899999</v>
      </c>
      <c r="I76">
        <v>5.2193117469899999</v>
      </c>
      <c r="J76" t="s">
        <v>118</v>
      </c>
      <c r="K76" t="s">
        <v>138</v>
      </c>
      <c r="M76" t="s">
        <v>139</v>
      </c>
      <c r="O76" t="s">
        <v>140</v>
      </c>
      <c r="P76">
        <v>2030</v>
      </c>
      <c r="Q76">
        <v>2045</v>
      </c>
      <c r="R76">
        <v>5.2193117469899999</v>
      </c>
      <c r="S76" t="s">
        <v>121</v>
      </c>
      <c r="T76" t="s">
        <v>131</v>
      </c>
    </row>
    <row r="77" spans="1:20" x14ac:dyDescent="0.3">
      <c r="A77" t="str">
        <f t="shared" si="1"/>
        <v>Hydro (small)|2046|O&amp;M|Direct</v>
      </c>
      <c r="B77" t="s">
        <v>131</v>
      </c>
      <c r="C77" t="s">
        <v>75</v>
      </c>
      <c r="D77" t="s">
        <v>64</v>
      </c>
      <c r="E77" t="s">
        <v>65</v>
      </c>
      <c r="F77" t="s">
        <v>122</v>
      </c>
      <c r="G77">
        <v>2046</v>
      </c>
      <c r="H77">
        <v>5.2177325301200002</v>
      </c>
      <c r="I77">
        <v>5.2177325301200002</v>
      </c>
      <c r="J77" t="s">
        <v>118</v>
      </c>
      <c r="K77" t="s">
        <v>138</v>
      </c>
      <c r="M77" t="s">
        <v>139</v>
      </c>
      <c r="O77" t="s">
        <v>140</v>
      </c>
      <c r="P77">
        <v>2030</v>
      </c>
      <c r="Q77">
        <v>2046</v>
      </c>
      <c r="R77">
        <v>5.2177325301200002</v>
      </c>
      <c r="S77" t="s">
        <v>121</v>
      </c>
      <c r="T77" t="s">
        <v>131</v>
      </c>
    </row>
    <row r="78" spans="1:20" x14ac:dyDescent="0.3">
      <c r="A78" t="str">
        <f t="shared" si="1"/>
        <v>Hydro (small)|2047|O&amp;M|Direct</v>
      </c>
      <c r="B78" t="s">
        <v>131</v>
      </c>
      <c r="C78" t="s">
        <v>75</v>
      </c>
      <c r="D78" t="s">
        <v>64</v>
      </c>
      <c r="E78" t="s">
        <v>65</v>
      </c>
      <c r="F78" t="s">
        <v>122</v>
      </c>
      <c r="G78">
        <v>2047</v>
      </c>
      <c r="H78">
        <v>5.2161533132500004</v>
      </c>
      <c r="I78">
        <v>5.2161533132500004</v>
      </c>
      <c r="J78" t="s">
        <v>118</v>
      </c>
      <c r="K78" t="s">
        <v>138</v>
      </c>
      <c r="M78" t="s">
        <v>139</v>
      </c>
      <c r="O78" t="s">
        <v>140</v>
      </c>
      <c r="P78">
        <v>2030</v>
      </c>
      <c r="Q78">
        <v>2047</v>
      </c>
      <c r="R78">
        <v>5.2161533132500004</v>
      </c>
      <c r="S78" t="s">
        <v>121</v>
      </c>
      <c r="T78" t="s">
        <v>131</v>
      </c>
    </row>
    <row r="79" spans="1:20" x14ac:dyDescent="0.3">
      <c r="A79" t="str">
        <f t="shared" si="1"/>
        <v>Hydro (small)|2048|O&amp;M|Direct</v>
      </c>
      <c r="B79" t="s">
        <v>131</v>
      </c>
      <c r="C79" t="s">
        <v>75</v>
      </c>
      <c r="D79" t="s">
        <v>64</v>
      </c>
      <c r="E79" t="s">
        <v>65</v>
      </c>
      <c r="F79" t="s">
        <v>122</v>
      </c>
      <c r="G79">
        <v>2048</v>
      </c>
      <c r="H79">
        <v>5.2145740963899998</v>
      </c>
      <c r="I79">
        <v>5.2145740963899998</v>
      </c>
      <c r="J79" t="s">
        <v>118</v>
      </c>
      <c r="K79" t="s">
        <v>138</v>
      </c>
      <c r="M79" t="s">
        <v>139</v>
      </c>
      <c r="O79" t="s">
        <v>140</v>
      </c>
      <c r="P79">
        <v>2030</v>
      </c>
      <c r="Q79">
        <v>2048</v>
      </c>
      <c r="R79">
        <v>5.2145740963899998</v>
      </c>
      <c r="S79" t="s">
        <v>121</v>
      </c>
      <c r="T79" t="s">
        <v>131</v>
      </c>
    </row>
    <row r="80" spans="1:20" x14ac:dyDescent="0.3">
      <c r="A80" t="str">
        <f t="shared" si="1"/>
        <v>Hydro (small)|2049|O&amp;M|Direct</v>
      </c>
      <c r="B80" t="s">
        <v>131</v>
      </c>
      <c r="C80" t="s">
        <v>75</v>
      </c>
      <c r="D80" t="s">
        <v>64</v>
      </c>
      <c r="E80" t="s">
        <v>65</v>
      </c>
      <c r="F80" t="s">
        <v>122</v>
      </c>
      <c r="G80">
        <v>2049</v>
      </c>
      <c r="H80">
        <v>5.2129948795200001</v>
      </c>
      <c r="I80">
        <v>5.2129948795200001</v>
      </c>
      <c r="J80" t="s">
        <v>118</v>
      </c>
      <c r="K80" t="s">
        <v>138</v>
      </c>
      <c r="M80" t="s">
        <v>139</v>
      </c>
      <c r="O80" t="s">
        <v>140</v>
      </c>
      <c r="P80">
        <v>2030</v>
      </c>
      <c r="Q80">
        <v>2049</v>
      </c>
      <c r="R80">
        <v>5.2129948795200001</v>
      </c>
      <c r="S80" t="s">
        <v>121</v>
      </c>
      <c r="T80" t="s">
        <v>131</v>
      </c>
    </row>
    <row r="81" spans="1:20" x14ac:dyDescent="0.3">
      <c r="A81" t="str">
        <f t="shared" si="1"/>
        <v>Hydro (small)|2050|O&amp;M|Direct</v>
      </c>
      <c r="B81" t="s">
        <v>131</v>
      </c>
      <c r="C81" t="s">
        <v>75</v>
      </c>
      <c r="D81" t="s">
        <v>64</v>
      </c>
      <c r="E81" t="s">
        <v>65</v>
      </c>
      <c r="F81" t="s">
        <v>122</v>
      </c>
      <c r="G81">
        <v>2050</v>
      </c>
      <c r="H81">
        <v>5.2114156626500003</v>
      </c>
      <c r="I81">
        <v>5.2114156626500003</v>
      </c>
      <c r="J81" t="s">
        <v>124</v>
      </c>
      <c r="K81" t="s">
        <v>138</v>
      </c>
      <c r="M81" t="s">
        <v>139</v>
      </c>
      <c r="O81" t="s">
        <v>140</v>
      </c>
      <c r="P81">
        <v>2030</v>
      </c>
      <c r="Q81">
        <v>2050</v>
      </c>
      <c r="R81">
        <v>5.2114156626500003</v>
      </c>
      <c r="S81" t="s">
        <v>125</v>
      </c>
      <c r="T81" t="s">
        <v>131</v>
      </c>
    </row>
    <row r="82" spans="1:20" x14ac:dyDescent="0.3">
      <c r="A82" t="str">
        <f t="shared" si="1"/>
        <v>Hydro (small)|2051|O&amp;M|Direct</v>
      </c>
      <c r="B82" t="s">
        <v>131</v>
      </c>
      <c r="C82" t="s">
        <v>75</v>
      </c>
      <c r="D82" t="s">
        <v>64</v>
      </c>
      <c r="E82" t="s">
        <v>65</v>
      </c>
      <c r="F82" t="s">
        <v>122</v>
      </c>
      <c r="G82">
        <v>2051</v>
      </c>
      <c r="H82">
        <v>5.2114156626500003</v>
      </c>
      <c r="I82">
        <v>5.2114156626500003</v>
      </c>
      <c r="J82" t="s">
        <v>118</v>
      </c>
      <c r="K82" t="s">
        <v>138</v>
      </c>
      <c r="M82" t="s">
        <v>139</v>
      </c>
      <c r="O82" t="s">
        <v>140</v>
      </c>
      <c r="P82">
        <v>2030</v>
      </c>
      <c r="Q82">
        <v>2051</v>
      </c>
      <c r="R82">
        <v>5.2114156626500003</v>
      </c>
      <c r="S82" t="s">
        <v>126</v>
      </c>
      <c r="T82" t="s">
        <v>131</v>
      </c>
    </row>
    <row r="83" spans="1:20" x14ac:dyDescent="0.3">
      <c r="A83" t="str">
        <f t="shared" si="1"/>
        <v>Hydro (small)|2052|O&amp;M|Direct</v>
      </c>
      <c r="B83" t="s">
        <v>131</v>
      </c>
      <c r="C83" t="s">
        <v>75</v>
      </c>
      <c r="D83" t="s">
        <v>64</v>
      </c>
      <c r="E83" t="s">
        <v>65</v>
      </c>
      <c r="F83" t="s">
        <v>122</v>
      </c>
      <c r="G83">
        <v>2052</v>
      </c>
      <c r="H83">
        <v>5.2114156626500003</v>
      </c>
      <c r="I83">
        <v>5.2114156626500003</v>
      </c>
      <c r="J83" t="s">
        <v>118</v>
      </c>
      <c r="K83" t="s">
        <v>138</v>
      </c>
      <c r="M83" t="s">
        <v>139</v>
      </c>
      <c r="O83" t="s">
        <v>140</v>
      </c>
      <c r="P83">
        <v>2030</v>
      </c>
      <c r="Q83">
        <v>2052</v>
      </c>
      <c r="R83">
        <v>5.2114156626500003</v>
      </c>
      <c r="S83" t="s">
        <v>126</v>
      </c>
      <c r="T83" t="s">
        <v>131</v>
      </c>
    </row>
    <row r="84" spans="1:20" x14ac:dyDescent="0.3">
      <c r="A84" t="str">
        <f t="shared" si="1"/>
        <v>Hydro (small)|2053|O&amp;M|Direct</v>
      </c>
      <c r="B84" t="s">
        <v>131</v>
      </c>
      <c r="C84" t="s">
        <v>75</v>
      </c>
      <c r="D84" t="s">
        <v>64</v>
      </c>
      <c r="E84" t="s">
        <v>65</v>
      </c>
      <c r="F84" t="s">
        <v>122</v>
      </c>
      <c r="G84">
        <v>2053</v>
      </c>
      <c r="H84">
        <v>5.2114156626500003</v>
      </c>
      <c r="I84">
        <v>5.2114156626500003</v>
      </c>
      <c r="J84" t="s">
        <v>118</v>
      </c>
      <c r="K84" t="s">
        <v>138</v>
      </c>
      <c r="M84" t="s">
        <v>139</v>
      </c>
      <c r="O84" t="s">
        <v>140</v>
      </c>
      <c r="P84">
        <v>2030</v>
      </c>
      <c r="Q84">
        <v>2053</v>
      </c>
      <c r="R84">
        <v>5.2114156626500003</v>
      </c>
      <c r="S84" t="s">
        <v>126</v>
      </c>
      <c r="T84" t="s">
        <v>131</v>
      </c>
    </row>
    <row r="85" spans="1:20" x14ac:dyDescent="0.3">
      <c r="A85" t="str">
        <f t="shared" si="1"/>
        <v>Hydro (small)|2054|O&amp;M|Direct</v>
      </c>
      <c r="B85" t="s">
        <v>131</v>
      </c>
      <c r="C85" t="s">
        <v>75</v>
      </c>
      <c r="D85" t="s">
        <v>64</v>
      </c>
      <c r="E85" t="s">
        <v>65</v>
      </c>
      <c r="F85" t="s">
        <v>122</v>
      </c>
      <c r="G85">
        <v>2054</v>
      </c>
      <c r="H85">
        <v>5.2114156626500003</v>
      </c>
      <c r="I85">
        <v>5.2114156626500003</v>
      </c>
      <c r="J85" t="s">
        <v>118</v>
      </c>
      <c r="K85" t="s">
        <v>138</v>
      </c>
      <c r="M85" t="s">
        <v>139</v>
      </c>
      <c r="O85" t="s">
        <v>140</v>
      </c>
      <c r="P85">
        <v>2030</v>
      </c>
      <c r="Q85">
        <v>2054</v>
      </c>
      <c r="R85">
        <v>5.2114156626500003</v>
      </c>
      <c r="S85" t="s">
        <v>126</v>
      </c>
      <c r="T85" t="s">
        <v>131</v>
      </c>
    </row>
    <row r="86" spans="1:20" x14ac:dyDescent="0.3">
      <c r="A86" t="str">
        <f t="shared" si="1"/>
        <v>Hydro (small)|2055|O&amp;M|Direct</v>
      </c>
      <c r="B86" t="s">
        <v>131</v>
      </c>
      <c r="C86" t="s">
        <v>75</v>
      </c>
      <c r="D86" t="s">
        <v>64</v>
      </c>
      <c r="E86" t="s">
        <v>65</v>
      </c>
      <c r="F86" t="s">
        <v>122</v>
      </c>
      <c r="G86">
        <v>2055</v>
      </c>
      <c r="H86">
        <v>5.2114156626500003</v>
      </c>
      <c r="I86">
        <v>5.2114156626500003</v>
      </c>
      <c r="J86" t="s">
        <v>118</v>
      </c>
      <c r="K86" t="s">
        <v>138</v>
      </c>
      <c r="M86" t="s">
        <v>139</v>
      </c>
      <c r="O86" t="s">
        <v>140</v>
      </c>
      <c r="P86">
        <v>2030</v>
      </c>
      <c r="Q86">
        <v>2055</v>
      </c>
      <c r="R86">
        <v>5.2114156626500003</v>
      </c>
      <c r="S86" t="s">
        <v>126</v>
      </c>
      <c r="T86" t="s">
        <v>131</v>
      </c>
    </row>
    <row r="87" spans="1:20" x14ac:dyDescent="0.3">
      <c r="A87" t="str">
        <f t="shared" si="1"/>
        <v>Nuclear|2038|Construction&amp;Manufacturing|Direct</v>
      </c>
      <c r="B87" t="s">
        <v>131</v>
      </c>
      <c r="C87" t="s">
        <v>81</v>
      </c>
      <c r="D87" t="s">
        <v>70</v>
      </c>
      <c r="E87" t="s">
        <v>65</v>
      </c>
      <c r="F87" t="s">
        <v>117</v>
      </c>
      <c r="G87">
        <v>2038</v>
      </c>
      <c r="H87">
        <v>19.735949367100002</v>
      </c>
      <c r="I87">
        <v>19.735949367100002</v>
      </c>
      <c r="J87" t="s">
        <v>118</v>
      </c>
      <c r="K87" t="s">
        <v>81</v>
      </c>
      <c r="M87" t="s">
        <v>141</v>
      </c>
      <c r="O87" t="s">
        <v>134</v>
      </c>
      <c r="P87">
        <v>2030</v>
      </c>
      <c r="Q87">
        <v>2038</v>
      </c>
      <c r="R87">
        <v>19.735949367100002</v>
      </c>
      <c r="S87" t="s">
        <v>121</v>
      </c>
      <c r="T87" t="s">
        <v>131</v>
      </c>
    </row>
    <row r="88" spans="1:20" x14ac:dyDescent="0.3">
      <c r="A88" t="str">
        <f t="shared" si="1"/>
        <v>Nuclear|2038|O&amp;M|Direct</v>
      </c>
      <c r="B88" t="s">
        <v>131</v>
      </c>
      <c r="C88" t="s">
        <v>81</v>
      </c>
      <c r="D88" t="s">
        <v>64</v>
      </c>
      <c r="E88" t="s">
        <v>65</v>
      </c>
      <c r="F88" t="s">
        <v>122</v>
      </c>
      <c r="G88">
        <v>2038</v>
      </c>
      <c r="H88">
        <v>1.12316666667</v>
      </c>
      <c r="I88">
        <v>1.12316666667</v>
      </c>
      <c r="J88" t="s">
        <v>118</v>
      </c>
      <c r="K88" t="s">
        <v>81</v>
      </c>
      <c r="M88" t="s">
        <v>141</v>
      </c>
      <c r="O88" t="s">
        <v>142</v>
      </c>
      <c r="P88">
        <v>2030</v>
      </c>
      <c r="Q88">
        <v>2038</v>
      </c>
      <c r="R88">
        <v>1.12316666667</v>
      </c>
      <c r="S88" t="s">
        <v>121</v>
      </c>
      <c r="T88" t="s">
        <v>131</v>
      </c>
    </row>
    <row r="89" spans="1:20" x14ac:dyDescent="0.3">
      <c r="A89" t="str">
        <f t="shared" si="1"/>
        <v>Nuclear|2039|O&amp;M|Direct</v>
      </c>
      <c r="B89" t="s">
        <v>131</v>
      </c>
      <c r="C89" t="s">
        <v>81</v>
      </c>
      <c r="D89" t="s">
        <v>64</v>
      </c>
      <c r="E89" t="s">
        <v>65</v>
      </c>
      <c r="F89" t="s">
        <v>122</v>
      </c>
      <c r="G89">
        <v>2039</v>
      </c>
      <c r="H89">
        <v>1.1198125000000001</v>
      </c>
      <c r="I89">
        <v>1.1198125000000001</v>
      </c>
      <c r="J89" t="s">
        <v>118</v>
      </c>
      <c r="K89" t="s">
        <v>81</v>
      </c>
      <c r="M89" t="s">
        <v>141</v>
      </c>
      <c r="O89" t="s">
        <v>142</v>
      </c>
      <c r="P89">
        <v>2030</v>
      </c>
      <c r="Q89">
        <v>2039</v>
      </c>
      <c r="R89">
        <v>1.1198125000000001</v>
      </c>
      <c r="S89" t="s">
        <v>121</v>
      </c>
      <c r="T89" t="s">
        <v>131</v>
      </c>
    </row>
    <row r="90" spans="1:20" x14ac:dyDescent="0.3">
      <c r="A90" t="str">
        <f t="shared" si="1"/>
        <v>Nuclear|2040|O&amp;M|Direct</v>
      </c>
      <c r="B90" t="s">
        <v>131</v>
      </c>
      <c r="C90" t="s">
        <v>81</v>
      </c>
      <c r="D90" t="s">
        <v>64</v>
      </c>
      <c r="E90" t="s">
        <v>65</v>
      </c>
      <c r="F90" t="s">
        <v>122</v>
      </c>
      <c r="G90">
        <v>2040</v>
      </c>
      <c r="H90">
        <v>1.11645833333</v>
      </c>
      <c r="I90">
        <v>1.11645833333</v>
      </c>
      <c r="J90" t="s">
        <v>118</v>
      </c>
      <c r="K90" t="s">
        <v>81</v>
      </c>
      <c r="M90" t="s">
        <v>141</v>
      </c>
      <c r="O90" t="s">
        <v>142</v>
      </c>
      <c r="P90">
        <v>2030</v>
      </c>
      <c r="Q90">
        <v>2040</v>
      </c>
      <c r="R90">
        <v>1.11645833333</v>
      </c>
      <c r="S90" t="s">
        <v>121</v>
      </c>
      <c r="T90" t="s">
        <v>131</v>
      </c>
    </row>
    <row r="91" spans="1:20" x14ac:dyDescent="0.3">
      <c r="A91" t="str">
        <f t="shared" si="1"/>
        <v>Nuclear|2041|O&amp;M|Direct</v>
      </c>
      <c r="B91" t="s">
        <v>131</v>
      </c>
      <c r="C91" t="s">
        <v>81</v>
      </c>
      <c r="D91" t="s">
        <v>64</v>
      </c>
      <c r="E91" t="s">
        <v>65</v>
      </c>
      <c r="F91" t="s">
        <v>122</v>
      </c>
      <c r="G91">
        <v>2041</v>
      </c>
      <c r="H91">
        <v>1.1131041666699999</v>
      </c>
      <c r="I91">
        <v>1.1131041666699999</v>
      </c>
      <c r="J91" t="s">
        <v>118</v>
      </c>
      <c r="K91" t="s">
        <v>81</v>
      </c>
      <c r="M91" t="s">
        <v>141</v>
      </c>
      <c r="O91" t="s">
        <v>142</v>
      </c>
      <c r="P91">
        <v>2030</v>
      </c>
      <c r="Q91">
        <v>2041</v>
      </c>
      <c r="R91">
        <v>1.1131041666699999</v>
      </c>
      <c r="S91" t="s">
        <v>121</v>
      </c>
      <c r="T91" t="s">
        <v>131</v>
      </c>
    </row>
    <row r="92" spans="1:20" x14ac:dyDescent="0.3">
      <c r="A92" t="str">
        <f t="shared" si="1"/>
        <v>Nuclear|2042|O&amp;M|Direct</v>
      </c>
      <c r="B92" t="s">
        <v>131</v>
      </c>
      <c r="C92" t="s">
        <v>81</v>
      </c>
      <c r="D92" t="s">
        <v>64</v>
      </c>
      <c r="E92" t="s">
        <v>65</v>
      </c>
      <c r="F92" t="s">
        <v>122</v>
      </c>
      <c r="G92">
        <v>2042</v>
      </c>
      <c r="H92">
        <v>1.10975</v>
      </c>
      <c r="I92">
        <v>1.10975</v>
      </c>
      <c r="J92" t="s">
        <v>118</v>
      </c>
      <c r="K92" t="s">
        <v>81</v>
      </c>
      <c r="M92" t="s">
        <v>141</v>
      </c>
      <c r="O92" t="s">
        <v>142</v>
      </c>
      <c r="P92">
        <v>2030</v>
      </c>
      <c r="Q92">
        <v>2042</v>
      </c>
      <c r="R92">
        <v>1.10975</v>
      </c>
      <c r="S92" t="s">
        <v>121</v>
      </c>
      <c r="T92" t="s">
        <v>131</v>
      </c>
    </row>
    <row r="93" spans="1:20" x14ac:dyDescent="0.3">
      <c r="A93" t="str">
        <f t="shared" si="1"/>
        <v>Nuclear|2043|O&amp;M|Direct</v>
      </c>
      <c r="B93" t="s">
        <v>131</v>
      </c>
      <c r="C93" t="s">
        <v>81</v>
      </c>
      <c r="D93" t="s">
        <v>64</v>
      </c>
      <c r="E93" t="s">
        <v>65</v>
      </c>
      <c r="F93" t="s">
        <v>122</v>
      </c>
      <c r="G93">
        <v>2043</v>
      </c>
      <c r="H93">
        <v>1.1063958333299999</v>
      </c>
      <c r="I93">
        <v>1.1063958333299999</v>
      </c>
      <c r="J93" t="s">
        <v>118</v>
      </c>
      <c r="K93" t="s">
        <v>81</v>
      </c>
      <c r="M93" t="s">
        <v>141</v>
      </c>
      <c r="O93" t="s">
        <v>142</v>
      </c>
      <c r="P93">
        <v>2030</v>
      </c>
      <c r="Q93">
        <v>2043</v>
      </c>
      <c r="R93">
        <v>1.1063958333299999</v>
      </c>
      <c r="S93" t="s">
        <v>121</v>
      </c>
      <c r="T93" t="s">
        <v>131</v>
      </c>
    </row>
    <row r="94" spans="1:20" x14ac:dyDescent="0.3">
      <c r="A94" t="str">
        <f t="shared" si="1"/>
        <v>Nuclear|2044|O&amp;M|Direct</v>
      </c>
      <c r="B94" t="s">
        <v>131</v>
      </c>
      <c r="C94" t="s">
        <v>81</v>
      </c>
      <c r="D94" t="s">
        <v>64</v>
      </c>
      <c r="E94" t="s">
        <v>65</v>
      </c>
      <c r="F94" t="s">
        <v>122</v>
      </c>
      <c r="G94">
        <v>2044</v>
      </c>
      <c r="H94">
        <v>1.10304166667</v>
      </c>
      <c r="I94">
        <v>1.10304166667</v>
      </c>
      <c r="J94" t="s">
        <v>118</v>
      </c>
      <c r="K94" t="s">
        <v>81</v>
      </c>
      <c r="M94" t="s">
        <v>141</v>
      </c>
      <c r="O94" t="s">
        <v>142</v>
      </c>
      <c r="P94">
        <v>2030</v>
      </c>
      <c r="Q94">
        <v>2044</v>
      </c>
      <c r="R94">
        <v>1.10304166667</v>
      </c>
      <c r="S94" t="s">
        <v>121</v>
      </c>
      <c r="T94" t="s">
        <v>131</v>
      </c>
    </row>
    <row r="95" spans="1:20" x14ac:dyDescent="0.3">
      <c r="A95" t="str">
        <f t="shared" si="1"/>
        <v>Nuclear|2045|O&amp;M|Direct</v>
      </c>
      <c r="B95" t="s">
        <v>131</v>
      </c>
      <c r="C95" t="s">
        <v>81</v>
      </c>
      <c r="D95" t="s">
        <v>64</v>
      </c>
      <c r="E95" t="s">
        <v>65</v>
      </c>
      <c r="F95" t="s">
        <v>122</v>
      </c>
      <c r="G95">
        <v>2045</v>
      </c>
      <c r="H95">
        <v>1.0996874999999999</v>
      </c>
      <c r="I95">
        <v>1.0996874999999999</v>
      </c>
      <c r="J95" t="s">
        <v>118</v>
      </c>
      <c r="K95" t="s">
        <v>81</v>
      </c>
      <c r="M95" t="s">
        <v>141</v>
      </c>
      <c r="O95" t="s">
        <v>142</v>
      </c>
      <c r="P95">
        <v>2030</v>
      </c>
      <c r="Q95">
        <v>2045</v>
      </c>
      <c r="R95">
        <v>1.0996874999999999</v>
      </c>
      <c r="S95" t="s">
        <v>121</v>
      </c>
      <c r="T95" t="s">
        <v>131</v>
      </c>
    </row>
    <row r="96" spans="1:20" x14ac:dyDescent="0.3">
      <c r="A96" t="str">
        <f t="shared" si="1"/>
        <v>Nuclear|2046|O&amp;M|Direct</v>
      </c>
      <c r="B96" t="s">
        <v>131</v>
      </c>
      <c r="C96" t="s">
        <v>81</v>
      </c>
      <c r="D96" t="s">
        <v>64</v>
      </c>
      <c r="E96" t="s">
        <v>65</v>
      </c>
      <c r="F96" t="s">
        <v>122</v>
      </c>
      <c r="G96">
        <v>2046</v>
      </c>
      <c r="H96">
        <v>1.09633333333</v>
      </c>
      <c r="I96">
        <v>1.09633333333</v>
      </c>
      <c r="J96" t="s">
        <v>118</v>
      </c>
      <c r="K96" t="s">
        <v>81</v>
      </c>
      <c r="M96" t="s">
        <v>141</v>
      </c>
      <c r="O96" t="s">
        <v>142</v>
      </c>
      <c r="P96">
        <v>2030</v>
      </c>
      <c r="Q96">
        <v>2046</v>
      </c>
      <c r="R96">
        <v>1.09633333333</v>
      </c>
      <c r="S96" t="s">
        <v>121</v>
      </c>
      <c r="T96" t="s">
        <v>131</v>
      </c>
    </row>
    <row r="97" spans="1:20" x14ac:dyDescent="0.3">
      <c r="A97" t="str">
        <f t="shared" si="1"/>
        <v>Nuclear|2047|O&amp;M|Direct</v>
      </c>
      <c r="B97" t="s">
        <v>131</v>
      </c>
      <c r="C97" t="s">
        <v>81</v>
      </c>
      <c r="D97" t="s">
        <v>64</v>
      </c>
      <c r="E97" t="s">
        <v>65</v>
      </c>
      <c r="F97" t="s">
        <v>122</v>
      </c>
      <c r="G97">
        <v>2047</v>
      </c>
      <c r="H97">
        <v>1.0929791666699999</v>
      </c>
      <c r="I97">
        <v>1.0929791666699999</v>
      </c>
      <c r="J97" t="s">
        <v>118</v>
      </c>
      <c r="K97" t="s">
        <v>81</v>
      </c>
      <c r="M97" t="s">
        <v>141</v>
      </c>
      <c r="O97" t="s">
        <v>142</v>
      </c>
      <c r="P97">
        <v>2030</v>
      </c>
      <c r="Q97">
        <v>2047</v>
      </c>
      <c r="R97">
        <v>1.0929791666699999</v>
      </c>
      <c r="S97" t="s">
        <v>121</v>
      </c>
      <c r="T97" t="s">
        <v>131</v>
      </c>
    </row>
    <row r="98" spans="1:20" x14ac:dyDescent="0.3">
      <c r="A98" t="str">
        <f t="shared" si="1"/>
        <v>Nuclear|2048|O&amp;M|Direct</v>
      </c>
      <c r="B98" t="s">
        <v>131</v>
      </c>
      <c r="C98" t="s">
        <v>81</v>
      </c>
      <c r="D98" t="s">
        <v>64</v>
      </c>
      <c r="E98" t="s">
        <v>65</v>
      </c>
      <c r="F98" t="s">
        <v>122</v>
      </c>
      <c r="G98">
        <v>2048</v>
      </c>
      <c r="H98">
        <v>1.0896250000000001</v>
      </c>
      <c r="I98">
        <v>1.0896250000000001</v>
      </c>
      <c r="J98" t="s">
        <v>118</v>
      </c>
      <c r="K98" t="s">
        <v>81</v>
      </c>
      <c r="M98" t="s">
        <v>141</v>
      </c>
      <c r="O98" t="s">
        <v>142</v>
      </c>
      <c r="P98">
        <v>2030</v>
      </c>
      <c r="Q98">
        <v>2048</v>
      </c>
      <c r="R98">
        <v>1.0896250000000001</v>
      </c>
      <c r="S98" t="s">
        <v>121</v>
      </c>
      <c r="T98" t="s">
        <v>131</v>
      </c>
    </row>
    <row r="99" spans="1:20" x14ac:dyDescent="0.3">
      <c r="A99" t="str">
        <f t="shared" si="1"/>
        <v>Nuclear|2049|O&amp;M|Direct</v>
      </c>
      <c r="B99" t="s">
        <v>131</v>
      </c>
      <c r="C99" t="s">
        <v>81</v>
      </c>
      <c r="D99" t="s">
        <v>64</v>
      </c>
      <c r="E99" t="s">
        <v>65</v>
      </c>
      <c r="F99" t="s">
        <v>122</v>
      </c>
      <c r="G99">
        <v>2049</v>
      </c>
      <c r="H99">
        <v>1.08627083333</v>
      </c>
      <c r="I99">
        <v>1.08627083333</v>
      </c>
      <c r="J99" t="s">
        <v>118</v>
      </c>
      <c r="K99" t="s">
        <v>81</v>
      </c>
      <c r="M99" t="s">
        <v>141</v>
      </c>
      <c r="O99" t="s">
        <v>142</v>
      </c>
      <c r="P99">
        <v>2030</v>
      </c>
      <c r="Q99">
        <v>2049</v>
      </c>
      <c r="R99">
        <v>1.08627083333</v>
      </c>
      <c r="S99" t="s">
        <v>121</v>
      </c>
      <c r="T99" t="s">
        <v>131</v>
      </c>
    </row>
    <row r="100" spans="1:20" x14ac:dyDescent="0.3">
      <c r="A100" t="str">
        <f t="shared" si="1"/>
        <v>Nuclear|2050|O&amp;M|Direct</v>
      </c>
      <c r="B100" t="s">
        <v>131</v>
      </c>
      <c r="C100" t="s">
        <v>81</v>
      </c>
      <c r="D100" t="s">
        <v>64</v>
      </c>
      <c r="E100" t="s">
        <v>65</v>
      </c>
      <c r="F100" t="s">
        <v>122</v>
      </c>
      <c r="G100">
        <v>2050</v>
      </c>
      <c r="H100">
        <v>1.0829166666700001</v>
      </c>
      <c r="I100">
        <v>1.0829166666700001</v>
      </c>
      <c r="J100" t="s">
        <v>124</v>
      </c>
      <c r="K100" t="s">
        <v>81</v>
      </c>
      <c r="M100" t="s">
        <v>141</v>
      </c>
      <c r="O100" t="s">
        <v>142</v>
      </c>
      <c r="P100">
        <v>2030</v>
      </c>
      <c r="Q100">
        <v>2050</v>
      </c>
      <c r="R100">
        <v>1.0829166666700001</v>
      </c>
      <c r="S100" t="s">
        <v>125</v>
      </c>
      <c r="T100" t="s">
        <v>131</v>
      </c>
    </row>
    <row r="101" spans="1:20" x14ac:dyDescent="0.3">
      <c r="A101" t="str">
        <f t="shared" si="1"/>
        <v>Nuclear|2051|O&amp;M|Direct</v>
      </c>
      <c r="B101" t="s">
        <v>131</v>
      </c>
      <c r="C101" t="s">
        <v>81</v>
      </c>
      <c r="D101" t="s">
        <v>64</v>
      </c>
      <c r="E101" t="s">
        <v>65</v>
      </c>
      <c r="F101" t="s">
        <v>122</v>
      </c>
      <c r="G101">
        <v>2051</v>
      </c>
      <c r="H101">
        <v>1.0829166666700001</v>
      </c>
      <c r="I101">
        <v>1.0829166666700001</v>
      </c>
      <c r="J101" t="s">
        <v>118</v>
      </c>
      <c r="K101" t="s">
        <v>81</v>
      </c>
      <c r="M101" t="s">
        <v>141</v>
      </c>
      <c r="O101" t="s">
        <v>142</v>
      </c>
      <c r="P101">
        <v>2030</v>
      </c>
      <c r="Q101">
        <v>2051</v>
      </c>
      <c r="R101">
        <v>1.0829166666700001</v>
      </c>
      <c r="S101" t="s">
        <v>126</v>
      </c>
      <c r="T101" t="s">
        <v>131</v>
      </c>
    </row>
    <row r="102" spans="1:20" x14ac:dyDescent="0.3">
      <c r="A102" t="str">
        <f t="shared" si="1"/>
        <v>Nuclear|2052|O&amp;M|Direct</v>
      </c>
      <c r="B102" t="s">
        <v>131</v>
      </c>
      <c r="C102" t="s">
        <v>81</v>
      </c>
      <c r="D102" t="s">
        <v>64</v>
      </c>
      <c r="E102" t="s">
        <v>65</v>
      </c>
      <c r="F102" t="s">
        <v>122</v>
      </c>
      <c r="G102">
        <v>2052</v>
      </c>
      <c r="H102">
        <v>1.0829166666700001</v>
      </c>
      <c r="I102">
        <v>1.0829166666700001</v>
      </c>
      <c r="J102" t="s">
        <v>118</v>
      </c>
      <c r="K102" t="s">
        <v>81</v>
      </c>
      <c r="M102" t="s">
        <v>141</v>
      </c>
      <c r="O102" t="s">
        <v>142</v>
      </c>
      <c r="P102">
        <v>2030</v>
      </c>
      <c r="Q102">
        <v>2052</v>
      </c>
      <c r="R102">
        <v>1.0829166666700001</v>
      </c>
      <c r="S102" t="s">
        <v>126</v>
      </c>
      <c r="T102" t="s">
        <v>131</v>
      </c>
    </row>
    <row r="103" spans="1:20" x14ac:dyDescent="0.3">
      <c r="A103" t="str">
        <f t="shared" si="1"/>
        <v>Nuclear|2053|O&amp;M|Direct</v>
      </c>
      <c r="B103" t="s">
        <v>131</v>
      </c>
      <c r="C103" t="s">
        <v>81</v>
      </c>
      <c r="D103" t="s">
        <v>64</v>
      </c>
      <c r="E103" t="s">
        <v>65</v>
      </c>
      <c r="F103" t="s">
        <v>122</v>
      </c>
      <c r="G103">
        <v>2053</v>
      </c>
      <c r="H103">
        <v>1.0829166666700001</v>
      </c>
      <c r="I103">
        <v>1.0829166666700001</v>
      </c>
      <c r="J103" t="s">
        <v>118</v>
      </c>
      <c r="K103" t="s">
        <v>81</v>
      </c>
      <c r="M103" t="s">
        <v>141</v>
      </c>
      <c r="O103" t="s">
        <v>142</v>
      </c>
      <c r="P103">
        <v>2030</v>
      </c>
      <c r="Q103">
        <v>2053</v>
      </c>
      <c r="R103">
        <v>1.0829166666700001</v>
      </c>
      <c r="S103" t="s">
        <v>126</v>
      </c>
      <c r="T103" t="s">
        <v>131</v>
      </c>
    </row>
    <row r="104" spans="1:20" x14ac:dyDescent="0.3">
      <c r="A104" t="str">
        <f t="shared" si="1"/>
        <v>Nuclear|2054|O&amp;M|Direct</v>
      </c>
      <c r="B104" t="s">
        <v>131</v>
      </c>
      <c r="C104" t="s">
        <v>81</v>
      </c>
      <c r="D104" t="s">
        <v>64</v>
      </c>
      <c r="E104" t="s">
        <v>65</v>
      </c>
      <c r="F104" t="s">
        <v>122</v>
      </c>
      <c r="G104">
        <v>2054</v>
      </c>
      <c r="H104">
        <v>1.0829166666700001</v>
      </c>
      <c r="I104">
        <v>1.0829166666700001</v>
      </c>
      <c r="J104" t="s">
        <v>118</v>
      </c>
      <c r="K104" t="s">
        <v>81</v>
      </c>
      <c r="M104" t="s">
        <v>141</v>
      </c>
      <c r="O104" t="s">
        <v>142</v>
      </c>
      <c r="P104">
        <v>2030</v>
      </c>
      <c r="Q104">
        <v>2054</v>
      </c>
      <c r="R104">
        <v>1.0829166666700001</v>
      </c>
      <c r="S104" t="s">
        <v>126</v>
      </c>
      <c r="T104" t="s">
        <v>131</v>
      </c>
    </row>
    <row r="105" spans="1:20" x14ac:dyDescent="0.3">
      <c r="A105" t="str">
        <f t="shared" si="1"/>
        <v>Nuclear|2055|O&amp;M|Direct</v>
      </c>
      <c r="B105" t="s">
        <v>131</v>
      </c>
      <c r="C105" t="s">
        <v>81</v>
      </c>
      <c r="D105" t="s">
        <v>64</v>
      </c>
      <c r="E105" t="s">
        <v>65</v>
      </c>
      <c r="F105" t="s">
        <v>122</v>
      </c>
      <c r="G105">
        <v>2055</v>
      </c>
      <c r="H105">
        <v>1.0829166666700001</v>
      </c>
      <c r="I105">
        <v>1.0829166666700001</v>
      </c>
      <c r="J105" t="s">
        <v>118</v>
      </c>
      <c r="K105" t="s">
        <v>81</v>
      </c>
      <c r="M105" t="s">
        <v>141</v>
      </c>
      <c r="O105" t="s">
        <v>142</v>
      </c>
      <c r="P105">
        <v>2030</v>
      </c>
      <c r="Q105">
        <v>2055</v>
      </c>
      <c r="R105">
        <v>1.0829166666700001</v>
      </c>
      <c r="S105" t="s">
        <v>126</v>
      </c>
      <c r="T105" t="s">
        <v>131</v>
      </c>
    </row>
    <row r="106" spans="1:20" x14ac:dyDescent="0.3">
      <c r="A106" t="str">
        <f t="shared" si="1"/>
        <v>Offshore wind (fixed)|2032|Construction&amp;Manufacturing|Direct</v>
      </c>
      <c r="B106" t="s">
        <v>143</v>
      </c>
      <c r="C106" t="s">
        <v>74</v>
      </c>
      <c r="D106" t="s">
        <v>70</v>
      </c>
      <c r="E106" t="s">
        <v>65</v>
      </c>
      <c r="F106" t="s">
        <v>117</v>
      </c>
      <c r="G106">
        <v>2032</v>
      </c>
      <c r="H106">
        <v>4.6353844080300002</v>
      </c>
      <c r="I106">
        <v>4.6353844080300002</v>
      </c>
      <c r="J106" t="s">
        <v>118</v>
      </c>
      <c r="M106" t="s">
        <v>144</v>
      </c>
      <c r="O106" t="s">
        <v>145</v>
      </c>
      <c r="P106">
        <v>2030</v>
      </c>
      <c r="Q106">
        <v>2032</v>
      </c>
      <c r="R106">
        <v>4.6353844080300002</v>
      </c>
      <c r="S106" t="s">
        <v>121</v>
      </c>
      <c r="T106" t="s">
        <v>143</v>
      </c>
    </row>
    <row r="107" spans="1:20" x14ac:dyDescent="0.3">
      <c r="A107" t="str">
        <f t="shared" si="1"/>
        <v>Offshore wind (fixed)|2033|Construction&amp;Manufacturing|Direct</v>
      </c>
      <c r="B107" t="s">
        <v>143</v>
      </c>
      <c r="C107" t="s">
        <v>74</v>
      </c>
      <c r="D107" t="s">
        <v>70</v>
      </c>
      <c r="E107" t="s">
        <v>65</v>
      </c>
      <c r="F107" t="s">
        <v>117</v>
      </c>
      <c r="G107">
        <v>2033</v>
      </c>
      <c r="H107">
        <v>4.56383744654</v>
      </c>
      <c r="I107">
        <v>4.56383744654</v>
      </c>
      <c r="J107" t="s">
        <v>118</v>
      </c>
      <c r="M107" t="s">
        <v>144</v>
      </c>
      <c r="O107" t="s">
        <v>145</v>
      </c>
      <c r="P107">
        <v>2030</v>
      </c>
      <c r="Q107">
        <v>2033</v>
      </c>
      <c r="R107">
        <v>4.56383744654</v>
      </c>
      <c r="S107" t="s">
        <v>121</v>
      </c>
      <c r="T107" t="s">
        <v>143</v>
      </c>
    </row>
    <row r="108" spans="1:20" x14ac:dyDescent="0.3">
      <c r="A108" t="str">
        <f t="shared" si="1"/>
        <v>Offshore wind (fixed)|2034|Construction&amp;Manufacturing|Direct</v>
      </c>
      <c r="B108" t="s">
        <v>143</v>
      </c>
      <c r="C108" t="s">
        <v>74</v>
      </c>
      <c r="D108" t="s">
        <v>70</v>
      </c>
      <c r="E108" t="s">
        <v>65</v>
      </c>
      <c r="F108" t="s">
        <v>117</v>
      </c>
      <c r="G108">
        <v>2034</v>
      </c>
      <c r="H108">
        <v>4.4922904850499998</v>
      </c>
      <c r="I108">
        <v>4.4922904850499998</v>
      </c>
      <c r="J108" t="s">
        <v>118</v>
      </c>
      <c r="M108" t="s">
        <v>144</v>
      </c>
      <c r="O108" t="s">
        <v>145</v>
      </c>
      <c r="P108">
        <v>2030</v>
      </c>
      <c r="Q108">
        <v>2034</v>
      </c>
      <c r="R108">
        <v>4.4922904850499998</v>
      </c>
      <c r="S108" t="s">
        <v>121</v>
      </c>
      <c r="T108" t="s">
        <v>143</v>
      </c>
    </row>
    <row r="109" spans="1:20" x14ac:dyDescent="0.3">
      <c r="A109" t="str">
        <f t="shared" si="1"/>
        <v>Offshore wind (fixed)|2035|Construction&amp;Manufacturing|Direct</v>
      </c>
      <c r="B109" t="s">
        <v>143</v>
      </c>
      <c r="C109" t="s">
        <v>74</v>
      </c>
      <c r="D109" t="s">
        <v>70</v>
      </c>
      <c r="E109" t="s">
        <v>65</v>
      </c>
      <c r="F109" t="s">
        <v>117</v>
      </c>
      <c r="G109">
        <v>2035</v>
      </c>
      <c r="H109">
        <v>4.4207435235599997</v>
      </c>
      <c r="I109">
        <v>4.4207435235599997</v>
      </c>
      <c r="J109" t="s">
        <v>118</v>
      </c>
      <c r="M109" t="s">
        <v>144</v>
      </c>
      <c r="O109" t="s">
        <v>145</v>
      </c>
      <c r="P109">
        <v>2030</v>
      </c>
      <c r="Q109">
        <v>2035</v>
      </c>
      <c r="R109">
        <v>4.4207435235599997</v>
      </c>
      <c r="S109" t="s">
        <v>121</v>
      </c>
      <c r="T109" t="s">
        <v>143</v>
      </c>
    </row>
    <row r="110" spans="1:20" x14ac:dyDescent="0.3">
      <c r="A110" t="str">
        <f t="shared" si="1"/>
        <v>Offshore wind (fixed)|2036|Construction&amp;Manufacturing|Direct</v>
      </c>
      <c r="B110" t="s">
        <v>143</v>
      </c>
      <c r="C110" t="s">
        <v>74</v>
      </c>
      <c r="D110" t="s">
        <v>70</v>
      </c>
      <c r="E110" t="s">
        <v>65</v>
      </c>
      <c r="F110" t="s">
        <v>117</v>
      </c>
      <c r="G110">
        <v>2036</v>
      </c>
      <c r="H110">
        <v>4.3491965620700004</v>
      </c>
      <c r="I110">
        <v>4.3491965620700004</v>
      </c>
      <c r="J110" t="s">
        <v>118</v>
      </c>
      <c r="M110" t="s">
        <v>144</v>
      </c>
      <c r="O110" t="s">
        <v>145</v>
      </c>
      <c r="P110">
        <v>2030</v>
      </c>
      <c r="Q110">
        <v>2036</v>
      </c>
      <c r="R110">
        <v>4.3491965620700004</v>
      </c>
      <c r="S110" t="s">
        <v>121</v>
      </c>
      <c r="T110" t="s">
        <v>143</v>
      </c>
    </row>
    <row r="111" spans="1:20" x14ac:dyDescent="0.3">
      <c r="A111" t="str">
        <f t="shared" si="1"/>
        <v>Offshore wind (fixed)|2037|Construction&amp;Manufacturing|Direct</v>
      </c>
      <c r="B111" t="s">
        <v>143</v>
      </c>
      <c r="C111" t="s">
        <v>74</v>
      </c>
      <c r="D111" t="s">
        <v>70</v>
      </c>
      <c r="E111" t="s">
        <v>65</v>
      </c>
      <c r="F111" t="s">
        <v>117</v>
      </c>
      <c r="G111">
        <v>2037</v>
      </c>
      <c r="H111">
        <v>4.2776496005700002</v>
      </c>
      <c r="I111">
        <v>4.2776496005700002</v>
      </c>
      <c r="J111" t="s">
        <v>118</v>
      </c>
      <c r="M111" t="s">
        <v>144</v>
      </c>
      <c r="O111" t="s">
        <v>145</v>
      </c>
      <c r="P111">
        <v>2030</v>
      </c>
      <c r="Q111">
        <v>2037</v>
      </c>
      <c r="R111">
        <v>4.2776496005700002</v>
      </c>
      <c r="S111" t="s">
        <v>121</v>
      </c>
      <c r="T111" t="s">
        <v>143</v>
      </c>
    </row>
    <row r="112" spans="1:20" x14ac:dyDescent="0.3">
      <c r="A112" t="str">
        <f t="shared" si="1"/>
        <v>Offshore wind (fixed)|2038|Construction&amp;Manufacturing|Direct</v>
      </c>
      <c r="B112" t="s">
        <v>143</v>
      </c>
      <c r="C112" t="s">
        <v>74</v>
      </c>
      <c r="D112" t="s">
        <v>70</v>
      </c>
      <c r="E112" t="s">
        <v>65</v>
      </c>
      <c r="F112" t="s">
        <v>117</v>
      </c>
      <c r="G112">
        <v>2038</v>
      </c>
      <c r="H112">
        <v>4.20610263908</v>
      </c>
      <c r="I112">
        <v>4.20610263908</v>
      </c>
      <c r="J112" t="s">
        <v>118</v>
      </c>
      <c r="M112" t="s">
        <v>144</v>
      </c>
      <c r="O112" t="s">
        <v>145</v>
      </c>
      <c r="P112">
        <v>2030</v>
      </c>
      <c r="Q112">
        <v>2038</v>
      </c>
      <c r="R112">
        <v>4.20610263908</v>
      </c>
      <c r="S112" t="s">
        <v>121</v>
      </c>
      <c r="T112" t="s">
        <v>143</v>
      </c>
    </row>
    <row r="113" spans="1:20" x14ac:dyDescent="0.3">
      <c r="A113" t="str">
        <f t="shared" si="1"/>
        <v>Offshore wind (fixed)|2039|Construction&amp;Manufacturing|Direct</v>
      </c>
      <c r="B113" t="s">
        <v>143</v>
      </c>
      <c r="C113" t="s">
        <v>74</v>
      </c>
      <c r="D113" t="s">
        <v>70</v>
      </c>
      <c r="E113" t="s">
        <v>65</v>
      </c>
      <c r="F113" t="s">
        <v>117</v>
      </c>
      <c r="G113">
        <v>2039</v>
      </c>
      <c r="H113">
        <v>4.1345556775899999</v>
      </c>
      <c r="I113">
        <v>4.1345556775899999</v>
      </c>
      <c r="J113" t="s">
        <v>118</v>
      </c>
      <c r="M113" t="s">
        <v>144</v>
      </c>
      <c r="O113" t="s">
        <v>145</v>
      </c>
      <c r="P113">
        <v>2030</v>
      </c>
      <c r="Q113">
        <v>2039</v>
      </c>
      <c r="R113">
        <v>4.1345556775899999</v>
      </c>
      <c r="S113" t="s">
        <v>121</v>
      </c>
      <c r="T113" t="s">
        <v>143</v>
      </c>
    </row>
    <row r="114" spans="1:20" x14ac:dyDescent="0.3">
      <c r="A114" t="str">
        <f t="shared" si="1"/>
        <v>Offshore wind (fixed)|2040|Construction&amp;Manufacturing|Direct</v>
      </c>
      <c r="B114" t="s">
        <v>143</v>
      </c>
      <c r="C114" t="s">
        <v>74</v>
      </c>
      <c r="D114" t="s">
        <v>70</v>
      </c>
      <c r="E114" t="s">
        <v>65</v>
      </c>
      <c r="F114" t="s">
        <v>117</v>
      </c>
      <c r="G114">
        <v>2040</v>
      </c>
      <c r="H114">
        <v>4.0630087160999997</v>
      </c>
      <c r="I114">
        <v>4.0630087160999997</v>
      </c>
      <c r="J114" t="s">
        <v>118</v>
      </c>
      <c r="M114" t="s">
        <v>144</v>
      </c>
      <c r="O114" t="s">
        <v>145</v>
      </c>
      <c r="P114">
        <v>2030</v>
      </c>
      <c r="Q114">
        <v>2040</v>
      </c>
      <c r="R114">
        <v>4.0630087160999997</v>
      </c>
      <c r="S114" t="s">
        <v>121</v>
      </c>
      <c r="T114" t="s">
        <v>143</v>
      </c>
    </row>
    <row r="115" spans="1:20" x14ac:dyDescent="0.3">
      <c r="A115" t="str">
        <f t="shared" si="1"/>
        <v>Offshore wind (fixed)|2041|Construction&amp;Manufacturing|Direct</v>
      </c>
      <c r="B115" t="s">
        <v>143</v>
      </c>
      <c r="C115" t="s">
        <v>74</v>
      </c>
      <c r="D115" t="s">
        <v>70</v>
      </c>
      <c r="E115" t="s">
        <v>65</v>
      </c>
      <c r="F115" t="s">
        <v>117</v>
      </c>
      <c r="G115">
        <v>2041</v>
      </c>
      <c r="H115">
        <v>3.99146175461</v>
      </c>
      <c r="I115">
        <v>3.99146175461</v>
      </c>
      <c r="J115" t="s">
        <v>118</v>
      </c>
      <c r="M115" t="s">
        <v>144</v>
      </c>
      <c r="O115" t="s">
        <v>145</v>
      </c>
      <c r="P115">
        <v>2030</v>
      </c>
      <c r="Q115">
        <v>2041</v>
      </c>
      <c r="R115">
        <v>3.99146175461</v>
      </c>
      <c r="S115" t="s">
        <v>121</v>
      </c>
      <c r="T115" t="s">
        <v>143</v>
      </c>
    </row>
    <row r="116" spans="1:20" x14ac:dyDescent="0.3">
      <c r="A116" t="str">
        <f t="shared" si="1"/>
        <v>Offshore wind (fixed)|2042|Construction&amp;Manufacturing|Direct</v>
      </c>
      <c r="B116" t="s">
        <v>143</v>
      </c>
      <c r="C116" t="s">
        <v>74</v>
      </c>
      <c r="D116" t="s">
        <v>70</v>
      </c>
      <c r="E116" t="s">
        <v>65</v>
      </c>
      <c r="F116" t="s">
        <v>117</v>
      </c>
      <c r="G116">
        <v>2042</v>
      </c>
      <c r="H116">
        <v>3.9199147931199998</v>
      </c>
      <c r="I116">
        <v>3.9199147931199998</v>
      </c>
      <c r="J116" t="s">
        <v>118</v>
      </c>
      <c r="M116" t="s">
        <v>144</v>
      </c>
      <c r="O116" t="s">
        <v>145</v>
      </c>
      <c r="P116">
        <v>2030</v>
      </c>
      <c r="Q116">
        <v>2042</v>
      </c>
      <c r="R116">
        <v>3.9199147931199998</v>
      </c>
      <c r="S116" t="s">
        <v>121</v>
      </c>
      <c r="T116" t="s">
        <v>143</v>
      </c>
    </row>
    <row r="117" spans="1:20" x14ac:dyDescent="0.3">
      <c r="A117" t="str">
        <f t="shared" si="1"/>
        <v>Offshore wind (fixed)|2043|Construction&amp;Manufacturing|Direct</v>
      </c>
      <c r="B117" t="s">
        <v>143</v>
      </c>
      <c r="C117" t="s">
        <v>74</v>
      </c>
      <c r="D117" t="s">
        <v>70</v>
      </c>
      <c r="E117" t="s">
        <v>65</v>
      </c>
      <c r="F117" t="s">
        <v>117</v>
      </c>
      <c r="G117">
        <v>2043</v>
      </c>
      <c r="H117">
        <v>3.8483678316200001</v>
      </c>
      <c r="I117">
        <v>3.8483678316200001</v>
      </c>
      <c r="J117" t="s">
        <v>118</v>
      </c>
      <c r="M117" t="s">
        <v>144</v>
      </c>
      <c r="O117" t="s">
        <v>145</v>
      </c>
      <c r="P117">
        <v>2030</v>
      </c>
      <c r="Q117">
        <v>2043</v>
      </c>
      <c r="R117">
        <v>3.8483678316200001</v>
      </c>
      <c r="S117" t="s">
        <v>121</v>
      </c>
      <c r="T117" t="s">
        <v>143</v>
      </c>
    </row>
    <row r="118" spans="1:20" x14ac:dyDescent="0.3">
      <c r="A118" t="str">
        <f t="shared" si="1"/>
        <v>Offshore wind (fixed)|2044|Construction&amp;Manufacturing|Direct</v>
      </c>
      <c r="B118" t="s">
        <v>143</v>
      </c>
      <c r="C118" t="s">
        <v>74</v>
      </c>
      <c r="D118" t="s">
        <v>70</v>
      </c>
      <c r="E118" t="s">
        <v>65</v>
      </c>
      <c r="F118" t="s">
        <v>117</v>
      </c>
      <c r="G118">
        <v>2044</v>
      </c>
      <c r="H118">
        <v>3.7768208701299999</v>
      </c>
      <c r="I118">
        <v>3.7768208701299999</v>
      </c>
      <c r="J118" t="s">
        <v>118</v>
      </c>
      <c r="M118" t="s">
        <v>144</v>
      </c>
      <c r="O118" t="s">
        <v>145</v>
      </c>
      <c r="P118">
        <v>2030</v>
      </c>
      <c r="Q118">
        <v>2044</v>
      </c>
      <c r="R118">
        <v>3.7768208701299999</v>
      </c>
      <c r="S118" t="s">
        <v>121</v>
      </c>
      <c r="T118" t="s">
        <v>143</v>
      </c>
    </row>
    <row r="119" spans="1:20" x14ac:dyDescent="0.3">
      <c r="A119" t="str">
        <f t="shared" si="1"/>
        <v>Offshore wind (fixed)|2045|Construction&amp;Manufacturing|Direct</v>
      </c>
      <c r="B119" t="s">
        <v>143</v>
      </c>
      <c r="C119" t="s">
        <v>74</v>
      </c>
      <c r="D119" t="s">
        <v>70</v>
      </c>
      <c r="E119" t="s">
        <v>65</v>
      </c>
      <c r="F119" t="s">
        <v>117</v>
      </c>
      <c r="G119">
        <v>2045</v>
      </c>
      <c r="H119">
        <v>3.7052739086400002</v>
      </c>
      <c r="I119">
        <v>3.7052739086400002</v>
      </c>
      <c r="J119" t="s">
        <v>118</v>
      </c>
      <c r="M119" t="s">
        <v>144</v>
      </c>
      <c r="O119" t="s">
        <v>145</v>
      </c>
      <c r="P119">
        <v>2030</v>
      </c>
      <c r="Q119">
        <v>2045</v>
      </c>
      <c r="R119">
        <v>3.7052739086400002</v>
      </c>
      <c r="S119" t="s">
        <v>121</v>
      </c>
      <c r="T119" t="s">
        <v>143</v>
      </c>
    </row>
    <row r="120" spans="1:20" x14ac:dyDescent="0.3">
      <c r="A120" t="str">
        <f t="shared" si="1"/>
        <v>Offshore wind (fixed)|2046|Construction&amp;Manufacturing|Direct</v>
      </c>
      <c r="B120" t="s">
        <v>143</v>
      </c>
      <c r="C120" t="s">
        <v>74</v>
      </c>
      <c r="D120" t="s">
        <v>70</v>
      </c>
      <c r="E120" t="s">
        <v>65</v>
      </c>
      <c r="F120" t="s">
        <v>117</v>
      </c>
      <c r="G120">
        <v>2046</v>
      </c>
      <c r="H120">
        <v>3.63372694715</v>
      </c>
      <c r="I120">
        <v>3.63372694715</v>
      </c>
      <c r="J120" t="s">
        <v>118</v>
      </c>
      <c r="M120" t="s">
        <v>144</v>
      </c>
      <c r="O120" t="s">
        <v>145</v>
      </c>
      <c r="P120">
        <v>2030</v>
      </c>
      <c r="Q120">
        <v>2046</v>
      </c>
      <c r="R120">
        <v>3.63372694715</v>
      </c>
      <c r="S120" t="s">
        <v>121</v>
      </c>
      <c r="T120" t="s">
        <v>143</v>
      </c>
    </row>
    <row r="121" spans="1:20" x14ac:dyDescent="0.3">
      <c r="A121" t="str">
        <f t="shared" si="1"/>
        <v>Offshore wind (fixed)|2047|Construction&amp;Manufacturing|Direct</v>
      </c>
      <c r="B121" t="s">
        <v>143</v>
      </c>
      <c r="C121" t="s">
        <v>74</v>
      </c>
      <c r="D121" t="s">
        <v>70</v>
      </c>
      <c r="E121" t="s">
        <v>65</v>
      </c>
      <c r="F121" t="s">
        <v>117</v>
      </c>
      <c r="G121">
        <v>2047</v>
      </c>
      <c r="H121">
        <v>3.5621799856599998</v>
      </c>
      <c r="I121">
        <v>3.5621799856599998</v>
      </c>
      <c r="J121" t="s">
        <v>118</v>
      </c>
      <c r="M121" t="s">
        <v>144</v>
      </c>
      <c r="O121" t="s">
        <v>145</v>
      </c>
      <c r="P121">
        <v>2030</v>
      </c>
      <c r="Q121">
        <v>2047</v>
      </c>
      <c r="R121">
        <v>3.5621799856599998</v>
      </c>
      <c r="S121" t="s">
        <v>121</v>
      </c>
      <c r="T121" t="s">
        <v>143</v>
      </c>
    </row>
    <row r="122" spans="1:20" x14ac:dyDescent="0.3">
      <c r="A122" t="str">
        <f t="shared" si="1"/>
        <v>Offshore wind (fixed)|2048|Construction&amp;Manufacturing|Direct</v>
      </c>
      <c r="B122" t="s">
        <v>143</v>
      </c>
      <c r="C122" t="s">
        <v>74</v>
      </c>
      <c r="D122" t="s">
        <v>70</v>
      </c>
      <c r="E122" t="s">
        <v>65</v>
      </c>
      <c r="F122" t="s">
        <v>117</v>
      </c>
      <c r="G122">
        <v>2048</v>
      </c>
      <c r="H122">
        <v>3.4906330241700001</v>
      </c>
      <c r="I122">
        <v>3.4906330241700001</v>
      </c>
      <c r="J122" t="s">
        <v>118</v>
      </c>
      <c r="M122" t="s">
        <v>144</v>
      </c>
      <c r="O122" t="s">
        <v>145</v>
      </c>
      <c r="P122">
        <v>2030</v>
      </c>
      <c r="Q122">
        <v>2048</v>
      </c>
      <c r="R122">
        <v>3.4906330241700001</v>
      </c>
      <c r="S122" t="s">
        <v>121</v>
      </c>
      <c r="T122" t="s">
        <v>143</v>
      </c>
    </row>
    <row r="123" spans="1:20" x14ac:dyDescent="0.3">
      <c r="A123" t="str">
        <f t="shared" si="1"/>
        <v>Offshore wind (fixed)|2049|Construction&amp;Manufacturing|Direct</v>
      </c>
      <c r="B123" t="s">
        <v>143</v>
      </c>
      <c r="C123" t="s">
        <v>74</v>
      </c>
      <c r="D123" t="s">
        <v>70</v>
      </c>
      <c r="E123" t="s">
        <v>65</v>
      </c>
      <c r="F123" t="s">
        <v>117</v>
      </c>
      <c r="G123">
        <v>2049</v>
      </c>
      <c r="H123">
        <v>3.4190860626699999</v>
      </c>
      <c r="I123">
        <v>3.4190860626699999</v>
      </c>
      <c r="J123" t="s">
        <v>118</v>
      </c>
      <c r="M123" t="s">
        <v>144</v>
      </c>
      <c r="O123" t="s">
        <v>145</v>
      </c>
      <c r="P123">
        <v>2030</v>
      </c>
      <c r="Q123">
        <v>2049</v>
      </c>
      <c r="R123">
        <v>3.4190860626699999</v>
      </c>
      <c r="S123" t="s">
        <v>121</v>
      </c>
      <c r="T123" t="s">
        <v>143</v>
      </c>
    </row>
    <row r="124" spans="1:20" x14ac:dyDescent="0.3">
      <c r="A124" t="str">
        <f t="shared" si="1"/>
        <v>Offshore wind (fixed)|2050|Construction&amp;Manufacturing|Direct</v>
      </c>
      <c r="B124" t="s">
        <v>143</v>
      </c>
      <c r="C124" t="s">
        <v>74</v>
      </c>
      <c r="D124" t="s">
        <v>70</v>
      </c>
      <c r="E124" t="s">
        <v>65</v>
      </c>
      <c r="F124" t="s">
        <v>117</v>
      </c>
      <c r="G124">
        <v>2050</v>
      </c>
      <c r="H124">
        <v>3.3475391011800002</v>
      </c>
      <c r="I124">
        <v>3.3475391011800002</v>
      </c>
      <c r="J124" t="s">
        <v>124</v>
      </c>
      <c r="M124" t="s">
        <v>144</v>
      </c>
      <c r="O124" t="s">
        <v>145</v>
      </c>
      <c r="P124">
        <v>2030</v>
      </c>
      <c r="Q124">
        <v>2050</v>
      </c>
      <c r="R124">
        <v>3.3475391011800002</v>
      </c>
      <c r="S124" t="s">
        <v>125</v>
      </c>
      <c r="T124" t="s">
        <v>143</v>
      </c>
    </row>
    <row r="125" spans="1:20" x14ac:dyDescent="0.3">
      <c r="A125" t="str">
        <f t="shared" si="1"/>
        <v>Offshore wind (fixed)|2052|Construction&amp;Manufacturing|Direct</v>
      </c>
      <c r="B125" t="s">
        <v>143</v>
      </c>
      <c r="C125" t="s">
        <v>74</v>
      </c>
      <c r="D125" t="s">
        <v>70</v>
      </c>
      <c r="E125" t="s">
        <v>65</v>
      </c>
      <c r="F125" t="s">
        <v>117</v>
      </c>
      <c r="G125">
        <v>2052</v>
      </c>
      <c r="H125">
        <v>3.3475391011800002</v>
      </c>
      <c r="I125">
        <v>3.3475391011800002</v>
      </c>
      <c r="J125" t="s">
        <v>118</v>
      </c>
      <c r="M125" t="s">
        <v>144</v>
      </c>
      <c r="O125" t="s">
        <v>145</v>
      </c>
      <c r="P125">
        <v>2030</v>
      </c>
      <c r="Q125">
        <v>2052</v>
      </c>
      <c r="R125">
        <v>3.3475391011800002</v>
      </c>
      <c r="S125" t="s">
        <v>126</v>
      </c>
      <c r="T125" t="s">
        <v>143</v>
      </c>
    </row>
    <row r="126" spans="1:20" x14ac:dyDescent="0.3">
      <c r="A126" t="str">
        <f t="shared" si="1"/>
        <v>Offshore wind (fixed)|2053|Construction&amp;Manufacturing|Direct</v>
      </c>
      <c r="B126" t="s">
        <v>143</v>
      </c>
      <c r="C126" t="s">
        <v>74</v>
      </c>
      <c r="D126" t="s">
        <v>70</v>
      </c>
      <c r="E126" t="s">
        <v>65</v>
      </c>
      <c r="F126" t="s">
        <v>117</v>
      </c>
      <c r="G126">
        <v>2053</v>
      </c>
      <c r="H126">
        <v>3.3475391011800002</v>
      </c>
      <c r="I126">
        <v>3.3475391011800002</v>
      </c>
      <c r="J126" t="s">
        <v>118</v>
      </c>
      <c r="M126" t="s">
        <v>144</v>
      </c>
      <c r="O126" t="s">
        <v>145</v>
      </c>
      <c r="P126">
        <v>2030</v>
      </c>
      <c r="Q126">
        <v>2053</v>
      </c>
      <c r="R126">
        <v>3.3475391011800002</v>
      </c>
      <c r="S126" t="s">
        <v>126</v>
      </c>
      <c r="T126" t="s">
        <v>143</v>
      </c>
    </row>
    <row r="127" spans="1:20" x14ac:dyDescent="0.3">
      <c r="A127" t="str">
        <f t="shared" si="1"/>
        <v>Offshore wind (fixed)|2054|Construction&amp;Manufacturing|Direct</v>
      </c>
      <c r="B127" t="s">
        <v>143</v>
      </c>
      <c r="C127" t="s">
        <v>74</v>
      </c>
      <c r="D127" t="s">
        <v>70</v>
      </c>
      <c r="E127" t="s">
        <v>65</v>
      </c>
      <c r="F127" t="s">
        <v>117</v>
      </c>
      <c r="G127">
        <v>2054</v>
      </c>
      <c r="H127">
        <v>3.3475391011800002</v>
      </c>
      <c r="I127">
        <v>3.3475391011800002</v>
      </c>
      <c r="J127" t="s">
        <v>118</v>
      </c>
      <c r="M127" t="s">
        <v>144</v>
      </c>
      <c r="O127" t="s">
        <v>145</v>
      </c>
      <c r="P127">
        <v>2030</v>
      </c>
      <c r="Q127">
        <v>2054</v>
      </c>
      <c r="R127">
        <v>3.3475391011800002</v>
      </c>
      <c r="S127" t="s">
        <v>126</v>
      </c>
      <c r="T127" t="s">
        <v>143</v>
      </c>
    </row>
    <row r="128" spans="1:20" x14ac:dyDescent="0.3">
      <c r="A128" t="str">
        <f t="shared" si="1"/>
        <v>Offshore wind (fixed)|2032|O&amp;M|Direct</v>
      </c>
      <c r="B128" t="s">
        <v>143</v>
      </c>
      <c r="C128" t="s">
        <v>74</v>
      </c>
      <c r="D128" t="s">
        <v>64</v>
      </c>
      <c r="E128" t="s">
        <v>65</v>
      </c>
      <c r="F128" t="s">
        <v>122</v>
      </c>
      <c r="G128">
        <v>2032</v>
      </c>
      <c r="H128">
        <v>7.6450506912400004E-2</v>
      </c>
      <c r="I128">
        <v>7.6450506912400004E-2</v>
      </c>
      <c r="J128" t="s">
        <v>118</v>
      </c>
      <c r="M128" t="s">
        <v>144</v>
      </c>
      <c r="O128" t="s">
        <v>146</v>
      </c>
      <c r="P128">
        <v>2030</v>
      </c>
      <c r="Q128">
        <v>2032</v>
      </c>
      <c r="R128">
        <v>7.6450506912400004E-2</v>
      </c>
      <c r="S128" t="s">
        <v>121</v>
      </c>
      <c r="T128" t="s">
        <v>143</v>
      </c>
    </row>
    <row r="129" spans="1:20" x14ac:dyDescent="0.3">
      <c r="A129" t="str">
        <f t="shared" si="1"/>
        <v>Offshore wind (fixed)|2033|O&amp;M|Direct</v>
      </c>
      <c r="B129" t="s">
        <v>143</v>
      </c>
      <c r="C129" t="s">
        <v>74</v>
      </c>
      <c r="D129" t="s">
        <v>64</v>
      </c>
      <c r="E129" t="s">
        <v>65</v>
      </c>
      <c r="F129" t="s">
        <v>122</v>
      </c>
      <c r="G129">
        <v>2033</v>
      </c>
      <c r="H129">
        <v>7.52582488479E-2</v>
      </c>
      <c r="I129">
        <v>7.52582488479E-2</v>
      </c>
      <c r="J129" t="s">
        <v>118</v>
      </c>
      <c r="M129" t="s">
        <v>144</v>
      </c>
      <c r="O129" t="s">
        <v>146</v>
      </c>
      <c r="P129">
        <v>2030</v>
      </c>
      <c r="Q129">
        <v>2033</v>
      </c>
      <c r="R129">
        <v>7.52582488479E-2</v>
      </c>
      <c r="S129" t="s">
        <v>121</v>
      </c>
      <c r="T129" t="s">
        <v>143</v>
      </c>
    </row>
    <row r="130" spans="1:20" x14ac:dyDescent="0.3">
      <c r="A130" t="str">
        <f t="shared" ref="A130:A193" si="2">C130&amp;"|"&amp;G130&amp;"|"&amp;D130&amp;"|"&amp;E130</f>
        <v>Offshore wind (fixed)|2034|O&amp;M|Direct</v>
      </c>
      <c r="B130" t="s">
        <v>143</v>
      </c>
      <c r="C130" t="s">
        <v>74</v>
      </c>
      <c r="D130" t="s">
        <v>64</v>
      </c>
      <c r="E130" t="s">
        <v>65</v>
      </c>
      <c r="F130" t="s">
        <v>122</v>
      </c>
      <c r="G130">
        <v>2034</v>
      </c>
      <c r="H130">
        <v>7.4065990783399996E-2</v>
      </c>
      <c r="I130">
        <v>7.4065990783399996E-2</v>
      </c>
      <c r="J130" t="s">
        <v>118</v>
      </c>
      <c r="M130" t="s">
        <v>144</v>
      </c>
      <c r="O130" t="s">
        <v>146</v>
      </c>
      <c r="P130">
        <v>2030</v>
      </c>
      <c r="Q130">
        <v>2034</v>
      </c>
      <c r="R130">
        <v>7.4065990783399996E-2</v>
      </c>
      <c r="S130" t="s">
        <v>121</v>
      </c>
      <c r="T130" t="s">
        <v>143</v>
      </c>
    </row>
    <row r="131" spans="1:20" x14ac:dyDescent="0.3">
      <c r="A131" t="str">
        <f t="shared" si="2"/>
        <v>Offshore wind (fixed)|2035|O&amp;M|Direct</v>
      </c>
      <c r="B131" t="s">
        <v>143</v>
      </c>
      <c r="C131" t="s">
        <v>74</v>
      </c>
      <c r="D131" t="s">
        <v>64</v>
      </c>
      <c r="E131" t="s">
        <v>65</v>
      </c>
      <c r="F131" t="s">
        <v>122</v>
      </c>
      <c r="G131">
        <v>2035</v>
      </c>
      <c r="H131">
        <v>7.2873732718900006E-2</v>
      </c>
      <c r="I131">
        <v>7.2873732718900006E-2</v>
      </c>
      <c r="J131" t="s">
        <v>118</v>
      </c>
      <c r="M131" t="s">
        <v>144</v>
      </c>
      <c r="O131" t="s">
        <v>146</v>
      </c>
      <c r="P131">
        <v>2030</v>
      </c>
      <c r="Q131">
        <v>2035</v>
      </c>
      <c r="R131">
        <v>7.2873732718900006E-2</v>
      </c>
      <c r="S131" t="s">
        <v>121</v>
      </c>
      <c r="T131" t="s">
        <v>143</v>
      </c>
    </row>
    <row r="132" spans="1:20" x14ac:dyDescent="0.3">
      <c r="A132" t="str">
        <f t="shared" si="2"/>
        <v>Offshore wind (fixed)|2036|O&amp;M|Direct</v>
      </c>
      <c r="B132" t="s">
        <v>143</v>
      </c>
      <c r="C132" t="s">
        <v>74</v>
      </c>
      <c r="D132" t="s">
        <v>64</v>
      </c>
      <c r="E132" t="s">
        <v>65</v>
      </c>
      <c r="F132" t="s">
        <v>122</v>
      </c>
      <c r="G132">
        <v>2036</v>
      </c>
      <c r="H132">
        <v>7.1681474654400001E-2</v>
      </c>
      <c r="I132">
        <v>7.1681474654400001E-2</v>
      </c>
      <c r="J132" t="s">
        <v>118</v>
      </c>
      <c r="M132" t="s">
        <v>144</v>
      </c>
      <c r="O132" t="s">
        <v>146</v>
      </c>
      <c r="P132">
        <v>2030</v>
      </c>
      <c r="Q132">
        <v>2036</v>
      </c>
      <c r="R132">
        <v>7.1681474654400001E-2</v>
      </c>
      <c r="S132" t="s">
        <v>121</v>
      </c>
      <c r="T132" t="s">
        <v>143</v>
      </c>
    </row>
    <row r="133" spans="1:20" x14ac:dyDescent="0.3">
      <c r="A133" t="str">
        <f t="shared" si="2"/>
        <v>Offshore wind (fixed)|2037|O&amp;M|Direct</v>
      </c>
      <c r="B133" t="s">
        <v>143</v>
      </c>
      <c r="C133" t="s">
        <v>74</v>
      </c>
      <c r="D133" t="s">
        <v>64</v>
      </c>
      <c r="E133" t="s">
        <v>65</v>
      </c>
      <c r="F133" t="s">
        <v>122</v>
      </c>
      <c r="G133">
        <v>2037</v>
      </c>
      <c r="H133">
        <v>7.0489216589899997E-2</v>
      </c>
      <c r="I133">
        <v>7.0489216589899997E-2</v>
      </c>
      <c r="J133" t="s">
        <v>118</v>
      </c>
      <c r="M133" t="s">
        <v>144</v>
      </c>
      <c r="O133" t="s">
        <v>146</v>
      </c>
      <c r="P133">
        <v>2030</v>
      </c>
      <c r="Q133">
        <v>2037</v>
      </c>
      <c r="R133">
        <v>7.0489216589899997E-2</v>
      </c>
      <c r="S133" t="s">
        <v>121</v>
      </c>
      <c r="T133" t="s">
        <v>143</v>
      </c>
    </row>
    <row r="134" spans="1:20" x14ac:dyDescent="0.3">
      <c r="A134" t="str">
        <f t="shared" si="2"/>
        <v>Offshore wind (fixed)|2038|O&amp;M|Direct</v>
      </c>
      <c r="B134" t="s">
        <v>143</v>
      </c>
      <c r="C134" t="s">
        <v>74</v>
      </c>
      <c r="D134" t="s">
        <v>64</v>
      </c>
      <c r="E134" t="s">
        <v>65</v>
      </c>
      <c r="F134" t="s">
        <v>122</v>
      </c>
      <c r="G134">
        <v>2038</v>
      </c>
      <c r="H134">
        <v>6.9296958525300004E-2</v>
      </c>
      <c r="I134">
        <v>6.9296958525300004E-2</v>
      </c>
      <c r="J134" t="s">
        <v>118</v>
      </c>
      <c r="M134" t="s">
        <v>144</v>
      </c>
      <c r="O134" t="s">
        <v>146</v>
      </c>
      <c r="P134">
        <v>2030</v>
      </c>
      <c r="Q134">
        <v>2038</v>
      </c>
      <c r="R134">
        <v>6.9296958525300004E-2</v>
      </c>
      <c r="S134" t="s">
        <v>121</v>
      </c>
      <c r="T134" t="s">
        <v>143</v>
      </c>
    </row>
    <row r="135" spans="1:20" x14ac:dyDescent="0.3">
      <c r="A135" t="str">
        <f t="shared" si="2"/>
        <v>Offshore wind (fixed)|2039|O&amp;M|Direct</v>
      </c>
      <c r="B135" t="s">
        <v>143</v>
      </c>
      <c r="C135" t="s">
        <v>74</v>
      </c>
      <c r="D135" t="s">
        <v>64</v>
      </c>
      <c r="E135" t="s">
        <v>65</v>
      </c>
      <c r="F135" t="s">
        <v>122</v>
      </c>
      <c r="G135">
        <v>2039</v>
      </c>
      <c r="H135">
        <v>6.81047004608E-2</v>
      </c>
      <c r="I135">
        <v>6.81047004608E-2</v>
      </c>
      <c r="J135" t="s">
        <v>118</v>
      </c>
      <c r="M135" t="s">
        <v>144</v>
      </c>
      <c r="O135" t="s">
        <v>146</v>
      </c>
      <c r="P135">
        <v>2030</v>
      </c>
      <c r="Q135">
        <v>2039</v>
      </c>
      <c r="R135">
        <v>6.81047004608E-2</v>
      </c>
      <c r="S135" t="s">
        <v>121</v>
      </c>
      <c r="T135" t="s">
        <v>143</v>
      </c>
    </row>
    <row r="136" spans="1:20" x14ac:dyDescent="0.3">
      <c r="A136" t="str">
        <f t="shared" si="2"/>
        <v>Offshore wind (fixed)|2040|O&amp;M|Direct</v>
      </c>
      <c r="B136" t="s">
        <v>143</v>
      </c>
      <c r="C136" t="s">
        <v>74</v>
      </c>
      <c r="D136" t="s">
        <v>64</v>
      </c>
      <c r="E136" t="s">
        <v>65</v>
      </c>
      <c r="F136" t="s">
        <v>122</v>
      </c>
      <c r="G136">
        <v>2040</v>
      </c>
      <c r="H136">
        <v>6.6912442396299995E-2</v>
      </c>
      <c r="I136">
        <v>6.6912442396299995E-2</v>
      </c>
      <c r="J136" t="s">
        <v>118</v>
      </c>
      <c r="M136" t="s">
        <v>144</v>
      </c>
      <c r="O136" t="s">
        <v>146</v>
      </c>
      <c r="P136">
        <v>2030</v>
      </c>
      <c r="Q136">
        <v>2040</v>
      </c>
      <c r="R136">
        <v>6.6912442396299995E-2</v>
      </c>
      <c r="S136" t="s">
        <v>121</v>
      </c>
      <c r="T136" t="s">
        <v>143</v>
      </c>
    </row>
    <row r="137" spans="1:20" x14ac:dyDescent="0.3">
      <c r="A137" t="str">
        <f t="shared" si="2"/>
        <v>Offshore wind (fixed)|2041|O&amp;M|Direct</v>
      </c>
      <c r="B137" t="s">
        <v>143</v>
      </c>
      <c r="C137" t="s">
        <v>74</v>
      </c>
      <c r="D137" t="s">
        <v>64</v>
      </c>
      <c r="E137" t="s">
        <v>65</v>
      </c>
      <c r="F137" t="s">
        <v>122</v>
      </c>
      <c r="G137">
        <v>2041</v>
      </c>
      <c r="H137">
        <v>6.5720184331800005E-2</v>
      </c>
      <c r="I137">
        <v>6.5720184331800005E-2</v>
      </c>
      <c r="J137" t="s">
        <v>118</v>
      </c>
      <c r="M137" t="s">
        <v>144</v>
      </c>
      <c r="O137" t="s">
        <v>146</v>
      </c>
      <c r="P137">
        <v>2030</v>
      </c>
      <c r="Q137">
        <v>2041</v>
      </c>
      <c r="R137">
        <v>6.5720184331800005E-2</v>
      </c>
      <c r="S137" t="s">
        <v>121</v>
      </c>
      <c r="T137" t="s">
        <v>143</v>
      </c>
    </row>
    <row r="138" spans="1:20" x14ac:dyDescent="0.3">
      <c r="A138" t="str">
        <f t="shared" si="2"/>
        <v>Offshore wind (fixed)|2042|O&amp;M|Direct</v>
      </c>
      <c r="B138" t="s">
        <v>143</v>
      </c>
      <c r="C138" t="s">
        <v>74</v>
      </c>
      <c r="D138" t="s">
        <v>64</v>
      </c>
      <c r="E138" t="s">
        <v>65</v>
      </c>
      <c r="F138" t="s">
        <v>122</v>
      </c>
      <c r="G138">
        <v>2042</v>
      </c>
      <c r="H138">
        <v>6.4527926267300001E-2</v>
      </c>
      <c r="I138">
        <v>6.4527926267300001E-2</v>
      </c>
      <c r="J138" t="s">
        <v>118</v>
      </c>
      <c r="M138" t="s">
        <v>144</v>
      </c>
      <c r="O138" t="s">
        <v>146</v>
      </c>
      <c r="P138">
        <v>2030</v>
      </c>
      <c r="Q138">
        <v>2042</v>
      </c>
      <c r="R138">
        <v>6.4527926267300001E-2</v>
      </c>
      <c r="S138" t="s">
        <v>121</v>
      </c>
      <c r="T138" t="s">
        <v>143</v>
      </c>
    </row>
    <row r="139" spans="1:20" x14ac:dyDescent="0.3">
      <c r="A139" t="str">
        <f t="shared" si="2"/>
        <v>Offshore wind (fixed)|2043|O&amp;M|Direct</v>
      </c>
      <c r="B139" t="s">
        <v>143</v>
      </c>
      <c r="C139" t="s">
        <v>74</v>
      </c>
      <c r="D139" t="s">
        <v>64</v>
      </c>
      <c r="E139" t="s">
        <v>65</v>
      </c>
      <c r="F139" t="s">
        <v>122</v>
      </c>
      <c r="G139">
        <v>2043</v>
      </c>
      <c r="H139">
        <v>6.3335668202799997E-2</v>
      </c>
      <c r="I139">
        <v>6.3335668202799997E-2</v>
      </c>
      <c r="J139" t="s">
        <v>118</v>
      </c>
      <c r="M139" t="s">
        <v>144</v>
      </c>
      <c r="O139" t="s">
        <v>146</v>
      </c>
      <c r="P139">
        <v>2030</v>
      </c>
      <c r="Q139">
        <v>2043</v>
      </c>
      <c r="R139">
        <v>6.3335668202799997E-2</v>
      </c>
      <c r="S139" t="s">
        <v>121</v>
      </c>
      <c r="T139" t="s">
        <v>143</v>
      </c>
    </row>
    <row r="140" spans="1:20" x14ac:dyDescent="0.3">
      <c r="A140" t="str">
        <f t="shared" si="2"/>
        <v>Offshore wind (fixed)|2044|O&amp;M|Direct</v>
      </c>
      <c r="B140" t="s">
        <v>143</v>
      </c>
      <c r="C140" t="s">
        <v>74</v>
      </c>
      <c r="D140" t="s">
        <v>64</v>
      </c>
      <c r="E140" t="s">
        <v>65</v>
      </c>
      <c r="F140" t="s">
        <v>122</v>
      </c>
      <c r="G140">
        <v>2044</v>
      </c>
      <c r="H140">
        <v>6.2143410138200003E-2</v>
      </c>
      <c r="I140">
        <v>6.2143410138200003E-2</v>
      </c>
      <c r="J140" t="s">
        <v>118</v>
      </c>
      <c r="M140" t="s">
        <v>144</v>
      </c>
      <c r="O140" t="s">
        <v>146</v>
      </c>
      <c r="P140">
        <v>2030</v>
      </c>
      <c r="Q140">
        <v>2044</v>
      </c>
      <c r="R140">
        <v>6.2143410138200003E-2</v>
      </c>
      <c r="S140" t="s">
        <v>121</v>
      </c>
      <c r="T140" t="s">
        <v>143</v>
      </c>
    </row>
    <row r="141" spans="1:20" x14ac:dyDescent="0.3">
      <c r="A141" t="str">
        <f t="shared" si="2"/>
        <v>Offshore wind (fixed)|2045|O&amp;M|Direct</v>
      </c>
      <c r="B141" t="s">
        <v>143</v>
      </c>
      <c r="C141" t="s">
        <v>74</v>
      </c>
      <c r="D141" t="s">
        <v>64</v>
      </c>
      <c r="E141" t="s">
        <v>65</v>
      </c>
      <c r="F141" t="s">
        <v>122</v>
      </c>
      <c r="G141">
        <v>2045</v>
      </c>
      <c r="H141">
        <v>6.0951152073699999E-2</v>
      </c>
      <c r="I141">
        <v>6.0951152073699999E-2</v>
      </c>
      <c r="J141" t="s">
        <v>118</v>
      </c>
      <c r="M141" t="s">
        <v>144</v>
      </c>
      <c r="O141" t="s">
        <v>146</v>
      </c>
      <c r="P141">
        <v>2030</v>
      </c>
      <c r="Q141">
        <v>2045</v>
      </c>
      <c r="R141">
        <v>6.0951152073699999E-2</v>
      </c>
      <c r="S141" t="s">
        <v>121</v>
      </c>
      <c r="T141" t="s">
        <v>143</v>
      </c>
    </row>
    <row r="142" spans="1:20" x14ac:dyDescent="0.3">
      <c r="A142" t="str">
        <f t="shared" si="2"/>
        <v>Offshore wind (fixed)|2046|O&amp;M|Direct</v>
      </c>
      <c r="B142" t="s">
        <v>143</v>
      </c>
      <c r="C142" t="s">
        <v>74</v>
      </c>
      <c r="D142" t="s">
        <v>64</v>
      </c>
      <c r="E142" t="s">
        <v>65</v>
      </c>
      <c r="F142" t="s">
        <v>122</v>
      </c>
      <c r="G142">
        <v>2046</v>
      </c>
      <c r="H142">
        <v>5.9758894009200002E-2</v>
      </c>
      <c r="I142">
        <v>5.9758894009200002E-2</v>
      </c>
      <c r="J142" t="s">
        <v>118</v>
      </c>
      <c r="M142" t="s">
        <v>144</v>
      </c>
      <c r="O142" t="s">
        <v>146</v>
      </c>
      <c r="P142">
        <v>2030</v>
      </c>
      <c r="Q142">
        <v>2046</v>
      </c>
      <c r="R142">
        <v>5.9758894009200002E-2</v>
      </c>
      <c r="S142" t="s">
        <v>121</v>
      </c>
      <c r="T142" t="s">
        <v>143</v>
      </c>
    </row>
    <row r="143" spans="1:20" x14ac:dyDescent="0.3">
      <c r="A143" t="str">
        <f t="shared" si="2"/>
        <v>Offshore wind (fixed)|2047|O&amp;M|Direct</v>
      </c>
      <c r="B143" t="s">
        <v>143</v>
      </c>
      <c r="C143" t="s">
        <v>74</v>
      </c>
      <c r="D143" t="s">
        <v>64</v>
      </c>
      <c r="E143" t="s">
        <v>65</v>
      </c>
      <c r="F143" t="s">
        <v>122</v>
      </c>
      <c r="G143">
        <v>2047</v>
      </c>
      <c r="H143">
        <v>5.8566635944699998E-2</v>
      </c>
      <c r="I143">
        <v>5.8566635944699998E-2</v>
      </c>
      <c r="J143" t="s">
        <v>118</v>
      </c>
      <c r="M143" t="s">
        <v>144</v>
      </c>
      <c r="O143" t="s">
        <v>146</v>
      </c>
      <c r="P143">
        <v>2030</v>
      </c>
      <c r="Q143">
        <v>2047</v>
      </c>
      <c r="R143">
        <v>5.8566635944699998E-2</v>
      </c>
      <c r="S143" t="s">
        <v>121</v>
      </c>
      <c r="T143" t="s">
        <v>143</v>
      </c>
    </row>
    <row r="144" spans="1:20" x14ac:dyDescent="0.3">
      <c r="A144" t="str">
        <f t="shared" si="2"/>
        <v>Offshore wind (fixed)|2048|O&amp;M|Direct</v>
      </c>
      <c r="B144" t="s">
        <v>143</v>
      </c>
      <c r="C144" t="s">
        <v>74</v>
      </c>
      <c r="D144" t="s">
        <v>64</v>
      </c>
      <c r="E144" t="s">
        <v>65</v>
      </c>
      <c r="F144" t="s">
        <v>122</v>
      </c>
      <c r="G144">
        <v>2048</v>
      </c>
      <c r="H144">
        <v>5.73743778802E-2</v>
      </c>
      <c r="I144">
        <v>5.73743778802E-2</v>
      </c>
      <c r="J144" t="s">
        <v>118</v>
      </c>
      <c r="M144" t="s">
        <v>144</v>
      </c>
      <c r="O144" t="s">
        <v>146</v>
      </c>
      <c r="P144">
        <v>2030</v>
      </c>
      <c r="Q144">
        <v>2048</v>
      </c>
      <c r="R144">
        <v>5.73743778802E-2</v>
      </c>
      <c r="S144" t="s">
        <v>121</v>
      </c>
      <c r="T144" t="s">
        <v>143</v>
      </c>
    </row>
    <row r="145" spans="1:20" x14ac:dyDescent="0.3">
      <c r="A145" t="str">
        <f t="shared" si="2"/>
        <v>Offshore wind (fixed)|2049|O&amp;M|Direct</v>
      </c>
      <c r="B145" t="s">
        <v>143</v>
      </c>
      <c r="C145" t="s">
        <v>74</v>
      </c>
      <c r="D145" t="s">
        <v>64</v>
      </c>
      <c r="E145" t="s">
        <v>65</v>
      </c>
      <c r="F145" t="s">
        <v>122</v>
      </c>
      <c r="G145">
        <v>2049</v>
      </c>
      <c r="H145">
        <v>5.6182119815700003E-2</v>
      </c>
      <c r="I145">
        <v>5.6182119815700003E-2</v>
      </c>
      <c r="J145" t="s">
        <v>118</v>
      </c>
      <c r="M145" t="s">
        <v>144</v>
      </c>
      <c r="O145" t="s">
        <v>146</v>
      </c>
      <c r="P145">
        <v>2030</v>
      </c>
      <c r="Q145">
        <v>2049</v>
      </c>
      <c r="R145">
        <v>5.6182119815700003E-2</v>
      </c>
      <c r="S145" t="s">
        <v>121</v>
      </c>
      <c r="T145" t="s">
        <v>143</v>
      </c>
    </row>
    <row r="146" spans="1:20" x14ac:dyDescent="0.3">
      <c r="A146" t="str">
        <f t="shared" si="2"/>
        <v>Offshore wind (fixed)|2050|O&amp;M|Direct</v>
      </c>
      <c r="B146" t="s">
        <v>143</v>
      </c>
      <c r="C146" t="s">
        <v>74</v>
      </c>
      <c r="D146" t="s">
        <v>64</v>
      </c>
      <c r="E146" t="s">
        <v>65</v>
      </c>
      <c r="F146" t="s">
        <v>122</v>
      </c>
      <c r="G146">
        <v>2050</v>
      </c>
      <c r="H146">
        <v>5.4989861751199999E-2</v>
      </c>
      <c r="I146">
        <v>5.4989861751199999E-2</v>
      </c>
      <c r="J146" t="s">
        <v>124</v>
      </c>
      <c r="M146" t="s">
        <v>144</v>
      </c>
      <c r="O146" t="s">
        <v>146</v>
      </c>
      <c r="P146">
        <v>2030</v>
      </c>
      <c r="Q146">
        <v>2050</v>
      </c>
      <c r="R146">
        <v>5.4989861751199999E-2</v>
      </c>
      <c r="S146" t="s">
        <v>125</v>
      </c>
      <c r="T146" t="s">
        <v>143</v>
      </c>
    </row>
    <row r="147" spans="1:20" x14ac:dyDescent="0.3">
      <c r="A147" t="str">
        <f t="shared" si="2"/>
        <v>Offshore wind (fixed)|2051|O&amp;M|Direct</v>
      </c>
      <c r="B147" t="s">
        <v>143</v>
      </c>
      <c r="C147" t="s">
        <v>74</v>
      </c>
      <c r="D147" t="s">
        <v>64</v>
      </c>
      <c r="E147" t="s">
        <v>65</v>
      </c>
      <c r="F147" t="s">
        <v>122</v>
      </c>
      <c r="G147">
        <v>2051</v>
      </c>
      <c r="H147">
        <v>5.4989861751199999E-2</v>
      </c>
      <c r="I147">
        <v>5.4989861751199999E-2</v>
      </c>
      <c r="J147" t="s">
        <v>118</v>
      </c>
      <c r="M147" t="s">
        <v>144</v>
      </c>
      <c r="O147" t="s">
        <v>146</v>
      </c>
      <c r="P147">
        <v>2030</v>
      </c>
      <c r="Q147">
        <v>2051</v>
      </c>
      <c r="R147">
        <v>5.4989861751199999E-2</v>
      </c>
      <c r="S147" t="s">
        <v>126</v>
      </c>
      <c r="T147" t="s">
        <v>143</v>
      </c>
    </row>
    <row r="148" spans="1:20" x14ac:dyDescent="0.3">
      <c r="A148" t="str">
        <f t="shared" si="2"/>
        <v>Offshore wind (fixed)|2052|O&amp;M|Direct</v>
      </c>
      <c r="B148" t="s">
        <v>143</v>
      </c>
      <c r="C148" t="s">
        <v>74</v>
      </c>
      <c r="D148" t="s">
        <v>64</v>
      </c>
      <c r="E148" t="s">
        <v>65</v>
      </c>
      <c r="F148" t="s">
        <v>122</v>
      </c>
      <c r="G148">
        <v>2052</v>
      </c>
      <c r="H148">
        <v>5.4989861751199999E-2</v>
      </c>
      <c r="I148">
        <v>5.4989861751199999E-2</v>
      </c>
      <c r="J148" t="s">
        <v>118</v>
      </c>
      <c r="M148" t="s">
        <v>144</v>
      </c>
      <c r="O148" t="s">
        <v>146</v>
      </c>
      <c r="P148">
        <v>2030</v>
      </c>
      <c r="Q148">
        <v>2052</v>
      </c>
      <c r="R148">
        <v>5.4989861751199999E-2</v>
      </c>
      <c r="S148" t="s">
        <v>126</v>
      </c>
      <c r="T148" t="s">
        <v>143</v>
      </c>
    </row>
    <row r="149" spans="1:20" x14ac:dyDescent="0.3">
      <c r="A149" t="str">
        <f t="shared" si="2"/>
        <v>Offshore wind (fixed)|2053|O&amp;M|Direct</v>
      </c>
      <c r="B149" t="s">
        <v>143</v>
      </c>
      <c r="C149" t="s">
        <v>74</v>
      </c>
      <c r="D149" t="s">
        <v>64</v>
      </c>
      <c r="E149" t="s">
        <v>65</v>
      </c>
      <c r="F149" t="s">
        <v>122</v>
      </c>
      <c r="G149">
        <v>2053</v>
      </c>
      <c r="H149">
        <v>5.4989861751199999E-2</v>
      </c>
      <c r="I149">
        <v>5.4989861751199999E-2</v>
      </c>
      <c r="J149" t="s">
        <v>118</v>
      </c>
      <c r="M149" t="s">
        <v>144</v>
      </c>
      <c r="O149" t="s">
        <v>146</v>
      </c>
      <c r="P149">
        <v>2030</v>
      </c>
      <c r="Q149">
        <v>2053</v>
      </c>
      <c r="R149">
        <v>5.4989861751199999E-2</v>
      </c>
      <c r="S149" t="s">
        <v>126</v>
      </c>
      <c r="T149" t="s">
        <v>143</v>
      </c>
    </row>
    <row r="150" spans="1:20" x14ac:dyDescent="0.3">
      <c r="A150" t="str">
        <f t="shared" si="2"/>
        <v>Offshore wind (fixed)|2054|O&amp;M|Direct</v>
      </c>
      <c r="B150" t="s">
        <v>143</v>
      </c>
      <c r="C150" t="s">
        <v>74</v>
      </c>
      <c r="D150" t="s">
        <v>64</v>
      </c>
      <c r="E150" t="s">
        <v>65</v>
      </c>
      <c r="F150" t="s">
        <v>122</v>
      </c>
      <c r="G150">
        <v>2054</v>
      </c>
      <c r="H150">
        <v>5.4989861751199999E-2</v>
      </c>
      <c r="I150">
        <v>5.4989861751199999E-2</v>
      </c>
      <c r="J150" t="s">
        <v>118</v>
      </c>
      <c r="M150" t="s">
        <v>144</v>
      </c>
      <c r="O150" t="s">
        <v>146</v>
      </c>
      <c r="P150">
        <v>2030</v>
      </c>
      <c r="Q150">
        <v>2054</v>
      </c>
      <c r="R150">
        <v>5.4989861751199999E-2</v>
      </c>
      <c r="S150" t="s">
        <v>126</v>
      </c>
      <c r="T150" t="s">
        <v>143</v>
      </c>
    </row>
    <row r="151" spans="1:20" x14ac:dyDescent="0.3">
      <c r="A151" t="str">
        <f t="shared" si="2"/>
        <v>Offshore wind (fixed)|2055|O&amp;M|Direct</v>
      </c>
      <c r="B151" t="s">
        <v>143</v>
      </c>
      <c r="C151" t="s">
        <v>74</v>
      </c>
      <c r="D151" t="s">
        <v>64</v>
      </c>
      <c r="E151" t="s">
        <v>65</v>
      </c>
      <c r="F151" t="s">
        <v>122</v>
      </c>
      <c r="G151">
        <v>2055</v>
      </c>
      <c r="H151">
        <v>5.4989861751199999E-2</v>
      </c>
      <c r="I151">
        <v>5.4989861751199999E-2</v>
      </c>
      <c r="J151" t="s">
        <v>118</v>
      </c>
      <c r="M151" t="s">
        <v>144</v>
      </c>
      <c r="O151" t="s">
        <v>146</v>
      </c>
      <c r="P151">
        <v>2030</v>
      </c>
      <c r="Q151">
        <v>2055</v>
      </c>
      <c r="R151">
        <v>5.4989861751199999E-2</v>
      </c>
      <c r="S151" t="s">
        <v>126</v>
      </c>
      <c r="T151" t="s">
        <v>143</v>
      </c>
    </row>
    <row r="152" spans="1:20" x14ac:dyDescent="0.3">
      <c r="A152" t="str">
        <f t="shared" si="2"/>
        <v>Offshore wind (floating)|2047|Construction&amp;Manufacturing|Direct</v>
      </c>
      <c r="B152" t="s">
        <v>143</v>
      </c>
      <c r="C152" t="s">
        <v>80</v>
      </c>
      <c r="D152" t="s">
        <v>70</v>
      </c>
      <c r="E152" t="s">
        <v>65</v>
      </c>
      <c r="F152" t="s">
        <v>117</v>
      </c>
      <c r="G152">
        <v>2047</v>
      </c>
      <c r="H152">
        <v>8.6015960878800009</v>
      </c>
      <c r="I152">
        <v>8.6015960878800009</v>
      </c>
      <c r="J152" t="s">
        <v>118</v>
      </c>
      <c r="M152" t="s">
        <v>147</v>
      </c>
      <c r="O152" t="s">
        <v>148</v>
      </c>
      <c r="P152">
        <v>2030</v>
      </c>
      <c r="Q152">
        <v>2047</v>
      </c>
      <c r="R152">
        <v>8.6015960878800009</v>
      </c>
      <c r="S152" t="s">
        <v>121</v>
      </c>
      <c r="T152" t="s">
        <v>143</v>
      </c>
    </row>
    <row r="153" spans="1:20" x14ac:dyDescent="0.3">
      <c r="A153" t="str">
        <f t="shared" si="2"/>
        <v>Offshore wind (floating)|2048|Construction&amp;Manufacturing|Direct</v>
      </c>
      <c r="B153" t="s">
        <v>143</v>
      </c>
      <c r="C153" t="s">
        <v>80</v>
      </c>
      <c r="D153" t="s">
        <v>70</v>
      </c>
      <c r="E153" t="s">
        <v>65</v>
      </c>
      <c r="F153" t="s">
        <v>117</v>
      </c>
      <c r="G153">
        <v>2048</v>
      </c>
      <c r="H153">
        <v>8.25651350481</v>
      </c>
      <c r="I153">
        <v>8.25651350481</v>
      </c>
      <c r="J153" t="s">
        <v>118</v>
      </c>
      <c r="M153" t="s">
        <v>147</v>
      </c>
      <c r="O153" t="s">
        <v>148</v>
      </c>
      <c r="P153">
        <v>2030</v>
      </c>
      <c r="Q153">
        <v>2048</v>
      </c>
      <c r="R153">
        <v>8.25651350481</v>
      </c>
      <c r="S153" t="s">
        <v>121</v>
      </c>
      <c r="T153" t="s">
        <v>143</v>
      </c>
    </row>
    <row r="154" spans="1:20" x14ac:dyDescent="0.3">
      <c r="A154" t="str">
        <f t="shared" si="2"/>
        <v>Offshore wind (floating)|2047|O&amp;M|Direct</v>
      </c>
      <c r="B154" t="s">
        <v>143</v>
      </c>
      <c r="C154" t="s">
        <v>80</v>
      </c>
      <c r="D154" t="s">
        <v>64</v>
      </c>
      <c r="E154" t="s">
        <v>65</v>
      </c>
      <c r="F154" t="s">
        <v>122</v>
      </c>
      <c r="G154">
        <v>2047</v>
      </c>
      <c r="H154">
        <v>0.14317861751200001</v>
      </c>
      <c r="I154">
        <v>0.14317861751200001</v>
      </c>
      <c r="J154" t="s">
        <v>118</v>
      </c>
      <c r="M154" t="s">
        <v>147</v>
      </c>
      <c r="O154" t="s">
        <v>149</v>
      </c>
      <c r="P154">
        <v>2030</v>
      </c>
      <c r="Q154">
        <v>2047</v>
      </c>
      <c r="R154">
        <v>0.14317861751200001</v>
      </c>
      <c r="S154" t="s">
        <v>121</v>
      </c>
      <c r="T154" t="s">
        <v>143</v>
      </c>
    </row>
    <row r="155" spans="1:20" x14ac:dyDescent="0.3">
      <c r="A155" t="str">
        <f t="shared" si="2"/>
        <v>Offshore wind (floating)|2048|O&amp;M|Direct</v>
      </c>
      <c r="B155" t="s">
        <v>143</v>
      </c>
      <c r="C155" t="s">
        <v>80</v>
      </c>
      <c r="D155" t="s">
        <v>64</v>
      </c>
      <c r="E155" t="s">
        <v>65</v>
      </c>
      <c r="F155" t="s">
        <v>122</v>
      </c>
      <c r="G155">
        <v>2048</v>
      </c>
      <c r="H155">
        <v>0.137389124424</v>
      </c>
      <c r="I155">
        <v>0.137389124424</v>
      </c>
      <c r="J155" t="s">
        <v>118</v>
      </c>
      <c r="M155" t="s">
        <v>147</v>
      </c>
      <c r="O155" t="s">
        <v>149</v>
      </c>
      <c r="P155">
        <v>2030</v>
      </c>
      <c r="Q155">
        <v>2048</v>
      </c>
      <c r="R155">
        <v>0.137389124424</v>
      </c>
      <c r="S155" t="s">
        <v>121</v>
      </c>
      <c r="T155" t="s">
        <v>143</v>
      </c>
    </row>
    <row r="156" spans="1:20" x14ac:dyDescent="0.3">
      <c r="A156" t="str">
        <f t="shared" si="2"/>
        <v>Offshore wind (floating)|2049|O&amp;M|Direct</v>
      </c>
      <c r="B156" t="s">
        <v>143</v>
      </c>
      <c r="C156" t="s">
        <v>80</v>
      </c>
      <c r="D156" t="s">
        <v>64</v>
      </c>
      <c r="E156" t="s">
        <v>65</v>
      </c>
      <c r="F156" t="s">
        <v>122</v>
      </c>
      <c r="G156">
        <v>2049</v>
      </c>
      <c r="H156">
        <v>0.131599631336</v>
      </c>
      <c r="I156">
        <v>0.131599631336</v>
      </c>
      <c r="J156" t="s">
        <v>118</v>
      </c>
      <c r="M156" t="s">
        <v>147</v>
      </c>
      <c r="O156" t="s">
        <v>149</v>
      </c>
      <c r="P156">
        <v>2030</v>
      </c>
      <c r="Q156">
        <v>2049</v>
      </c>
      <c r="R156">
        <v>0.131599631336</v>
      </c>
      <c r="S156" t="s">
        <v>121</v>
      </c>
      <c r="T156" t="s">
        <v>143</v>
      </c>
    </row>
    <row r="157" spans="1:20" x14ac:dyDescent="0.3">
      <c r="A157" t="str">
        <f t="shared" si="2"/>
        <v>Offshore wind (floating)|2050|O&amp;M|Direct</v>
      </c>
      <c r="B157" t="s">
        <v>143</v>
      </c>
      <c r="C157" t="s">
        <v>80</v>
      </c>
      <c r="D157" t="s">
        <v>64</v>
      </c>
      <c r="E157" t="s">
        <v>65</v>
      </c>
      <c r="F157" t="s">
        <v>122</v>
      </c>
      <c r="G157">
        <v>2050</v>
      </c>
      <c r="H157">
        <v>0.125810138249</v>
      </c>
      <c r="I157">
        <v>0.125810138249</v>
      </c>
      <c r="J157" t="s">
        <v>150</v>
      </c>
      <c r="M157" t="s">
        <v>147</v>
      </c>
      <c r="O157" t="s">
        <v>149</v>
      </c>
      <c r="P157">
        <v>2030</v>
      </c>
      <c r="Q157">
        <v>2050</v>
      </c>
      <c r="R157">
        <v>0.125810138249</v>
      </c>
      <c r="S157" t="s">
        <v>125</v>
      </c>
      <c r="T157" t="s">
        <v>143</v>
      </c>
    </row>
    <row r="158" spans="1:20" x14ac:dyDescent="0.3">
      <c r="A158" t="str">
        <f t="shared" si="2"/>
        <v>Offshore wind (floating)|2051|O&amp;M|Direct</v>
      </c>
      <c r="B158" t="s">
        <v>143</v>
      </c>
      <c r="C158" t="s">
        <v>80</v>
      </c>
      <c r="D158" t="s">
        <v>64</v>
      </c>
      <c r="E158" t="s">
        <v>65</v>
      </c>
      <c r="F158" t="s">
        <v>122</v>
      </c>
      <c r="G158">
        <v>2051</v>
      </c>
      <c r="H158">
        <v>0.125810138249</v>
      </c>
      <c r="I158">
        <v>0.125810138249</v>
      </c>
      <c r="J158" t="s">
        <v>118</v>
      </c>
      <c r="M158" t="s">
        <v>147</v>
      </c>
      <c r="O158" t="s">
        <v>149</v>
      </c>
      <c r="P158">
        <v>2030</v>
      </c>
      <c r="Q158">
        <v>2051</v>
      </c>
      <c r="R158">
        <v>0.125810138249</v>
      </c>
      <c r="S158" t="s">
        <v>126</v>
      </c>
      <c r="T158" t="s">
        <v>143</v>
      </c>
    </row>
    <row r="159" spans="1:20" x14ac:dyDescent="0.3">
      <c r="A159" t="str">
        <f t="shared" si="2"/>
        <v>Offshore wind (floating)|2052|O&amp;M|Direct</v>
      </c>
      <c r="B159" t="s">
        <v>143</v>
      </c>
      <c r="C159" t="s">
        <v>80</v>
      </c>
      <c r="D159" t="s">
        <v>64</v>
      </c>
      <c r="E159" t="s">
        <v>65</v>
      </c>
      <c r="F159" t="s">
        <v>122</v>
      </c>
      <c r="G159">
        <v>2052</v>
      </c>
      <c r="H159">
        <v>0.125810138249</v>
      </c>
      <c r="I159">
        <v>0.125810138249</v>
      </c>
      <c r="J159" t="s">
        <v>118</v>
      </c>
      <c r="M159" t="s">
        <v>147</v>
      </c>
      <c r="O159" t="s">
        <v>149</v>
      </c>
      <c r="P159">
        <v>2030</v>
      </c>
      <c r="Q159">
        <v>2052</v>
      </c>
      <c r="R159">
        <v>0.125810138249</v>
      </c>
      <c r="S159" t="s">
        <v>126</v>
      </c>
      <c r="T159" t="s">
        <v>143</v>
      </c>
    </row>
    <row r="160" spans="1:20" x14ac:dyDescent="0.3">
      <c r="A160" t="str">
        <f t="shared" si="2"/>
        <v>Offshore wind (floating)|2053|O&amp;M|Direct</v>
      </c>
      <c r="B160" t="s">
        <v>143</v>
      </c>
      <c r="C160" t="s">
        <v>80</v>
      </c>
      <c r="D160" t="s">
        <v>64</v>
      </c>
      <c r="E160" t="s">
        <v>65</v>
      </c>
      <c r="F160" t="s">
        <v>122</v>
      </c>
      <c r="G160">
        <v>2053</v>
      </c>
      <c r="H160">
        <v>0.125810138249</v>
      </c>
      <c r="I160">
        <v>0.125810138249</v>
      </c>
      <c r="J160" t="s">
        <v>118</v>
      </c>
      <c r="M160" t="s">
        <v>147</v>
      </c>
      <c r="O160" t="s">
        <v>149</v>
      </c>
      <c r="P160">
        <v>2030</v>
      </c>
      <c r="Q160">
        <v>2053</v>
      </c>
      <c r="R160">
        <v>0.125810138249</v>
      </c>
      <c r="S160" t="s">
        <v>126</v>
      </c>
      <c r="T160" t="s">
        <v>143</v>
      </c>
    </row>
    <row r="161" spans="1:20" x14ac:dyDescent="0.3">
      <c r="A161" t="str">
        <f t="shared" si="2"/>
        <v>Offshore wind (floating)|2054|O&amp;M|Direct</v>
      </c>
      <c r="B161" t="s">
        <v>143</v>
      </c>
      <c r="C161" t="s">
        <v>80</v>
      </c>
      <c r="D161" t="s">
        <v>64</v>
      </c>
      <c r="E161" t="s">
        <v>65</v>
      </c>
      <c r="F161" t="s">
        <v>122</v>
      </c>
      <c r="G161">
        <v>2054</v>
      </c>
      <c r="H161">
        <v>0.125810138249</v>
      </c>
      <c r="I161">
        <v>0.125810138249</v>
      </c>
      <c r="J161" t="s">
        <v>118</v>
      </c>
      <c r="M161" t="s">
        <v>147</v>
      </c>
      <c r="O161" t="s">
        <v>149</v>
      </c>
      <c r="P161">
        <v>2030</v>
      </c>
      <c r="Q161">
        <v>2054</v>
      </c>
      <c r="R161">
        <v>0.125810138249</v>
      </c>
      <c r="S161" t="s">
        <v>126</v>
      </c>
      <c r="T161" t="s">
        <v>143</v>
      </c>
    </row>
    <row r="162" spans="1:20" x14ac:dyDescent="0.3">
      <c r="A162" t="str">
        <f t="shared" si="2"/>
        <v>Offshore wind (floating)|2055|O&amp;M|Direct</v>
      </c>
      <c r="B162" t="s">
        <v>143</v>
      </c>
      <c r="C162" t="s">
        <v>80</v>
      </c>
      <c r="D162" t="s">
        <v>64</v>
      </c>
      <c r="E162" t="s">
        <v>65</v>
      </c>
      <c r="F162" t="s">
        <v>122</v>
      </c>
      <c r="G162">
        <v>2055</v>
      </c>
      <c r="H162">
        <v>0.125810138249</v>
      </c>
      <c r="I162">
        <v>0.125810138249</v>
      </c>
      <c r="J162" t="s">
        <v>118</v>
      </c>
      <c r="M162" t="s">
        <v>147</v>
      </c>
      <c r="O162" t="s">
        <v>149</v>
      </c>
      <c r="P162">
        <v>2030</v>
      </c>
      <c r="Q162">
        <v>2055</v>
      </c>
      <c r="R162">
        <v>0.125810138249</v>
      </c>
      <c r="S162" t="s">
        <v>126</v>
      </c>
      <c r="T162" t="s">
        <v>143</v>
      </c>
    </row>
    <row r="163" spans="1:20" x14ac:dyDescent="0.3">
      <c r="A163" t="str">
        <f t="shared" si="2"/>
        <v>Onshore wind|2025|Construction&amp;Manufacturing|Direct</v>
      </c>
      <c r="B163" t="s">
        <v>127</v>
      </c>
      <c r="C163" t="s">
        <v>68</v>
      </c>
      <c r="D163" t="s">
        <v>70</v>
      </c>
      <c r="E163" t="s">
        <v>65</v>
      </c>
      <c r="F163" t="s">
        <v>117</v>
      </c>
      <c r="G163">
        <v>2025</v>
      </c>
      <c r="H163">
        <v>7.1854324967599998</v>
      </c>
      <c r="I163">
        <v>7.1854324967599998</v>
      </c>
      <c r="J163" t="s">
        <v>118</v>
      </c>
      <c r="M163" t="s">
        <v>151</v>
      </c>
      <c r="O163" t="s">
        <v>152</v>
      </c>
      <c r="P163">
        <v>2030</v>
      </c>
      <c r="Q163">
        <v>2025</v>
      </c>
      <c r="R163">
        <v>7.1854324967599998</v>
      </c>
      <c r="S163" t="s">
        <v>121</v>
      </c>
      <c r="T163" t="s">
        <v>127</v>
      </c>
    </row>
    <row r="164" spans="1:20" x14ac:dyDescent="0.3">
      <c r="A164" t="str">
        <f t="shared" si="2"/>
        <v>Onshore wind|2026|Construction&amp;Manufacturing|Direct</v>
      </c>
      <c r="B164" t="s">
        <v>127</v>
      </c>
      <c r="C164" t="s">
        <v>68</v>
      </c>
      <c r="D164" t="s">
        <v>70</v>
      </c>
      <c r="E164" t="s">
        <v>65</v>
      </c>
      <c r="F164" t="s">
        <v>117</v>
      </c>
      <c r="G164">
        <v>2026</v>
      </c>
      <c r="H164">
        <v>7.1238649935299998</v>
      </c>
      <c r="I164">
        <v>7.1238649935299998</v>
      </c>
      <c r="J164" t="s">
        <v>118</v>
      </c>
      <c r="M164" t="s">
        <v>151</v>
      </c>
      <c r="O164" t="s">
        <v>152</v>
      </c>
      <c r="P164">
        <v>2030</v>
      </c>
      <c r="Q164">
        <v>2026</v>
      </c>
      <c r="R164">
        <v>7.1238649935299998</v>
      </c>
      <c r="S164" t="s">
        <v>121</v>
      </c>
      <c r="T164" t="s">
        <v>127</v>
      </c>
    </row>
    <row r="165" spans="1:20" x14ac:dyDescent="0.3">
      <c r="A165" t="str">
        <f t="shared" si="2"/>
        <v>Onshore wind|2027|Construction&amp;Manufacturing|Direct</v>
      </c>
      <c r="B165" t="s">
        <v>127</v>
      </c>
      <c r="C165" t="s">
        <v>68</v>
      </c>
      <c r="D165" t="s">
        <v>70</v>
      </c>
      <c r="E165" t="s">
        <v>65</v>
      </c>
      <c r="F165" t="s">
        <v>117</v>
      </c>
      <c r="G165">
        <v>2027</v>
      </c>
      <c r="H165">
        <v>7.0622974902899998</v>
      </c>
      <c r="I165">
        <v>7.0622974902899998</v>
      </c>
      <c r="J165" t="s">
        <v>118</v>
      </c>
      <c r="M165" t="s">
        <v>151</v>
      </c>
      <c r="O165" t="s">
        <v>152</v>
      </c>
      <c r="P165">
        <v>2030</v>
      </c>
      <c r="Q165">
        <v>2027</v>
      </c>
      <c r="R165">
        <v>7.0622974902899998</v>
      </c>
      <c r="S165" t="s">
        <v>121</v>
      </c>
      <c r="T165" t="s">
        <v>127</v>
      </c>
    </row>
    <row r="166" spans="1:20" x14ac:dyDescent="0.3">
      <c r="A166" t="str">
        <f t="shared" si="2"/>
        <v>Onshore wind|2028|Construction&amp;Manufacturing|Direct</v>
      </c>
      <c r="B166" t="s">
        <v>127</v>
      </c>
      <c r="C166" t="s">
        <v>68</v>
      </c>
      <c r="D166" t="s">
        <v>70</v>
      </c>
      <c r="E166" t="s">
        <v>65</v>
      </c>
      <c r="F166" t="s">
        <v>117</v>
      </c>
      <c r="G166">
        <v>2028</v>
      </c>
      <c r="H166">
        <v>7.0007299870599997</v>
      </c>
      <c r="I166">
        <v>7.0007299870599997</v>
      </c>
      <c r="J166" t="s">
        <v>118</v>
      </c>
      <c r="M166" t="s">
        <v>151</v>
      </c>
      <c r="O166" t="s">
        <v>152</v>
      </c>
      <c r="P166">
        <v>2030</v>
      </c>
      <c r="Q166">
        <v>2028</v>
      </c>
      <c r="R166">
        <v>7.0007299870599997</v>
      </c>
      <c r="S166" t="s">
        <v>121</v>
      </c>
      <c r="T166" t="s">
        <v>127</v>
      </c>
    </row>
    <row r="167" spans="1:20" x14ac:dyDescent="0.3">
      <c r="A167" t="str">
        <f t="shared" si="2"/>
        <v>Onshore wind|2029|Construction&amp;Manufacturing|Direct</v>
      </c>
      <c r="B167" t="s">
        <v>127</v>
      </c>
      <c r="C167" t="s">
        <v>68</v>
      </c>
      <c r="D167" t="s">
        <v>70</v>
      </c>
      <c r="E167" t="s">
        <v>65</v>
      </c>
      <c r="F167" t="s">
        <v>117</v>
      </c>
      <c r="G167">
        <v>2029</v>
      </c>
      <c r="H167">
        <v>6.9391624838199997</v>
      </c>
      <c r="I167">
        <v>6.9391624838199997</v>
      </c>
      <c r="J167" t="s">
        <v>118</v>
      </c>
      <c r="M167" t="s">
        <v>151</v>
      </c>
      <c r="O167" t="s">
        <v>152</v>
      </c>
      <c r="P167">
        <v>2030</v>
      </c>
      <c r="Q167">
        <v>2029</v>
      </c>
      <c r="R167">
        <v>6.9391624838199997</v>
      </c>
      <c r="S167" t="s">
        <v>121</v>
      </c>
      <c r="T167" t="s">
        <v>127</v>
      </c>
    </row>
    <row r="168" spans="1:20" x14ac:dyDescent="0.3">
      <c r="A168" t="str">
        <f t="shared" si="2"/>
        <v>Onshore wind|2030|Construction&amp;Manufacturing|Direct</v>
      </c>
      <c r="B168" t="s">
        <v>127</v>
      </c>
      <c r="C168" t="s">
        <v>68</v>
      </c>
      <c r="D168" t="s">
        <v>70</v>
      </c>
      <c r="E168" t="s">
        <v>65</v>
      </c>
      <c r="F168" t="s">
        <v>117</v>
      </c>
      <c r="G168">
        <v>2030</v>
      </c>
      <c r="H168">
        <v>6.8775949805799996</v>
      </c>
      <c r="I168">
        <v>6.8775949805799996</v>
      </c>
      <c r="J168" t="s">
        <v>124</v>
      </c>
      <c r="M168" t="s">
        <v>151</v>
      </c>
      <c r="O168" t="s">
        <v>153</v>
      </c>
      <c r="P168">
        <v>2024</v>
      </c>
      <c r="Q168">
        <v>2030</v>
      </c>
      <c r="R168">
        <v>6.8775949805799996</v>
      </c>
      <c r="S168" t="s">
        <v>125</v>
      </c>
      <c r="T168" t="s">
        <v>127</v>
      </c>
    </row>
    <row r="169" spans="1:20" x14ac:dyDescent="0.3">
      <c r="A169" t="str">
        <f t="shared" si="2"/>
        <v>Onshore wind|2031|Construction&amp;Manufacturing|Direct</v>
      </c>
      <c r="B169" t="s">
        <v>127</v>
      </c>
      <c r="C169" t="s">
        <v>68</v>
      </c>
      <c r="D169" t="s">
        <v>70</v>
      </c>
      <c r="E169" t="s">
        <v>65</v>
      </c>
      <c r="F169" t="s">
        <v>117</v>
      </c>
      <c r="G169">
        <v>2031</v>
      </c>
      <c r="H169">
        <v>6.8593532323800002</v>
      </c>
      <c r="I169">
        <v>6.8593532323800002</v>
      </c>
      <c r="J169" t="s">
        <v>118</v>
      </c>
      <c r="M169" t="s">
        <v>151</v>
      </c>
      <c r="O169" t="s">
        <v>152</v>
      </c>
      <c r="P169">
        <v>2030</v>
      </c>
      <c r="Q169">
        <v>2031</v>
      </c>
      <c r="R169">
        <v>6.8593532323800002</v>
      </c>
      <c r="S169" t="s">
        <v>121</v>
      </c>
      <c r="T169" t="s">
        <v>127</v>
      </c>
    </row>
    <row r="170" spans="1:20" x14ac:dyDescent="0.3">
      <c r="A170" t="str">
        <f t="shared" si="2"/>
        <v>Onshore wind|2032|Construction&amp;Manufacturing|Direct</v>
      </c>
      <c r="B170" t="s">
        <v>127</v>
      </c>
      <c r="C170" t="s">
        <v>68</v>
      </c>
      <c r="D170" t="s">
        <v>70</v>
      </c>
      <c r="E170" t="s">
        <v>65</v>
      </c>
      <c r="F170" t="s">
        <v>117</v>
      </c>
      <c r="G170">
        <v>2032</v>
      </c>
      <c r="H170">
        <v>6.8411114841799998</v>
      </c>
      <c r="I170">
        <v>6.8411114841799998</v>
      </c>
      <c r="J170" t="s">
        <v>118</v>
      </c>
      <c r="M170" t="s">
        <v>151</v>
      </c>
      <c r="O170" t="s">
        <v>152</v>
      </c>
      <c r="P170">
        <v>2030</v>
      </c>
      <c r="Q170">
        <v>2032</v>
      </c>
      <c r="R170">
        <v>6.8411114841799998</v>
      </c>
      <c r="S170" t="s">
        <v>121</v>
      </c>
      <c r="T170" t="s">
        <v>127</v>
      </c>
    </row>
    <row r="171" spans="1:20" x14ac:dyDescent="0.3">
      <c r="A171" t="str">
        <f t="shared" si="2"/>
        <v>Onshore wind|2033|Construction&amp;Manufacturing|Direct</v>
      </c>
      <c r="B171" t="s">
        <v>127</v>
      </c>
      <c r="C171" t="s">
        <v>68</v>
      </c>
      <c r="D171" t="s">
        <v>70</v>
      </c>
      <c r="E171" t="s">
        <v>65</v>
      </c>
      <c r="F171" t="s">
        <v>117</v>
      </c>
      <c r="G171">
        <v>2033</v>
      </c>
      <c r="H171">
        <v>6.8228697359800003</v>
      </c>
      <c r="I171">
        <v>6.8228697359800003</v>
      </c>
      <c r="J171" t="s">
        <v>118</v>
      </c>
      <c r="M171" t="s">
        <v>151</v>
      </c>
      <c r="O171" t="s">
        <v>152</v>
      </c>
      <c r="P171">
        <v>2030</v>
      </c>
      <c r="Q171">
        <v>2033</v>
      </c>
      <c r="R171">
        <v>6.8228697359800003</v>
      </c>
      <c r="S171" t="s">
        <v>121</v>
      </c>
      <c r="T171" t="s">
        <v>127</v>
      </c>
    </row>
    <row r="172" spans="1:20" x14ac:dyDescent="0.3">
      <c r="A172" t="str">
        <f t="shared" si="2"/>
        <v>Onshore wind|2034|Construction&amp;Manufacturing|Direct</v>
      </c>
      <c r="B172" t="s">
        <v>127</v>
      </c>
      <c r="C172" t="s">
        <v>68</v>
      </c>
      <c r="D172" t="s">
        <v>70</v>
      </c>
      <c r="E172" t="s">
        <v>65</v>
      </c>
      <c r="F172" t="s">
        <v>117</v>
      </c>
      <c r="G172">
        <v>2034</v>
      </c>
      <c r="H172">
        <v>6.80462798778</v>
      </c>
      <c r="I172">
        <v>6.80462798778</v>
      </c>
      <c r="J172" t="s">
        <v>118</v>
      </c>
      <c r="M172" t="s">
        <v>151</v>
      </c>
      <c r="O172" t="s">
        <v>152</v>
      </c>
      <c r="P172">
        <v>2030</v>
      </c>
      <c r="Q172">
        <v>2034</v>
      </c>
      <c r="R172">
        <v>6.80462798778</v>
      </c>
      <c r="S172" t="s">
        <v>121</v>
      </c>
      <c r="T172" t="s">
        <v>127</v>
      </c>
    </row>
    <row r="173" spans="1:20" x14ac:dyDescent="0.3">
      <c r="A173" t="str">
        <f t="shared" si="2"/>
        <v>Onshore wind|2035|Construction&amp;Manufacturing|Direct</v>
      </c>
      <c r="B173" t="s">
        <v>127</v>
      </c>
      <c r="C173" t="s">
        <v>68</v>
      </c>
      <c r="D173" t="s">
        <v>70</v>
      </c>
      <c r="E173" t="s">
        <v>65</v>
      </c>
      <c r="F173" t="s">
        <v>117</v>
      </c>
      <c r="G173">
        <v>2035</v>
      </c>
      <c r="H173">
        <v>6.7863862395799996</v>
      </c>
      <c r="I173">
        <v>6.7863862395799996</v>
      </c>
      <c r="J173" t="s">
        <v>118</v>
      </c>
      <c r="M173" t="s">
        <v>151</v>
      </c>
      <c r="O173" t="s">
        <v>152</v>
      </c>
      <c r="P173">
        <v>2030</v>
      </c>
      <c r="Q173">
        <v>2035</v>
      </c>
      <c r="R173">
        <v>6.7863862395799996</v>
      </c>
      <c r="S173" t="s">
        <v>121</v>
      </c>
      <c r="T173" t="s">
        <v>127</v>
      </c>
    </row>
    <row r="174" spans="1:20" x14ac:dyDescent="0.3">
      <c r="A174" t="str">
        <f t="shared" si="2"/>
        <v>Onshore wind|2036|Construction&amp;Manufacturing|Direct</v>
      </c>
      <c r="B174" t="s">
        <v>127</v>
      </c>
      <c r="C174" t="s">
        <v>68</v>
      </c>
      <c r="D174" t="s">
        <v>70</v>
      </c>
      <c r="E174" t="s">
        <v>65</v>
      </c>
      <c r="F174" t="s">
        <v>117</v>
      </c>
      <c r="G174">
        <v>2036</v>
      </c>
      <c r="H174">
        <v>6.7681444913800002</v>
      </c>
      <c r="I174">
        <v>6.7681444913800002</v>
      </c>
      <c r="J174" t="s">
        <v>118</v>
      </c>
      <c r="M174" t="s">
        <v>151</v>
      </c>
      <c r="O174" t="s">
        <v>152</v>
      </c>
      <c r="P174">
        <v>2030</v>
      </c>
      <c r="Q174">
        <v>2036</v>
      </c>
      <c r="R174">
        <v>6.7681444913800002</v>
      </c>
      <c r="S174" t="s">
        <v>121</v>
      </c>
      <c r="T174" t="s">
        <v>127</v>
      </c>
    </row>
    <row r="175" spans="1:20" x14ac:dyDescent="0.3">
      <c r="A175" t="str">
        <f t="shared" si="2"/>
        <v>Onshore wind|2037|Construction&amp;Manufacturing|Direct</v>
      </c>
      <c r="B175" t="s">
        <v>127</v>
      </c>
      <c r="C175" t="s">
        <v>68</v>
      </c>
      <c r="D175" t="s">
        <v>70</v>
      </c>
      <c r="E175" t="s">
        <v>65</v>
      </c>
      <c r="F175" t="s">
        <v>117</v>
      </c>
      <c r="G175">
        <v>2037</v>
      </c>
      <c r="H175">
        <v>6.7499027431799998</v>
      </c>
      <c r="I175">
        <v>6.7499027431799998</v>
      </c>
      <c r="J175" t="s">
        <v>118</v>
      </c>
      <c r="M175" t="s">
        <v>151</v>
      </c>
      <c r="O175" t="s">
        <v>152</v>
      </c>
      <c r="P175">
        <v>2030</v>
      </c>
      <c r="Q175">
        <v>2037</v>
      </c>
      <c r="R175">
        <v>6.7499027431799998</v>
      </c>
      <c r="S175" t="s">
        <v>121</v>
      </c>
      <c r="T175" t="s">
        <v>127</v>
      </c>
    </row>
    <row r="176" spans="1:20" x14ac:dyDescent="0.3">
      <c r="A176" t="str">
        <f t="shared" si="2"/>
        <v>Onshore wind|2038|Construction&amp;Manufacturing|Direct</v>
      </c>
      <c r="B176" t="s">
        <v>127</v>
      </c>
      <c r="C176" t="s">
        <v>68</v>
      </c>
      <c r="D176" t="s">
        <v>70</v>
      </c>
      <c r="E176" t="s">
        <v>65</v>
      </c>
      <c r="F176" t="s">
        <v>117</v>
      </c>
      <c r="G176">
        <v>2038</v>
      </c>
      <c r="H176">
        <v>6.7316609949800004</v>
      </c>
      <c r="I176">
        <v>6.7316609949800004</v>
      </c>
      <c r="J176" t="s">
        <v>118</v>
      </c>
      <c r="M176" t="s">
        <v>151</v>
      </c>
      <c r="O176" t="s">
        <v>152</v>
      </c>
      <c r="P176">
        <v>2030</v>
      </c>
      <c r="Q176">
        <v>2038</v>
      </c>
      <c r="R176">
        <v>6.7316609949800004</v>
      </c>
      <c r="S176" t="s">
        <v>121</v>
      </c>
      <c r="T176" t="s">
        <v>127</v>
      </c>
    </row>
    <row r="177" spans="1:20" x14ac:dyDescent="0.3">
      <c r="A177" t="str">
        <f t="shared" si="2"/>
        <v>Onshore wind|2039|Construction&amp;Manufacturing|Direct</v>
      </c>
      <c r="B177" t="s">
        <v>127</v>
      </c>
      <c r="C177" t="s">
        <v>68</v>
      </c>
      <c r="D177" t="s">
        <v>70</v>
      </c>
      <c r="E177" t="s">
        <v>65</v>
      </c>
      <c r="F177" t="s">
        <v>117</v>
      </c>
      <c r="G177">
        <v>2039</v>
      </c>
      <c r="H177">
        <v>6.71341924678</v>
      </c>
      <c r="I177">
        <v>6.71341924678</v>
      </c>
      <c r="J177" t="s">
        <v>118</v>
      </c>
      <c r="M177" t="s">
        <v>151</v>
      </c>
      <c r="O177" t="s">
        <v>152</v>
      </c>
      <c r="P177">
        <v>2030</v>
      </c>
      <c r="Q177">
        <v>2039</v>
      </c>
      <c r="R177">
        <v>6.71341924678</v>
      </c>
      <c r="S177" t="s">
        <v>121</v>
      </c>
      <c r="T177" t="s">
        <v>127</v>
      </c>
    </row>
    <row r="178" spans="1:20" x14ac:dyDescent="0.3">
      <c r="A178" t="str">
        <f t="shared" si="2"/>
        <v>Onshore wind|2040|Construction&amp;Manufacturing|Direct</v>
      </c>
      <c r="B178" t="s">
        <v>127</v>
      </c>
      <c r="C178" t="s">
        <v>68</v>
      </c>
      <c r="D178" t="s">
        <v>70</v>
      </c>
      <c r="E178" t="s">
        <v>65</v>
      </c>
      <c r="F178" t="s">
        <v>117</v>
      </c>
      <c r="G178">
        <v>2040</v>
      </c>
      <c r="H178">
        <v>6.6951774985799997</v>
      </c>
      <c r="I178">
        <v>6.6951774985799997</v>
      </c>
      <c r="J178" t="s">
        <v>118</v>
      </c>
      <c r="M178" t="s">
        <v>151</v>
      </c>
      <c r="O178" t="s">
        <v>152</v>
      </c>
      <c r="P178">
        <v>2030</v>
      </c>
      <c r="Q178">
        <v>2040</v>
      </c>
      <c r="R178">
        <v>6.6951774985799997</v>
      </c>
      <c r="S178" t="s">
        <v>121</v>
      </c>
      <c r="T178" t="s">
        <v>127</v>
      </c>
    </row>
    <row r="179" spans="1:20" x14ac:dyDescent="0.3">
      <c r="A179" t="str">
        <f t="shared" si="2"/>
        <v>Onshore wind|2041|Construction&amp;Manufacturing|Direct</v>
      </c>
      <c r="B179" t="s">
        <v>127</v>
      </c>
      <c r="C179" t="s">
        <v>68</v>
      </c>
      <c r="D179" t="s">
        <v>70</v>
      </c>
      <c r="E179" t="s">
        <v>65</v>
      </c>
      <c r="F179" t="s">
        <v>117</v>
      </c>
      <c r="G179">
        <v>2041</v>
      </c>
      <c r="H179">
        <v>6.6769357503800002</v>
      </c>
      <c r="I179">
        <v>6.6769357503800002</v>
      </c>
      <c r="J179" t="s">
        <v>118</v>
      </c>
      <c r="M179" t="s">
        <v>151</v>
      </c>
      <c r="O179" t="s">
        <v>152</v>
      </c>
      <c r="P179">
        <v>2030</v>
      </c>
      <c r="Q179">
        <v>2041</v>
      </c>
      <c r="R179">
        <v>6.6769357503800002</v>
      </c>
      <c r="S179" t="s">
        <v>121</v>
      </c>
      <c r="T179" t="s">
        <v>127</v>
      </c>
    </row>
    <row r="180" spans="1:20" x14ac:dyDescent="0.3">
      <c r="A180" t="str">
        <f t="shared" si="2"/>
        <v>Onshore wind|2042|Construction&amp;Manufacturing|Direct</v>
      </c>
      <c r="B180" t="s">
        <v>127</v>
      </c>
      <c r="C180" t="s">
        <v>68</v>
      </c>
      <c r="D180" t="s">
        <v>70</v>
      </c>
      <c r="E180" t="s">
        <v>65</v>
      </c>
      <c r="F180" t="s">
        <v>117</v>
      </c>
      <c r="G180">
        <v>2042</v>
      </c>
      <c r="H180">
        <v>6.6586940021799998</v>
      </c>
      <c r="I180">
        <v>6.6586940021799998</v>
      </c>
      <c r="J180" t="s">
        <v>118</v>
      </c>
      <c r="M180" t="s">
        <v>151</v>
      </c>
      <c r="O180" t="s">
        <v>152</v>
      </c>
      <c r="P180">
        <v>2030</v>
      </c>
      <c r="Q180">
        <v>2042</v>
      </c>
      <c r="R180">
        <v>6.6586940021799998</v>
      </c>
      <c r="S180" t="s">
        <v>121</v>
      </c>
      <c r="T180" t="s">
        <v>127</v>
      </c>
    </row>
    <row r="181" spans="1:20" x14ac:dyDescent="0.3">
      <c r="A181" t="str">
        <f t="shared" si="2"/>
        <v>Onshore wind|2043|Construction&amp;Manufacturing|Direct</v>
      </c>
      <c r="B181" t="s">
        <v>127</v>
      </c>
      <c r="C181" t="s">
        <v>68</v>
      </c>
      <c r="D181" t="s">
        <v>70</v>
      </c>
      <c r="E181" t="s">
        <v>65</v>
      </c>
      <c r="F181" t="s">
        <v>117</v>
      </c>
      <c r="G181">
        <v>2043</v>
      </c>
      <c r="H181">
        <v>6.6404522539800004</v>
      </c>
      <c r="I181">
        <v>6.6404522539800004</v>
      </c>
      <c r="J181" t="s">
        <v>118</v>
      </c>
      <c r="M181" t="s">
        <v>151</v>
      </c>
      <c r="O181" t="s">
        <v>152</v>
      </c>
      <c r="P181">
        <v>2030</v>
      </c>
      <c r="Q181">
        <v>2043</v>
      </c>
      <c r="R181">
        <v>6.6404522539800004</v>
      </c>
      <c r="S181" t="s">
        <v>121</v>
      </c>
      <c r="T181" t="s">
        <v>127</v>
      </c>
    </row>
    <row r="182" spans="1:20" x14ac:dyDescent="0.3">
      <c r="A182" t="str">
        <f t="shared" si="2"/>
        <v>Onshore wind|2044|Construction&amp;Manufacturing|Direct</v>
      </c>
      <c r="B182" t="s">
        <v>127</v>
      </c>
      <c r="C182" t="s">
        <v>68</v>
      </c>
      <c r="D182" t="s">
        <v>70</v>
      </c>
      <c r="E182" t="s">
        <v>65</v>
      </c>
      <c r="F182" t="s">
        <v>117</v>
      </c>
      <c r="G182">
        <v>2044</v>
      </c>
      <c r="H182">
        <v>6.62221050578</v>
      </c>
      <c r="I182">
        <v>6.62221050578</v>
      </c>
      <c r="J182" t="s">
        <v>118</v>
      </c>
      <c r="M182" t="s">
        <v>151</v>
      </c>
      <c r="O182" t="s">
        <v>152</v>
      </c>
      <c r="P182">
        <v>2030</v>
      </c>
      <c r="Q182">
        <v>2044</v>
      </c>
      <c r="R182">
        <v>6.62221050578</v>
      </c>
      <c r="S182" t="s">
        <v>121</v>
      </c>
      <c r="T182" t="s">
        <v>127</v>
      </c>
    </row>
    <row r="183" spans="1:20" x14ac:dyDescent="0.3">
      <c r="A183" t="str">
        <f t="shared" si="2"/>
        <v>Onshore wind|2045|Construction&amp;Manufacturing|Direct</v>
      </c>
      <c r="B183" t="s">
        <v>127</v>
      </c>
      <c r="C183" t="s">
        <v>68</v>
      </c>
      <c r="D183" t="s">
        <v>70</v>
      </c>
      <c r="E183" t="s">
        <v>65</v>
      </c>
      <c r="F183" t="s">
        <v>117</v>
      </c>
      <c r="G183">
        <v>2045</v>
      </c>
      <c r="H183">
        <v>6.6039687575799997</v>
      </c>
      <c r="I183">
        <v>6.6039687575799997</v>
      </c>
      <c r="J183" t="s">
        <v>118</v>
      </c>
      <c r="M183" t="s">
        <v>151</v>
      </c>
      <c r="O183" t="s">
        <v>152</v>
      </c>
      <c r="P183">
        <v>2030</v>
      </c>
      <c r="Q183">
        <v>2045</v>
      </c>
      <c r="R183">
        <v>6.6039687575799997</v>
      </c>
      <c r="S183" t="s">
        <v>121</v>
      </c>
      <c r="T183" t="s">
        <v>127</v>
      </c>
    </row>
    <row r="184" spans="1:20" x14ac:dyDescent="0.3">
      <c r="A184" t="str">
        <f t="shared" si="2"/>
        <v>Onshore wind|2046|Construction&amp;Manufacturing|Direct</v>
      </c>
      <c r="B184" t="s">
        <v>127</v>
      </c>
      <c r="C184" t="s">
        <v>68</v>
      </c>
      <c r="D184" t="s">
        <v>70</v>
      </c>
      <c r="E184" t="s">
        <v>65</v>
      </c>
      <c r="F184" t="s">
        <v>117</v>
      </c>
      <c r="G184">
        <v>2046</v>
      </c>
      <c r="H184">
        <v>6.5857270093800002</v>
      </c>
      <c r="I184">
        <v>6.5857270093800002</v>
      </c>
      <c r="J184" t="s">
        <v>118</v>
      </c>
      <c r="M184" t="s">
        <v>151</v>
      </c>
      <c r="O184" t="s">
        <v>152</v>
      </c>
      <c r="P184">
        <v>2030</v>
      </c>
      <c r="Q184">
        <v>2046</v>
      </c>
      <c r="R184">
        <v>6.5857270093800002</v>
      </c>
      <c r="S184" t="s">
        <v>121</v>
      </c>
      <c r="T184" t="s">
        <v>127</v>
      </c>
    </row>
    <row r="185" spans="1:20" x14ac:dyDescent="0.3">
      <c r="A185" t="str">
        <f t="shared" si="2"/>
        <v>Onshore wind|2047|Construction&amp;Manufacturing|Direct</v>
      </c>
      <c r="B185" t="s">
        <v>127</v>
      </c>
      <c r="C185" t="s">
        <v>68</v>
      </c>
      <c r="D185" t="s">
        <v>70</v>
      </c>
      <c r="E185" t="s">
        <v>65</v>
      </c>
      <c r="F185" t="s">
        <v>117</v>
      </c>
      <c r="G185">
        <v>2047</v>
      </c>
      <c r="H185">
        <v>6.5674852611799999</v>
      </c>
      <c r="I185">
        <v>6.5674852611799999</v>
      </c>
      <c r="J185" t="s">
        <v>118</v>
      </c>
      <c r="M185" t="s">
        <v>151</v>
      </c>
      <c r="O185" t="s">
        <v>152</v>
      </c>
      <c r="P185">
        <v>2030</v>
      </c>
      <c r="Q185">
        <v>2047</v>
      </c>
      <c r="R185">
        <v>6.5674852611799999</v>
      </c>
      <c r="S185" t="s">
        <v>121</v>
      </c>
      <c r="T185" t="s">
        <v>127</v>
      </c>
    </row>
    <row r="186" spans="1:20" x14ac:dyDescent="0.3">
      <c r="A186" t="str">
        <f t="shared" si="2"/>
        <v>Onshore wind|2048|Construction&amp;Manufacturing|Direct</v>
      </c>
      <c r="B186" t="s">
        <v>127</v>
      </c>
      <c r="C186" t="s">
        <v>68</v>
      </c>
      <c r="D186" t="s">
        <v>70</v>
      </c>
      <c r="E186" t="s">
        <v>65</v>
      </c>
      <c r="F186" t="s">
        <v>117</v>
      </c>
      <c r="G186">
        <v>2048</v>
      </c>
      <c r="H186">
        <v>6.5492435129800004</v>
      </c>
      <c r="I186">
        <v>6.5492435129800004</v>
      </c>
      <c r="J186" t="s">
        <v>118</v>
      </c>
      <c r="M186" t="s">
        <v>151</v>
      </c>
      <c r="O186" t="s">
        <v>152</v>
      </c>
      <c r="P186">
        <v>2030</v>
      </c>
      <c r="Q186">
        <v>2048</v>
      </c>
      <c r="R186">
        <v>6.5492435129800004</v>
      </c>
      <c r="S186" t="s">
        <v>121</v>
      </c>
      <c r="T186" t="s">
        <v>127</v>
      </c>
    </row>
    <row r="187" spans="1:20" x14ac:dyDescent="0.3">
      <c r="A187" t="str">
        <f t="shared" si="2"/>
        <v>Onshore wind|2049|Construction&amp;Manufacturing|Direct</v>
      </c>
      <c r="B187" t="s">
        <v>127</v>
      </c>
      <c r="C187" t="s">
        <v>68</v>
      </c>
      <c r="D187" t="s">
        <v>70</v>
      </c>
      <c r="E187" t="s">
        <v>65</v>
      </c>
      <c r="F187" t="s">
        <v>117</v>
      </c>
      <c r="G187">
        <v>2049</v>
      </c>
      <c r="H187">
        <v>6.5310017647800001</v>
      </c>
      <c r="I187">
        <v>6.5310017647800001</v>
      </c>
      <c r="J187" t="s">
        <v>118</v>
      </c>
      <c r="M187" t="s">
        <v>151</v>
      </c>
      <c r="O187" t="s">
        <v>152</v>
      </c>
      <c r="P187">
        <v>2030</v>
      </c>
      <c r="Q187">
        <v>2049</v>
      </c>
      <c r="R187">
        <v>6.5310017647800001</v>
      </c>
      <c r="S187" t="s">
        <v>121</v>
      </c>
      <c r="T187" t="s">
        <v>127</v>
      </c>
    </row>
    <row r="188" spans="1:20" x14ac:dyDescent="0.3">
      <c r="A188" t="str">
        <f t="shared" si="2"/>
        <v>Onshore wind|2051|Construction&amp;Manufacturing|Direct</v>
      </c>
      <c r="B188" t="s">
        <v>127</v>
      </c>
      <c r="C188" t="s">
        <v>68</v>
      </c>
      <c r="D188" t="s">
        <v>70</v>
      </c>
      <c r="E188" t="s">
        <v>65</v>
      </c>
      <c r="F188" t="s">
        <v>117</v>
      </c>
      <c r="G188">
        <v>2051</v>
      </c>
      <c r="H188">
        <v>6.5127600165799997</v>
      </c>
      <c r="I188">
        <v>6.5127600165799997</v>
      </c>
      <c r="J188" t="s">
        <v>118</v>
      </c>
      <c r="M188" t="s">
        <v>151</v>
      </c>
      <c r="O188" t="s">
        <v>152</v>
      </c>
      <c r="P188">
        <v>2030</v>
      </c>
      <c r="Q188">
        <v>2051</v>
      </c>
      <c r="R188">
        <v>6.5127600165799997</v>
      </c>
      <c r="S188" t="s">
        <v>126</v>
      </c>
      <c r="T188" t="s">
        <v>127</v>
      </c>
    </row>
    <row r="189" spans="1:20" x14ac:dyDescent="0.3">
      <c r="A189" t="str">
        <f t="shared" si="2"/>
        <v>Onshore wind|2052|Construction&amp;Manufacturing|Direct</v>
      </c>
      <c r="B189" t="s">
        <v>127</v>
      </c>
      <c r="C189" t="s">
        <v>68</v>
      </c>
      <c r="D189" t="s">
        <v>70</v>
      </c>
      <c r="E189" t="s">
        <v>65</v>
      </c>
      <c r="F189" t="s">
        <v>117</v>
      </c>
      <c r="G189">
        <v>2052</v>
      </c>
      <c r="H189">
        <v>6.5127600165799997</v>
      </c>
      <c r="I189">
        <v>6.5127600165799997</v>
      </c>
      <c r="J189" t="s">
        <v>118</v>
      </c>
      <c r="M189" t="s">
        <v>151</v>
      </c>
      <c r="O189" t="s">
        <v>152</v>
      </c>
      <c r="P189">
        <v>2030</v>
      </c>
      <c r="Q189">
        <v>2052</v>
      </c>
      <c r="R189">
        <v>6.5127600165799997</v>
      </c>
      <c r="S189" t="s">
        <v>126</v>
      </c>
      <c r="T189" t="s">
        <v>127</v>
      </c>
    </row>
    <row r="190" spans="1:20" x14ac:dyDescent="0.3">
      <c r="A190" t="str">
        <f t="shared" si="2"/>
        <v>Onshore wind|2053|Construction&amp;Manufacturing|Direct</v>
      </c>
      <c r="B190" t="s">
        <v>127</v>
      </c>
      <c r="C190" t="s">
        <v>68</v>
      </c>
      <c r="D190" t="s">
        <v>70</v>
      </c>
      <c r="E190" t="s">
        <v>65</v>
      </c>
      <c r="F190" t="s">
        <v>117</v>
      </c>
      <c r="G190">
        <v>2053</v>
      </c>
      <c r="H190">
        <v>6.5127600165799997</v>
      </c>
      <c r="I190">
        <v>6.5127600165799997</v>
      </c>
      <c r="J190" t="s">
        <v>118</v>
      </c>
      <c r="M190" t="s">
        <v>151</v>
      </c>
      <c r="O190" t="s">
        <v>152</v>
      </c>
      <c r="P190">
        <v>2030</v>
      </c>
      <c r="Q190">
        <v>2053</v>
      </c>
      <c r="R190">
        <v>6.5127600165799997</v>
      </c>
      <c r="S190" t="s">
        <v>126</v>
      </c>
      <c r="T190" t="s">
        <v>127</v>
      </c>
    </row>
    <row r="191" spans="1:20" x14ac:dyDescent="0.3">
      <c r="A191" t="str">
        <f t="shared" si="2"/>
        <v>Onshore wind|2054|Construction&amp;Manufacturing|Direct</v>
      </c>
      <c r="B191" t="s">
        <v>127</v>
      </c>
      <c r="C191" t="s">
        <v>68</v>
      </c>
      <c r="D191" t="s">
        <v>70</v>
      </c>
      <c r="E191" t="s">
        <v>65</v>
      </c>
      <c r="F191" t="s">
        <v>117</v>
      </c>
      <c r="G191">
        <v>2054</v>
      </c>
      <c r="H191">
        <v>6.5127600165799997</v>
      </c>
      <c r="I191">
        <v>6.5127600165799997</v>
      </c>
      <c r="J191" t="s">
        <v>118</v>
      </c>
      <c r="M191" t="s">
        <v>151</v>
      </c>
      <c r="O191" t="s">
        <v>152</v>
      </c>
      <c r="P191">
        <v>2030</v>
      </c>
      <c r="Q191">
        <v>2054</v>
      </c>
      <c r="R191">
        <v>6.5127600165799997</v>
      </c>
      <c r="S191" t="s">
        <v>126</v>
      </c>
      <c r="T191" t="s">
        <v>127</v>
      </c>
    </row>
    <row r="192" spans="1:20" x14ac:dyDescent="0.3">
      <c r="A192" t="str">
        <f t="shared" si="2"/>
        <v>Onshore wind|2055|Construction&amp;Manufacturing|Direct</v>
      </c>
      <c r="B192" t="s">
        <v>127</v>
      </c>
      <c r="C192" t="s">
        <v>68</v>
      </c>
      <c r="D192" t="s">
        <v>70</v>
      </c>
      <c r="E192" t="s">
        <v>65</v>
      </c>
      <c r="F192" t="s">
        <v>117</v>
      </c>
      <c r="G192">
        <v>2055</v>
      </c>
      <c r="H192">
        <v>6.5127600165799997</v>
      </c>
      <c r="I192">
        <v>6.5127600165799997</v>
      </c>
      <c r="J192" t="s">
        <v>118</v>
      </c>
      <c r="M192" t="s">
        <v>151</v>
      </c>
      <c r="O192" t="s">
        <v>152</v>
      </c>
      <c r="P192">
        <v>2030</v>
      </c>
      <c r="Q192">
        <v>2055</v>
      </c>
      <c r="R192">
        <v>6.5127600165799997</v>
      </c>
      <c r="S192" t="s">
        <v>126</v>
      </c>
      <c r="T192" t="s">
        <v>127</v>
      </c>
    </row>
    <row r="193" spans="1:20" x14ac:dyDescent="0.3">
      <c r="A193" t="str">
        <f t="shared" si="2"/>
        <v>Onshore wind|2025|O&amp;M|Direct</v>
      </c>
      <c r="B193" t="s">
        <v>127</v>
      </c>
      <c r="C193" t="s">
        <v>68</v>
      </c>
      <c r="D193" t="s">
        <v>64</v>
      </c>
      <c r="E193" t="s">
        <v>65</v>
      </c>
      <c r="F193" t="s">
        <v>122</v>
      </c>
      <c r="G193">
        <v>2025</v>
      </c>
      <c r="H193">
        <v>2.9744525547400001E-2</v>
      </c>
      <c r="I193">
        <v>2.9744525547400001E-2</v>
      </c>
      <c r="J193" t="s">
        <v>118</v>
      </c>
      <c r="M193" t="s">
        <v>151</v>
      </c>
      <c r="O193" t="s">
        <v>154</v>
      </c>
      <c r="P193">
        <v>2030</v>
      </c>
      <c r="Q193">
        <v>2025</v>
      </c>
      <c r="R193">
        <v>2.9744525547400001E-2</v>
      </c>
      <c r="S193" t="s">
        <v>121</v>
      </c>
      <c r="T193" t="s">
        <v>127</v>
      </c>
    </row>
    <row r="194" spans="1:20" x14ac:dyDescent="0.3">
      <c r="A194" t="str">
        <f t="shared" ref="A194:A257" si="3">C194&amp;"|"&amp;G194&amp;"|"&amp;D194&amp;"|"&amp;E194</f>
        <v>Onshore wind|2026|O&amp;M|Direct</v>
      </c>
      <c r="B194" t="s">
        <v>127</v>
      </c>
      <c r="C194" t="s">
        <v>68</v>
      </c>
      <c r="D194" t="s">
        <v>64</v>
      </c>
      <c r="E194" t="s">
        <v>65</v>
      </c>
      <c r="F194" t="s">
        <v>122</v>
      </c>
      <c r="G194">
        <v>2026</v>
      </c>
      <c r="H194">
        <v>2.94890510949E-2</v>
      </c>
      <c r="I194">
        <v>2.94890510949E-2</v>
      </c>
      <c r="J194" t="s">
        <v>118</v>
      </c>
      <c r="M194" t="s">
        <v>151</v>
      </c>
      <c r="O194" t="s">
        <v>154</v>
      </c>
      <c r="P194">
        <v>2030</v>
      </c>
      <c r="Q194">
        <v>2026</v>
      </c>
      <c r="R194">
        <v>2.94890510949E-2</v>
      </c>
      <c r="S194" t="s">
        <v>121</v>
      </c>
      <c r="T194" t="s">
        <v>127</v>
      </c>
    </row>
    <row r="195" spans="1:20" x14ac:dyDescent="0.3">
      <c r="A195" t="str">
        <f t="shared" si="3"/>
        <v>Onshore wind|2027|O&amp;M|Direct</v>
      </c>
      <c r="B195" t="s">
        <v>127</v>
      </c>
      <c r="C195" t="s">
        <v>68</v>
      </c>
      <c r="D195" t="s">
        <v>64</v>
      </c>
      <c r="E195" t="s">
        <v>65</v>
      </c>
      <c r="F195" t="s">
        <v>122</v>
      </c>
      <c r="G195">
        <v>2027</v>
      </c>
      <c r="H195">
        <v>2.9233576642299999E-2</v>
      </c>
      <c r="I195">
        <v>2.9233576642299999E-2</v>
      </c>
      <c r="J195" t="s">
        <v>118</v>
      </c>
      <c r="M195" t="s">
        <v>151</v>
      </c>
      <c r="O195" t="s">
        <v>154</v>
      </c>
      <c r="P195">
        <v>2030</v>
      </c>
      <c r="Q195">
        <v>2027</v>
      </c>
      <c r="R195">
        <v>2.9233576642299999E-2</v>
      </c>
      <c r="S195" t="s">
        <v>121</v>
      </c>
      <c r="T195" t="s">
        <v>127</v>
      </c>
    </row>
    <row r="196" spans="1:20" x14ac:dyDescent="0.3">
      <c r="A196" t="str">
        <f t="shared" si="3"/>
        <v>Onshore wind|2028|O&amp;M|Direct</v>
      </c>
      <c r="B196" t="s">
        <v>127</v>
      </c>
      <c r="C196" t="s">
        <v>68</v>
      </c>
      <c r="D196" t="s">
        <v>64</v>
      </c>
      <c r="E196" t="s">
        <v>65</v>
      </c>
      <c r="F196" t="s">
        <v>122</v>
      </c>
      <c r="G196">
        <v>2028</v>
      </c>
      <c r="H196">
        <v>2.8978102189800001E-2</v>
      </c>
      <c r="I196">
        <v>2.8978102189800001E-2</v>
      </c>
      <c r="J196" t="s">
        <v>118</v>
      </c>
      <c r="M196" t="s">
        <v>151</v>
      </c>
      <c r="O196" t="s">
        <v>154</v>
      </c>
      <c r="P196">
        <v>2030</v>
      </c>
      <c r="Q196">
        <v>2028</v>
      </c>
      <c r="R196">
        <v>2.8978102189800001E-2</v>
      </c>
      <c r="S196" t="s">
        <v>121</v>
      </c>
      <c r="T196" t="s">
        <v>127</v>
      </c>
    </row>
    <row r="197" spans="1:20" x14ac:dyDescent="0.3">
      <c r="A197" t="str">
        <f t="shared" si="3"/>
        <v>Onshore wind|2029|O&amp;M|Direct</v>
      </c>
      <c r="B197" t="s">
        <v>127</v>
      </c>
      <c r="C197" t="s">
        <v>68</v>
      </c>
      <c r="D197" t="s">
        <v>64</v>
      </c>
      <c r="E197" t="s">
        <v>65</v>
      </c>
      <c r="F197" t="s">
        <v>122</v>
      </c>
      <c r="G197">
        <v>2029</v>
      </c>
      <c r="H197">
        <v>2.87226277372E-2</v>
      </c>
      <c r="I197">
        <v>2.87226277372E-2</v>
      </c>
      <c r="J197" t="s">
        <v>118</v>
      </c>
      <c r="M197" t="s">
        <v>151</v>
      </c>
      <c r="O197" t="s">
        <v>154</v>
      </c>
      <c r="P197">
        <v>2030</v>
      </c>
      <c r="Q197">
        <v>2029</v>
      </c>
      <c r="R197">
        <v>2.87226277372E-2</v>
      </c>
      <c r="S197" t="s">
        <v>121</v>
      </c>
      <c r="T197" t="s">
        <v>127</v>
      </c>
    </row>
    <row r="198" spans="1:20" x14ac:dyDescent="0.3">
      <c r="A198" t="str">
        <f t="shared" si="3"/>
        <v>Onshore wind|2030|O&amp;M|Direct</v>
      </c>
      <c r="B198" t="s">
        <v>127</v>
      </c>
      <c r="C198" t="s">
        <v>68</v>
      </c>
      <c r="D198" t="s">
        <v>64</v>
      </c>
      <c r="E198" t="s">
        <v>65</v>
      </c>
      <c r="F198" t="s">
        <v>122</v>
      </c>
      <c r="G198">
        <v>2030</v>
      </c>
      <c r="H198">
        <v>2.8467153284700002E-2</v>
      </c>
      <c r="I198">
        <v>2.8467153284700002E-2</v>
      </c>
      <c r="J198" t="s">
        <v>124</v>
      </c>
      <c r="M198" t="s">
        <v>151</v>
      </c>
      <c r="O198" t="s">
        <v>155</v>
      </c>
      <c r="P198">
        <v>2024</v>
      </c>
      <c r="Q198">
        <v>2030</v>
      </c>
      <c r="R198">
        <v>2.8467153284700002E-2</v>
      </c>
      <c r="S198" t="s">
        <v>125</v>
      </c>
      <c r="T198" t="s">
        <v>127</v>
      </c>
    </row>
    <row r="199" spans="1:20" x14ac:dyDescent="0.3">
      <c r="A199" t="str">
        <f t="shared" si="3"/>
        <v>Onshore wind|2031|O&amp;M|Direct</v>
      </c>
      <c r="B199" t="s">
        <v>127</v>
      </c>
      <c r="C199" t="s">
        <v>68</v>
      </c>
      <c r="D199" t="s">
        <v>64</v>
      </c>
      <c r="E199" t="s">
        <v>65</v>
      </c>
      <c r="F199" t="s">
        <v>122</v>
      </c>
      <c r="G199">
        <v>2031</v>
      </c>
      <c r="H199">
        <v>2.8390510948900001E-2</v>
      </c>
      <c r="I199">
        <v>2.8390510948900001E-2</v>
      </c>
      <c r="J199" t="s">
        <v>118</v>
      </c>
      <c r="M199" t="s">
        <v>151</v>
      </c>
      <c r="O199" t="s">
        <v>154</v>
      </c>
      <c r="P199">
        <v>2030</v>
      </c>
      <c r="Q199">
        <v>2031</v>
      </c>
      <c r="R199">
        <v>2.8390510948900001E-2</v>
      </c>
      <c r="S199" t="s">
        <v>121</v>
      </c>
      <c r="T199" t="s">
        <v>127</v>
      </c>
    </row>
    <row r="200" spans="1:20" x14ac:dyDescent="0.3">
      <c r="A200" t="str">
        <f t="shared" si="3"/>
        <v>Onshore wind|2032|O&amp;M|Direct</v>
      </c>
      <c r="B200" t="s">
        <v>127</v>
      </c>
      <c r="C200" t="s">
        <v>68</v>
      </c>
      <c r="D200" t="s">
        <v>64</v>
      </c>
      <c r="E200" t="s">
        <v>65</v>
      </c>
      <c r="F200" t="s">
        <v>122</v>
      </c>
      <c r="G200">
        <v>2032</v>
      </c>
      <c r="H200">
        <v>2.83138686131E-2</v>
      </c>
      <c r="I200">
        <v>2.83138686131E-2</v>
      </c>
      <c r="J200" t="s">
        <v>118</v>
      </c>
      <c r="M200" t="s">
        <v>151</v>
      </c>
      <c r="O200" t="s">
        <v>154</v>
      </c>
      <c r="P200">
        <v>2030</v>
      </c>
      <c r="Q200">
        <v>2032</v>
      </c>
      <c r="R200">
        <v>2.83138686131E-2</v>
      </c>
      <c r="S200" t="s">
        <v>121</v>
      </c>
      <c r="T200" t="s">
        <v>127</v>
      </c>
    </row>
    <row r="201" spans="1:20" x14ac:dyDescent="0.3">
      <c r="A201" t="str">
        <f t="shared" si="3"/>
        <v>Onshore wind|2033|O&amp;M|Direct</v>
      </c>
      <c r="B201" t="s">
        <v>127</v>
      </c>
      <c r="C201" t="s">
        <v>68</v>
      </c>
      <c r="D201" t="s">
        <v>64</v>
      </c>
      <c r="E201" t="s">
        <v>65</v>
      </c>
      <c r="F201" t="s">
        <v>122</v>
      </c>
      <c r="G201">
        <v>2033</v>
      </c>
      <c r="H201">
        <v>2.8237226277399999E-2</v>
      </c>
      <c r="I201">
        <v>2.8237226277399999E-2</v>
      </c>
      <c r="J201" t="s">
        <v>118</v>
      </c>
      <c r="M201" t="s">
        <v>151</v>
      </c>
      <c r="O201" t="s">
        <v>154</v>
      </c>
      <c r="P201">
        <v>2030</v>
      </c>
      <c r="Q201">
        <v>2033</v>
      </c>
      <c r="R201">
        <v>2.8237226277399999E-2</v>
      </c>
      <c r="S201" t="s">
        <v>121</v>
      </c>
      <c r="T201" t="s">
        <v>127</v>
      </c>
    </row>
    <row r="202" spans="1:20" x14ac:dyDescent="0.3">
      <c r="A202" t="str">
        <f t="shared" si="3"/>
        <v>Onshore wind|2034|O&amp;M|Direct</v>
      </c>
      <c r="B202" t="s">
        <v>127</v>
      </c>
      <c r="C202" t="s">
        <v>68</v>
      </c>
      <c r="D202" t="s">
        <v>64</v>
      </c>
      <c r="E202" t="s">
        <v>65</v>
      </c>
      <c r="F202" t="s">
        <v>122</v>
      </c>
      <c r="G202">
        <v>2034</v>
      </c>
      <c r="H202">
        <v>2.8160583941599999E-2</v>
      </c>
      <c r="I202">
        <v>2.8160583941599999E-2</v>
      </c>
      <c r="J202" t="s">
        <v>118</v>
      </c>
      <c r="M202" t="s">
        <v>151</v>
      </c>
      <c r="O202" t="s">
        <v>154</v>
      </c>
      <c r="P202">
        <v>2030</v>
      </c>
      <c r="Q202">
        <v>2034</v>
      </c>
      <c r="R202">
        <v>2.8160583941599999E-2</v>
      </c>
      <c r="S202" t="s">
        <v>121</v>
      </c>
      <c r="T202" t="s">
        <v>127</v>
      </c>
    </row>
    <row r="203" spans="1:20" x14ac:dyDescent="0.3">
      <c r="A203" t="str">
        <f t="shared" si="3"/>
        <v>Onshore wind|2035|O&amp;M|Direct</v>
      </c>
      <c r="B203" t="s">
        <v>127</v>
      </c>
      <c r="C203" t="s">
        <v>68</v>
      </c>
      <c r="D203" t="s">
        <v>64</v>
      </c>
      <c r="E203" t="s">
        <v>65</v>
      </c>
      <c r="F203" t="s">
        <v>122</v>
      </c>
      <c r="G203">
        <v>2035</v>
      </c>
      <c r="H203">
        <v>2.8083941605800002E-2</v>
      </c>
      <c r="I203">
        <v>2.8083941605800002E-2</v>
      </c>
      <c r="J203" t="s">
        <v>118</v>
      </c>
      <c r="M203" t="s">
        <v>151</v>
      </c>
      <c r="O203" t="s">
        <v>154</v>
      </c>
      <c r="P203">
        <v>2030</v>
      </c>
      <c r="Q203">
        <v>2035</v>
      </c>
      <c r="R203">
        <v>2.8083941605800002E-2</v>
      </c>
      <c r="S203" t="s">
        <v>121</v>
      </c>
      <c r="T203" t="s">
        <v>127</v>
      </c>
    </row>
    <row r="204" spans="1:20" x14ac:dyDescent="0.3">
      <c r="A204" t="str">
        <f t="shared" si="3"/>
        <v>Onshore wind|2036|O&amp;M|Direct</v>
      </c>
      <c r="B204" t="s">
        <v>127</v>
      </c>
      <c r="C204" t="s">
        <v>68</v>
      </c>
      <c r="D204" t="s">
        <v>64</v>
      </c>
      <c r="E204" t="s">
        <v>65</v>
      </c>
      <c r="F204" t="s">
        <v>122</v>
      </c>
      <c r="G204">
        <v>2036</v>
      </c>
      <c r="H204">
        <v>2.8007299270100001E-2</v>
      </c>
      <c r="I204">
        <v>2.8007299270100001E-2</v>
      </c>
      <c r="J204" t="s">
        <v>118</v>
      </c>
      <c r="M204" t="s">
        <v>151</v>
      </c>
      <c r="O204" t="s">
        <v>154</v>
      </c>
      <c r="P204">
        <v>2030</v>
      </c>
      <c r="Q204">
        <v>2036</v>
      </c>
      <c r="R204">
        <v>2.8007299270100001E-2</v>
      </c>
      <c r="S204" t="s">
        <v>121</v>
      </c>
      <c r="T204" t="s">
        <v>127</v>
      </c>
    </row>
    <row r="205" spans="1:20" x14ac:dyDescent="0.3">
      <c r="A205" t="str">
        <f t="shared" si="3"/>
        <v>Onshore wind|2037|O&amp;M|Direct</v>
      </c>
      <c r="B205" t="s">
        <v>127</v>
      </c>
      <c r="C205" t="s">
        <v>68</v>
      </c>
      <c r="D205" t="s">
        <v>64</v>
      </c>
      <c r="E205" t="s">
        <v>65</v>
      </c>
      <c r="F205" t="s">
        <v>122</v>
      </c>
      <c r="G205">
        <v>2037</v>
      </c>
      <c r="H205">
        <v>2.79306569343E-2</v>
      </c>
      <c r="I205">
        <v>2.79306569343E-2</v>
      </c>
      <c r="J205" t="s">
        <v>118</v>
      </c>
      <c r="M205" t="s">
        <v>151</v>
      </c>
      <c r="O205" t="s">
        <v>154</v>
      </c>
      <c r="P205">
        <v>2030</v>
      </c>
      <c r="Q205">
        <v>2037</v>
      </c>
      <c r="R205">
        <v>2.79306569343E-2</v>
      </c>
      <c r="S205" t="s">
        <v>121</v>
      </c>
      <c r="T205" t="s">
        <v>127</v>
      </c>
    </row>
    <row r="206" spans="1:20" x14ac:dyDescent="0.3">
      <c r="A206" t="str">
        <f t="shared" si="3"/>
        <v>Onshore wind|2038|O&amp;M|Direct</v>
      </c>
      <c r="B206" t="s">
        <v>127</v>
      </c>
      <c r="C206" t="s">
        <v>68</v>
      </c>
      <c r="D206" t="s">
        <v>64</v>
      </c>
      <c r="E206" t="s">
        <v>65</v>
      </c>
      <c r="F206" t="s">
        <v>122</v>
      </c>
      <c r="G206">
        <v>2038</v>
      </c>
      <c r="H206">
        <v>2.7854014598499999E-2</v>
      </c>
      <c r="I206">
        <v>2.7854014598499999E-2</v>
      </c>
      <c r="J206" t="s">
        <v>118</v>
      </c>
      <c r="M206" t="s">
        <v>151</v>
      </c>
      <c r="O206" t="s">
        <v>154</v>
      </c>
      <c r="P206">
        <v>2030</v>
      </c>
      <c r="Q206">
        <v>2038</v>
      </c>
      <c r="R206">
        <v>2.7854014598499999E-2</v>
      </c>
      <c r="S206" t="s">
        <v>121</v>
      </c>
      <c r="T206" t="s">
        <v>127</v>
      </c>
    </row>
    <row r="207" spans="1:20" x14ac:dyDescent="0.3">
      <c r="A207" t="str">
        <f t="shared" si="3"/>
        <v>Onshore wind|2039|O&amp;M|Direct</v>
      </c>
      <c r="B207" t="s">
        <v>127</v>
      </c>
      <c r="C207" t="s">
        <v>68</v>
      </c>
      <c r="D207" t="s">
        <v>64</v>
      </c>
      <c r="E207" t="s">
        <v>65</v>
      </c>
      <c r="F207" t="s">
        <v>122</v>
      </c>
      <c r="G207">
        <v>2039</v>
      </c>
      <c r="H207">
        <v>2.7777372262799999E-2</v>
      </c>
      <c r="I207">
        <v>2.7777372262799999E-2</v>
      </c>
      <c r="J207" t="s">
        <v>118</v>
      </c>
      <c r="M207" t="s">
        <v>151</v>
      </c>
      <c r="O207" t="s">
        <v>154</v>
      </c>
      <c r="P207">
        <v>2030</v>
      </c>
      <c r="Q207">
        <v>2039</v>
      </c>
      <c r="R207">
        <v>2.7777372262799999E-2</v>
      </c>
      <c r="S207" t="s">
        <v>121</v>
      </c>
      <c r="T207" t="s">
        <v>127</v>
      </c>
    </row>
    <row r="208" spans="1:20" x14ac:dyDescent="0.3">
      <c r="A208" t="str">
        <f t="shared" si="3"/>
        <v>Onshore wind|2040|O&amp;M|Direct</v>
      </c>
      <c r="B208" t="s">
        <v>127</v>
      </c>
      <c r="C208" t="s">
        <v>68</v>
      </c>
      <c r="D208" t="s">
        <v>64</v>
      </c>
      <c r="E208" t="s">
        <v>65</v>
      </c>
      <c r="F208" t="s">
        <v>122</v>
      </c>
      <c r="G208">
        <v>2040</v>
      </c>
      <c r="H208">
        <v>2.7700729927000001E-2</v>
      </c>
      <c r="I208">
        <v>2.7700729927000001E-2</v>
      </c>
      <c r="J208" t="s">
        <v>118</v>
      </c>
      <c r="M208" t="s">
        <v>151</v>
      </c>
      <c r="O208" t="s">
        <v>154</v>
      </c>
      <c r="P208">
        <v>2030</v>
      </c>
      <c r="Q208">
        <v>2040</v>
      </c>
      <c r="R208">
        <v>2.7700729927000001E-2</v>
      </c>
      <c r="S208" t="s">
        <v>121</v>
      </c>
      <c r="T208" t="s">
        <v>127</v>
      </c>
    </row>
    <row r="209" spans="1:20" x14ac:dyDescent="0.3">
      <c r="A209" t="str">
        <f t="shared" si="3"/>
        <v>Onshore wind|2041|O&amp;M|Direct</v>
      </c>
      <c r="B209" t="s">
        <v>127</v>
      </c>
      <c r="C209" t="s">
        <v>68</v>
      </c>
      <c r="D209" t="s">
        <v>64</v>
      </c>
      <c r="E209" t="s">
        <v>65</v>
      </c>
      <c r="F209" t="s">
        <v>122</v>
      </c>
      <c r="G209">
        <v>2041</v>
      </c>
      <c r="H209">
        <v>2.7624087591200001E-2</v>
      </c>
      <c r="I209">
        <v>2.7624087591200001E-2</v>
      </c>
      <c r="J209" t="s">
        <v>118</v>
      </c>
      <c r="M209" t="s">
        <v>151</v>
      </c>
      <c r="O209" t="s">
        <v>154</v>
      </c>
      <c r="P209">
        <v>2030</v>
      </c>
      <c r="Q209">
        <v>2041</v>
      </c>
      <c r="R209">
        <v>2.7624087591200001E-2</v>
      </c>
      <c r="S209" t="s">
        <v>121</v>
      </c>
      <c r="T209" t="s">
        <v>127</v>
      </c>
    </row>
    <row r="210" spans="1:20" x14ac:dyDescent="0.3">
      <c r="A210" t="str">
        <f t="shared" si="3"/>
        <v>Onshore wind|2042|O&amp;M|Direct</v>
      </c>
      <c r="B210" t="s">
        <v>127</v>
      </c>
      <c r="C210" t="s">
        <v>68</v>
      </c>
      <c r="D210" t="s">
        <v>64</v>
      </c>
      <c r="E210" t="s">
        <v>65</v>
      </c>
      <c r="F210" t="s">
        <v>122</v>
      </c>
      <c r="G210">
        <v>2042</v>
      </c>
      <c r="H210">
        <v>2.75474452555E-2</v>
      </c>
      <c r="I210">
        <v>2.75474452555E-2</v>
      </c>
      <c r="J210" t="s">
        <v>118</v>
      </c>
      <c r="M210" t="s">
        <v>151</v>
      </c>
      <c r="O210" t="s">
        <v>154</v>
      </c>
      <c r="P210">
        <v>2030</v>
      </c>
      <c r="Q210">
        <v>2042</v>
      </c>
      <c r="R210">
        <v>2.75474452555E-2</v>
      </c>
      <c r="S210" t="s">
        <v>121</v>
      </c>
      <c r="T210" t="s">
        <v>127</v>
      </c>
    </row>
    <row r="211" spans="1:20" x14ac:dyDescent="0.3">
      <c r="A211" t="str">
        <f t="shared" si="3"/>
        <v>Onshore wind|2043|O&amp;M|Direct</v>
      </c>
      <c r="B211" t="s">
        <v>127</v>
      </c>
      <c r="C211" t="s">
        <v>68</v>
      </c>
      <c r="D211" t="s">
        <v>64</v>
      </c>
      <c r="E211" t="s">
        <v>65</v>
      </c>
      <c r="F211" t="s">
        <v>122</v>
      </c>
      <c r="G211">
        <v>2043</v>
      </c>
      <c r="H211">
        <v>2.7470802919699999E-2</v>
      </c>
      <c r="I211">
        <v>2.7470802919699999E-2</v>
      </c>
      <c r="J211" t="s">
        <v>118</v>
      </c>
      <c r="M211" t="s">
        <v>151</v>
      </c>
      <c r="O211" t="s">
        <v>154</v>
      </c>
      <c r="P211">
        <v>2030</v>
      </c>
      <c r="Q211">
        <v>2043</v>
      </c>
      <c r="R211">
        <v>2.7470802919699999E-2</v>
      </c>
      <c r="S211" t="s">
        <v>121</v>
      </c>
      <c r="T211" t="s">
        <v>127</v>
      </c>
    </row>
    <row r="212" spans="1:20" x14ac:dyDescent="0.3">
      <c r="A212" t="str">
        <f t="shared" si="3"/>
        <v>Onshore wind|2044|O&amp;M|Direct</v>
      </c>
      <c r="B212" t="s">
        <v>127</v>
      </c>
      <c r="C212" t="s">
        <v>68</v>
      </c>
      <c r="D212" t="s">
        <v>64</v>
      </c>
      <c r="E212" t="s">
        <v>65</v>
      </c>
      <c r="F212" t="s">
        <v>122</v>
      </c>
      <c r="G212">
        <v>2044</v>
      </c>
      <c r="H212">
        <v>2.7394160583899999E-2</v>
      </c>
      <c r="I212">
        <v>2.7394160583899999E-2</v>
      </c>
      <c r="J212" t="s">
        <v>118</v>
      </c>
      <c r="M212" t="s">
        <v>151</v>
      </c>
      <c r="O212" t="s">
        <v>154</v>
      </c>
      <c r="P212">
        <v>2030</v>
      </c>
      <c r="Q212">
        <v>2044</v>
      </c>
      <c r="R212">
        <v>2.7394160583899999E-2</v>
      </c>
      <c r="S212" t="s">
        <v>121</v>
      </c>
      <c r="T212" t="s">
        <v>127</v>
      </c>
    </row>
    <row r="213" spans="1:20" x14ac:dyDescent="0.3">
      <c r="A213" t="str">
        <f t="shared" si="3"/>
        <v>Onshore wind|2045|O&amp;M|Direct</v>
      </c>
      <c r="B213" t="s">
        <v>127</v>
      </c>
      <c r="C213" t="s">
        <v>68</v>
      </c>
      <c r="D213" t="s">
        <v>64</v>
      </c>
      <c r="E213" t="s">
        <v>65</v>
      </c>
      <c r="F213" t="s">
        <v>122</v>
      </c>
      <c r="G213">
        <v>2045</v>
      </c>
      <c r="H213">
        <v>2.7317518248200001E-2</v>
      </c>
      <c r="I213">
        <v>2.7317518248200001E-2</v>
      </c>
      <c r="J213" t="s">
        <v>118</v>
      </c>
      <c r="M213" t="s">
        <v>151</v>
      </c>
      <c r="O213" t="s">
        <v>154</v>
      </c>
      <c r="P213">
        <v>2030</v>
      </c>
      <c r="Q213">
        <v>2045</v>
      </c>
      <c r="R213">
        <v>2.7317518248200001E-2</v>
      </c>
      <c r="S213" t="s">
        <v>121</v>
      </c>
      <c r="T213" t="s">
        <v>127</v>
      </c>
    </row>
    <row r="214" spans="1:20" x14ac:dyDescent="0.3">
      <c r="A214" t="str">
        <f t="shared" si="3"/>
        <v>Onshore wind|2046|O&amp;M|Direct</v>
      </c>
      <c r="B214" t="s">
        <v>127</v>
      </c>
      <c r="C214" t="s">
        <v>68</v>
      </c>
      <c r="D214" t="s">
        <v>64</v>
      </c>
      <c r="E214" t="s">
        <v>65</v>
      </c>
      <c r="F214" t="s">
        <v>122</v>
      </c>
      <c r="G214">
        <v>2046</v>
      </c>
      <c r="H214">
        <v>2.7240875912400001E-2</v>
      </c>
      <c r="I214">
        <v>2.7240875912400001E-2</v>
      </c>
      <c r="J214" t="s">
        <v>118</v>
      </c>
      <c r="M214" t="s">
        <v>151</v>
      </c>
      <c r="O214" t="s">
        <v>154</v>
      </c>
      <c r="P214">
        <v>2030</v>
      </c>
      <c r="Q214">
        <v>2046</v>
      </c>
      <c r="R214">
        <v>2.7240875912400001E-2</v>
      </c>
      <c r="S214" t="s">
        <v>121</v>
      </c>
      <c r="T214" t="s">
        <v>127</v>
      </c>
    </row>
    <row r="215" spans="1:20" x14ac:dyDescent="0.3">
      <c r="A215" t="str">
        <f t="shared" si="3"/>
        <v>Onshore wind|2047|O&amp;M|Direct</v>
      </c>
      <c r="B215" t="s">
        <v>127</v>
      </c>
      <c r="C215" t="s">
        <v>68</v>
      </c>
      <c r="D215" t="s">
        <v>64</v>
      </c>
      <c r="E215" t="s">
        <v>65</v>
      </c>
      <c r="F215" t="s">
        <v>122</v>
      </c>
      <c r="G215">
        <v>2047</v>
      </c>
      <c r="H215">
        <v>2.71642335766E-2</v>
      </c>
      <c r="I215">
        <v>2.71642335766E-2</v>
      </c>
      <c r="J215" t="s">
        <v>118</v>
      </c>
      <c r="M215" t="s">
        <v>151</v>
      </c>
      <c r="O215" t="s">
        <v>154</v>
      </c>
      <c r="P215">
        <v>2030</v>
      </c>
      <c r="Q215">
        <v>2047</v>
      </c>
      <c r="R215">
        <v>2.71642335766E-2</v>
      </c>
      <c r="S215" t="s">
        <v>121</v>
      </c>
      <c r="T215" t="s">
        <v>127</v>
      </c>
    </row>
    <row r="216" spans="1:20" x14ac:dyDescent="0.3">
      <c r="A216" t="str">
        <f t="shared" si="3"/>
        <v>Onshore wind|2048|O&amp;M|Direct</v>
      </c>
      <c r="B216" t="s">
        <v>127</v>
      </c>
      <c r="C216" t="s">
        <v>68</v>
      </c>
      <c r="D216" t="s">
        <v>64</v>
      </c>
      <c r="E216" t="s">
        <v>65</v>
      </c>
      <c r="F216" t="s">
        <v>122</v>
      </c>
      <c r="G216">
        <v>2048</v>
      </c>
      <c r="H216">
        <v>2.7087591240899999E-2</v>
      </c>
      <c r="I216">
        <v>2.7087591240899999E-2</v>
      </c>
      <c r="J216" t="s">
        <v>118</v>
      </c>
      <c r="M216" t="s">
        <v>151</v>
      </c>
      <c r="O216" t="s">
        <v>154</v>
      </c>
      <c r="P216">
        <v>2030</v>
      </c>
      <c r="Q216">
        <v>2048</v>
      </c>
      <c r="R216">
        <v>2.7087591240899999E-2</v>
      </c>
      <c r="S216" t="s">
        <v>121</v>
      </c>
      <c r="T216" t="s">
        <v>127</v>
      </c>
    </row>
    <row r="217" spans="1:20" x14ac:dyDescent="0.3">
      <c r="A217" t="str">
        <f t="shared" si="3"/>
        <v>Onshore wind|2049|O&amp;M|Direct</v>
      </c>
      <c r="B217" t="s">
        <v>127</v>
      </c>
      <c r="C217" t="s">
        <v>68</v>
      </c>
      <c r="D217" t="s">
        <v>64</v>
      </c>
      <c r="E217" t="s">
        <v>65</v>
      </c>
      <c r="F217" t="s">
        <v>122</v>
      </c>
      <c r="G217">
        <v>2049</v>
      </c>
      <c r="H217">
        <v>2.7010948905099998E-2</v>
      </c>
      <c r="I217">
        <v>2.7010948905099998E-2</v>
      </c>
      <c r="J217" t="s">
        <v>118</v>
      </c>
      <c r="M217" t="s">
        <v>151</v>
      </c>
      <c r="O217" t="s">
        <v>154</v>
      </c>
      <c r="P217">
        <v>2030</v>
      </c>
      <c r="Q217">
        <v>2049</v>
      </c>
      <c r="R217">
        <v>2.7010948905099998E-2</v>
      </c>
      <c r="S217" t="s">
        <v>121</v>
      </c>
      <c r="T217" t="s">
        <v>127</v>
      </c>
    </row>
    <row r="218" spans="1:20" x14ac:dyDescent="0.3">
      <c r="A218" t="str">
        <f t="shared" si="3"/>
        <v>Onshore wind|2050|O&amp;M|Direct</v>
      </c>
      <c r="B218" t="s">
        <v>127</v>
      </c>
      <c r="C218" t="s">
        <v>68</v>
      </c>
      <c r="D218" t="s">
        <v>64</v>
      </c>
      <c r="E218" t="s">
        <v>65</v>
      </c>
      <c r="F218" t="s">
        <v>122</v>
      </c>
      <c r="G218">
        <v>2050</v>
      </c>
      <c r="H218">
        <v>2.6934306569300001E-2</v>
      </c>
      <c r="I218">
        <v>2.6934306569300001E-2</v>
      </c>
      <c r="J218" t="s">
        <v>124</v>
      </c>
      <c r="M218" t="s">
        <v>151</v>
      </c>
      <c r="O218" t="s">
        <v>154</v>
      </c>
      <c r="P218">
        <v>2030</v>
      </c>
      <c r="Q218">
        <v>2050</v>
      </c>
      <c r="R218">
        <v>2.6934306569300001E-2</v>
      </c>
      <c r="S218" t="s">
        <v>125</v>
      </c>
      <c r="T218" t="s">
        <v>127</v>
      </c>
    </row>
    <row r="219" spans="1:20" x14ac:dyDescent="0.3">
      <c r="A219" t="str">
        <f t="shared" si="3"/>
        <v>Onshore wind|2051|O&amp;M|Direct</v>
      </c>
      <c r="B219" t="s">
        <v>127</v>
      </c>
      <c r="C219" t="s">
        <v>68</v>
      </c>
      <c r="D219" t="s">
        <v>64</v>
      </c>
      <c r="E219" t="s">
        <v>65</v>
      </c>
      <c r="F219" t="s">
        <v>122</v>
      </c>
      <c r="G219">
        <v>2051</v>
      </c>
      <c r="H219">
        <v>2.6934306569300001E-2</v>
      </c>
      <c r="I219">
        <v>2.6934306569300001E-2</v>
      </c>
      <c r="J219" t="s">
        <v>118</v>
      </c>
      <c r="M219" t="s">
        <v>151</v>
      </c>
      <c r="O219" t="s">
        <v>154</v>
      </c>
      <c r="P219">
        <v>2030</v>
      </c>
      <c r="Q219">
        <v>2051</v>
      </c>
      <c r="R219">
        <v>2.6934306569300001E-2</v>
      </c>
      <c r="S219" t="s">
        <v>126</v>
      </c>
      <c r="T219" t="s">
        <v>127</v>
      </c>
    </row>
    <row r="220" spans="1:20" x14ac:dyDescent="0.3">
      <c r="A220" t="str">
        <f t="shared" si="3"/>
        <v>Onshore wind|2052|O&amp;M|Direct</v>
      </c>
      <c r="B220" t="s">
        <v>127</v>
      </c>
      <c r="C220" t="s">
        <v>68</v>
      </c>
      <c r="D220" t="s">
        <v>64</v>
      </c>
      <c r="E220" t="s">
        <v>65</v>
      </c>
      <c r="F220" t="s">
        <v>122</v>
      </c>
      <c r="G220">
        <v>2052</v>
      </c>
      <c r="H220">
        <v>2.6934306569300001E-2</v>
      </c>
      <c r="I220">
        <v>2.6934306569300001E-2</v>
      </c>
      <c r="J220" t="s">
        <v>118</v>
      </c>
      <c r="M220" t="s">
        <v>151</v>
      </c>
      <c r="O220" t="s">
        <v>154</v>
      </c>
      <c r="P220">
        <v>2030</v>
      </c>
      <c r="Q220">
        <v>2052</v>
      </c>
      <c r="R220">
        <v>2.6934306569300001E-2</v>
      </c>
      <c r="S220" t="s">
        <v>126</v>
      </c>
      <c r="T220" t="s">
        <v>127</v>
      </c>
    </row>
    <row r="221" spans="1:20" x14ac:dyDescent="0.3">
      <c r="A221" t="str">
        <f t="shared" si="3"/>
        <v>Onshore wind|2053|O&amp;M|Direct</v>
      </c>
      <c r="B221" t="s">
        <v>127</v>
      </c>
      <c r="C221" t="s">
        <v>68</v>
      </c>
      <c r="D221" t="s">
        <v>64</v>
      </c>
      <c r="E221" t="s">
        <v>65</v>
      </c>
      <c r="F221" t="s">
        <v>122</v>
      </c>
      <c r="G221">
        <v>2053</v>
      </c>
      <c r="H221">
        <v>2.6934306569300001E-2</v>
      </c>
      <c r="I221">
        <v>2.6934306569300001E-2</v>
      </c>
      <c r="J221" t="s">
        <v>118</v>
      </c>
      <c r="M221" t="s">
        <v>151</v>
      </c>
      <c r="O221" t="s">
        <v>154</v>
      </c>
      <c r="P221">
        <v>2030</v>
      </c>
      <c r="Q221">
        <v>2053</v>
      </c>
      <c r="R221">
        <v>2.6934306569300001E-2</v>
      </c>
      <c r="S221" t="s">
        <v>126</v>
      </c>
      <c r="T221" t="s">
        <v>127</v>
      </c>
    </row>
    <row r="222" spans="1:20" x14ac:dyDescent="0.3">
      <c r="A222" t="str">
        <f t="shared" si="3"/>
        <v>Onshore wind|2054|O&amp;M|Direct</v>
      </c>
      <c r="B222" t="s">
        <v>127</v>
      </c>
      <c r="C222" t="s">
        <v>68</v>
      </c>
      <c r="D222" t="s">
        <v>64</v>
      </c>
      <c r="E222" t="s">
        <v>65</v>
      </c>
      <c r="F222" t="s">
        <v>122</v>
      </c>
      <c r="G222">
        <v>2054</v>
      </c>
      <c r="H222">
        <v>2.6934306569300001E-2</v>
      </c>
      <c r="I222">
        <v>2.6934306569300001E-2</v>
      </c>
      <c r="J222" t="s">
        <v>118</v>
      </c>
      <c r="M222" t="s">
        <v>151</v>
      </c>
      <c r="O222" t="s">
        <v>154</v>
      </c>
      <c r="P222">
        <v>2030</v>
      </c>
      <c r="Q222">
        <v>2054</v>
      </c>
      <c r="R222">
        <v>2.6934306569300001E-2</v>
      </c>
      <c r="S222" t="s">
        <v>126</v>
      </c>
      <c r="T222" t="s">
        <v>127</v>
      </c>
    </row>
    <row r="223" spans="1:20" x14ac:dyDescent="0.3">
      <c r="A223" t="str">
        <f t="shared" si="3"/>
        <v>Onshore wind|2055|O&amp;M|Direct</v>
      </c>
      <c r="B223" t="s">
        <v>127</v>
      </c>
      <c r="C223" t="s">
        <v>68</v>
      </c>
      <c r="D223" t="s">
        <v>64</v>
      </c>
      <c r="E223" t="s">
        <v>65</v>
      </c>
      <c r="F223" t="s">
        <v>122</v>
      </c>
      <c r="G223">
        <v>2055</v>
      </c>
      <c r="H223">
        <v>2.6934306569300001E-2</v>
      </c>
      <c r="I223">
        <v>2.6934306569300001E-2</v>
      </c>
      <c r="J223" t="s">
        <v>118</v>
      </c>
      <c r="M223" t="s">
        <v>151</v>
      </c>
      <c r="O223" t="s">
        <v>154</v>
      </c>
      <c r="P223">
        <v>2030</v>
      </c>
      <c r="Q223">
        <v>2055</v>
      </c>
      <c r="R223">
        <v>2.6934306569300001E-2</v>
      </c>
      <c r="S223" t="s">
        <v>126</v>
      </c>
      <c r="T223" t="s">
        <v>127</v>
      </c>
    </row>
    <row r="224" spans="1:20" x14ac:dyDescent="0.3">
      <c r="A224" t="str">
        <f t="shared" si="3"/>
        <v>Rooftop solar PV|2026|Construction&amp;Manufacturing|Direct</v>
      </c>
      <c r="B224" t="s">
        <v>156</v>
      </c>
      <c r="C224" t="s">
        <v>71</v>
      </c>
      <c r="D224" t="s">
        <v>70</v>
      </c>
      <c r="E224" t="s">
        <v>65</v>
      </c>
      <c r="F224" t="s">
        <v>117</v>
      </c>
      <c r="G224">
        <v>2026</v>
      </c>
      <c r="H224">
        <v>8.3634066920999999</v>
      </c>
      <c r="I224">
        <v>8.3634066920999999</v>
      </c>
      <c r="J224" t="s">
        <v>118</v>
      </c>
      <c r="M224" t="s">
        <v>157</v>
      </c>
      <c r="O224" t="s">
        <v>158</v>
      </c>
      <c r="P224">
        <v>2030</v>
      </c>
      <c r="Q224">
        <v>2026</v>
      </c>
      <c r="R224">
        <v>8.3634066920999999</v>
      </c>
      <c r="S224" t="s">
        <v>121</v>
      </c>
      <c r="T224" t="s">
        <v>156</v>
      </c>
    </row>
    <row r="225" spans="1:20" x14ac:dyDescent="0.3">
      <c r="A225" t="str">
        <f t="shared" si="3"/>
        <v>Rooftop solar PV|2027|Construction&amp;Manufacturing|Direct</v>
      </c>
      <c r="B225" t="s">
        <v>156</v>
      </c>
      <c r="C225" t="s">
        <v>71</v>
      </c>
      <c r="D225" t="s">
        <v>70</v>
      </c>
      <c r="E225" t="s">
        <v>65</v>
      </c>
      <c r="F225" t="s">
        <v>117</v>
      </c>
      <c r="G225">
        <v>2027</v>
      </c>
      <c r="H225">
        <v>7.8811100381600001</v>
      </c>
      <c r="I225">
        <v>7.8811100381600001</v>
      </c>
      <c r="J225" t="s">
        <v>118</v>
      </c>
      <c r="M225" t="s">
        <v>157</v>
      </c>
      <c r="O225" t="s">
        <v>158</v>
      </c>
      <c r="P225">
        <v>2030</v>
      </c>
      <c r="Q225">
        <v>2027</v>
      </c>
      <c r="R225">
        <v>7.8811100381600001</v>
      </c>
      <c r="S225" t="s">
        <v>121</v>
      </c>
      <c r="T225" t="s">
        <v>156</v>
      </c>
    </row>
    <row r="226" spans="1:20" x14ac:dyDescent="0.3">
      <c r="A226" t="str">
        <f t="shared" si="3"/>
        <v>Rooftop solar PV|2028|Construction&amp;Manufacturing|Direct</v>
      </c>
      <c r="B226" t="s">
        <v>156</v>
      </c>
      <c r="C226" t="s">
        <v>71</v>
      </c>
      <c r="D226" t="s">
        <v>70</v>
      </c>
      <c r="E226" t="s">
        <v>65</v>
      </c>
      <c r="F226" t="s">
        <v>117</v>
      </c>
      <c r="G226">
        <v>2028</v>
      </c>
      <c r="H226">
        <v>7.3988133842100003</v>
      </c>
      <c r="I226">
        <v>7.3988133842100003</v>
      </c>
      <c r="J226" t="s">
        <v>118</v>
      </c>
      <c r="M226" t="s">
        <v>157</v>
      </c>
      <c r="O226" t="s">
        <v>158</v>
      </c>
      <c r="P226">
        <v>2030</v>
      </c>
      <c r="Q226">
        <v>2028</v>
      </c>
      <c r="R226">
        <v>7.3988133842100003</v>
      </c>
      <c r="S226" t="s">
        <v>121</v>
      </c>
      <c r="T226" t="s">
        <v>156</v>
      </c>
    </row>
    <row r="227" spans="1:20" x14ac:dyDescent="0.3">
      <c r="A227" t="str">
        <f t="shared" si="3"/>
        <v>Rooftop solar PV|2029|Construction&amp;Manufacturing|Direct</v>
      </c>
      <c r="B227" t="s">
        <v>156</v>
      </c>
      <c r="C227" t="s">
        <v>71</v>
      </c>
      <c r="D227" t="s">
        <v>70</v>
      </c>
      <c r="E227" t="s">
        <v>65</v>
      </c>
      <c r="F227" t="s">
        <v>117</v>
      </c>
      <c r="G227">
        <v>2029</v>
      </c>
      <c r="H227">
        <v>6.9165167302599997</v>
      </c>
      <c r="I227">
        <v>6.9165167302599997</v>
      </c>
      <c r="J227" t="s">
        <v>118</v>
      </c>
      <c r="M227" t="s">
        <v>157</v>
      </c>
      <c r="O227" t="s">
        <v>158</v>
      </c>
      <c r="P227">
        <v>2030</v>
      </c>
      <c r="Q227">
        <v>2029</v>
      </c>
      <c r="R227">
        <v>6.9165167302599997</v>
      </c>
      <c r="S227" t="s">
        <v>121</v>
      </c>
      <c r="T227" t="s">
        <v>156</v>
      </c>
    </row>
    <row r="228" spans="1:20" x14ac:dyDescent="0.3">
      <c r="A228" t="str">
        <f t="shared" si="3"/>
        <v>Rooftop solar PV|2030|Construction&amp;Manufacturing|Direct</v>
      </c>
      <c r="B228" t="s">
        <v>156</v>
      </c>
      <c r="C228" t="s">
        <v>71</v>
      </c>
      <c r="D228" t="s">
        <v>70</v>
      </c>
      <c r="E228" t="s">
        <v>65</v>
      </c>
      <c r="F228" t="s">
        <v>117</v>
      </c>
      <c r="G228">
        <v>2030</v>
      </c>
      <c r="H228">
        <v>6.4342200763099999</v>
      </c>
      <c r="I228">
        <v>6.4342200763099999</v>
      </c>
      <c r="J228" t="s">
        <v>124</v>
      </c>
      <c r="M228" t="s">
        <v>157</v>
      </c>
      <c r="O228" t="s">
        <v>159</v>
      </c>
      <c r="P228">
        <v>2024</v>
      </c>
      <c r="Q228">
        <v>2030</v>
      </c>
      <c r="R228">
        <v>6.4342200763099999</v>
      </c>
      <c r="S228" t="s">
        <v>125</v>
      </c>
      <c r="T228" t="s">
        <v>156</v>
      </c>
    </row>
    <row r="229" spans="1:20" x14ac:dyDescent="0.3">
      <c r="A229" t="str">
        <f t="shared" si="3"/>
        <v>Rooftop solar PV|2031|Construction&amp;Manufacturing|Direct</v>
      </c>
      <c r="B229" t="s">
        <v>156</v>
      </c>
      <c r="C229" t="s">
        <v>71</v>
      </c>
      <c r="D229" t="s">
        <v>70</v>
      </c>
      <c r="E229" t="s">
        <v>65</v>
      </c>
      <c r="F229" t="s">
        <v>117</v>
      </c>
      <c r="G229">
        <v>2031</v>
      </c>
      <c r="H229">
        <v>6.3285371255299996</v>
      </c>
      <c r="I229">
        <v>6.3285371255299996</v>
      </c>
      <c r="J229" t="s">
        <v>118</v>
      </c>
      <c r="M229" t="s">
        <v>157</v>
      </c>
      <c r="O229" t="s">
        <v>158</v>
      </c>
      <c r="P229">
        <v>2030</v>
      </c>
      <c r="Q229">
        <v>2031</v>
      </c>
      <c r="R229">
        <v>6.3285371255299996</v>
      </c>
      <c r="S229" t="s">
        <v>121</v>
      </c>
      <c r="T229" t="s">
        <v>156</v>
      </c>
    </row>
    <row r="230" spans="1:20" x14ac:dyDescent="0.3">
      <c r="A230" t="str">
        <f t="shared" si="3"/>
        <v>Rooftop solar PV|2032|Construction&amp;Manufacturing|Direct</v>
      </c>
      <c r="B230" t="s">
        <v>156</v>
      </c>
      <c r="C230" t="s">
        <v>71</v>
      </c>
      <c r="D230" t="s">
        <v>70</v>
      </c>
      <c r="E230" t="s">
        <v>65</v>
      </c>
      <c r="F230" t="s">
        <v>117</v>
      </c>
      <c r="G230">
        <v>2032</v>
      </c>
      <c r="H230">
        <v>6.2228541747400001</v>
      </c>
      <c r="I230">
        <v>6.2228541747400001</v>
      </c>
      <c r="J230" t="s">
        <v>118</v>
      </c>
      <c r="M230" t="s">
        <v>157</v>
      </c>
      <c r="O230" t="s">
        <v>158</v>
      </c>
      <c r="P230">
        <v>2030</v>
      </c>
      <c r="Q230">
        <v>2032</v>
      </c>
      <c r="R230">
        <v>6.2228541747400001</v>
      </c>
      <c r="S230" t="s">
        <v>121</v>
      </c>
      <c r="T230" t="s">
        <v>156</v>
      </c>
    </row>
    <row r="231" spans="1:20" x14ac:dyDescent="0.3">
      <c r="A231" t="str">
        <f t="shared" si="3"/>
        <v>Rooftop solar PV|2033|Construction&amp;Manufacturing|Direct</v>
      </c>
      <c r="B231" t="s">
        <v>156</v>
      </c>
      <c r="C231" t="s">
        <v>71</v>
      </c>
      <c r="D231" t="s">
        <v>70</v>
      </c>
      <c r="E231" t="s">
        <v>65</v>
      </c>
      <c r="F231" t="s">
        <v>117</v>
      </c>
      <c r="G231">
        <v>2033</v>
      </c>
      <c r="H231">
        <v>6.1171712239499998</v>
      </c>
      <c r="I231">
        <v>6.1171712239499998</v>
      </c>
      <c r="J231" t="s">
        <v>118</v>
      </c>
      <c r="M231" t="s">
        <v>157</v>
      </c>
      <c r="O231" t="s">
        <v>158</v>
      </c>
      <c r="P231">
        <v>2030</v>
      </c>
      <c r="Q231">
        <v>2033</v>
      </c>
      <c r="R231">
        <v>6.1171712239499998</v>
      </c>
      <c r="S231" t="s">
        <v>121</v>
      </c>
      <c r="T231" t="s">
        <v>156</v>
      </c>
    </row>
    <row r="232" spans="1:20" x14ac:dyDescent="0.3">
      <c r="A232" t="str">
        <f t="shared" si="3"/>
        <v>Rooftop solar PV|2034|Construction&amp;Manufacturing|Direct</v>
      </c>
      <c r="B232" t="s">
        <v>156</v>
      </c>
      <c r="C232" t="s">
        <v>71</v>
      </c>
      <c r="D232" t="s">
        <v>70</v>
      </c>
      <c r="E232" t="s">
        <v>65</v>
      </c>
      <c r="F232" t="s">
        <v>117</v>
      </c>
      <c r="G232">
        <v>2034</v>
      </c>
      <c r="H232">
        <v>6.0114882731600003</v>
      </c>
      <c r="I232">
        <v>6.0114882731600003</v>
      </c>
      <c r="J232" t="s">
        <v>118</v>
      </c>
      <c r="M232" t="s">
        <v>157</v>
      </c>
      <c r="O232" t="s">
        <v>158</v>
      </c>
      <c r="P232">
        <v>2030</v>
      </c>
      <c r="Q232">
        <v>2034</v>
      </c>
      <c r="R232">
        <v>6.0114882731600003</v>
      </c>
      <c r="S232" t="s">
        <v>121</v>
      </c>
      <c r="T232" t="s">
        <v>156</v>
      </c>
    </row>
    <row r="233" spans="1:20" x14ac:dyDescent="0.3">
      <c r="A233" t="str">
        <f t="shared" si="3"/>
        <v>Rooftop solar PV|2035|Construction&amp;Manufacturing|Direct</v>
      </c>
      <c r="B233" t="s">
        <v>156</v>
      </c>
      <c r="C233" t="s">
        <v>71</v>
      </c>
      <c r="D233" t="s">
        <v>70</v>
      </c>
      <c r="E233" t="s">
        <v>65</v>
      </c>
      <c r="F233" t="s">
        <v>117</v>
      </c>
      <c r="G233">
        <v>2035</v>
      </c>
      <c r="H233">
        <v>5.90580532237</v>
      </c>
      <c r="I233">
        <v>5.90580532237</v>
      </c>
      <c r="J233" t="s">
        <v>118</v>
      </c>
      <c r="M233" t="s">
        <v>157</v>
      </c>
      <c r="O233" t="s">
        <v>158</v>
      </c>
      <c r="P233">
        <v>2030</v>
      </c>
      <c r="Q233">
        <v>2035</v>
      </c>
      <c r="R233">
        <v>5.90580532237</v>
      </c>
      <c r="S233" t="s">
        <v>121</v>
      </c>
      <c r="T233" t="s">
        <v>156</v>
      </c>
    </row>
    <row r="234" spans="1:20" x14ac:dyDescent="0.3">
      <c r="A234" t="str">
        <f t="shared" si="3"/>
        <v>Rooftop solar PV|2036|Construction&amp;Manufacturing|Direct</v>
      </c>
      <c r="B234" t="s">
        <v>156</v>
      </c>
      <c r="C234" t="s">
        <v>71</v>
      </c>
      <c r="D234" t="s">
        <v>70</v>
      </c>
      <c r="E234" t="s">
        <v>65</v>
      </c>
      <c r="F234" t="s">
        <v>117</v>
      </c>
      <c r="G234">
        <v>2036</v>
      </c>
      <c r="H234">
        <v>5.8001223715799997</v>
      </c>
      <c r="I234">
        <v>5.8001223715799997</v>
      </c>
      <c r="J234" t="s">
        <v>118</v>
      </c>
      <c r="M234" t="s">
        <v>157</v>
      </c>
      <c r="O234" t="s">
        <v>158</v>
      </c>
      <c r="P234">
        <v>2030</v>
      </c>
      <c r="Q234">
        <v>2036</v>
      </c>
      <c r="R234">
        <v>5.8001223715799997</v>
      </c>
      <c r="S234" t="s">
        <v>121</v>
      </c>
      <c r="T234" t="s">
        <v>156</v>
      </c>
    </row>
    <row r="235" spans="1:20" x14ac:dyDescent="0.3">
      <c r="A235" t="str">
        <f t="shared" si="3"/>
        <v>Rooftop solar PV|2037|Construction&amp;Manufacturing|Direct</v>
      </c>
      <c r="B235" t="s">
        <v>156</v>
      </c>
      <c r="C235" t="s">
        <v>71</v>
      </c>
      <c r="D235" t="s">
        <v>70</v>
      </c>
      <c r="E235" t="s">
        <v>65</v>
      </c>
      <c r="F235" t="s">
        <v>117</v>
      </c>
      <c r="G235">
        <v>2037</v>
      </c>
      <c r="H235">
        <v>5.6944394207900002</v>
      </c>
      <c r="I235">
        <v>5.6944394207900002</v>
      </c>
      <c r="J235" t="s">
        <v>118</v>
      </c>
      <c r="M235" t="s">
        <v>157</v>
      </c>
      <c r="O235" t="s">
        <v>158</v>
      </c>
      <c r="P235">
        <v>2030</v>
      </c>
      <c r="Q235">
        <v>2037</v>
      </c>
      <c r="R235">
        <v>5.6944394207900002</v>
      </c>
      <c r="S235" t="s">
        <v>121</v>
      </c>
      <c r="T235" t="s">
        <v>156</v>
      </c>
    </row>
    <row r="236" spans="1:20" x14ac:dyDescent="0.3">
      <c r="A236" t="str">
        <f t="shared" si="3"/>
        <v>Rooftop solar PV|2038|Construction&amp;Manufacturing|Direct</v>
      </c>
      <c r="B236" t="s">
        <v>156</v>
      </c>
      <c r="C236" t="s">
        <v>71</v>
      </c>
      <c r="D236" t="s">
        <v>70</v>
      </c>
      <c r="E236" t="s">
        <v>65</v>
      </c>
      <c r="F236" t="s">
        <v>117</v>
      </c>
      <c r="G236">
        <v>2038</v>
      </c>
      <c r="H236">
        <v>5.5887564700099999</v>
      </c>
      <c r="I236">
        <v>5.5887564700099999</v>
      </c>
      <c r="J236" t="s">
        <v>118</v>
      </c>
      <c r="M236" t="s">
        <v>157</v>
      </c>
      <c r="O236" t="s">
        <v>158</v>
      </c>
      <c r="P236">
        <v>2030</v>
      </c>
      <c r="Q236">
        <v>2038</v>
      </c>
      <c r="R236">
        <v>5.5887564700099999</v>
      </c>
      <c r="S236" t="s">
        <v>121</v>
      </c>
      <c r="T236" t="s">
        <v>156</v>
      </c>
    </row>
    <row r="237" spans="1:20" x14ac:dyDescent="0.3">
      <c r="A237" t="str">
        <f t="shared" si="3"/>
        <v>Rooftop solar PV|2039|Construction&amp;Manufacturing|Direct</v>
      </c>
      <c r="B237" t="s">
        <v>156</v>
      </c>
      <c r="C237" t="s">
        <v>71</v>
      </c>
      <c r="D237" t="s">
        <v>70</v>
      </c>
      <c r="E237" t="s">
        <v>65</v>
      </c>
      <c r="F237" t="s">
        <v>117</v>
      </c>
      <c r="G237">
        <v>2039</v>
      </c>
      <c r="H237">
        <v>5.4830735192200004</v>
      </c>
      <c r="I237">
        <v>5.4830735192200004</v>
      </c>
      <c r="J237" t="s">
        <v>118</v>
      </c>
      <c r="M237" t="s">
        <v>157</v>
      </c>
      <c r="O237" t="s">
        <v>158</v>
      </c>
      <c r="P237">
        <v>2030</v>
      </c>
      <c r="Q237">
        <v>2039</v>
      </c>
      <c r="R237">
        <v>5.4830735192200004</v>
      </c>
      <c r="S237" t="s">
        <v>121</v>
      </c>
      <c r="T237" t="s">
        <v>156</v>
      </c>
    </row>
    <row r="238" spans="1:20" x14ac:dyDescent="0.3">
      <c r="A238" t="str">
        <f t="shared" si="3"/>
        <v>Rooftop solar PV|2040|Construction&amp;Manufacturing|Direct</v>
      </c>
      <c r="B238" t="s">
        <v>156</v>
      </c>
      <c r="C238" t="s">
        <v>71</v>
      </c>
      <c r="D238" t="s">
        <v>70</v>
      </c>
      <c r="E238" t="s">
        <v>65</v>
      </c>
      <c r="F238" t="s">
        <v>117</v>
      </c>
      <c r="G238">
        <v>2040</v>
      </c>
      <c r="H238">
        <v>5.3773905684300001</v>
      </c>
      <c r="I238">
        <v>5.3773905684300001</v>
      </c>
      <c r="J238" t="s">
        <v>118</v>
      </c>
      <c r="M238" t="s">
        <v>157</v>
      </c>
      <c r="O238" t="s">
        <v>158</v>
      </c>
      <c r="P238">
        <v>2030</v>
      </c>
      <c r="Q238">
        <v>2040</v>
      </c>
      <c r="R238">
        <v>5.3773905684300001</v>
      </c>
      <c r="S238" t="s">
        <v>121</v>
      </c>
      <c r="T238" t="s">
        <v>156</v>
      </c>
    </row>
    <row r="239" spans="1:20" x14ac:dyDescent="0.3">
      <c r="A239" t="str">
        <f t="shared" si="3"/>
        <v>Rooftop solar PV|2041|Construction&amp;Manufacturing|Direct</v>
      </c>
      <c r="B239" t="s">
        <v>156</v>
      </c>
      <c r="C239" t="s">
        <v>71</v>
      </c>
      <c r="D239" t="s">
        <v>70</v>
      </c>
      <c r="E239" t="s">
        <v>65</v>
      </c>
      <c r="F239" t="s">
        <v>117</v>
      </c>
      <c r="G239">
        <v>2041</v>
      </c>
      <c r="H239">
        <v>5.2717076176399997</v>
      </c>
      <c r="I239">
        <v>5.2717076176399997</v>
      </c>
      <c r="J239" t="s">
        <v>118</v>
      </c>
      <c r="M239" t="s">
        <v>157</v>
      </c>
      <c r="O239" t="s">
        <v>158</v>
      </c>
      <c r="P239">
        <v>2030</v>
      </c>
      <c r="Q239">
        <v>2041</v>
      </c>
      <c r="R239">
        <v>5.2717076176399997</v>
      </c>
      <c r="S239" t="s">
        <v>121</v>
      </c>
      <c r="T239" t="s">
        <v>156</v>
      </c>
    </row>
    <row r="240" spans="1:20" x14ac:dyDescent="0.3">
      <c r="A240" t="str">
        <f t="shared" si="3"/>
        <v>Rooftop solar PV|2042|Construction&amp;Manufacturing|Direct</v>
      </c>
      <c r="B240" t="s">
        <v>156</v>
      </c>
      <c r="C240" t="s">
        <v>71</v>
      </c>
      <c r="D240" t="s">
        <v>70</v>
      </c>
      <c r="E240" t="s">
        <v>65</v>
      </c>
      <c r="F240" t="s">
        <v>117</v>
      </c>
      <c r="G240">
        <v>2042</v>
      </c>
      <c r="H240">
        <v>5.1660246668500003</v>
      </c>
      <c r="I240">
        <v>5.1660246668500003</v>
      </c>
      <c r="J240" t="s">
        <v>118</v>
      </c>
      <c r="M240" t="s">
        <v>157</v>
      </c>
      <c r="O240" t="s">
        <v>158</v>
      </c>
      <c r="P240">
        <v>2030</v>
      </c>
      <c r="Q240">
        <v>2042</v>
      </c>
      <c r="R240">
        <v>5.1660246668500003</v>
      </c>
      <c r="S240" t="s">
        <v>121</v>
      </c>
      <c r="T240" t="s">
        <v>156</v>
      </c>
    </row>
    <row r="241" spans="1:20" x14ac:dyDescent="0.3">
      <c r="A241" t="str">
        <f t="shared" si="3"/>
        <v>Rooftop solar PV|2043|Construction&amp;Manufacturing|Direct</v>
      </c>
      <c r="B241" t="s">
        <v>156</v>
      </c>
      <c r="C241" t="s">
        <v>71</v>
      </c>
      <c r="D241" t="s">
        <v>70</v>
      </c>
      <c r="E241" t="s">
        <v>65</v>
      </c>
      <c r="F241" t="s">
        <v>117</v>
      </c>
      <c r="G241">
        <v>2043</v>
      </c>
      <c r="H241">
        <v>5.0603417160599999</v>
      </c>
      <c r="I241">
        <v>5.0603417160599999</v>
      </c>
      <c r="J241" t="s">
        <v>118</v>
      </c>
      <c r="M241" t="s">
        <v>157</v>
      </c>
      <c r="O241" t="s">
        <v>158</v>
      </c>
      <c r="P241">
        <v>2030</v>
      </c>
      <c r="Q241">
        <v>2043</v>
      </c>
      <c r="R241">
        <v>5.0603417160599999</v>
      </c>
      <c r="S241" t="s">
        <v>121</v>
      </c>
      <c r="T241" t="s">
        <v>156</v>
      </c>
    </row>
    <row r="242" spans="1:20" x14ac:dyDescent="0.3">
      <c r="A242" t="str">
        <f t="shared" si="3"/>
        <v>Rooftop solar PV|2044|Construction&amp;Manufacturing|Direct</v>
      </c>
      <c r="B242" t="s">
        <v>156</v>
      </c>
      <c r="C242" t="s">
        <v>71</v>
      </c>
      <c r="D242" t="s">
        <v>70</v>
      </c>
      <c r="E242" t="s">
        <v>65</v>
      </c>
      <c r="F242" t="s">
        <v>117</v>
      </c>
      <c r="G242">
        <v>2044</v>
      </c>
      <c r="H242">
        <v>4.9546587652799996</v>
      </c>
      <c r="I242">
        <v>4.9546587652799996</v>
      </c>
      <c r="J242" t="s">
        <v>118</v>
      </c>
      <c r="M242" t="s">
        <v>157</v>
      </c>
      <c r="O242" t="s">
        <v>158</v>
      </c>
      <c r="P242">
        <v>2030</v>
      </c>
      <c r="Q242">
        <v>2044</v>
      </c>
      <c r="R242">
        <v>4.9546587652799996</v>
      </c>
      <c r="S242" t="s">
        <v>121</v>
      </c>
      <c r="T242" t="s">
        <v>156</v>
      </c>
    </row>
    <row r="243" spans="1:20" x14ac:dyDescent="0.3">
      <c r="A243" t="str">
        <f t="shared" si="3"/>
        <v>Rooftop solar PV|2045|Construction&amp;Manufacturing|Direct</v>
      </c>
      <c r="B243" t="s">
        <v>156</v>
      </c>
      <c r="C243" t="s">
        <v>71</v>
      </c>
      <c r="D243" t="s">
        <v>70</v>
      </c>
      <c r="E243" t="s">
        <v>65</v>
      </c>
      <c r="F243" t="s">
        <v>117</v>
      </c>
      <c r="G243">
        <v>2045</v>
      </c>
      <c r="H243">
        <v>4.8489758144900001</v>
      </c>
      <c r="I243">
        <v>4.8489758144900001</v>
      </c>
      <c r="J243" t="s">
        <v>118</v>
      </c>
      <c r="M243" t="s">
        <v>157</v>
      </c>
      <c r="O243" t="s">
        <v>158</v>
      </c>
      <c r="P243">
        <v>2030</v>
      </c>
      <c r="Q243">
        <v>2045</v>
      </c>
      <c r="R243">
        <v>4.8489758144900001</v>
      </c>
      <c r="S243" t="s">
        <v>121</v>
      </c>
      <c r="T243" t="s">
        <v>156</v>
      </c>
    </row>
    <row r="244" spans="1:20" x14ac:dyDescent="0.3">
      <c r="A244" t="str">
        <f t="shared" si="3"/>
        <v>Rooftop solar PV|2046|Construction&amp;Manufacturing|Direct</v>
      </c>
      <c r="B244" t="s">
        <v>156</v>
      </c>
      <c r="C244" t="s">
        <v>71</v>
      </c>
      <c r="D244" t="s">
        <v>70</v>
      </c>
      <c r="E244" t="s">
        <v>65</v>
      </c>
      <c r="F244" t="s">
        <v>117</v>
      </c>
      <c r="G244">
        <v>2046</v>
      </c>
      <c r="H244">
        <v>4.7432928636999998</v>
      </c>
      <c r="I244">
        <v>4.7432928636999998</v>
      </c>
      <c r="J244" t="s">
        <v>118</v>
      </c>
      <c r="M244" t="s">
        <v>157</v>
      </c>
      <c r="O244" t="s">
        <v>158</v>
      </c>
      <c r="P244">
        <v>2030</v>
      </c>
      <c r="Q244">
        <v>2046</v>
      </c>
      <c r="R244">
        <v>4.7432928636999998</v>
      </c>
      <c r="S244" t="s">
        <v>121</v>
      </c>
      <c r="T244" t="s">
        <v>156</v>
      </c>
    </row>
    <row r="245" spans="1:20" x14ac:dyDescent="0.3">
      <c r="A245" t="str">
        <f t="shared" si="3"/>
        <v>Rooftop solar PV|2047|Construction&amp;Manufacturing|Direct</v>
      </c>
      <c r="B245" t="s">
        <v>156</v>
      </c>
      <c r="C245" t="s">
        <v>71</v>
      </c>
      <c r="D245" t="s">
        <v>70</v>
      </c>
      <c r="E245" t="s">
        <v>65</v>
      </c>
      <c r="F245" t="s">
        <v>117</v>
      </c>
      <c r="G245">
        <v>2047</v>
      </c>
      <c r="H245">
        <v>4.6376099129100004</v>
      </c>
      <c r="I245">
        <v>4.6376099129100004</v>
      </c>
      <c r="J245" t="s">
        <v>118</v>
      </c>
      <c r="M245" t="s">
        <v>157</v>
      </c>
      <c r="O245" t="s">
        <v>158</v>
      </c>
      <c r="P245">
        <v>2030</v>
      </c>
      <c r="Q245">
        <v>2047</v>
      </c>
      <c r="R245">
        <v>4.6376099129100004</v>
      </c>
      <c r="S245" t="s">
        <v>121</v>
      </c>
      <c r="T245" t="s">
        <v>156</v>
      </c>
    </row>
    <row r="246" spans="1:20" x14ac:dyDescent="0.3">
      <c r="A246" t="str">
        <f t="shared" si="3"/>
        <v>Rooftop solar PV|2048|Construction&amp;Manufacturing|Direct</v>
      </c>
      <c r="B246" t="s">
        <v>156</v>
      </c>
      <c r="C246" t="s">
        <v>71</v>
      </c>
      <c r="D246" t="s">
        <v>70</v>
      </c>
      <c r="E246" t="s">
        <v>65</v>
      </c>
      <c r="F246" t="s">
        <v>117</v>
      </c>
      <c r="G246">
        <v>2048</v>
      </c>
      <c r="H246">
        <v>4.53192696212</v>
      </c>
      <c r="I246">
        <v>4.53192696212</v>
      </c>
      <c r="J246" t="s">
        <v>118</v>
      </c>
      <c r="M246" t="s">
        <v>157</v>
      </c>
      <c r="O246" t="s">
        <v>158</v>
      </c>
      <c r="P246">
        <v>2030</v>
      </c>
      <c r="Q246">
        <v>2048</v>
      </c>
      <c r="R246">
        <v>4.53192696212</v>
      </c>
      <c r="S246" t="s">
        <v>121</v>
      </c>
      <c r="T246" t="s">
        <v>156</v>
      </c>
    </row>
    <row r="247" spans="1:20" x14ac:dyDescent="0.3">
      <c r="A247" t="str">
        <f t="shared" si="3"/>
        <v>Rooftop solar PV|2049|Construction&amp;Manufacturing|Direct</v>
      </c>
      <c r="B247" t="s">
        <v>156</v>
      </c>
      <c r="C247" t="s">
        <v>71</v>
      </c>
      <c r="D247" t="s">
        <v>70</v>
      </c>
      <c r="E247" t="s">
        <v>65</v>
      </c>
      <c r="F247" t="s">
        <v>117</v>
      </c>
      <c r="G247">
        <v>2049</v>
      </c>
      <c r="H247">
        <v>4.4262440113299997</v>
      </c>
      <c r="I247">
        <v>4.4262440113299997</v>
      </c>
      <c r="J247" t="s">
        <v>118</v>
      </c>
      <c r="M247" t="s">
        <v>157</v>
      </c>
      <c r="O247" t="s">
        <v>158</v>
      </c>
      <c r="P247">
        <v>2030</v>
      </c>
      <c r="Q247">
        <v>2049</v>
      </c>
      <c r="R247">
        <v>4.4262440113299997</v>
      </c>
      <c r="S247" t="s">
        <v>121</v>
      </c>
      <c r="T247" t="s">
        <v>156</v>
      </c>
    </row>
    <row r="248" spans="1:20" x14ac:dyDescent="0.3">
      <c r="A248" t="str">
        <f t="shared" si="3"/>
        <v>Rooftop solar PV|2050|Construction&amp;Manufacturing|Direct</v>
      </c>
      <c r="B248" t="s">
        <v>156</v>
      </c>
      <c r="C248" t="s">
        <v>71</v>
      </c>
      <c r="D248" t="s">
        <v>70</v>
      </c>
      <c r="E248" t="s">
        <v>65</v>
      </c>
      <c r="F248" t="s">
        <v>117</v>
      </c>
      <c r="G248">
        <v>2050</v>
      </c>
      <c r="H248">
        <v>4.3205610605400002</v>
      </c>
      <c r="I248">
        <v>4.3205610605400002</v>
      </c>
      <c r="J248" t="s">
        <v>124</v>
      </c>
      <c r="M248" t="s">
        <v>157</v>
      </c>
      <c r="O248" t="s">
        <v>158</v>
      </c>
      <c r="P248">
        <v>2030</v>
      </c>
      <c r="Q248">
        <v>2050</v>
      </c>
      <c r="R248">
        <v>4.3205610605400002</v>
      </c>
      <c r="S248" t="s">
        <v>125</v>
      </c>
      <c r="T248" t="s">
        <v>156</v>
      </c>
    </row>
    <row r="249" spans="1:20" x14ac:dyDescent="0.3">
      <c r="A249" t="str">
        <f t="shared" si="3"/>
        <v>Rooftop solar PV|2051|Construction&amp;Manufacturing|Direct</v>
      </c>
      <c r="B249" t="s">
        <v>156</v>
      </c>
      <c r="C249" t="s">
        <v>71</v>
      </c>
      <c r="D249" t="s">
        <v>70</v>
      </c>
      <c r="E249" t="s">
        <v>65</v>
      </c>
      <c r="F249" t="s">
        <v>117</v>
      </c>
      <c r="G249">
        <v>2051</v>
      </c>
      <c r="H249">
        <v>4.3205610605400002</v>
      </c>
      <c r="I249">
        <v>4.3205610605400002</v>
      </c>
      <c r="J249" t="s">
        <v>118</v>
      </c>
      <c r="M249" t="s">
        <v>157</v>
      </c>
      <c r="O249" t="s">
        <v>158</v>
      </c>
      <c r="P249">
        <v>2030</v>
      </c>
      <c r="Q249">
        <v>2051</v>
      </c>
      <c r="R249">
        <v>4.3205610605400002</v>
      </c>
      <c r="S249" t="s">
        <v>126</v>
      </c>
      <c r="T249" t="s">
        <v>156</v>
      </c>
    </row>
    <row r="250" spans="1:20" x14ac:dyDescent="0.3">
      <c r="A250" t="str">
        <f t="shared" si="3"/>
        <v>Rooftop solar PV|2052|Construction&amp;Manufacturing|Direct</v>
      </c>
      <c r="B250" t="s">
        <v>156</v>
      </c>
      <c r="C250" t="s">
        <v>71</v>
      </c>
      <c r="D250" t="s">
        <v>70</v>
      </c>
      <c r="E250" t="s">
        <v>65</v>
      </c>
      <c r="F250" t="s">
        <v>117</v>
      </c>
      <c r="G250">
        <v>2052</v>
      </c>
      <c r="H250">
        <v>4.3205610605400002</v>
      </c>
      <c r="I250">
        <v>4.3205610605400002</v>
      </c>
      <c r="J250" t="s">
        <v>118</v>
      </c>
      <c r="M250" t="s">
        <v>157</v>
      </c>
      <c r="O250" t="s">
        <v>158</v>
      </c>
      <c r="P250">
        <v>2030</v>
      </c>
      <c r="Q250">
        <v>2052</v>
      </c>
      <c r="R250">
        <v>4.3205610605400002</v>
      </c>
      <c r="S250" t="s">
        <v>126</v>
      </c>
      <c r="T250" t="s">
        <v>156</v>
      </c>
    </row>
    <row r="251" spans="1:20" x14ac:dyDescent="0.3">
      <c r="A251" t="str">
        <f t="shared" si="3"/>
        <v>Rooftop solar PV|2053|Construction&amp;Manufacturing|Direct</v>
      </c>
      <c r="B251" t="s">
        <v>156</v>
      </c>
      <c r="C251" t="s">
        <v>71</v>
      </c>
      <c r="D251" t="s">
        <v>70</v>
      </c>
      <c r="E251" t="s">
        <v>65</v>
      </c>
      <c r="F251" t="s">
        <v>117</v>
      </c>
      <c r="G251">
        <v>2053</v>
      </c>
      <c r="H251">
        <v>4.3205610605400002</v>
      </c>
      <c r="I251">
        <v>4.3205610605400002</v>
      </c>
      <c r="J251" t="s">
        <v>118</v>
      </c>
      <c r="M251" t="s">
        <v>157</v>
      </c>
      <c r="O251" t="s">
        <v>158</v>
      </c>
      <c r="P251">
        <v>2030</v>
      </c>
      <c r="Q251">
        <v>2053</v>
      </c>
      <c r="R251">
        <v>4.3205610605400002</v>
      </c>
      <c r="S251" t="s">
        <v>126</v>
      </c>
      <c r="T251" t="s">
        <v>156</v>
      </c>
    </row>
    <row r="252" spans="1:20" x14ac:dyDescent="0.3">
      <c r="A252" t="str">
        <f t="shared" si="3"/>
        <v>Rooftop solar PV|2054|Construction&amp;Manufacturing|Direct</v>
      </c>
      <c r="B252" t="s">
        <v>156</v>
      </c>
      <c r="C252" t="s">
        <v>71</v>
      </c>
      <c r="D252" t="s">
        <v>70</v>
      </c>
      <c r="E252" t="s">
        <v>65</v>
      </c>
      <c r="F252" t="s">
        <v>117</v>
      </c>
      <c r="G252">
        <v>2054</v>
      </c>
      <c r="H252">
        <v>4.3205610605400002</v>
      </c>
      <c r="I252">
        <v>4.3205610605400002</v>
      </c>
      <c r="J252" t="s">
        <v>118</v>
      </c>
      <c r="M252" t="s">
        <v>157</v>
      </c>
      <c r="O252" t="s">
        <v>158</v>
      </c>
      <c r="P252">
        <v>2030</v>
      </c>
      <c r="Q252">
        <v>2054</v>
      </c>
      <c r="R252">
        <v>4.3205610605400002</v>
      </c>
      <c r="S252" t="s">
        <v>126</v>
      </c>
      <c r="T252" t="s">
        <v>156</v>
      </c>
    </row>
    <row r="253" spans="1:20" x14ac:dyDescent="0.3">
      <c r="A253" t="str">
        <f t="shared" si="3"/>
        <v>Rooftop solar PV|2055|Construction&amp;Manufacturing|Direct</v>
      </c>
      <c r="B253" t="s">
        <v>156</v>
      </c>
      <c r="C253" t="s">
        <v>71</v>
      </c>
      <c r="D253" t="s">
        <v>70</v>
      </c>
      <c r="E253" t="s">
        <v>65</v>
      </c>
      <c r="F253" t="s">
        <v>117</v>
      </c>
      <c r="G253">
        <v>2055</v>
      </c>
      <c r="H253">
        <v>4.3205610605400002</v>
      </c>
      <c r="I253">
        <v>4.3205610605400002</v>
      </c>
      <c r="J253" t="s">
        <v>118</v>
      </c>
      <c r="M253" t="s">
        <v>157</v>
      </c>
      <c r="O253" t="s">
        <v>158</v>
      </c>
      <c r="P253">
        <v>2030</v>
      </c>
      <c r="Q253">
        <v>2055</v>
      </c>
      <c r="R253">
        <v>4.3205610605400002</v>
      </c>
      <c r="S253" t="s">
        <v>126</v>
      </c>
      <c r="T253" t="s">
        <v>156</v>
      </c>
    </row>
    <row r="254" spans="1:20" x14ac:dyDescent="0.3">
      <c r="A254" t="str">
        <f t="shared" si="3"/>
        <v>Rooftop solar PV|2026|O&amp;M|Direct</v>
      </c>
      <c r="B254" t="s">
        <v>156</v>
      </c>
      <c r="C254" t="s">
        <v>71</v>
      </c>
      <c r="D254" t="s">
        <v>64</v>
      </c>
      <c r="E254" t="s">
        <v>65</v>
      </c>
      <c r="F254" t="s">
        <v>122</v>
      </c>
      <c r="G254">
        <v>2026</v>
      </c>
      <c r="H254">
        <v>0.28588235294100001</v>
      </c>
      <c r="I254">
        <v>0.28588235294100001</v>
      </c>
      <c r="J254" t="s">
        <v>118</v>
      </c>
      <c r="M254" t="s">
        <v>157</v>
      </c>
      <c r="O254" t="s">
        <v>160</v>
      </c>
      <c r="P254">
        <v>2030</v>
      </c>
      <c r="Q254">
        <v>2026</v>
      </c>
      <c r="R254">
        <v>0.28588235294100001</v>
      </c>
      <c r="S254" t="s">
        <v>121</v>
      </c>
      <c r="T254" t="s">
        <v>156</v>
      </c>
    </row>
    <row r="255" spans="1:20" x14ac:dyDescent="0.3">
      <c r="A255" t="str">
        <f t="shared" si="3"/>
        <v>Rooftop solar PV|2027|O&amp;M|Direct</v>
      </c>
      <c r="B255" t="s">
        <v>156</v>
      </c>
      <c r="C255" t="s">
        <v>71</v>
      </c>
      <c r="D255" t="s">
        <v>64</v>
      </c>
      <c r="E255" t="s">
        <v>65</v>
      </c>
      <c r="F255" t="s">
        <v>122</v>
      </c>
      <c r="G255">
        <v>2027</v>
      </c>
      <c r="H255">
        <v>0.278823529412</v>
      </c>
      <c r="I255">
        <v>0.278823529412</v>
      </c>
      <c r="J255" t="s">
        <v>118</v>
      </c>
      <c r="M255" t="s">
        <v>157</v>
      </c>
      <c r="O255" t="s">
        <v>160</v>
      </c>
      <c r="P255">
        <v>2030</v>
      </c>
      <c r="Q255">
        <v>2027</v>
      </c>
      <c r="R255">
        <v>0.278823529412</v>
      </c>
      <c r="S255" t="s">
        <v>121</v>
      </c>
      <c r="T255" t="s">
        <v>156</v>
      </c>
    </row>
    <row r="256" spans="1:20" x14ac:dyDescent="0.3">
      <c r="A256" t="str">
        <f t="shared" si="3"/>
        <v>Rooftop solar PV|2028|O&amp;M|Direct</v>
      </c>
      <c r="B256" t="s">
        <v>156</v>
      </c>
      <c r="C256" t="s">
        <v>71</v>
      </c>
      <c r="D256" t="s">
        <v>64</v>
      </c>
      <c r="E256" t="s">
        <v>65</v>
      </c>
      <c r="F256" t="s">
        <v>122</v>
      </c>
      <c r="G256">
        <v>2028</v>
      </c>
      <c r="H256">
        <v>0.27176470588200002</v>
      </c>
      <c r="I256">
        <v>0.27176470588200002</v>
      </c>
      <c r="J256" t="s">
        <v>118</v>
      </c>
      <c r="M256" t="s">
        <v>157</v>
      </c>
      <c r="O256" t="s">
        <v>160</v>
      </c>
      <c r="P256">
        <v>2030</v>
      </c>
      <c r="Q256">
        <v>2028</v>
      </c>
      <c r="R256">
        <v>0.27176470588200002</v>
      </c>
      <c r="S256" t="s">
        <v>121</v>
      </c>
      <c r="T256" t="s">
        <v>156</v>
      </c>
    </row>
    <row r="257" spans="1:20" x14ac:dyDescent="0.3">
      <c r="A257" t="str">
        <f t="shared" si="3"/>
        <v>Rooftop solar PV|2029|O&amp;M|Direct</v>
      </c>
      <c r="B257" t="s">
        <v>156</v>
      </c>
      <c r="C257" t="s">
        <v>71</v>
      </c>
      <c r="D257" t="s">
        <v>64</v>
      </c>
      <c r="E257" t="s">
        <v>65</v>
      </c>
      <c r="F257" t="s">
        <v>122</v>
      </c>
      <c r="G257">
        <v>2029</v>
      </c>
      <c r="H257">
        <v>0.26470588235300002</v>
      </c>
      <c r="I257">
        <v>0.26470588235300002</v>
      </c>
      <c r="J257" t="s">
        <v>118</v>
      </c>
      <c r="M257" t="s">
        <v>157</v>
      </c>
      <c r="O257" t="s">
        <v>160</v>
      </c>
      <c r="P257">
        <v>2030</v>
      </c>
      <c r="Q257">
        <v>2029</v>
      </c>
      <c r="R257">
        <v>0.26470588235300002</v>
      </c>
      <c r="S257" t="s">
        <v>121</v>
      </c>
      <c r="T257" t="s">
        <v>156</v>
      </c>
    </row>
    <row r="258" spans="1:20" x14ac:dyDescent="0.3">
      <c r="A258" t="str">
        <f t="shared" ref="A258:A321" si="4">C258&amp;"|"&amp;G258&amp;"|"&amp;D258&amp;"|"&amp;E258</f>
        <v>Rooftop solar PV|2030|O&amp;M|Direct</v>
      </c>
      <c r="B258" t="s">
        <v>156</v>
      </c>
      <c r="C258" t="s">
        <v>71</v>
      </c>
      <c r="D258" t="s">
        <v>64</v>
      </c>
      <c r="E258" t="s">
        <v>65</v>
      </c>
      <c r="F258" t="s">
        <v>122</v>
      </c>
      <c r="G258">
        <v>2030</v>
      </c>
      <c r="H258">
        <v>0.25764705882400002</v>
      </c>
      <c r="I258">
        <v>0.25764705882400002</v>
      </c>
      <c r="J258" t="s">
        <v>124</v>
      </c>
      <c r="M258" t="s">
        <v>157</v>
      </c>
      <c r="O258" t="s">
        <v>161</v>
      </c>
      <c r="P258">
        <v>2024</v>
      </c>
      <c r="Q258">
        <v>2030</v>
      </c>
      <c r="R258">
        <v>0.25764705882400002</v>
      </c>
      <c r="S258" t="s">
        <v>125</v>
      </c>
      <c r="T258" t="s">
        <v>156</v>
      </c>
    </row>
    <row r="259" spans="1:20" x14ac:dyDescent="0.3">
      <c r="A259" t="str">
        <f t="shared" si="4"/>
        <v>Rooftop solar PV|2031|O&amp;M|Direct</v>
      </c>
      <c r="B259" t="s">
        <v>156</v>
      </c>
      <c r="C259" t="s">
        <v>71</v>
      </c>
      <c r="D259" t="s">
        <v>64</v>
      </c>
      <c r="E259" t="s">
        <v>65</v>
      </c>
      <c r="F259" t="s">
        <v>122</v>
      </c>
      <c r="G259">
        <v>2031</v>
      </c>
      <c r="H259">
        <v>0.25561764705899997</v>
      </c>
      <c r="I259">
        <v>0.25561764705899997</v>
      </c>
      <c r="J259" t="s">
        <v>118</v>
      </c>
      <c r="M259" t="s">
        <v>157</v>
      </c>
      <c r="O259" t="s">
        <v>160</v>
      </c>
      <c r="P259">
        <v>2030</v>
      </c>
      <c r="Q259">
        <v>2031</v>
      </c>
      <c r="R259">
        <v>0.25561764705899997</v>
      </c>
      <c r="S259" t="s">
        <v>121</v>
      </c>
      <c r="T259" t="s">
        <v>156</v>
      </c>
    </row>
    <row r="260" spans="1:20" x14ac:dyDescent="0.3">
      <c r="A260" t="str">
        <f t="shared" si="4"/>
        <v>Rooftop solar PV|2032|O&amp;M|Direct</v>
      </c>
      <c r="B260" t="s">
        <v>156</v>
      </c>
      <c r="C260" t="s">
        <v>71</v>
      </c>
      <c r="D260" t="s">
        <v>64</v>
      </c>
      <c r="E260" t="s">
        <v>65</v>
      </c>
      <c r="F260" t="s">
        <v>122</v>
      </c>
      <c r="G260">
        <v>2032</v>
      </c>
      <c r="H260">
        <v>0.25358823529399999</v>
      </c>
      <c r="I260">
        <v>0.25358823529399999</v>
      </c>
      <c r="J260" t="s">
        <v>118</v>
      </c>
      <c r="M260" t="s">
        <v>157</v>
      </c>
      <c r="O260" t="s">
        <v>160</v>
      </c>
      <c r="P260">
        <v>2030</v>
      </c>
      <c r="Q260">
        <v>2032</v>
      </c>
      <c r="R260">
        <v>0.25358823529399999</v>
      </c>
      <c r="S260" t="s">
        <v>121</v>
      </c>
      <c r="T260" t="s">
        <v>156</v>
      </c>
    </row>
    <row r="261" spans="1:20" x14ac:dyDescent="0.3">
      <c r="A261" t="str">
        <f t="shared" si="4"/>
        <v>Rooftop solar PV|2033|O&amp;M|Direct</v>
      </c>
      <c r="B261" t="s">
        <v>156</v>
      </c>
      <c r="C261" t="s">
        <v>71</v>
      </c>
      <c r="D261" t="s">
        <v>64</v>
      </c>
      <c r="E261" t="s">
        <v>65</v>
      </c>
      <c r="F261" t="s">
        <v>122</v>
      </c>
      <c r="G261">
        <v>2033</v>
      </c>
      <c r="H261">
        <v>0.251558823529</v>
      </c>
      <c r="I261">
        <v>0.251558823529</v>
      </c>
      <c r="J261" t="s">
        <v>118</v>
      </c>
      <c r="M261" t="s">
        <v>157</v>
      </c>
      <c r="O261" t="s">
        <v>160</v>
      </c>
      <c r="P261">
        <v>2030</v>
      </c>
      <c r="Q261">
        <v>2033</v>
      </c>
      <c r="R261">
        <v>0.251558823529</v>
      </c>
      <c r="S261" t="s">
        <v>121</v>
      </c>
      <c r="T261" t="s">
        <v>156</v>
      </c>
    </row>
    <row r="262" spans="1:20" x14ac:dyDescent="0.3">
      <c r="A262" t="str">
        <f t="shared" si="4"/>
        <v>Rooftop solar PV|2034|O&amp;M|Direct</v>
      </c>
      <c r="B262" t="s">
        <v>156</v>
      </c>
      <c r="C262" t="s">
        <v>71</v>
      </c>
      <c r="D262" t="s">
        <v>64</v>
      </c>
      <c r="E262" t="s">
        <v>65</v>
      </c>
      <c r="F262" t="s">
        <v>122</v>
      </c>
      <c r="G262">
        <v>2034</v>
      </c>
      <c r="H262">
        <v>0.24952941176499999</v>
      </c>
      <c r="I262">
        <v>0.24952941176499999</v>
      </c>
      <c r="J262" t="s">
        <v>118</v>
      </c>
      <c r="M262" t="s">
        <v>157</v>
      </c>
      <c r="O262" t="s">
        <v>160</v>
      </c>
      <c r="P262">
        <v>2030</v>
      </c>
      <c r="Q262">
        <v>2034</v>
      </c>
      <c r="R262">
        <v>0.24952941176499999</v>
      </c>
      <c r="S262" t="s">
        <v>121</v>
      </c>
      <c r="T262" t="s">
        <v>156</v>
      </c>
    </row>
    <row r="263" spans="1:20" x14ac:dyDescent="0.3">
      <c r="A263" t="str">
        <f t="shared" si="4"/>
        <v>Rooftop solar PV|2035|O&amp;M|Direct</v>
      </c>
      <c r="B263" t="s">
        <v>156</v>
      </c>
      <c r="C263" t="s">
        <v>71</v>
      </c>
      <c r="D263" t="s">
        <v>64</v>
      </c>
      <c r="E263" t="s">
        <v>65</v>
      </c>
      <c r="F263" t="s">
        <v>122</v>
      </c>
      <c r="G263">
        <v>2035</v>
      </c>
      <c r="H263">
        <v>0.2475</v>
      </c>
      <c r="I263">
        <v>0.2475</v>
      </c>
      <c r="J263" t="s">
        <v>118</v>
      </c>
      <c r="M263" t="s">
        <v>157</v>
      </c>
      <c r="O263" t="s">
        <v>160</v>
      </c>
      <c r="P263">
        <v>2030</v>
      </c>
      <c r="Q263">
        <v>2035</v>
      </c>
      <c r="R263">
        <v>0.2475</v>
      </c>
      <c r="S263" t="s">
        <v>121</v>
      </c>
      <c r="T263" t="s">
        <v>156</v>
      </c>
    </row>
    <row r="264" spans="1:20" x14ac:dyDescent="0.3">
      <c r="A264" t="str">
        <f t="shared" si="4"/>
        <v>Rooftop solar PV|2036|O&amp;M|Direct</v>
      </c>
      <c r="B264" t="s">
        <v>156</v>
      </c>
      <c r="C264" t="s">
        <v>71</v>
      </c>
      <c r="D264" t="s">
        <v>64</v>
      </c>
      <c r="E264" t="s">
        <v>65</v>
      </c>
      <c r="F264" t="s">
        <v>122</v>
      </c>
      <c r="G264">
        <v>2036</v>
      </c>
      <c r="H264">
        <v>0.24547058823500001</v>
      </c>
      <c r="I264">
        <v>0.24547058823500001</v>
      </c>
      <c r="J264" t="s">
        <v>118</v>
      </c>
      <c r="M264" t="s">
        <v>157</v>
      </c>
      <c r="O264" t="s">
        <v>160</v>
      </c>
      <c r="P264">
        <v>2030</v>
      </c>
      <c r="Q264">
        <v>2036</v>
      </c>
      <c r="R264">
        <v>0.24547058823500001</v>
      </c>
      <c r="S264" t="s">
        <v>121</v>
      </c>
      <c r="T264" t="s">
        <v>156</v>
      </c>
    </row>
    <row r="265" spans="1:20" x14ac:dyDescent="0.3">
      <c r="A265" t="str">
        <f t="shared" si="4"/>
        <v>Rooftop solar PV|2037|O&amp;M|Direct</v>
      </c>
      <c r="B265" t="s">
        <v>156</v>
      </c>
      <c r="C265" t="s">
        <v>71</v>
      </c>
      <c r="D265" t="s">
        <v>64</v>
      </c>
      <c r="E265" t="s">
        <v>65</v>
      </c>
      <c r="F265" t="s">
        <v>122</v>
      </c>
      <c r="G265">
        <v>2037</v>
      </c>
      <c r="H265">
        <v>0.243441176471</v>
      </c>
      <c r="I265">
        <v>0.243441176471</v>
      </c>
      <c r="J265" t="s">
        <v>118</v>
      </c>
      <c r="M265" t="s">
        <v>157</v>
      </c>
      <c r="O265" t="s">
        <v>160</v>
      </c>
      <c r="P265">
        <v>2030</v>
      </c>
      <c r="Q265">
        <v>2037</v>
      </c>
      <c r="R265">
        <v>0.243441176471</v>
      </c>
      <c r="S265" t="s">
        <v>121</v>
      </c>
      <c r="T265" t="s">
        <v>156</v>
      </c>
    </row>
    <row r="266" spans="1:20" x14ac:dyDescent="0.3">
      <c r="A266" t="str">
        <f t="shared" si="4"/>
        <v>Rooftop solar PV|2038|O&amp;M|Direct</v>
      </c>
      <c r="B266" t="s">
        <v>156</v>
      </c>
      <c r="C266" t="s">
        <v>71</v>
      </c>
      <c r="D266" t="s">
        <v>64</v>
      </c>
      <c r="E266" t="s">
        <v>65</v>
      </c>
      <c r="F266" t="s">
        <v>122</v>
      </c>
      <c r="G266">
        <v>2038</v>
      </c>
      <c r="H266">
        <v>0.24141176470600001</v>
      </c>
      <c r="I266">
        <v>0.24141176470600001</v>
      </c>
      <c r="J266" t="s">
        <v>118</v>
      </c>
      <c r="M266" t="s">
        <v>157</v>
      </c>
      <c r="O266" t="s">
        <v>160</v>
      </c>
      <c r="P266">
        <v>2030</v>
      </c>
      <c r="Q266">
        <v>2038</v>
      </c>
      <c r="R266">
        <v>0.24141176470600001</v>
      </c>
      <c r="S266" t="s">
        <v>121</v>
      </c>
      <c r="T266" t="s">
        <v>156</v>
      </c>
    </row>
    <row r="267" spans="1:20" x14ac:dyDescent="0.3">
      <c r="A267" t="str">
        <f t="shared" si="4"/>
        <v>Rooftop solar PV|2039|O&amp;M|Direct</v>
      </c>
      <c r="B267" t="s">
        <v>156</v>
      </c>
      <c r="C267" t="s">
        <v>71</v>
      </c>
      <c r="D267" t="s">
        <v>64</v>
      </c>
      <c r="E267" t="s">
        <v>65</v>
      </c>
      <c r="F267" t="s">
        <v>122</v>
      </c>
      <c r="G267">
        <v>2039</v>
      </c>
      <c r="H267">
        <v>0.23938235294099999</v>
      </c>
      <c r="I267">
        <v>0.23938235294099999</v>
      </c>
      <c r="J267" t="s">
        <v>118</v>
      </c>
      <c r="M267" t="s">
        <v>157</v>
      </c>
      <c r="O267" t="s">
        <v>160</v>
      </c>
      <c r="P267">
        <v>2030</v>
      </c>
      <c r="Q267">
        <v>2039</v>
      </c>
      <c r="R267">
        <v>0.23938235294099999</v>
      </c>
      <c r="S267" t="s">
        <v>121</v>
      </c>
      <c r="T267" t="s">
        <v>156</v>
      </c>
    </row>
    <row r="268" spans="1:20" x14ac:dyDescent="0.3">
      <c r="A268" t="str">
        <f t="shared" si="4"/>
        <v>Rooftop solar PV|2040|O&amp;M|Direct</v>
      </c>
      <c r="B268" t="s">
        <v>156</v>
      </c>
      <c r="C268" t="s">
        <v>71</v>
      </c>
      <c r="D268" t="s">
        <v>64</v>
      </c>
      <c r="E268" t="s">
        <v>65</v>
      </c>
      <c r="F268" t="s">
        <v>122</v>
      </c>
      <c r="G268">
        <v>2040</v>
      </c>
      <c r="H268">
        <v>0.237352941176</v>
      </c>
      <c r="I268">
        <v>0.237352941176</v>
      </c>
      <c r="J268" t="s">
        <v>118</v>
      </c>
      <c r="M268" t="s">
        <v>157</v>
      </c>
      <c r="O268" t="s">
        <v>160</v>
      </c>
      <c r="P268">
        <v>2030</v>
      </c>
      <c r="Q268">
        <v>2040</v>
      </c>
      <c r="R268">
        <v>0.237352941176</v>
      </c>
      <c r="S268" t="s">
        <v>121</v>
      </c>
      <c r="T268" t="s">
        <v>156</v>
      </c>
    </row>
    <row r="269" spans="1:20" x14ac:dyDescent="0.3">
      <c r="A269" t="str">
        <f t="shared" si="4"/>
        <v>Rooftop solar PV|2041|O&amp;M|Direct</v>
      </c>
      <c r="B269" t="s">
        <v>156</v>
      </c>
      <c r="C269" t="s">
        <v>71</v>
      </c>
      <c r="D269" t="s">
        <v>64</v>
      </c>
      <c r="E269" t="s">
        <v>65</v>
      </c>
      <c r="F269" t="s">
        <v>122</v>
      </c>
      <c r="G269">
        <v>2041</v>
      </c>
      <c r="H269">
        <v>0.23532352941199999</v>
      </c>
      <c r="I269">
        <v>0.23532352941199999</v>
      </c>
      <c r="J269" t="s">
        <v>118</v>
      </c>
      <c r="M269" t="s">
        <v>157</v>
      </c>
      <c r="O269" t="s">
        <v>160</v>
      </c>
      <c r="P269">
        <v>2030</v>
      </c>
      <c r="Q269">
        <v>2041</v>
      </c>
      <c r="R269">
        <v>0.23532352941199999</v>
      </c>
      <c r="S269" t="s">
        <v>121</v>
      </c>
      <c r="T269" t="s">
        <v>156</v>
      </c>
    </row>
    <row r="270" spans="1:20" x14ac:dyDescent="0.3">
      <c r="A270" t="str">
        <f t="shared" si="4"/>
        <v>Rooftop solar PV|2042|O&amp;M|Direct</v>
      </c>
      <c r="B270" t="s">
        <v>156</v>
      </c>
      <c r="C270" t="s">
        <v>71</v>
      </c>
      <c r="D270" t="s">
        <v>64</v>
      </c>
      <c r="E270" t="s">
        <v>65</v>
      </c>
      <c r="F270" t="s">
        <v>122</v>
      </c>
      <c r="G270">
        <v>2042</v>
      </c>
      <c r="H270">
        <v>0.233294117647</v>
      </c>
      <c r="I270">
        <v>0.233294117647</v>
      </c>
      <c r="J270" t="s">
        <v>118</v>
      </c>
      <c r="M270" t="s">
        <v>157</v>
      </c>
      <c r="O270" t="s">
        <v>160</v>
      </c>
      <c r="P270">
        <v>2030</v>
      </c>
      <c r="Q270">
        <v>2042</v>
      </c>
      <c r="R270">
        <v>0.233294117647</v>
      </c>
      <c r="S270" t="s">
        <v>121</v>
      </c>
      <c r="T270" t="s">
        <v>156</v>
      </c>
    </row>
    <row r="271" spans="1:20" x14ac:dyDescent="0.3">
      <c r="A271" t="str">
        <f t="shared" si="4"/>
        <v>Rooftop solar PV|2043|O&amp;M|Direct</v>
      </c>
      <c r="B271" t="s">
        <v>156</v>
      </c>
      <c r="C271" t="s">
        <v>71</v>
      </c>
      <c r="D271" t="s">
        <v>64</v>
      </c>
      <c r="E271" t="s">
        <v>65</v>
      </c>
      <c r="F271" t="s">
        <v>122</v>
      </c>
      <c r="G271">
        <v>2043</v>
      </c>
      <c r="H271">
        <v>0.23126470588199999</v>
      </c>
      <c r="I271">
        <v>0.23126470588199999</v>
      </c>
      <c r="J271" t="s">
        <v>118</v>
      </c>
      <c r="M271" t="s">
        <v>157</v>
      </c>
      <c r="O271" t="s">
        <v>160</v>
      </c>
      <c r="P271">
        <v>2030</v>
      </c>
      <c r="Q271">
        <v>2043</v>
      </c>
      <c r="R271">
        <v>0.23126470588199999</v>
      </c>
      <c r="S271" t="s">
        <v>121</v>
      </c>
      <c r="T271" t="s">
        <v>156</v>
      </c>
    </row>
    <row r="272" spans="1:20" x14ac:dyDescent="0.3">
      <c r="A272" t="str">
        <f t="shared" si="4"/>
        <v>Rooftop solar PV|2044|O&amp;M|Direct</v>
      </c>
      <c r="B272" t="s">
        <v>156</v>
      </c>
      <c r="C272" t="s">
        <v>71</v>
      </c>
      <c r="D272" t="s">
        <v>64</v>
      </c>
      <c r="E272" t="s">
        <v>65</v>
      </c>
      <c r="F272" t="s">
        <v>122</v>
      </c>
      <c r="G272">
        <v>2044</v>
      </c>
      <c r="H272">
        <v>0.229235294118</v>
      </c>
      <c r="I272">
        <v>0.229235294118</v>
      </c>
      <c r="J272" t="s">
        <v>118</v>
      </c>
      <c r="M272" t="s">
        <v>157</v>
      </c>
      <c r="O272" t="s">
        <v>160</v>
      </c>
      <c r="P272">
        <v>2030</v>
      </c>
      <c r="Q272">
        <v>2044</v>
      </c>
      <c r="R272">
        <v>0.229235294118</v>
      </c>
      <c r="S272" t="s">
        <v>121</v>
      </c>
      <c r="T272" t="s">
        <v>156</v>
      </c>
    </row>
    <row r="273" spans="1:20" x14ac:dyDescent="0.3">
      <c r="A273" t="str">
        <f t="shared" si="4"/>
        <v>Rooftop solar PV|2045|O&amp;M|Direct</v>
      </c>
      <c r="B273" t="s">
        <v>156</v>
      </c>
      <c r="C273" t="s">
        <v>71</v>
      </c>
      <c r="D273" t="s">
        <v>64</v>
      </c>
      <c r="E273" t="s">
        <v>65</v>
      </c>
      <c r="F273" t="s">
        <v>122</v>
      </c>
      <c r="G273">
        <v>2045</v>
      </c>
      <c r="H273">
        <v>0.22720588235299999</v>
      </c>
      <c r="I273">
        <v>0.22720588235299999</v>
      </c>
      <c r="J273" t="s">
        <v>118</v>
      </c>
      <c r="M273" t="s">
        <v>157</v>
      </c>
      <c r="O273" t="s">
        <v>160</v>
      </c>
      <c r="P273">
        <v>2030</v>
      </c>
      <c r="Q273">
        <v>2045</v>
      </c>
      <c r="R273">
        <v>0.22720588235299999</v>
      </c>
      <c r="S273" t="s">
        <v>121</v>
      </c>
      <c r="T273" t="s">
        <v>156</v>
      </c>
    </row>
    <row r="274" spans="1:20" x14ac:dyDescent="0.3">
      <c r="A274" t="str">
        <f t="shared" si="4"/>
        <v>Rooftop solar PV|2046|O&amp;M|Direct</v>
      </c>
      <c r="B274" t="s">
        <v>156</v>
      </c>
      <c r="C274" t="s">
        <v>71</v>
      </c>
      <c r="D274" t="s">
        <v>64</v>
      </c>
      <c r="E274" t="s">
        <v>65</v>
      </c>
      <c r="F274" t="s">
        <v>122</v>
      </c>
      <c r="G274">
        <v>2046</v>
      </c>
      <c r="H274">
        <v>0.225176470588</v>
      </c>
      <c r="I274">
        <v>0.225176470588</v>
      </c>
      <c r="J274" t="s">
        <v>118</v>
      </c>
      <c r="M274" t="s">
        <v>157</v>
      </c>
      <c r="O274" t="s">
        <v>160</v>
      </c>
      <c r="P274">
        <v>2030</v>
      </c>
      <c r="Q274">
        <v>2046</v>
      </c>
      <c r="R274">
        <v>0.225176470588</v>
      </c>
      <c r="S274" t="s">
        <v>121</v>
      </c>
      <c r="T274" t="s">
        <v>156</v>
      </c>
    </row>
    <row r="275" spans="1:20" x14ac:dyDescent="0.3">
      <c r="A275" t="str">
        <f t="shared" si="4"/>
        <v>Rooftop solar PV|2047|O&amp;M|Direct</v>
      </c>
      <c r="B275" t="s">
        <v>156</v>
      </c>
      <c r="C275" t="s">
        <v>71</v>
      </c>
      <c r="D275" t="s">
        <v>64</v>
      </c>
      <c r="E275" t="s">
        <v>65</v>
      </c>
      <c r="F275" t="s">
        <v>122</v>
      </c>
      <c r="G275">
        <v>2047</v>
      </c>
      <c r="H275">
        <v>0.22314705882399999</v>
      </c>
      <c r="I275">
        <v>0.22314705882399999</v>
      </c>
      <c r="J275" t="s">
        <v>118</v>
      </c>
      <c r="M275" t="s">
        <v>157</v>
      </c>
      <c r="O275" t="s">
        <v>160</v>
      </c>
      <c r="P275">
        <v>2030</v>
      </c>
      <c r="Q275">
        <v>2047</v>
      </c>
      <c r="R275">
        <v>0.22314705882399999</v>
      </c>
      <c r="S275" t="s">
        <v>121</v>
      </c>
      <c r="T275" t="s">
        <v>156</v>
      </c>
    </row>
    <row r="276" spans="1:20" x14ac:dyDescent="0.3">
      <c r="A276" t="str">
        <f t="shared" si="4"/>
        <v>Rooftop solar PV|2048|O&amp;M|Direct</v>
      </c>
      <c r="B276" t="s">
        <v>156</v>
      </c>
      <c r="C276" t="s">
        <v>71</v>
      </c>
      <c r="D276" t="s">
        <v>64</v>
      </c>
      <c r="E276" t="s">
        <v>65</v>
      </c>
      <c r="F276" t="s">
        <v>122</v>
      </c>
      <c r="G276">
        <v>2048</v>
      </c>
      <c r="H276">
        <v>0.221117647059</v>
      </c>
      <c r="I276">
        <v>0.221117647059</v>
      </c>
      <c r="J276" t="s">
        <v>118</v>
      </c>
      <c r="M276" t="s">
        <v>157</v>
      </c>
      <c r="O276" t="s">
        <v>160</v>
      </c>
      <c r="P276">
        <v>2030</v>
      </c>
      <c r="Q276">
        <v>2048</v>
      </c>
      <c r="R276">
        <v>0.221117647059</v>
      </c>
      <c r="S276" t="s">
        <v>121</v>
      </c>
      <c r="T276" t="s">
        <v>156</v>
      </c>
    </row>
    <row r="277" spans="1:20" x14ac:dyDescent="0.3">
      <c r="A277" t="str">
        <f t="shared" si="4"/>
        <v>Rooftop solar PV|2049|O&amp;M|Direct</v>
      </c>
      <c r="B277" t="s">
        <v>156</v>
      </c>
      <c r="C277" t="s">
        <v>71</v>
      </c>
      <c r="D277" t="s">
        <v>64</v>
      </c>
      <c r="E277" t="s">
        <v>65</v>
      </c>
      <c r="F277" t="s">
        <v>122</v>
      </c>
      <c r="G277">
        <v>2049</v>
      </c>
      <c r="H277">
        <v>0.21908823529400001</v>
      </c>
      <c r="I277">
        <v>0.21908823529400001</v>
      </c>
      <c r="J277" t="s">
        <v>118</v>
      </c>
      <c r="M277" t="s">
        <v>157</v>
      </c>
      <c r="O277" t="s">
        <v>160</v>
      </c>
      <c r="P277">
        <v>2030</v>
      </c>
      <c r="Q277">
        <v>2049</v>
      </c>
      <c r="R277">
        <v>0.21908823529400001</v>
      </c>
      <c r="S277" t="s">
        <v>121</v>
      </c>
      <c r="T277" t="s">
        <v>156</v>
      </c>
    </row>
    <row r="278" spans="1:20" x14ac:dyDescent="0.3">
      <c r="A278" t="str">
        <f t="shared" si="4"/>
        <v>Rooftop solar PV|2050|O&amp;M|Direct</v>
      </c>
      <c r="B278" t="s">
        <v>156</v>
      </c>
      <c r="C278" t="s">
        <v>71</v>
      </c>
      <c r="D278" t="s">
        <v>64</v>
      </c>
      <c r="E278" t="s">
        <v>65</v>
      </c>
      <c r="F278" t="s">
        <v>122</v>
      </c>
      <c r="G278">
        <v>2050</v>
      </c>
      <c r="H278">
        <v>0.21705882352899999</v>
      </c>
      <c r="I278">
        <v>0.21705882352899999</v>
      </c>
      <c r="J278" t="s">
        <v>124</v>
      </c>
      <c r="M278" t="s">
        <v>157</v>
      </c>
      <c r="O278" t="s">
        <v>160</v>
      </c>
      <c r="P278">
        <v>2030</v>
      </c>
      <c r="Q278">
        <v>2050</v>
      </c>
      <c r="R278">
        <v>0.21705882352899999</v>
      </c>
      <c r="S278" t="s">
        <v>125</v>
      </c>
      <c r="T278" t="s">
        <v>156</v>
      </c>
    </row>
    <row r="279" spans="1:20" x14ac:dyDescent="0.3">
      <c r="A279" t="str">
        <f t="shared" si="4"/>
        <v>Rooftop solar PV|2051|O&amp;M|Direct</v>
      </c>
      <c r="B279" t="s">
        <v>156</v>
      </c>
      <c r="C279" t="s">
        <v>71</v>
      </c>
      <c r="D279" t="s">
        <v>64</v>
      </c>
      <c r="E279" t="s">
        <v>65</v>
      </c>
      <c r="F279" t="s">
        <v>122</v>
      </c>
      <c r="G279">
        <v>2051</v>
      </c>
      <c r="H279">
        <v>0.21705882352899999</v>
      </c>
      <c r="I279">
        <v>0.21705882352899999</v>
      </c>
      <c r="J279" t="s">
        <v>118</v>
      </c>
      <c r="M279" t="s">
        <v>157</v>
      </c>
      <c r="O279" t="s">
        <v>160</v>
      </c>
      <c r="P279">
        <v>2030</v>
      </c>
      <c r="Q279">
        <v>2051</v>
      </c>
      <c r="R279">
        <v>0.21705882352899999</v>
      </c>
      <c r="S279" t="s">
        <v>126</v>
      </c>
      <c r="T279" t="s">
        <v>156</v>
      </c>
    </row>
    <row r="280" spans="1:20" x14ac:dyDescent="0.3">
      <c r="A280" t="str">
        <f t="shared" si="4"/>
        <v>Rooftop solar PV|2052|O&amp;M|Direct</v>
      </c>
      <c r="B280" t="s">
        <v>156</v>
      </c>
      <c r="C280" t="s">
        <v>71</v>
      </c>
      <c r="D280" t="s">
        <v>64</v>
      </c>
      <c r="E280" t="s">
        <v>65</v>
      </c>
      <c r="F280" t="s">
        <v>122</v>
      </c>
      <c r="G280">
        <v>2052</v>
      </c>
      <c r="H280">
        <v>0.21705882352899999</v>
      </c>
      <c r="I280">
        <v>0.21705882352899999</v>
      </c>
      <c r="J280" t="s">
        <v>118</v>
      </c>
      <c r="M280" t="s">
        <v>157</v>
      </c>
      <c r="O280" t="s">
        <v>160</v>
      </c>
      <c r="P280">
        <v>2030</v>
      </c>
      <c r="Q280">
        <v>2052</v>
      </c>
      <c r="R280">
        <v>0.21705882352899999</v>
      </c>
      <c r="S280" t="s">
        <v>126</v>
      </c>
      <c r="T280" t="s">
        <v>156</v>
      </c>
    </row>
    <row r="281" spans="1:20" x14ac:dyDescent="0.3">
      <c r="A281" t="str">
        <f t="shared" si="4"/>
        <v>Rooftop solar PV|2053|O&amp;M|Direct</v>
      </c>
      <c r="B281" t="s">
        <v>156</v>
      </c>
      <c r="C281" t="s">
        <v>71</v>
      </c>
      <c r="D281" t="s">
        <v>64</v>
      </c>
      <c r="E281" t="s">
        <v>65</v>
      </c>
      <c r="F281" t="s">
        <v>122</v>
      </c>
      <c r="G281">
        <v>2053</v>
      </c>
      <c r="H281">
        <v>0.21705882352899999</v>
      </c>
      <c r="I281">
        <v>0.21705882352899999</v>
      </c>
      <c r="J281" t="s">
        <v>118</v>
      </c>
      <c r="M281" t="s">
        <v>157</v>
      </c>
      <c r="O281" t="s">
        <v>160</v>
      </c>
      <c r="P281">
        <v>2030</v>
      </c>
      <c r="Q281">
        <v>2053</v>
      </c>
      <c r="R281">
        <v>0.21705882352899999</v>
      </c>
      <c r="S281" t="s">
        <v>126</v>
      </c>
      <c r="T281" t="s">
        <v>156</v>
      </c>
    </row>
    <row r="282" spans="1:20" x14ac:dyDescent="0.3">
      <c r="A282" t="str">
        <f t="shared" si="4"/>
        <v>Rooftop solar PV|2054|O&amp;M|Direct</v>
      </c>
      <c r="B282" t="s">
        <v>156</v>
      </c>
      <c r="C282" t="s">
        <v>71</v>
      </c>
      <c r="D282" t="s">
        <v>64</v>
      </c>
      <c r="E282" t="s">
        <v>65</v>
      </c>
      <c r="F282" t="s">
        <v>122</v>
      </c>
      <c r="G282">
        <v>2054</v>
      </c>
      <c r="H282">
        <v>0.21705882352899999</v>
      </c>
      <c r="I282">
        <v>0.21705882352899999</v>
      </c>
      <c r="J282" t="s">
        <v>118</v>
      </c>
      <c r="M282" t="s">
        <v>157</v>
      </c>
      <c r="O282" t="s">
        <v>160</v>
      </c>
      <c r="P282">
        <v>2030</v>
      </c>
      <c r="Q282">
        <v>2054</v>
      </c>
      <c r="R282">
        <v>0.21705882352899999</v>
      </c>
      <c r="S282" t="s">
        <v>126</v>
      </c>
      <c r="T282" t="s">
        <v>156</v>
      </c>
    </row>
    <row r="283" spans="1:20" x14ac:dyDescent="0.3">
      <c r="A283" t="str">
        <f t="shared" si="4"/>
        <v>Rooftop solar PV|2055|O&amp;M|Direct</v>
      </c>
      <c r="B283" t="s">
        <v>156</v>
      </c>
      <c r="C283" t="s">
        <v>71</v>
      </c>
      <c r="D283" t="s">
        <v>64</v>
      </c>
      <c r="E283" t="s">
        <v>65</v>
      </c>
      <c r="F283" t="s">
        <v>122</v>
      </c>
      <c r="G283">
        <v>2055</v>
      </c>
      <c r="H283">
        <v>0.21705882352899999</v>
      </c>
      <c r="I283">
        <v>0.21705882352899999</v>
      </c>
      <c r="J283" t="s">
        <v>118</v>
      </c>
      <c r="M283" t="s">
        <v>157</v>
      </c>
      <c r="O283" t="s">
        <v>160</v>
      </c>
      <c r="P283">
        <v>2030</v>
      </c>
      <c r="Q283">
        <v>2055</v>
      </c>
      <c r="R283">
        <v>0.21705882352899999</v>
      </c>
      <c r="S283" t="s">
        <v>126</v>
      </c>
      <c r="T283" t="s">
        <v>156</v>
      </c>
    </row>
    <row r="284" spans="1:20" x14ac:dyDescent="0.3">
      <c r="A284" t="str">
        <f t="shared" si="4"/>
        <v>Utility-scale solar PV|2025|Construction&amp;Manufacturing|Direct</v>
      </c>
      <c r="B284" t="s">
        <v>127</v>
      </c>
      <c r="C284" t="s">
        <v>66</v>
      </c>
      <c r="D284" t="s">
        <v>70</v>
      </c>
      <c r="E284" t="s">
        <v>65</v>
      </c>
      <c r="F284" t="s">
        <v>117</v>
      </c>
      <c r="G284">
        <v>2025</v>
      </c>
      <c r="H284">
        <v>9.4551514256299996</v>
      </c>
      <c r="I284">
        <v>9.4551514256299996</v>
      </c>
      <c r="J284" t="s">
        <v>118</v>
      </c>
      <c r="M284" t="s">
        <v>162</v>
      </c>
      <c r="O284" t="s">
        <v>163</v>
      </c>
      <c r="P284">
        <v>2030</v>
      </c>
      <c r="Q284">
        <v>2025</v>
      </c>
      <c r="R284">
        <v>9.4551514256299996</v>
      </c>
      <c r="S284" t="s">
        <v>121</v>
      </c>
      <c r="T284" t="s">
        <v>127</v>
      </c>
    </row>
    <row r="285" spans="1:20" x14ac:dyDescent="0.3">
      <c r="A285" t="str">
        <f t="shared" si="4"/>
        <v>Utility-scale solar PV|2026|Construction&amp;Manufacturing|Direct</v>
      </c>
      <c r="B285" t="s">
        <v>127</v>
      </c>
      <c r="C285" t="s">
        <v>66</v>
      </c>
      <c r="D285" t="s">
        <v>70</v>
      </c>
      <c r="E285" t="s">
        <v>65</v>
      </c>
      <c r="F285" t="s">
        <v>117</v>
      </c>
      <c r="G285">
        <v>2026</v>
      </c>
      <c r="H285">
        <v>8.9403028512499993</v>
      </c>
      <c r="I285">
        <v>8.9403028512499993</v>
      </c>
      <c r="J285" t="s">
        <v>118</v>
      </c>
      <c r="M285" t="s">
        <v>162</v>
      </c>
      <c r="O285" t="s">
        <v>163</v>
      </c>
      <c r="P285">
        <v>2030</v>
      </c>
      <c r="Q285">
        <v>2026</v>
      </c>
      <c r="R285">
        <v>8.9403028512499993</v>
      </c>
      <c r="S285" t="s">
        <v>121</v>
      </c>
      <c r="T285" t="s">
        <v>127</v>
      </c>
    </row>
    <row r="286" spans="1:20" x14ac:dyDescent="0.3">
      <c r="A286" t="str">
        <f t="shared" si="4"/>
        <v>Utility-scale solar PV|2027|Construction&amp;Manufacturing|Direct</v>
      </c>
      <c r="B286" t="s">
        <v>127</v>
      </c>
      <c r="C286" t="s">
        <v>66</v>
      </c>
      <c r="D286" t="s">
        <v>70</v>
      </c>
      <c r="E286" t="s">
        <v>65</v>
      </c>
      <c r="F286" t="s">
        <v>117</v>
      </c>
      <c r="G286">
        <v>2027</v>
      </c>
      <c r="H286">
        <v>8.42545427688</v>
      </c>
      <c r="I286">
        <v>8.42545427688</v>
      </c>
      <c r="J286" t="s">
        <v>118</v>
      </c>
      <c r="M286" t="s">
        <v>162</v>
      </c>
      <c r="O286" t="s">
        <v>163</v>
      </c>
      <c r="P286">
        <v>2030</v>
      </c>
      <c r="Q286">
        <v>2027</v>
      </c>
      <c r="R286">
        <v>8.42545427688</v>
      </c>
      <c r="S286" t="s">
        <v>121</v>
      </c>
      <c r="T286" t="s">
        <v>127</v>
      </c>
    </row>
    <row r="287" spans="1:20" x14ac:dyDescent="0.3">
      <c r="A287" t="str">
        <f t="shared" si="4"/>
        <v>Utility-scale solar PV|2030|Construction&amp;Manufacturing|Direct</v>
      </c>
      <c r="B287" t="s">
        <v>127</v>
      </c>
      <c r="C287" t="s">
        <v>66</v>
      </c>
      <c r="D287" t="s">
        <v>70</v>
      </c>
      <c r="E287" t="s">
        <v>65</v>
      </c>
      <c r="F287" t="s">
        <v>117</v>
      </c>
      <c r="G287">
        <v>2030</v>
      </c>
      <c r="H287">
        <v>6.8809085537600003</v>
      </c>
      <c r="I287">
        <v>6.8809085537600003</v>
      </c>
      <c r="J287" t="s">
        <v>124</v>
      </c>
      <c r="M287" t="s">
        <v>162</v>
      </c>
      <c r="O287" t="s">
        <v>164</v>
      </c>
      <c r="P287">
        <v>2024</v>
      </c>
      <c r="Q287">
        <v>2030</v>
      </c>
      <c r="R287">
        <v>6.8809085537600003</v>
      </c>
      <c r="S287" t="s">
        <v>125</v>
      </c>
      <c r="T287" t="s">
        <v>127</v>
      </c>
    </row>
    <row r="288" spans="1:20" x14ac:dyDescent="0.3">
      <c r="A288" t="str">
        <f t="shared" si="4"/>
        <v>Utility-scale solar PV|2039|Construction&amp;Manufacturing|Direct</v>
      </c>
      <c r="B288" t="s">
        <v>127</v>
      </c>
      <c r="C288" t="s">
        <v>66</v>
      </c>
      <c r="D288" t="s">
        <v>70</v>
      </c>
      <c r="E288" t="s">
        <v>65</v>
      </c>
      <c r="F288" t="s">
        <v>117</v>
      </c>
      <c r="G288">
        <v>2039</v>
      </c>
      <c r="H288">
        <v>5.8649906702700001</v>
      </c>
      <c r="I288">
        <v>5.8649906702700001</v>
      </c>
      <c r="J288" t="s">
        <v>118</v>
      </c>
      <c r="M288" t="s">
        <v>162</v>
      </c>
      <c r="O288" t="s">
        <v>163</v>
      </c>
      <c r="P288">
        <v>2030</v>
      </c>
      <c r="Q288">
        <v>2039</v>
      </c>
      <c r="R288">
        <v>5.8649906702700001</v>
      </c>
      <c r="S288" t="s">
        <v>121</v>
      </c>
      <c r="T288" t="s">
        <v>127</v>
      </c>
    </row>
    <row r="289" spans="1:20" x14ac:dyDescent="0.3">
      <c r="A289" t="str">
        <f t="shared" si="4"/>
        <v>Utility-scale solar PV|2040|Construction&amp;Manufacturing|Direct</v>
      </c>
      <c r="B289" t="s">
        <v>127</v>
      </c>
      <c r="C289" t="s">
        <v>66</v>
      </c>
      <c r="D289" t="s">
        <v>70</v>
      </c>
      <c r="E289" t="s">
        <v>65</v>
      </c>
      <c r="F289" t="s">
        <v>117</v>
      </c>
      <c r="G289">
        <v>2040</v>
      </c>
      <c r="H289">
        <v>5.7521109054400004</v>
      </c>
      <c r="I289">
        <v>5.7521109054400004</v>
      </c>
      <c r="J289" t="s">
        <v>118</v>
      </c>
      <c r="M289" t="s">
        <v>162</v>
      </c>
      <c r="O289" t="s">
        <v>163</v>
      </c>
      <c r="P289">
        <v>2030</v>
      </c>
      <c r="Q289">
        <v>2040</v>
      </c>
      <c r="R289">
        <v>5.7521109054400004</v>
      </c>
      <c r="S289" t="s">
        <v>121</v>
      </c>
      <c r="T289" t="s">
        <v>127</v>
      </c>
    </row>
    <row r="290" spans="1:20" x14ac:dyDescent="0.3">
      <c r="A290" t="str">
        <f t="shared" si="4"/>
        <v>Utility-scale solar PV|2041|Construction&amp;Manufacturing|Direct</v>
      </c>
      <c r="B290" t="s">
        <v>127</v>
      </c>
      <c r="C290" t="s">
        <v>66</v>
      </c>
      <c r="D290" t="s">
        <v>70</v>
      </c>
      <c r="E290" t="s">
        <v>65</v>
      </c>
      <c r="F290" t="s">
        <v>117</v>
      </c>
      <c r="G290">
        <v>2041</v>
      </c>
      <c r="H290">
        <v>5.6392311406099997</v>
      </c>
      <c r="I290">
        <v>5.6392311406099997</v>
      </c>
      <c r="J290" t="s">
        <v>118</v>
      </c>
      <c r="M290" t="s">
        <v>162</v>
      </c>
      <c r="O290" t="s">
        <v>163</v>
      </c>
      <c r="P290">
        <v>2030</v>
      </c>
      <c r="Q290">
        <v>2041</v>
      </c>
      <c r="R290">
        <v>5.6392311406099997</v>
      </c>
      <c r="S290" t="s">
        <v>121</v>
      </c>
      <c r="T290" t="s">
        <v>127</v>
      </c>
    </row>
    <row r="291" spans="1:20" x14ac:dyDescent="0.3">
      <c r="A291" t="str">
        <f t="shared" si="4"/>
        <v>Utility-scale solar PV|2042|Construction&amp;Manufacturing|Direct</v>
      </c>
      <c r="B291" t="s">
        <v>127</v>
      </c>
      <c r="C291" t="s">
        <v>66</v>
      </c>
      <c r="D291" t="s">
        <v>70</v>
      </c>
      <c r="E291" t="s">
        <v>65</v>
      </c>
      <c r="F291" t="s">
        <v>117</v>
      </c>
      <c r="G291">
        <v>2042</v>
      </c>
      <c r="H291">
        <v>5.52635137578</v>
      </c>
      <c r="I291">
        <v>5.52635137578</v>
      </c>
      <c r="J291" t="s">
        <v>118</v>
      </c>
      <c r="M291" t="s">
        <v>162</v>
      </c>
      <c r="O291" t="s">
        <v>163</v>
      </c>
      <c r="P291">
        <v>2030</v>
      </c>
      <c r="Q291">
        <v>2042</v>
      </c>
      <c r="R291">
        <v>5.52635137578</v>
      </c>
      <c r="S291" t="s">
        <v>121</v>
      </c>
      <c r="T291" t="s">
        <v>127</v>
      </c>
    </row>
    <row r="292" spans="1:20" x14ac:dyDescent="0.3">
      <c r="A292" t="str">
        <f t="shared" si="4"/>
        <v>Utility-scale solar PV|2043|Construction&amp;Manufacturing|Direct</v>
      </c>
      <c r="B292" t="s">
        <v>127</v>
      </c>
      <c r="C292" t="s">
        <v>66</v>
      </c>
      <c r="D292" t="s">
        <v>70</v>
      </c>
      <c r="E292" t="s">
        <v>65</v>
      </c>
      <c r="F292" t="s">
        <v>117</v>
      </c>
      <c r="G292">
        <v>2043</v>
      </c>
      <c r="H292">
        <v>5.4134716109500003</v>
      </c>
      <c r="I292">
        <v>5.4134716109500003</v>
      </c>
      <c r="J292" t="s">
        <v>118</v>
      </c>
      <c r="M292" t="s">
        <v>162</v>
      </c>
      <c r="O292" t="s">
        <v>163</v>
      </c>
      <c r="P292">
        <v>2030</v>
      </c>
      <c r="Q292">
        <v>2043</v>
      </c>
      <c r="R292">
        <v>5.4134716109500003</v>
      </c>
      <c r="S292" t="s">
        <v>121</v>
      </c>
      <c r="T292" t="s">
        <v>127</v>
      </c>
    </row>
    <row r="293" spans="1:20" x14ac:dyDescent="0.3">
      <c r="A293" t="str">
        <f t="shared" si="4"/>
        <v>Utility-scale solar PV|2044|Construction&amp;Manufacturing|Direct</v>
      </c>
      <c r="B293" t="s">
        <v>127</v>
      </c>
      <c r="C293" t="s">
        <v>66</v>
      </c>
      <c r="D293" t="s">
        <v>70</v>
      </c>
      <c r="E293" t="s">
        <v>65</v>
      </c>
      <c r="F293" t="s">
        <v>117</v>
      </c>
      <c r="G293">
        <v>2044</v>
      </c>
      <c r="H293">
        <v>5.3005918461199997</v>
      </c>
      <c r="I293">
        <v>5.3005918461199997</v>
      </c>
      <c r="J293" t="s">
        <v>118</v>
      </c>
      <c r="M293" t="s">
        <v>162</v>
      </c>
      <c r="O293" t="s">
        <v>163</v>
      </c>
      <c r="P293">
        <v>2030</v>
      </c>
      <c r="Q293">
        <v>2044</v>
      </c>
      <c r="R293">
        <v>5.3005918461199997</v>
      </c>
      <c r="S293" t="s">
        <v>121</v>
      </c>
      <c r="T293" t="s">
        <v>127</v>
      </c>
    </row>
    <row r="294" spans="1:20" x14ac:dyDescent="0.3">
      <c r="A294" t="str">
        <f t="shared" si="4"/>
        <v>Utility-scale solar PV|2045|Construction&amp;Manufacturing|Direct</v>
      </c>
      <c r="B294" t="s">
        <v>127</v>
      </c>
      <c r="C294" t="s">
        <v>66</v>
      </c>
      <c r="D294" t="s">
        <v>70</v>
      </c>
      <c r="E294" t="s">
        <v>65</v>
      </c>
      <c r="F294" t="s">
        <v>117</v>
      </c>
      <c r="G294">
        <v>2045</v>
      </c>
      <c r="H294">
        <v>5.1877120812799999</v>
      </c>
      <c r="I294">
        <v>5.1877120812799999</v>
      </c>
      <c r="J294" t="s">
        <v>118</v>
      </c>
      <c r="M294" t="s">
        <v>162</v>
      </c>
      <c r="O294" t="s">
        <v>163</v>
      </c>
      <c r="P294">
        <v>2030</v>
      </c>
      <c r="Q294">
        <v>2045</v>
      </c>
      <c r="R294">
        <v>5.1877120812799999</v>
      </c>
      <c r="S294" t="s">
        <v>121</v>
      </c>
      <c r="T294" t="s">
        <v>127</v>
      </c>
    </row>
    <row r="295" spans="1:20" x14ac:dyDescent="0.3">
      <c r="A295" t="str">
        <f t="shared" si="4"/>
        <v>Utility-scale solar PV|2046|Construction&amp;Manufacturing|Direct</v>
      </c>
      <c r="B295" t="s">
        <v>127</v>
      </c>
      <c r="C295" t="s">
        <v>66</v>
      </c>
      <c r="D295" t="s">
        <v>70</v>
      </c>
      <c r="E295" t="s">
        <v>65</v>
      </c>
      <c r="F295" t="s">
        <v>117</v>
      </c>
      <c r="G295">
        <v>2046</v>
      </c>
      <c r="H295">
        <v>5.0748323164500002</v>
      </c>
      <c r="I295">
        <v>5.0748323164500002</v>
      </c>
      <c r="J295" t="s">
        <v>118</v>
      </c>
      <c r="M295" t="s">
        <v>162</v>
      </c>
      <c r="O295" t="s">
        <v>163</v>
      </c>
      <c r="P295">
        <v>2030</v>
      </c>
      <c r="Q295">
        <v>2046</v>
      </c>
      <c r="R295">
        <v>5.0748323164500002</v>
      </c>
      <c r="S295" t="s">
        <v>121</v>
      </c>
      <c r="T295" t="s">
        <v>127</v>
      </c>
    </row>
    <row r="296" spans="1:20" x14ac:dyDescent="0.3">
      <c r="A296" t="str">
        <f t="shared" si="4"/>
        <v>Utility-scale solar PV|2047|Construction&amp;Manufacturing|Direct</v>
      </c>
      <c r="B296" t="s">
        <v>127</v>
      </c>
      <c r="C296" t="s">
        <v>66</v>
      </c>
      <c r="D296" t="s">
        <v>70</v>
      </c>
      <c r="E296" t="s">
        <v>65</v>
      </c>
      <c r="F296" t="s">
        <v>117</v>
      </c>
      <c r="G296">
        <v>2047</v>
      </c>
      <c r="H296">
        <v>4.9619525516199996</v>
      </c>
      <c r="I296">
        <v>4.9619525516199996</v>
      </c>
      <c r="J296" t="s">
        <v>118</v>
      </c>
      <c r="M296" t="s">
        <v>162</v>
      </c>
      <c r="O296" t="s">
        <v>163</v>
      </c>
      <c r="P296">
        <v>2030</v>
      </c>
      <c r="Q296">
        <v>2047</v>
      </c>
      <c r="R296">
        <v>4.9619525516199996</v>
      </c>
      <c r="S296" t="s">
        <v>121</v>
      </c>
      <c r="T296" t="s">
        <v>127</v>
      </c>
    </row>
    <row r="297" spans="1:20" x14ac:dyDescent="0.3">
      <c r="A297" t="str">
        <f t="shared" si="4"/>
        <v>Utility-scale solar PV|2048|Construction&amp;Manufacturing|Direct</v>
      </c>
      <c r="B297" t="s">
        <v>127</v>
      </c>
      <c r="C297" t="s">
        <v>66</v>
      </c>
      <c r="D297" t="s">
        <v>70</v>
      </c>
      <c r="E297" t="s">
        <v>65</v>
      </c>
      <c r="F297" t="s">
        <v>117</v>
      </c>
      <c r="G297">
        <v>2048</v>
      </c>
      <c r="H297">
        <v>4.8490727867899999</v>
      </c>
      <c r="I297">
        <v>4.8490727867899999</v>
      </c>
      <c r="J297" t="s">
        <v>118</v>
      </c>
      <c r="M297" t="s">
        <v>162</v>
      </c>
      <c r="O297" t="s">
        <v>163</v>
      </c>
      <c r="P297">
        <v>2030</v>
      </c>
      <c r="Q297">
        <v>2048</v>
      </c>
      <c r="R297">
        <v>4.8490727867899999</v>
      </c>
      <c r="S297" t="s">
        <v>121</v>
      </c>
      <c r="T297" t="s">
        <v>127</v>
      </c>
    </row>
    <row r="298" spans="1:20" x14ac:dyDescent="0.3">
      <c r="A298" t="str">
        <f t="shared" si="4"/>
        <v>Utility-scale solar PV|2052|Construction&amp;Manufacturing|Direct</v>
      </c>
      <c r="B298" t="s">
        <v>127</v>
      </c>
      <c r="C298" t="s">
        <v>66</v>
      </c>
      <c r="D298" t="s">
        <v>70</v>
      </c>
      <c r="E298" t="s">
        <v>65</v>
      </c>
      <c r="F298" t="s">
        <v>117</v>
      </c>
      <c r="G298">
        <v>2052</v>
      </c>
      <c r="H298">
        <v>4.6233132571300004</v>
      </c>
      <c r="I298">
        <v>4.6233132571300004</v>
      </c>
      <c r="J298" t="s">
        <v>118</v>
      </c>
      <c r="M298" t="s">
        <v>162</v>
      </c>
      <c r="O298" t="s">
        <v>163</v>
      </c>
      <c r="P298">
        <v>2030</v>
      </c>
      <c r="Q298">
        <v>2052</v>
      </c>
      <c r="R298">
        <v>4.6233132571300004</v>
      </c>
      <c r="S298" t="s">
        <v>126</v>
      </c>
      <c r="T298" t="s">
        <v>127</v>
      </c>
    </row>
    <row r="299" spans="1:20" x14ac:dyDescent="0.3">
      <c r="A299" t="str">
        <f t="shared" si="4"/>
        <v>Utility-scale solar PV|2053|Construction&amp;Manufacturing|Direct</v>
      </c>
      <c r="B299" t="s">
        <v>127</v>
      </c>
      <c r="C299" t="s">
        <v>66</v>
      </c>
      <c r="D299" t="s">
        <v>70</v>
      </c>
      <c r="E299" t="s">
        <v>65</v>
      </c>
      <c r="F299" t="s">
        <v>117</v>
      </c>
      <c r="G299">
        <v>2053</v>
      </c>
      <c r="H299">
        <v>4.6233132571300004</v>
      </c>
      <c r="I299">
        <v>4.6233132571300004</v>
      </c>
      <c r="J299" t="s">
        <v>118</v>
      </c>
      <c r="M299" t="s">
        <v>162</v>
      </c>
      <c r="O299" t="s">
        <v>163</v>
      </c>
      <c r="P299">
        <v>2030</v>
      </c>
      <c r="Q299">
        <v>2053</v>
      </c>
      <c r="R299">
        <v>4.6233132571300004</v>
      </c>
      <c r="S299" t="s">
        <v>126</v>
      </c>
      <c r="T299" t="s">
        <v>127</v>
      </c>
    </row>
    <row r="300" spans="1:20" x14ac:dyDescent="0.3">
      <c r="A300" t="str">
        <f t="shared" si="4"/>
        <v>Utility-scale solar PV|2054|Construction&amp;Manufacturing|Direct</v>
      </c>
      <c r="B300" t="s">
        <v>127</v>
      </c>
      <c r="C300" t="s">
        <v>66</v>
      </c>
      <c r="D300" t="s">
        <v>70</v>
      </c>
      <c r="E300" t="s">
        <v>65</v>
      </c>
      <c r="F300" t="s">
        <v>117</v>
      </c>
      <c r="G300">
        <v>2054</v>
      </c>
      <c r="H300">
        <v>4.6233132571300004</v>
      </c>
      <c r="I300">
        <v>4.6233132571300004</v>
      </c>
      <c r="J300" t="s">
        <v>118</v>
      </c>
      <c r="M300" t="s">
        <v>162</v>
      </c>
      <c r="O300" t="s">
        <v>163</v>
      </c>
      <c r="P300">
        <v>2030</v>
      </c>
      <c r="Q300">
        <v>2054</v>
      </c>
      <c r="R300">
        <v>4.6233132571300004</v>
      </c>
      <c r="S300" t="s">
        <v>126</v>
      </c>
      <c r="T300" t="s">
        <v>127</v>
      </c>
    </row>
    <row r="301" spans="1:20" x14ac:dyDescent="0.3">
      <c r="A301" t="str">
        <f t="shared" si="4"/>
        <v>Utility-scale solar PV|2025|O&amp;M|Direct</v>
      </c>
      <c r="B301" t="s">
        <v>127</v>
      </c>
      <c r="C301" t="s">
        <v>66</v>
      </c>
      <c r="D301" t="s">
        <v>64</v>
      </c>
      <c r="E301" t="s">
        <v>65</v>
      </c>
      <c r="F301" t="s">
        <v>122</v>
      </c>
      <c r="G301">
        <v>2025</v>
      </c>
      <c r="H301">
        <v>9.4109234234200007E-2</v>
      </c>
      <c r="I301">
        <v>9.4109234234200007E-2</v>
      </c>
      <c r="J301" t="s">
        <v>118</v>
      </c>
      <c r="M301" t="s">
        <v>162</v>
      </c>
      <c r="O301" t="s">
        <v>165</v>
      </c>
      <c r="P301">
        <v>2030</v>
      </c>
      <c r="Q301">
        <v>2025</v>
      </c>
      <c r="R301">
        <v>9.4109234234200007E-2</v>
      </c>
      <c r="S301" t="s">
        <v>121</v>
      </c>
      <c r="T301" t="s">
        <v>127</v>
      </c>
    </row>
    <row r="302" spans="1:20" x14ac:dyDescent="0.3">
      <c r="A302" t="str">
        <f t="shared" si="4"/>
        <v>Utility-scale solar PV|2026|O&amp;M|Direct</v>
      </c>
      <c r="B302" t="s">
        <v>127</v>
      </c>
      <c r="C302" t="s">
        <v>66</v>
      </c>
      <c r="D302" t="s">
        <v>64</v>
      </c>
      <c r="E302" t="s">
        <v>65</v>
      </c>
      <c r="F302" t="s">
        <v>122</v>
      </c>
      <c r="G302">
        <v>2026</v>
      </c>
      <c r="H302">
        <v>9.17184684685E-2</v>
      </c>
      <c r="I302">
        <v>9.17184684685E-2</v>
      </c>
      <c r="J302" t="s">
        <v>118</v>
      </c>
      <c r="M302" t="s">
        <v>162</v>
      </c>
      <c r="O302" t="s">
        <v>165</v>
      </c>
      <c r="P302">
        <v>2030</v>
      </c>
      <c r="Q302">
        <v>2026</v>
      </c>
      <c r="R302">
        <v>9.17184684685E-2</v>
      </c>
      <c r="S302" t="s">
        <v>121</v>
      </c>
      <c r="T302" t="s">
        <v>127</v>
      </c>
    </row>
    <row r="303" spans="1:20" x14ac:dyDescent="0.3">
      <c r="A303" t="str">
        <f t="shared" si="4"/>
        <v>Utility-scale solar PV|2027|O&amp;M|Direct</v>
      </c>
      <c r="B303" t="s">
        <v>127</v>
      </c>
      <c r="C303" t="s">
        <v>66</v>
      </c>
      <c r="D303" t="s">
        <v>64</v>
      </c>
      <c r="E303" t="s">
        <v>65</v>
      </c>
      <c r="F303" t="s">
        <v>122</v>
      </c>
      <c r="G303">
        <v>2027</v>
      </c>
      <c r="H303">
        <v>8.9327702702700004E-2</v>
      </c>
      <c r="I303">
        <v>8.9327702702700004E-2</v>
      </c>
      <c r="J303" t="s">
        <v>118</v>
      </c>
      <c r="M303" t="s">
        <v>162</v>
      </c>
      <c r="O303" t="s">
        <v>165</v>
      </c>
      <c r="P303">
        <v>2030</v>
      </c>
      <c r="Q303">
        <v>2027</v>
      </c>
      <c r="R303">
        <v>8.9327702702700004E-2</v>
      </c>
      <c r="S303" t="s">
        <v>121</v>
      </c>
      <c r="T303" t="s">
        <v>127</v>
      </c>
    </row>
    <row r="304" spans="1:20" x14ac:dyDescent="0.3">
      <c r="A304" t="str">
        <f t="shared" si="4"/>
        <v>Utility-scale solar PV|2028|O&amp;M|Direct</v>
      </c>
      <c r="B304" t="s">
        <v>127</v>
      </c>
      <c r="C304" t="s">
        <v>66</v>
      </c>
      <c r="D304" t="s">
        <v>64</v>
      </c>
      <c r="E304" t="s">
        <v>65</v>
      </c>
      <c r="F304" t="s">
        <v>122</v>
      </c>
      <c r="G304">
        <v>2028</v>
      </c>
      <c r="H304">
        <v>8.6936936936899994E-2</v>
      </c>
      <c r="I304">
        <v>8.6936936936899994E-2</v>
      </c>
      <c r="J304" t="s">
        <v>118</v>
      </c>
      <c r="M304" t="s">
        <v>162</v>
      </c>
      <c r="O304" t="s">
        <v>165</v>
      </c>
      <c r="P304">
        <v>2030</v>
      </c>
      <c r="Q304">
        <v>2028</v>
      </c>
      <c r="R304">
        <v>8.6936936936899994E-2</v>
      </c>
      <c r="S304" t="s">
        <v>121</v>
      </c>
      <c r="T304" t="s">
        <v>127</v>
      </c>
    </row>
    <row r="305" spans="1:20" x14ac:dyDescent="0.3">
      <c r="A305" t="str">
        <f t="shared" si="4"/>
        <v>Utility-scale solar PV|2029|O&amp;M|Direct</v>
      </c>
      <c r="B305" t="s">
        <v>127</v>
      </c>
      <c r="C305" t="s">
        <v>66</v>
      </c>
      <c r="D305" t="s">
        <v>64</v>
      </c>
      <c r="E305" t="s">
        <v>65</v>
      </c>
      <c r="F305" t="s">
        <v>122</v>
      </c>
      <c r="G305">
        <v>2029</v>
      </c>
      <c r="H305">
        <v>8.4546171171200002E-2</v>
      </c>
      <c r="I305">
        <v>8.4546171171200002E-2</v>
      </c>
      <c r="J305" t="s">
        <v>118</v>
      </c>
      <c r="M305" t="s">
        <v>162</v>
      </c>
      <c r="O305" t="s">
        <v>165</v>
      </c>
      <c r="P305">
        <v>2030</v>
      </c>
      <c r="Q305">
        <v>2029</v>
      </c>
      <c r="R305">
        <v>8.4546171171200002E-2</v>
      </c>
      <c r="S305" t="s">
        <v>121</v>
      </c>
      <c r="T305" t="s">
        <v>127</v>
      </c>
    </row>
    <row r="306" spans="1:20" x14ac:dyDescent="0.3">
      <c r="A306" t="str">
        <f t="shared" si="4"/>
        <v>Utility-scale solar PV|2030|O&amp;M|Direct</v>
      </c>
      <c r="B306" t="s">
        <v>127</v>
      </c>
      <c r="C306" t="s">
        <v>66</v>
      </c>
      <c r="D306" t="s">
        <v>64</v>
      </c>
      <c r="E306" t="s">
        <v>65</v>
      </c>
      <c r="F306" t="s">
        <v>122</v>
      </c>
      <c r="G306">
        <v>2030</v>
      </c>
      <c r="H306">
        <v>8.2155405405400006E-2</v>
      </c>
      <c r="I306">
        <v>8.2155405405400006E-2</v>
      </c>
      <c r="J306" t="s">
        <v>124</v>
      </c>
      <c r="M306" t="s">
        <v>162</v>
      </c>
      <c r="O306" t="s">
        <v>166</v>
      </c>
      <c r="P306">
        <v>2024</v>
      </c>
      <c r="Q306">
        <v>2030</v>
      </c>
      <c r="R306">
        <v>8.2155405405400006E-2</v>
      </c>
      <c r="S306" t="s">
        <v>125</v>
      </c>
      <c r="T306" t="s">
        <v>127</v>
      </c>
    </row>
    <row r="307" spans="1:20" x14ac:dyDescent="0.3">
      <c r="A307" t="str">
        <f t="shared" si="4"/>
        <v>Utility-scale solar PV|2031|O&amp;M|Direct</v>
      </c>
      <c r="B307" t="s">
        <v>127</v>
      </c>
      <c r="C307" t="s">
        <v>66</v>
      </c>
      <c r="D307" t="s">
        <v>64</v>
      </c>
      <c r="E307" t="s">
        <v>65</v>
      </c>
      <c r="F307" t="s">
        <v>122</v>
      </c>
      <c r="G307">
        <v>2031</v>
      </c>
      <c r="H307">
        <v>8.1568581081100003E-2</v>
      </c>
      <c r="I307">
        <v>8.1568581081100003E-2</v>
      </c>
      <c r="J307" t="s">
        <v>118</v>
      </c>
      <c r="M307" t="s">
        <v>162</v>
      </c>
      <c r="O307" t="s">
        <v>165</v>
      </c>
      <c r="P307">
        <v>2030</v>
      </c>
      <c r="Q307">
        <v>2031</v>
      </c>
      <c r="R307">
        <v>8.1568581081100003E-2</v>
      </c>
      <c r="S307" t="s">
        <v>121</v>
      </c>
      <c r="T307" t="s">
        <v>127</v>
      </c>
    </row>
    <row r="308" spans="1:20" x14ac:dyDescent="0.3">
      <c r="A308" t="str">
        <f t="shared" si="4"/>
        <v>Utility-scale solar PV|2032|O&amp;M|Direct</v>
      </c>
      <c r="B308" t="s">
        <v>127</v>
      </c>
      <c r="C308" t="s">
        <v>66</v>
      </c>
      <c r="D308" t="s">
        <v>64</v>
      </c>
      <c r="E308" t="s">
        <v>65</v>
      </c>
      <c r="F308" t="s">
        <v>122</v>
      </c>
      <c r="G308">
        <v>2032</v>
      </c>
      <c r="H308">
        <v>8.09817567568E-2</v>
      </c>
      <c r="I308">
        <v>8.09817567568E-2</v>
      </c>
      <c r="J308" t="s">
        <v>118</v>
      </c>
      <c r="M308" t="s">
        <v>162</v>
      </c>
      <c r="O308" t="s">
        <v>165</v>
      </c>
      <c r="P308">
        <v>2030</v>
      </c>
      <c r="Q308">
        <v>2032</v>
      </c>
      <c r="R308">
        <v>8.09817567568E-2</v>
      </c>
      <c r="S308" t="s">
        <v>121</v>
      </c>
      <c r="T308" t="s">
        <v>127</v>
      </c>
    </row>
    <row r="309" spans="1:20" x14ac:dyDescent="0.3">
      <c r="A309" t="str">
        <f t="shared" si="4"/>
        <v>Utility-scale solar PV|2033|O&amp;M|Direct</v>
      </c>
      <c r="B309" t="s">
        <v>127</v>
      </c>
      <c r="C309" t="s">
        <v>66</v>
      </c>
      <c r="D309" t="s">
        <v>64</v>
      </c>
      <c r="E309" t="s">
        <v>65</v>
      </c>
      <c r="F309" t="s">
        <v>122</v>
      </c>
      <c r="G309">
        <v>2033</v>
      </c>
      <c r="H309">
        <v>8.0394932432399993E-2</v>
      </c>
      <c r="I309">
        <v>8.0394932432399993E-2</v>
      </c>
      <c r="J309" t="s">
        <v>118</v>
      </c>
      <c r="M309" t="s">
        <v>162</v>
      </c>
      <c r="O309" t="s">
        <v>165</v>
      </c>
      <c r="P309">
        <v>2030</v>
      </c>
      <c r="Q309">
        <v>2033</v>
      </c>
      <c r="R309">
        <v>8.0394932432399993E-2</v>
      </c>
      <c r="S309" t="s">
        <v>121</v>
      </c>
      <c r="T309" t="s">
        <v>127</v>
      </c>
    </row>
    <row r="310" spans="1:20" x14ac:dyDescent="0.3">
      <c r="A310" t="str">
        <f t="shared" si="4"/>
        <v>Utility-scale solar PV|2034|O&amp;M|Direct</v>
      </c>
      <c r="B310" t="s">
        <v>127</v>
      </c>
      <c r="C310" t="s">
        <v>66</v>
      </c>
      <c r="D310" t="s">
        <v>64</v>
      </c>
      <c r="E310" t="s">
        <v>65</v>
      </c>
      <c r="F310" t="s">
        <v>122</v>
      </c>
      <c r="G310">
        <v>2034</v>
      </c>
      <c r="H310">
        <v>7.9808108108100004E-2</v>
      </c>
      <c r="I310">
        <v>7.9808108108100004E-2</v>
      </c>
      <c r="J310" t="s">
        <v>118</v>
      </c>
      <c r="M310" t="s">
        <v>162</v>
      </c>
      <c r="O310" t="s">
        <v>165</v>
      </c>
      <c r="P310">
        <v>2030</v>
      </c>
      <c r="Q310">
        <v>2034</v>
      </c>
      <c r="R310">
        <v>7.9808108108100004E-2</v>
      </c>
      <c r="S310" t="s">
        <v>121</v>
      </c>
      <c r="T310" t="s">
        <v>127</v>
      </c>
    </row>
    <row r="311" spans="1:20" x14ac:dyDescent="0.3">
      <c r="A311" t="str">
        <f t="shared" si="4"/>
        <v>Utility-scale solar PV|2035|O&amp;M|Direct</v>
      </c>
      <c r="B311" t="s">
        <v>127</v>
      </c>
      <c r="C311" t="s">
        <v>66</v>
      </c>
      <c r="D311" t="s">
        <v>64</v>
      </c>
      <c r="E311" t="s">
        <v>65</v>
      </c>
      <c r="F311" t="s">
        <v>122</v>
      </c>
      <c r="G311">
        <v>2035</v>
      </c>
      <c r="H311">
        <v>7.9221283783800001E-2</v>
      </c>
      <c r="I311">
        <v>7.9221283783800001E-2</v>
      </c>
      <c r="J311" t="s">
        <v>118</v>
      </c>
      <c r="M311" t="s">
        <v>162</v>
      </c>
      <c r="O311" t="s">
        <v>165</v>
      </c>
      <c r="P311">
        <v>2030</v>
      </c>
      <c r="Q311">
        <v>2035</v>
      </c>
      <c r="R311">
        <v>7.9221283783800001E-2</v>
      </c>
      <c r="S311" t="s">
        <v>121</v>
      </c>
      <c r="T311" t="s">
        <v>127</v>
      </c>
    </row>
    <row r="312" spans="1:20" x14ac:dyDescent="0.3">
      <c r="A312" t="str">
        <f t="shared" si="4"/>
        <v>Utility-scale solar PV|2036|O&amp;M|Direct</v>
      </c>
      <c r="B312" t="s">
        <v>127</v>
      </c>
      <c r="C312" t="s">
        <v>66</v>
      </c>
      <c r="D312" t="s">
        <v>64</v>
      </c>
      <c r="E312" t="s">
        <v>65</v>
      </c>
      <c r="F312" t="s">
        <v>122</v>
      </c>
      <c r="G312">
        <v>2036</v>
      </c>
      <c r="H312">
        <v>7.8634459459499997E-2</v>
      </c>
      <c r="I312">
        <v>7.8634459459499997E-2</v>
      </c>
      <c r="J312" t="s">
        <v>118</v>
      </c>
      <c r="M312" t="s">
        <v>162</v>
      </c>
      <c r="O312" t="s">
        <v>165</v>
      </c>
      <c r="P312">
        <v>2030</v>
      </c>
      <c r="Q312">
        <v>2036</v>
      </c>
      <c r="R312">
        <v>7.8634459459499997E-2</v>
      </c>
      <c r="S312" t="s">
        <v>121</v>
      </c>
      <c r="T312" t="s">
        <v>127</v>
      </c>
    </row>
    <row r="313" spans="1:20" x14ac:dyDescent="0.3">
      <c r="A313" t="str">
        <f t="shared" si="4"/>
        <v>Utility-scale solar PV|2037|O&amp;M|Direct</v>
      </c>
      <c r="B313" t="s">
        <v>127</v>
      </c>
      <c r="C313" t="s">
        <v>66</v>
      </c>
      <c r="D313" t="s">
        <v>64</v>
      </c>
      <c r="E313" t="s">
        <v>65</v>
      </c>
      <c r="F313" t="s">
        <v>122</v>
      </c>
      <c r="G313">
        <v>2037</v>
      </c>
      <c r="H313">
        <v>7.8047635135100005E-2</v>
      </c>
      <c r="I313">
        <v>7.8047635135100005E-2</v>
      </c>
      <c r="J313" t="s">
        <v>118</v>
      </c>
      <c r="M313" t="s">
        <v>162</v>
      </c>
      <c r="O313" t="s">
        <v>165</v>
      </c>
      <c r="P313">
        <v>2030</v>
      </c>
      <c r="Q313">
        <v>2037</v>
      </c>
      <c r="R313">
        <v>7.8047635135100005E-2</v>
      </c>
      <c r="S313" t="s">
        <v>121</v>
      </c>
      <c r="T313" t="s">
        <v>127</v>
      </c>
    </row>
    <row r="314" spans="1:20" x14ac:dyDescent="0.3">
      <c r="A314" t="str">
        <f t="shared" si="4"/>
        <v>Utility-scale solar PV|2038|O&amp;M|Direct</v>
      </c>
      <c r="B314" t="s">
        <v>127</v>
      </c>
      <c r="C314" t="s">
        <v>66</v>
      </c>
      <c r="D314" t="s">
        <v>64</v>
      </c>
      <c r="E314" t="s">
        <v>65</v>
      </c>
      <c r="F314" t="s">
        <v>122</v>
      </c>
      <c r="G314">
        <v>2038</v>
      </c>
      <c r="H314">
        <v>7.7460810810800002E-2</v>
      </c>
      <c r="I314">
        <v>7.7460810810800002E-2</v>
      </c>
      <c r="J314" t="s">
        <v>118</v>
      </c>
      <c r="M314" t="s">
        <v>162</v>
      </c>
      <c r="O314" t="s">
        <v>165</v>
      </c>
      <c r="P314">
        <v>2030</v>
      </c>
      <c r="Q314">
        <v>2038</v>
      </c>
      <c r="R314">
        <v>7.7460810810800002E-2</v>
      </c>
      <c r="S314" t="s">
        <v>121</v>
      </c>
      <c r="T314" t="s">
        <v>127</v>
      </c>
    </row>
    <row r="315" spans="1:20" x14ac:dyDescent="0.3">
      <c r="A315" t="str">
        <f t="shared" si="4"/>
        <v>Utility-scale solar PV|2039|O&amp;M|Direct</v>
      </c>
      <c r="B315" t="s">
        <v>127</v>
      </c>
      <c r="C315" t="s">
        <v>66</v>
      </c>
      <c r="D315" t="s">
        <v>64</v>
      </c>
      <c r="E315" t="s">
        <v>65</v>
      </c>
      <c r="F315" t="s">
        <v>122</v>
      </c>
      <c r="G315">
        <v>2039</v>
      </c>
      <c r="H315">
        <v>7.6873986486499998E-2</v>
      </c>
      <c r="I315">
        <v>7.6873986486499998E-2</v>
      </c>
      <c r="J315" t="s">
        <v>118</v>
      </c>
      <c r="M315" t="s">
        <v>162</v>
      </c>
      <c r="O315" t="s">
        <v>165</v>
      </c>
      <c r="P315">
        <v>2030</v>
      </c>
      <c r="Q315">
        <v>2039</v>
      </c>
      <c r="R315">
        <v>7.6873986486499998E-2</v>
      </c>
      <c r="S315" t="s">
        <v>121</v>
      </c>
      <c r="T315" t="s">
        <v>127</v>
      </c>
    </row>
    <row r="316" spans="1:20" x14ac:dyDescent="0.3">
      <c r="A316" t="str">
        <f t="shared" si="4"/>
        <v>Utility-scale solar PV|2040|O&amp;M|Direct</v>
      </c>
      <c r="B316" t="s">
        <v>127</v>
      </c>
      <c r="C316" t="s">
        <v>66</v>
      </c>
      <c r="D316" t="s">
        <v>64</v>
      </c>
      <c r="E316" t="s">
        <v>65</v>
      </c>
      <c r="F316" t="s">
        <v>122</v>
      </c>
      <c r="G316">
        <v>2040</v>
      </c>
      <c r="H316">
        <v>7.6287162162199995E-2</v>
      </c>
      <c r="I316">
        <v>7.6287162162199995E-2</v>
      </c>
      <c r="J316" t="s">
        <v>118</v>
      </c>
      <c r="M316" t="s">
        <v>162</v>
      </c>
      <c r="O316" t="s">
        <v>165</v>
      </c>
      <c r="P316">
        <v>2030</v>
      </c>
      <c r="Q316">
        <v>2040</v>
      </c>
      <c r="R316">
        <v>7.6287162162199995E-2</v>
      </c>
      <c r="S316" t="s">
        <v>121</v>
      </c>
      <c r="T316" t="s">
        <v>127</v>
      </c>
    </row>
    <row r="317" spans="1:20" x14ac:dyDescent="0.3">
      <c r="A317" t="str">
        <f t="shared" si="4"/>
        <v>Utility-scale solar PV|2041|O&amp;M|Direct</v>
      </c>
      <c r="B317" t="s">
        <v>127</v>
      </c>
      <c r="C317" t="s">
        <v>66</v>
      </c>
      <c r="D317" t="s">
        <v>64</v>
      </c>
      <c r="E317" t="s">
        <v>65</v>
      </c>
      <c r="F317" t="s">
        <v>122</v>
      </c>
      <c r="G317">
        <v>2041</v>
      </c>
      <c r="H317">
        <v>7.5700337837800002E-2</v>
      </c>
      <c r="I317">
        <v>7.5700337837800002E-2</v>
      </c>
      <c r="J317" t="s">
        <v>118</v>
      </c>
      <c r="M317" t="s">
        <v>162</v>
      </c>
      <c r="O317" t="s">
        <v>165</v>
      </c>
      <c r="P317">
        <v>2030</v>
      </c>
      <c r="Q317">
        <v>2041</v>
      </c>
      <c r="R317">
        <v>7.5700337837800002E-2</v>
      </c>
      <c r="S317" t="s">
        <v>121</v>
      </c>
      <c r="T317" t="s">
        <v>127</v>
      </c>
    </row>
    <row r="318" spans="1:20" x14ac:dyDescent="0.3">
      <c r="A318" t="str">
        <f t="shared" si="4"/>
        <v>Utility-scale solar PV|2042|O&amp;M|Direct</v>
      </c>
      <c r="B318" t="s">
        <v>127</v>
      </c>
      <c r="C318" t="s">
        <v>66</v>
      </c>
      <c r="D318" t="s">
        <v>64</v>
      </c>
      <c r="E318" t="s">
        <v>65</v>
      </c>
      <c r="F318" t="s">
        <v>122</v>
      </c>
      <c r="G318">
        <v>2042</v>
      </c>
      <c r="H318">
        <v>7.5113513513499999E-2</v>
      </c>
      <c r="I318">
        <v>7.5113513513499999E-2</v>
      </c>
      <c r="J318" t="s">
        <v>118</v>
      </c>
      <c r="M318" t="s">
        <v>162</v>
      </c>
      <c r="O318" t="s">
        <v>165</v>
      </c>
      <c r="P318">
        <v>2030</v>
      </c>
      <c r="Q318">
        <v>2042</v>
      </c>
      <c r="R318">
        <v>7.5113513513499999E-2</v>
      </c>
      <c r="S318" t="s">
        <v>121</v>
      </c>
      <c r="T318" t="s">
        <v>127</v>
      </c>
    </row>
    <row r="319" spans="1:20" x14ac:dyDescent="0.3">
      <c r="A319" t="str">
        <f t="shared" si="4"/>
        <v>Utility-scale solar PV|2043|O&amp;M|Direct</v>
      </c>
      <c r="B319" t="s">
        <v>127</v>
      </c>
      <c r="C319" t="s">
        <v>66</v>
      </c>
      <c r="D319" t="s">
        <v>64</v>
      </c>
      <c r="E319" t="s">
        <v>65</v>
      </c>
      <c r="F319" t="s">
        <v>122</v>
      </c>
      <c r="G319">
        <v>2043</v>
      </c>
      <c r="H319">
        <v>7.4526689189199996E-2</v>
      </c>
      <c r="I319">
        <v>7.4526689189199996E-2</v>
      </c>
      <c r="J319" t="s">
        <v>118</v>
      </c>
      <c r="M319" t="s">
        <v>162</v>
      </c>
      <c r="O319" t="s">
        <v>165</v>
      </c>
      <c r="P319">
        <v>2030</v>
      </c>
      <c r="Q319">
        <v>2043</v>
      </c>
      <c r="R319">
        <v>7.4526689189199996E-2</v>
      </c>
      <c r="S319" t="s">
        <v>121</v>
      </c>
      <c r="T319" t="s">
        <v>127</v>
      </c>
    </row>
    <row r="320" spans="1:20" x14ac:dyDescent="0.3">
      <c r="A320" t="str">
        <f t="shared" si="4"/>
        <v>Utility-scale solar PV|2044|O&amp;M|Direct</v>
      </c>
      <c r="B320" t="s">
        <v>127</v>
      </c>
      <c r="C320" t="s">
        <v>66</v>
      </c>
      <c r="D320" t="s">
        <v>64</v>
      </c>
      <c r="E320" t="s">
        <v>65</v>
      </c>
      <c r="F320" t="s">
        <v>122</v>
      </c>
      <c r="G320">
        <v>2044</v>
      </c>
      <c r="H320">
        <v>7.3939864864900007E-2</v>
      </c>
      <c r="I320">
        <v>7.3939864864900007E-2</v>
      </c>
      <c r="J320" t="s">
        <v>118</v>
      </c>
      <c r="M320" t="s">
        <v>162</v>
      </c>
      <c r="O320" t="s">
        <v>165</v>
      </c>
      <c r="P320">
        <v>2030</v>
      </c>
      <c r="Q320">
        <v>2044</v>
      </c>
      <c r="R320">
        <v>7.3939864864900007E-2</v>
      </c>
      <c r="S320" t="s">
        <v>121</v>
      </c>
      <c r="T320" t="s">
        <v>127</v>
      </c>
    </row>
    <row r="321" spans="1:20" x14ac:dyDescent="0.3">
      <c r="A321" t="str">
        <f t="shared" si="4"/>
        <v>Utility-scale solar PV|2045|O&amp;M|Direct</v>
      </c>
      <c r="B321" t="s">
        <v>127</v>
      </c>
      <c r="C321" t="s">
        <v>66</v>
      </c>
      <c r="D321" t="s">
        <v>64</v>
      </c>
      <c r="E321" t="s">
        <v>65</v>
      </c>
      <c r="F321" t="s">
        <v>122</v>
      </c>
      <c r="G321">
        <v>2045</v>
      </c>
      <c r="H321">
        <v>7.33530405405E-2</v>
      </c>
      <c r="I321">
        <v>7.33530405405E-2</v>
      </c>
      <c r="J321" t="s">
        <v>118</v>
      </c>
      <c r="M321" t="s">
        <v>162</v>
      </c>
      <c r="O321" t="s">
        <v>165</v>
      </c>
      <c r="P321">
        <v>2030</v>
      </c>
      <c r="Q321">
        <v>2045</v>
      </c>
      <c r="R321">
        <v>7.33530405405E-2</v>
      </c>
      <c r="S321" t="s">
        <v>121</v>
      </c>
      <c r="T321" t="s">
        <v>127</v>
      </c>
    </row>
    <row r="322" spans="1:20" x14ac:dyDescent="0.3">
      <c r="A322" t="str">
        <f t="shared" ref="A322:A331" si="5">C322&amp;"|"&amp;G322&amp;"|"&amp;D322&amp;"|"&amp;E322</f>
        <v>Utility-scale solar PV|2046|O&amp;M|Direct</v>
      </c>
      <c r="B322" t="s">
        <v>127</v>
      </c>
      <c r="C322" t="s">
        <v>66</v>
      </c>
      <c r="D322" t="s">
        <v>64</v>
      </c>
      <c r="E322" t="s">
        <v>65</v>
      </c>
      <c r="F322" t="s">
        <v>122</v>
      </c>
      <c r="G322">
        <v>2046</v>
      </c>
      <c r="H322">
        <v>7.2766216216199997E-2</v>
      </c>
      <c r="I322">
        <v>7.2766216216199997E-2</v>
      </c>
      <c r="J322" t="s">
        <v>118</v>
      </c>
      <c r="M322" t="s">
        <v>162</v>
      </c>
      <c r="O322" t="s">
        <v>165</v>
      </c>
      <c r="P322">
        <v>2030</v>
      </c>
      <c r="Q322">
        <v>2046</v>
      </c>
      <c r="R322">
        <v>7.2766216216199997E-2</v>
      </c>
      <c r="S322" t="s">
        <v>121</v>
      </c>
      <c r="T322" t="s">
        <v>127</v>
      </c>
    </row>
    <row r="323" spans="1:20" x14ac:dyDescent="0.3">
      <c r="A323" t="str">
        <f t="shared" si="5"/>
        <v>Utility-scale solar PV|2047|O&amp;M|Direct</v>
      </c>
      <c r="B323" t="s">
        <v>127</v>
      </c>
      <c r="C323" t="s">
        <v>66</v>
      </c>
      <c r="D323" t="s">
        <v>64</v>
      </c>
      <c r="E323" t="s">
        <v>65</v>
      </c>
      <c r="F323" t="s">
        <v>122</v>
      </c>
      <c r="G323">
        <v>2047</v>
      </c>
      <c r="H323">
        <v>7.2179391891899994E-2</v>
      </c>
      <c r="I323">
        <v>7.2179391891899994E-2</v>
      </c>
      <c r="J323" t="s">
        <v>118</v>
      </c>
      <c r="M323" t="s">
        <v>162</v>
      </c>
      <c r="O323" t="s">
        <v>165</v>
      </c>
      <c r="P323">
        <v>2030</v>
      </c>
      <c r="Q323">
        <v>2047</v>
      </c>
      <c r="R323">
        <v>7.2179391891899994E-2</v>
      </c>
      <c r="S323" t="s">
        <v>121</v>
      </c>
      <c r="T323" t="s">
        <v>127</v>
      </c>
    </row>
    <row r="324" spans="1:20" x14ac:dyDescent="0.3">
      <c r="A324" t="str">
        <f t="shared" si="5"/>
        <v>Utility-scale solar PV|2048|O&amp;M|Direct</v>
      </c>
      <c r="B324" t="s">
        <v>127</v>
      </c>
      <c r="C324" t="s">
        <v>66</v>
      </c>
      <c r="D324" t="s">
        <v>64</v>
      </c>
      <c r="E324" t="s">
        <v>65</v>
      </c>
      <c r="F324" t="s">
        <v>122</v>
      </c>
      <c r="G324">
        <v>2048</v>
      </c>
      <c r="H324">
        <v>7.1592567567600005E-2</v>
      </c>
      <c r="I324">
        <v>7.1592567567600005E-2</v>
      </c>
      <c r="J324" t="s">
        <v>118</v>
      </c>
      <c r="M324" t="s">
        <v>162</v>
      </c>
      <c r="O324" t="s">
        <v>165</v>
      </c>
      <c r="P324">
        <v>2030</v>
      </c>
      <c r="Q324">
        <v>2048</v>
      </c>
      <c r="R324">
        <v>7.1592567567600005E-2</v>
      </c>
      <c r="S324" t="s">
        <v>121</v>
      </c>
      <c r="T324" t="s">
        <v>127</v>
      </c>
    </row>
    <row r="325" spans="1:20" x14ac:dyDescent="0.3">
      <c r="A325" t="str">
        <f t="shared" si="5"/>
        <v>Utility-scale solar PV|2049|O&amp;M|Direct</v>
      </c>
      <c r="B325" t="s">
        <v>127</v>
      </c>
      <c r="C325" t="s">
        <v>66</v>
      </c>
      <c r="D325" t="s">
        <v>64</v>
      </c>
      <c r="E325" t="s">
        <v>65</v>
      </c>
      <c r="F325" t="s">
        <v>122</v>
      </c>
      <c r="G325">
        <v>2049</v>
      </c>
      <c r="H325">
        <v>7.1005743243199998E-2</v>
      </c>
      <c r="I325">
        <v>7.1005743243199998E-2</v>
      </c>
      <c r="J325" t="s">
        <v>118</v>
      </c>
      <c r="M325" t="s">
        <v>162</v>
      </c>
      <c r="O325" t="s">
        <v>165</v>
      </c>
      <c r="P325">
        <v>2030</v>
      </c>
      <c r="Q325">
        <v>2049</v>
      </c>
      <c r="R325">
        <v>7.1005743243199998E-2</v>
      </c>
      <c r="S325" t="s">
        <v>121</v>
      </c>
      <c r="T325" t="s">
        <v>127</v>
      </c>
    </row>
    <row r="326" spans="1:20" x14ac:dyDescent="0.3">
      <c r="A326" t="str">
        <f t="shared" si="5"/>
        <v>Utility-scale solar PV|2050|O&amp;M|Direct</v>
      </c>
      <c r="B326" t="s">
        <v>127</v>
      </c>
      <c r="C326" t="s">
        <v>66</v>
      </c>
      <c r="D326" t="s">
        <v>64</v>
      </c>
      <c r="E326" t="s">
        <v>65</v>
      </c>
      <c r="F326" t="s">
        <v>122</v>
      </c>
      <c r="G326">
        <v>2050</v>
      </c>
      <c r="H326">
        <v>7.0418918918899995E-2</v>
      </c>
      <c r="I326">
        <v>7.0418918918899995E-2</v>
      </c>
      <c r="J326" t="s">
        <v>124</v>
      </c>
      <c r="M326" t="s">
        <v>162</v>
      </c>
      <c r="O326" t="s">
        <v>165</v>
      </c>
      <c r="P326">
        <v>2030</v>
      </c>
      <c r="Q326">
        <v>2050</v>
      </c>
      <c r="R326">
        <v>7.0418918918899995E-2</v>
      </c>
      <c r="S326" t="s">
        <v>125</v>
      </c>
      <c r="T326" t="s">
        <v>127</v>
      </c>
    </row>
    <row r="327" spans="1:20" x14ac:dyDescent="0.3">
      <c r="A327" t="str">
        <f t="shared" si="5"/>
        <v>Utility-scale solar PV|2051|O&amp;M|Direct</v>
      </c>
      <c r="B327" t="s">
        <v>127</v>
      </c>
      <c r="C327" t="s">
        <v>66</v>
      </c>
      <c r="D327" t="s">
        <v>64</v>
      </c>
      <c r="E327" t="s">
        <v>65</v>
      </c>
      <c r="F327" t="s">
        <v>122</v>
      </c>
      <c r="G327">
        <v>2051</v>
      </c>
      <c r="H327">
        <v>7.0418918918899995E-2</v>
      </c>
      <c r="I327">
        <v>7.0418918918899995E-2</v>
      </c>
      <c r="J327" t="s">
        <v>118</v>
      </c>
      <c r="M327" t="s">
        <v>162</v>
      </c>
      <c r="O327" t="s">
        <v>165</v>
      </c>
      <c r="P327">
        <v>2030</v>
      </c>
      <c r="Q327">
        <v>2051</v>
      </c>
      <c r="R327">
        <v>7.0418918918899995E-2</v>
      </c>
      <c r="S327" t="s">
        <v>126</v>
      </c>
      <c r="T327" t="s">
        <v>127</v>
      </c>
    </row>
    <row r="328" spans="1:20" x14ac:dyDescent="0.3">
      <c r="A328" t="str">
        <f t="shared" si="5"/>
        <v>Utility-scale solar PV|2052|O&amp;M|Direct</v>
      </c>
      <c r="B328" t="s">
        <v>127</v>
      </c>
      <c r="C328" t="s">
        <v>66</v>
      </c>
      <c r="D328" t="s">
        <v>64</v>
      </c>
      <c r="E328" t="s">
        <v>65</v>
      </c>
      <c r="F328" t="s">
        <v>122</v>
      </c>
      <c r="G328">
        <v>2052</v>
      </c>
      <c r="H328">
        <v>7.0418918918899995E-2</v>
      </c>
      <c r="I328">
        <v>7.0418918918899995E-2</v>
      </c>
      <c r="J328" t="s">
        <v>118</v>
      </c>
      <c r="M328" t="s">
        <v>162</v>
      </c>
      <c r="O328" t="s">
        <v>165</v>
      </c>
      <c r="P328">
        <v>2030</v>
      </c>
      <c r="Q328">
        <v>2052</v>
      </c>
      <c r="R328">
        <v>7.0418918918899995E-2</v>
      </c>
      <c r="S328" t="s">
        <v>126</v>
      </c>
      <c r="T328" t="s">
        <v>127</v>
      </c>
    </row>
    <row r="329" spans="1:20" x14ac:dyDescent="0.3">
      <c r="A329" t="str">
        <f t="shared" si="5"/>
        <v>Utility-scale solar PV|2053|O&amp;M|Direct</v>
      </c>
      <c r="B329" t="s">
        <v>127</v>
      </c>
      <c r="C329" t="s">
        <v>66</v>
      </c>
      <c r="D329" t="s">
        <v>64</v>
      </c>
      <c r="E329" t="s">
        <v>65</v>
      </c>
      <c r="F329" t="s">
        <v>122</v>
      </c>
      <c r="G329">
        <v>2053</v>
      </c>
      <c r="H329">
        <v>7.0418918918899995E-2</v>
      </c>
      <c r="I329">
        <v>7.0418918918899995E-2</v>
      </c>
      <c r="J329" t="s">
        <v>118</v>
      </c>
      <c r="M329" t="s">
        <v>162</v>
      </c>
      <c r="O329" t="s">
        <v>165</v>
      </c>
      <c r="P329">
        <v>2030</v>
      </c>
      <c r="Q329">
        <v>2053</v>
      </c>
      <c r="R329">
        <v>7.0418918918899995E-2</v>
      </c>
      <c r="S329" t="s">
        <v>126</v>
      </c>
      <c r="T329" t="s">
        <v>127</v>
      </c>
    </row>
    <row r="330" spans="1:20" x14ac:dyDescent="0.3">
      <c r="A330" t="str">
        <f t="shared" si="5"/>
        <v>Utility-scale solar PV|2054|O&amp;M|Direct</v>
      </c>
      <c r="B330" t="s">
        <v>127</v>
      </c>
      <c r="C330" t="s">
        <v>66</v>
      </c>
      <c r="D330" t="s">
        <v>64</v>
      </c>
      <c r="E330" t="s">
        <v>65</v>
      </c>
      <c r="F330" t="s">
        <v>122</v>
      </c>
      <c r="G330">
        <v>2054</v>
      </c>
      <c r="H330">
        <v>7.0418918918899995E-2</v>
      </c>
      <c r="I330">
        <v>7.0418918918899995E-2</v>
      </c>
      <c r="J330" t="s">
        <v>118</v>
      </c>
      <c r="M330" t="s">
        <v>162</v>
      </c>
      <c r="O330" t="s">
        <v>165</v>
      </c>
      <c r="P330">
        <v>2030</v>
      </c>
      <c r="Q330">
        <v>2054</v>
      </c>
      <c r="R330">
        <v>7.0418918918899995E-2</v>
      </c>
      <c r="S330" t="s">
        <v>126</v>
      </c>
      <c r="T330" t="s">
        <v>127</v>
      </c>
    </row>
    <row r="331" spans="1:20" x14ac:dyDescent="0.3">
      <c r="A331" t="str">
        <f t="shared" si="5"/>
        <v>Utility-scale solar PV|2055|O&amp;M|Direct</v>
      </c>
      <c r="B331" t="s">
        <v>127</v>
      </c>
      <c r="C331" t="s">
        <v>66</v>
      </c>
      <c r="D331" t="s">
        <v>64</v>
      </c>
      <c r="E331" t="s">
        <v>65</v>
      </c>
      <c r="F331" t="s">
        <v>122</v>
      </c>
      <c r="G331">
        <v>2055</v>
      </c>
      <c r="H331">
        <v>7.0418918918899995E-2</v>
      </c>
      <c r="I331">
        <v>7.0418918918899995E-2</v>
      </c>
      <c r="J331" t="s">
        <v>118</v>
      </c>
      <c r="M331" t="s">
        <v>162</v>
      </c>
      <c r="O331" t="s">
        <v>165</v>
      </c>
      <c r="P331">
        <v>2030</v>
      </c>
      <c r="Q331">
        <v>2055</v>
      </c>
      <c r="R331">
        <v>7.0418918918899995E-2</v>
      </c>
      <c r="S331" t="s">
        <v>126</v>
      </c>
      <c r="T331" t="s">
        <v>127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C126-FA51-4E58-BAD5-6DD28AFACF4D}">
  <sheetPr>
    <tabColor rgb="FF92D050"/>
  </sheetPr>
  <dimension ref="A1:L37"/>
  <sheetViews>
    <sheetView topLeftCell="J1" zoomScale="85" zoomScaleNormal="85" workbookViewId="0">
      <selection activeCell="Q47" sqref="Q47"/>
    </sheetView>
  </sheetViews>
  <sheetFormatPr defaultRowHeight="14.4" x14ac:dyDescent="0.3"/>
  <cols>
    <col min="1" max="1" width="23" bestFit="1" customWidth="1"/>
    <col min="2" max="2" width="28.44140625" bestFit="1" customWidth="1"/>
    <col min="3" max="3" width="17.6640625" bestFit="1" customWidth="1"/>
    <col min="4" max="4" width="12.44140625" bestFit="1" customWidth="1"/>
    <col min="5" max="5" width="16.21875" bestFit="1" customWidth="1"/>
    <col min="6" max="6" width="12.44140625" bestFit="1" customWidth="1"/>
    <col min="7" max="7" width="17" bestFit="1" customWidth="1"/>
    <col min="8" max="8" width="12.44140625" bestFit="1" customWidth="1"/>
    <col min="9" max="9" width="17.109375" bestFit="1" customWidth="1"/>
    <col min="10" max="10" width="17.88671875" bestFit="1" customWidth="1"/>
    <col min="11" max="11" width="14" bestFit="1" customWidth="1"/>
    <col min="12" max="12" width="12.44140625" bestFit="1" customWidth="1"/>
    <col min="13" max="13" width="13.109375" bestFit="1" customWidth="1"/>
    <col min="14" max="14" width="12" bestFit="1" customWidth="1"/>
  </cols>
  <sheetData>
    <row r="1" spans="1:12" x14ac:dyDescent="0.3">
      <c r="A1" s="1" t="s">
        <v>1</v>
      </c>
      <c r="B1" t="s">
        <v>39</v>
      </c>
    </row>
    <row r="2" spans="1:12" x14ac:dyDescent="0.3">
      <c r="A2" s="1" t="s">
        <v>51</v>
      </c>
      <c r="B2" t="s">
        <v>70</v>
      </c>
    </row>
    <row r="4" spans="1:12" x14ac:dyDescent="0.3">
      <c r="A4" s="1" t="s">
        <v>173</v>
      </c>
      <c r="B4" s="1" t="s">
        <v>171</v>
      </c>
    </row>
    <row r="5" spans="1:12" x14ac:dyDescent="0.3">
      <c r="A5" s="1" t="s">
        <v>169</v>
      </c>
      <c r="B5" t="s">
        <v>24</v>
      </c>
      <c r="C5" t="s">
        <v>26</v>
      </c>
      <c r="D5" t="s">
        <v>31</v>
      </c>
      <c r="E5" t="s">
        <v>32</v>
      </c>
      <c r="F5" t="s">
        <v>33</v>
      </c>
      <c r="G5" t="s">
        <v>41</v>
      </c>
      <c r="H5" t="s">
        <v>34</v>
      </c>
      <c r="I5" t="s">
        <v>42</v>
      </c>
      <c r="J5" t="s">
        <v>43</v>
      </c>
      <c r="K5" t="s">
        <v>36</v>
      </c>
      <c r="L5" t="s">
        <v>170</v>
      </c>
    </row>
    <row r="6" spans="1:12" x14ac:dyDescent="0.3">
      <c r="A6" s="2">
        <v>2025</v>
      </c>
      <c r="B6" s="3"/>
      <c r="C6" s="3"/>
      <c r="D6" s="3"/>
      <c r="E6" s="3"/>
      <c r="F6" s="3">
        <v>2012.5687818907716</v>
      </c>
      <c r="G6" s="3"/>
      <c r="H6" s="3">
        <v>1591.1576660582311</v>
      </c>
      <c r="I6" s="3"/>
      <c r="J6" s="3"/>
      <c r="K6" s="3">
        <v>34.978894298950074</v>
      </c>
      <c r="L6" s="3">
        <v>3638.7053422479526</v>
      </c>
    </row>
    <row r="7" spans="1:12" x14ac:dyDescent="0.3">
      <c r="A7" s="2">
        <v>2026</v>
      </c>
      <c r="B7" s="3"/>
      <c r="C7" s="3"/>
      <c r="D7" s="3">
        <v>2748.2611921399916</v>
      </c>
      <c r="E7" s="3"/>
      <c r="F7" s="3">
        <v>15804.570695439714</v>
      </c>
      <c r="G7" s="3"/>
      <c r="H7" s="3">
        <v>953.18804267747294</v>
      </c>
      <c r="I7" s="3"/>
      <c r="J7" s="3"/>
      <c r="K7" s="3">
        <v>3191.044180690576</v>
      </c>
      <c r="L7" s="3">
        <v>22697.064110947755</v>
      </c>
    </row>
    <row r="8" spans="1:12" x14ac:dyDescent="0.3">
      <c r="A8" s="2">
        <v>2027</v>
      </c>
      <c r="B8" s="3"/>
      <c r="C8" s="3"/>
      <c r="D8" s="3">
        <v>3706.1016353047889</v>
      </c>
      <c r="E8" s="3"/>
      <c r="F8" s="3">
        <v>19491.576256281118</v>
      </c>
      <c r="G8" s="3"/>
      <c r="H8" s="3">
        <v>926.16561044964271</v>
      </c>
      <c r="I8" s="3"/>
      <c r="J8" s="3"/>
      <c r="K8" s="3">
        <v>3893.9582329152408</v>
      </c>
      <c r="L8" s="3">
        <v>28017.80173495079</v>
      </c>
    </row>
    <row r="9" spans="1:12" x14ac:dyDescent="0.3">
      <c r="A9" s="2">
        <v>2028</v>
      </c>
      <c r="B9" s="3">
        <v>13862.851758940096</v>
      </c>
      <c r="C9" s="3"/>
      <c r="D9" s="3">
        <v>3828.6378737340383</v>
      </c>
      <c r="E9" s="3"/>
      <c r="F9" s="3"/>
      <c r="G9" s="3"/>
      <c r="H9" s="3"/>
      <c r="I9" s="3"/>
      <c r="J9" s="3"/>
      <c r="K9" s="3">
        <v>1419.7743781904835</v>
      </c>
      <c r="L9" s="3">
        <v>19111.264010864619</v>
      </c>
    </row>
    <row r="10" spans="1:12" x14ac:dyDescent="0.3">
      <c r="A10" s="2">
        <v>2029</v>
      </c>
      <c r="B10" s="3"/>
      <c r="C10" s="3"/>
      <c r="D10" s="3">
        <v>3905.6305971694042</v>
      </c>
      <c r="E10" s="3"/>
      <c r="F10" s="3"/>
      <c r="G10" s="3"/>
      <c r="H10" s="3"/>
      <c r="I10" s="3"/>
      <c r="J10" s="3"/>
      <c r="K10" s="3">
        <v>2088.9435063594824</v>
      </c>
      <c r="L10" s="3">
        <v>5994.5741035288866</v>
      </c>
    </row>
    <row r="11" spans="1:12" x14ac:dyDescent="0.3">
      <c r="A11" s="2">
        <v>2030</v>
      </c>
      <c r="B11" s="3"/>
      <c r="C11" s="3"/>
      <c r="D11" s="3">
        <v>3690.375167351478</v>
      </c>
      <c r="E11" s="3"/>
      <c r="F11" s="3">
        <v>1719.0497071337441</v>
      </c>
      <c r="G11" s="3"/>
      <c r="H11" s="3"/>
      <c r="I11" s="3"/>
      <c r="J11" s="3"/>
      <c r="K11" s="3">
        <v>2048.6156367230715</v>
      </c>
      <c r="L11" s="3">
        <v>7458.0405112082935</v>
      </c>
    </row>
    <row r="12" spans="1:12" x14ac:dyDescent="0.3">
      <c r="A12" s="2">
        <v>2031</v>
      </c>
      <c r="B12" s="3"/>
      <c r="C12" s="3"/>
      <c r="D12" s="3">
        <v>3535.5068041642548</v>
      </c>
      <c r="E12" s="3">
        <v>114.91185816921863</v>
      </c>
      <c r="F12" s="3"/>
      <c r="G12" s="3"/>
      <c r="H12" s="3"/>
      <c r="I12" s="3"/>
      <c r="J12" s="3"/>
      <c r="K12" s="3">
        <v>2043.1820032059472</v>
      </c>
      <c r="L12" s="3">
        <v>5693.6006655394212</v>
      </c>
    </row>
    <row r="13" spans="1:12" x14ac:dyDescent="0.3">
      <c r="A13" s="2">
        <v>2032</v>
      </c>
      <c r="B13" s="3"/>
      <c r="C13" s="3"/>
      <c r="D13" s="3">
        <v>3113.6356192848821</v>
      </c>
      <c r="E13" s="3">
        <v>7.6484736191444931</v>
      </c>
      <c r="F13" s="3"/>
      <c r="G13" s="3"/>
      <c r="H13" s="3"/>
      <c r="I13" s="3"/>
      <c r="J13" s="3"/>
      <c r="K13" s="3">
        <v>2037.748369688823</v>
      </c>
      <c r="L13" s="3">
        <v>5159.0324625928497</v>
      </c>
    </row>
    <row r="14" spans="1:12" x14ac:dyDescent="0.3">
      <c r="A14" s="2">
        <v>2033</v>
      </c>
      <c r="B14" s="3"/>
      <c r="C14" s="3"/>
      <c r="D14" s="3">
        <v>3085.9560259742184</v>
      </c>
      <c r="E14" s="3">
        <v>7.5794707018456062</v>
      </c>
      <c r="F14" s="3"/>
      <c r="G14" s="3"/>
      <c r="H14" s="3"/>
      <c r="I14" s="3"/>
      <c r="J14" s="3"/>
      <c r="K14" s="3">
        <v>2032.314736171699</v>
      </c>
      <c r="L14" s="3">
        <v>5125.8502328477634</v>
      </c>
    </row>
    <row r="15" spans="1:12" x14ac:dyDescent="0.3">
      <c r="A15" s="2">
        <v>2034</v>
      </c>
      <c r="B15" s="3"/>
      <c r="C15" s="3"/>
      <c r="D15" s="3">
        <v>2543.0757867102061</v>
      </c>
      <c r="E15" s="3">
        <v>7.493911966956067</v>
      </c>
      <c r="F15" s="3"/>
      <c r="G15" s="3"/>
      <c r="H15" s="3"/>
      <c r="I15" s="3"/>
      <c r="J15" s="3"/>
      <c r="K15" s="3">
        <v>2026.8811026545745</v>
      </c>
      <c r="L15" s="3">
        <v>4577.4508013317372</v>
      </c>
    </row>
    <row r="16" spans="1:12" x14ac:dyDescent="0.3">
      <c r="A16" s="2">
        <v>2035</v>
      </c>
      <c r="B16" s="3"/>
      <c r="C16" s="3"/>
      <c r="D16" s="3">
        <v>2206.4239597035989</v>
      </c>
      <c r="E16" s="3">
        <v>7.4268768576649</v>
      </c>
      <c r="F16" s="3"/>
      <c r="G16" s="3"/>
      <c r="H16" s="3"/>
      <c r="I16" s="3"/>
      <c r="J16" s="3"/>
      <c r="K16" s="3">
        <v>10173.902102648166</v>
      </c>
      <c r="L16" s="3">
        <v>12387.752939209429</v>
      </c>
    </row>
    <row r="17" spans="1:12" x14ac:dyDescent="0.3">
      <c r="A17" s="2">
        <v>2036</v>
      </c>
      <c r="B17" s="3"/>
      <c r="C17" s="3"/>
      <c r="D17" s="3">
        <v>2201.8615487720358</v>
      </c>
      <c r="E17" s="3">
        <v>7.4304026326586605</v>
      </c>
      <c r="F17" s="3"/>
      <c r="G17" s="3"/>
      <c r="H17" s="3"/>
      <c r="I17" s="3">
        <v>1799.067821179714</v>
      </c>
      <c r="J17" s="3"/>
      <c r="K17" s="3">
        <v>10146.554740765705</v>
      </c>
      <c r="L17" s="3">
        <v>14154.914513350113</v>
      </c>
    </row>
    <row r="18" spans="1:12" x14ac:dyDescent="0.3">
      <c r="A18" s="2">
        <v>2037</v>
      </c>
      <c r="B18" s="3"/>
      <c r="C18" s="3"/>
      <c r="D18" s="3">
        <v>1831.5258486392659</v>
      </c>
      <c r="E18" s="3">
        <v>7.4236419435105603</v>
      </c>
      <c r="F18" s="3"/>
      <c r="G18" s="3"/>
      <c r="H18" s="3"/>
      <c r="I18" s="3">
        <v>3135.3924648073421</v>
      </c>
      <c r="J18" s="3"/>
      <c r="K18" s="3">
        <v>10119.207378883242</v>
      </c>
      <c r="L18" s="3">
        <v>15093.549334273361</v>
      </c>
    </row>
    <row r="19" spans="1:12" x14ac:dyDescent="0.3">
      <c r="A19" s="2">
        <v>2038</v>
      </c>
      <c r="B19" s="3"/>
      <c r="C19" s="3"/>
      <c r="D19" s="3">
        <v>1363.6469446053247</v>
      </c>
      <c r="E19" s="3">
        <v>7.4237705730701586</v>
      </c>
      <c r="F19" s="3"/>
      <c r="G19" s="3"/>
      <c r="H19" s="3"/>
      <c r="I19" s="3">
        <v>6305.6352781857559</v>
      </c>
      <c r="J19" s="3"/>
      <c r="K19" s="3">
        <v>10091.860017000779</v>
      </c>
      <c r="L19" s="3">
        <v>17768.566010364928</v>
      </c>
    </row>
    <row r="20" spans="1:12" x14ac:dyDescent="0.3">
      <c r="A20" s="2">
        <v>2039</v>
      </c>
      <c r="B20" s="3"/>
      <c r="C20" s="3"/>
      <c r="D20" s="3">
        <v>1045.9636533102771</v>
      </c>
      <c r="E20" s="3">
        <v>7.4217379570838027</v>
      </c>
      <c r="F20" s="3">
        <v>8792.5795564451582</v>
      </c>
      <c r="G20" s="3"/>
      <c r="H20" s="3"/>
      <c r="I20" s="3">
        <v>6198.3746896716766</v>
      </c>
      <c r="J20" s="3"/>
      <c r="K20" s="3">
        <v>10064.512655118317</v>
      </c>
      <c r="L20" s="3">
        <v>26108.85229250251</v>
      </c>
    </row>
    <row r="21" spans="1:12" x14ac:dyDescent="0.3">
      <c r="A21" s="2">
        <v>2040</v>
      </c>
      <c r="B21" s="3"/>
      <c r="C21" s="3">
        <v>28299.810359476825</v>
      </c>
      <c r="D21" s="3">
        <v>836.66019250485783</v>
      </c>
      <c r="E21" s="3">
        <v>7.4189560085716275</v>
      </c>
      <c r="F21" s="3">
        <v>8623.3543405191267</v>
      </c>
      <c r="G21" s="3"/>
      <c r="H21" s="3"/>
      <c r="I21" s="3">
        <v>6091.1141011575974</v>
      </c>
      <c r="J21" s="3"/>
      <c r="K21" s="3">
        <v>10037.165293235854</v>
      </c>
      <c r="L21" s="3">
        <v>53895.523242902833</v>
      </c>
    </row>
    <row r="22" spans="1:12" x14ac:dyDescent="0.3">
      <c r="A22" s="2">
        <v>2041</v>
      </c>
      <c r="B22" s="3"/>
      <c r="C22" s="3">
        <v>24958.107743388842</v>
      </c>
      <c r="D22" s="3">
        <v>688.24737574076607</v>
      </c>
      <c r="E22" s="3">
        <v>7.4159774596466175</v>
      </c>
      <c r="F22" s="3">
        <v>8454.1291245930952</v>
      </c>
      <c r="G22" s="3"/>
      <c r="H22" s="3"/>
      <c r="I22" s="3">
        <v>5983.8535126435181</v>
      </c>
      <c r="J22" s="3"/>
      <c r="K22" s="3">
        <v>10009.817931353393</v>
      </c>
      <c r="L22" s="3">
        <v>50101.571665179261</v>
      </c>
    </row>
    <row r="23" spans="1:12" x14ac:dyDescent="0.3">
      <c r="A23" s="2">
        <v>2042</v>
      </c>
      <c r="B23" s="3"/>
      <c r="C23" s="3"/>
      <c r="D23" s="3">
        <v>751.95524368513838</v>
      </c>
      <c r="E23" s="3">
        <v>7.4044244584057353</v>
      </c>
      <c r="F23" s="3">
        <v>8284.9039086670655</v>
      </c>
      <c r="G23" s="3"/>
      <c r="H23" s="3"/>
      <c r="I23" s="3">
        <v>5876.5929241294389</v>
      </c>
      <c r="J23" s="3"/>
      <c r="K23" s="3">
        <v>9982.4705694709282</v>
      </c>
      <c r="L23" s="3">
        <v>24903.327070410975</v>
      </c>
    </row>
    <row r="24" spans="1:12" x14ac:dyDescent="0.3">
      <c r="A24" s="2">
        <v>2043</v>
      </c>
      <c r="B24" s="3"/>
      <c r="C24" s="3"/>
      <c r="D24" s="3">
        <v>487.47176010920981</v>
      </c>
      <c r="E24" s="3">
        <v>7.3888237618331845</v>
      </c>
      <c r="F24" s="3">
        <v>591.33340184297037</v>
      </c>
      <c r="G24" s="3"/>
      <c r="H24" s="3"/>
      <c r="I24" s="3">
        <v>5769.3323356003684</v>
      </c>
      <c r="J24" s="3"/>
      <c r="K24" s="3">
        <v>9955.1232075884673</v>
      </c>
      <c r="L24" s="3">
        <v>16810.64952890285</v>
      </c>
    </row>
    <row r="25" spans="1:12" x14ac:dyDescent="0.3">
      <c r="A25" s="2">
        <v>2044</v>
      </c>
      <c r="B25" s="3"/>
      <c r="C25" s="3"/>
      <c r="D25" s="3">
        <v>438.04021709924706</v>
      </c>
      <c r="E25" s="3">
        <v>7.3644226756570168</v>
      </c>
      <c r="F25" s="3">
        <v>1250.7011819982899</v>
      </c>
      <c r="G25" s="3"/>
      <c r="H25" s="3"/>
      <c r="I25" s="3">
        <v>1067.8179006969883</v>
      </c>
      <c r="J25" s="3"/>
      <c r="K25" s="3">
        <v>9927.7758457060045</v>
      </c>
      <c r="L25" s="3">
        <v>12691.699568176187</v>
      </c>
    </row>
    <row r="26" spans="1:12" x14ac:dyDescent="0.3">
      <c r="A26" s="2">
        <v>2045</v>
      </c>
      <c r="B26" s="3"/>
      <c r="C26" s="3"/>
      <c r="D26" s="3">
        <v>404.11204882845021</v>
      </c>
      <c r="E26" s="3">
        <v>8.6689238686564174</v>
      </c>
      <c r="F26" s="3">
        <v>6142.3050439473564</v>
      </c>
      <c r="G26" s="3"/>
      <c r="H26" s="3"/>
      <c r="I26" s="3">
        <v>5554.8111585722108</v>
      </c>
      <c r="J26" s="3"/>
      <c r="K26" s="3">
        <v>9900.4284838235417</v>
      </c>
      <c r="L26" s="3">
        <v>22010.325659040216</v>
      </c>
    </row>
    <row r="27" spans="1:12" x14ac:dyDescent="0.3">
      <c r="A27" s="2">
        <v>2046</v>
      </c>
      <c r="B27" s="3"/>
      <c r="C27" s="3"/>
      <c r="D27" s="3">
        <v>381.77693721315939</v>
      </c>
      <c r="E27" s="3">
        <v>7.172893757115304</v>
      </c>
      <c r="F27" s="3">
        <v>7608.0030449479527</v>
      </c>
      <c r="G27" s="3"/>
      <c r="H27" s="3"/>
      <c r="I27" s="3">
        <v>5447.5505700581316</v>
      </c>
      <c r="J27" s="3"/>
      <c r="K27" s="3">
        <v>9873.0811219410789</v>
      </c>
      <c r="L27" s="3">
        <v>23317.584567917438</v>
      </c>
    </row>
    <row r="28" spans="1:12" x14ac:dyDescent="0.3">
      <c r="A28" s="2">
        <v>2047</v>
      </c>
      <c r="B28" s="3"/>
      <c r="C28" s="3">
        <v>28249.272447289335</v>
      </c>
      <c r="D28" s="3">
        <v>373.27075502545824</v>
      </c>
      <c r="E28" s="3">
        <v>6.1475266780567308</v>
      </c>
      <c r="F28" s="3">
        <v>7438.7778290219212</v>
      </c>
      <c r="G28" s="3">
        <v>5046.6605302741946</v>
      </c>
      <c r="H28" s="3"/>
      <c r="I28" s="3">
        <v>5340.2899815440524</v>
      </c>
      <c r="J28" s="3">
        <v>632.62434210369827</v>
      </c>
      <c r="K28" s="3">
        <v>9845.7337600586161</v>
      </c>
      <c r="L28" s="3">
        <v>56932.777171995345</v>
      </c>
    </row>
    <row r="29" spans="1:12" x14ac:dyDescent="0.3">
      <c r="A29" s="2">
        <v>2048</v>
      </c>
      <c r="B29" s="3"/>
      <c r="C29" s="3">
        <v>28242.052745548266</v>
      </c>
      <c r="D29" s="3">
        <v>182.38228641887849</v>
      </c>
      <c r="E29" s="3">
        <v>8.1074245285165496</v>
      </c>
      <c r="F29" s="3">
        <v>7269.5526130958906</v>
      </c>
      <c r="G29" s="3"/>
      <c r="H29" s="3"/>
      <c r="I29" s="3">
        <v>5233.029393029974</v>
      </c>
      <c r="J29" s="3">
        <v>1295.7413925374262</v>
      </c>
      <c r="K29" s="3">
        <v>9818.3863981761551</v>
      </c>
      <c r="L29" s="3">
        <v>52049.252253335108</v>
      </c>
    </row>
    <row r="30" spans="1:12" x14ac:dyDescent="0.3">
      <c r="A30" s="2">
        <v>2049</v>
      </c>
      <c r="B30" s="3"/>
      <c r="C30" s="3"/>
      <c r="D30" s="3">
        <v>178.12919532502787</v>
      </c>
      <c r="E30" s="3">
        <v>6.3008047008625798</v>
      </c>
      <c r="F30" s="3"/>
      <c r="G30" s="3"/>
      <c r="H30" s="3"/>
      <c r="I30" s="3">
        <v>3861.7466609432913</v>
      </c>
      <c r="J30" s="3"/>
      <c r="K30" s="3">
        <v>9791.0390362936905</v>
      </c>
      <c r="L30" s="3">
        <v>13837.215697262873</v>
      </c>
    </row>
    <row r="31" spans="1:12" x14ac:dyDescent="0.3">
      <c r="A31" s="2">
        <v>2050</v>
      </c>
      <c r="B31" s="3"/>
      <c r="C31" s="3"/>
      <c r="D31" s="3">
        <v>173.87610423117727</v>
      </c>
      <c r="E31" s="3"/>
      <c r="F31" s="3"/>
      <c r="G31" s="3"/>
      <c r="H31" s="3"/>
      <c r="I31" s="3"/>
      <c r="J31" s="3"/>
      <c r="K31" s="3"/>
      <c r="L31" s="3">
        <v>173.87610423117727</v>
      </c>
    </row>
    <row r="32" spans="1:12" x14ac:dyDescent="0.3">
      <c r="A32" s="2">
        <v>2051</v>
      </c>
      <c r="B32" s="3"/>
      <c r="C32" s="3"/>
      <c r="D32" s="3">
        <v>173.87610423117727</v>
      </c>
      <c r="E32" s="3"/>
      <c r="F32" s="3"/>
      <c r="G32" s="3"/>
      <c r="H32" s="3"/>
      <c r="I32" s="3"/>
      <c r="J32" s="3"/>
      <c r="K32" s="3">
        <v>9763.6916744112277</v>
      </c>
      <c r="L32" s="3">
        <v>9937.5677786424058</v>
      </c>
    </row>
    <row r="33" spans="1:12" x14ac:dyDescent="0.3">
      <c r="A33" s="2">
        <v>2052</v>
      </c>
      <c r="B33" s="3"/>
      <c r="C33" s="3"/>
      <c r="D33" s="3">
        <v>173.87610423117727</v>
      </c>
      <c r="E33" s="3"/>
      <c r="F33" s="3">
        <v>6931.1021812438312</v>
      </c>
      <c r="G33" s="3"/>
      <c r="H33" s="3"/>
      <c r="I33" s="3">
        <v>1241.8130357187842</v>
      </c>
      <c r="J33" s="3"/>
      <c r="K33" s="3">
        <v>9763.6916744112277</v>
      </c>
      <c r="L33" s="3">
        <v>18110.48299560502</v>
      </c>
    </row>
    <row r="34" spans="1:12" x14ac:dyDescent="0.3">
      <c r="A34" s="2">
        <v>2053</v>
      </c>
      <c r="B34" s="3"/>
      <c r="C34" s="3"/>
      <c r="D34" s="3">
        <v>173.87610423117727</v>
      </c>
      <c r="E34" s="3">
        <v>3.0209519037381978</v>
      </c>
      <c r="F34" s="3">
        <v>6595.9979556219014</v>
      </c>
      <c r="G34" s="3"/>
      <c r="H34" s="3"/>
      <c r="I34" s="3">
        <v>2374.9099539288241</v>
      </c>
      <c r="J34" s="3"/>
      <c r="K34" s="3">
        <v>9763.6916744112277</v>
      </c>
      <c r="L34" s="3">
        <v>18911.49664009687</v>
      </c>
    </row>
    <row r="35" spans="1:12" x14ac:dyDescent="0.3">
      <c r="A35" s="2">
        <v>2054</v>
      </c>
      <c r="B35" s="3"/>
      <c r="C35" s="3"/>
      <c r="D35" s="3">
        <v>173.87610423117727</v>
      </c>
      <c r="E35" s="3">
        <v>3.086102160658788</v>
      </c>
      <c r="F35" s="3">
        <v>1522.9252602010056</v>
      </c>
      <c r="G35" s="3"/>
      <c r="H35" s="3"/>
      <c r="I35" s="3">
        <v>2245.7810893735573</v>
      </c>
      <c r="J35" s="3"/>
      <c r="K35" s="3">
        <v>9763.6916744112277</v>
      </c>
      <c r="L35" s="3">
        <v>13709.360230377626</v>
      </c>
    </row>
    <row r="36" spans="1:12" x14ac:dyDescent="0.3">
      <c r="A36" s="2">
        <v>2055</v>
      </c>
      <c r="B36" s="3"/>
      <c r="C36" s="3"/>
      <c r="D36" s="3">
        <v>173.87610423117727</v>
      </c>
      <c r="E36" s="3"/>
      <c r="F36" s="3"/>
      <c r="G36" s="3"/>
      <c r="H36" s="3"/>
      <c r="I36" s="3"/>
      <c r="J36" s="3"/>
      <c r="K36" s="3">
        <v>2360.7773483352757</v>
      </c>
      <c r="L36" s="3">
        <v>2534.6534525664529</v>
      </c>
    </row>
    <row r="37" spans="1:12" x14ac:dyDescent="0.3">
      <c r="A37" s="2" t="s">
        <v>170</v>
      </c>
      <c r="B37" s="3">
        <v>13862.851758940096</v>
      </c>
      <c r="C37" s="3">
        <v>109749.24329570327</v>
      </c>
      <c r="D37" s="3">
        <v>44571.905294200995</v>
      </c>
      <c r="E37" s="3">
        <v>254.2573763828716</v>
      </c>
      <c r="F37" s="3">
        <v>118533.43088289091</v>
      </c>
      <c r="G37" s="3">
        <v>5046.6605302741946</v>
      </c>
      <c r="H37" s="3">
        <v>3470.511319185347</v>
      </c>
      <c r="I37" s="3">
        <v>73527.112871241246</v>
      </c>
      <c r="J37" s="3">
        <v>1928.3657346411246</v>
      </c>
      <c r="K37" s="3">
        <v>211970.04362894301</v>
      </c>
      <c r="L37" s="3">
        <v>582914.38269240293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7B49-45BE-460D-B752-85DCBB3FCC71}">
  <sheetPr>
    <tabColor rgb="FF92D050"/>
  </sheetPr>
  <dimension ref="A1:L37"/>
  <sheetViews>
    <sheetView topLeftCell="G1" zoomScale="85" zoomScaleNormal="85" workbookViewId="0">
      <selection activeCell="Z23" sqref="Z23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16.77734375" bestFit="1" customWidth="1"/>
    <col min="4" max="4" width="12" bestFit="1" customWidth="1"/>
    <col min="5" max="5" width="15.44140625" bestFit="1" customWidth="1"/>
    <col min="6" max="6" width="12" bestFit="1" customWidth="1"/>
    <col min="7" max="7" width="16.21875" bestFit="1" customWidth="1"/>
    <col min="8" max="8" width="12" bestFit="1" customWidth="1"/>
    <col min="9" max="9" width="16.21875" bestFit="1" customWidth="1"/>
    <col min="10" max="10" width="16.77734375" bestFit="1" customWidth="1"/>
    <col min="11" max="11" width="13.109375" bestFit="1" customWidth="1"/>
    <col min="12" max="12" width="12" bestFit="1" customWidth="1"/>
    <col min="13" max="13" width="13.109375" bestFit="1" customWidth="1"/>
    <col min="14" max="14" width="12" bestFit="1" customWidth="1"/>
  </cols>
  <sheetData>
    <row r="1" spans="1:12" x14ac:dyDescent="0.3">
      <c r="A1" s="1" t="s">
        <v>1</v>
      </c>
      <c r="B1" t="s">
        <v>39</v>
      </c>
    </row>
    <row r="2" spans="1:12" x14ac:dyDescent="0.3">
      <c r="A2" s="1" t="s">
        <v>3</v>
      </c>
      <c r="B2" t="s">
        <v>37</v>
      </c>
    </row>
    <row r="4" spans="1:12" x14ac:dyDescent="0.3">
      <c r="A4" s="1" t="s">
        <v>172</v>
      </c>
      <c r="B4" s="1" t="s">
        <v>171</v>
      </c>
    </row>
    <row r="5" spans="1:12" x14ac:dyDescent="0.3">
      <c r="A5" s="1" t="s">
        <v>169</v>
      </c>
      <c r="B5" t="s">
        <v>24</v>
      </c>
      <c r="C5" t="s">
        <v>26</v>
      </c>
      <c r="D5" t="s">
        <v>31</v>
      </c>
      <c r="E5" t="s">
        <v>32</v>
      </c>
      <c r="F5" t="s">
        <v>33</v>
      </c>
      <c r="G5" t="s">
        <v>41</v>
      </c>
      <c r="H5" t="s">
        <v>34</v>
      </c>
      <c r="I5" t="s">
        <v>42</v>
      </c>
      <c r="J5" t="s">
        <v>43</v>
      </c>
      <c r="K5" t="s">
        <v>36</v>
      </c>
      <c r="L5" t="s">
        <v>170</v>
      </c>
    </row>
    <row r="6" spans="1:12" x14ac:dyDescent="0.3">
      <c r="A6" s="2">
        <v>2025</v>
      </c>
      <c r="B6" s="3"/>
      <c r="C6" s="3"/>
      <c r="D6" s="3"/>
      <c r="E6" s="3"/>
      <c r="F6" s="3">
        <v>212.85420944558521</v>
      </c>
      <c r="G6" s="3"/>
      <c r="H6" s="3">
        <v>168.28473648186039</v>
      </c>
      <c r="I6" s="3"/>
      <c r="J6" s="3"/>
      <c r="K6" s="3">
        <v>4.8680290733678859</v>
      </c>
      <c r="L6" s="3">
        <v>386.0069750008135</v>
      </c>
    </row>
    <row r="7" spans="1:12" x14ac:dyDescent="0.3">
      <c r="A7" s="2">
        <v>2026</v>
      </c>
      <c r="B7" s="3"/>
      <c r="C7" s="3"/>
      <c r="D7" s="3">
        <v>328.60547063148022</v>
      </c>
      <c r="E7" s="3"/>
      <c r="F7" s="3">
        <v>1767.7891854893908</v>
      </c>
      <c r="G7" s="3"/>
      <c r="H7" s="3">
        <v>106.61697467487936</v>
      </c>
      <c r="I7" s="3"/>
      <c r="J7" s="3"/>
      <c r="K7" s="3">
        <v>447.93720593929419</v>
      </c>
      <c r="L7" s="3">
        <v>2650.9488367350441</v>
      </c>
    </row>
    <row r="8" spans="1:12" x14ac:dyDescent="0.3">
      <c r="A8" s="2">
        <v>2027</v>
      </c>
      <c r="B8" s="3"/>
      <c r="C8" s="3"/>
      <c r="D8" s="3">
        <v>470.25122316018962</v>
      </c>
      <c r="E8" s="3"/>
      <c r="F8" s="3">
        <v>2313.4154688569474</v>
      </c>
      <c r="G8" s="3"/>
      <c r="H8" s="3">
        <v>109.92470910335386</v>
      </c>
      <c r="I8" s="3"/>
      <c r="J8" s="3"/>
      <c r="K8" s="3">
        <v>551.37272796410377</v>
      </c>
      <c r="L8" s="3">
        <v>3444.9641290845948</v>
      </c>
    </row>
    <row r="9" spans="1:12" x14ac:dyDescent="0.3">
      <c r="A9" s="2">
        <v>2028</v>
      </c>
      <c r="B9" s="3">
        <v>1199.0772428828554</v>
      </c>
      <c r="C9" s="3"/>
      <c r="D9" s="3">
        <v>517.46647400309269</v>
      </c>
      <c r="E9" s="3"/>
      <c r="F9" s="3"/>
      <c r="G9" s="3"/>
      <c r="H9" s="3"/>
      <c r="I9" s="3"/>
      <c r="J9" s="3"/>
      <c r="K9" s="3">
        <v>202.80376200978529</v>
      </c>
      <c r="L9" s="3">
        <v>1919.3474788957333</v>
      </c>
    </row>
    <row r="10" spans="1:12" x14ac:dyDescent="0.3">
      <c r="A10" s="2">
        <v>2029</v>
      </c>
      <c r="B10" s="3"/>
      <c r="C10" s="3"/>
      <c r="D10" s="3">
        <v>564.68172484599586</v>
      </c>
      <c r="E10" s="3"/>
      <c r="F10" s="3"/>
      <c r="G10" s="3"/>
      <c r="H10" s="3"/>
      <c r="I10" s="3"/>
      <c r="J10" s="3"/>
      <c r="K10" s="3">
        <v>301.03683423327504</v>
      </c>
      <c r="L10" s="3">
        <v>865.7185590792709</v>
      </c>
    </row>
    <row r="11" spans="1:12" x14ac:dyDescent="0.3">
      <c r="A11" s="2">
        <v>2030</v>
      </c>
      <c r="B11" s="3"/>
      <c r="C11" s="3"/>
      <c r="D11" s="3">
        <v>573.55438943392403</v>
      </c>
      <c r="E11" s="3"/>
      <c r="F11" s="3">
        <v>249.82888432580424</v>
      </c>
      <c r="G11" s="3"/>
      <c r="H11" s="3"/>
      <c r="I11" s="3"/>
      <c r="J11" s="3"/>
      <c r="K11" s="3">
        <v>297.86802545187214</v>
      </c>
      <c r="L11" s="3">
        <v>1121.2512992116003</v>
      </c>
    </row>
    <row r="12" spans="1:12" x14ac:dyDescent="0.3">
      <c r="A12" s="2">
        <v>2031</v>
      </c>
      <c r="B12" s="3"/>
      <c r="C12" s="3"/>
      <c r="D12" s="3">
        <v>558.66098816133035</v>
      </c>
      <c r="E12" s="3">
        <v>18.157728380173648</v>
      </c>
      <c r="F12" s="3"/>
      <c r="G12" s="3"/>
      <c r="H12" s="3"/>
      <c r="I12" s="3"/>
      <c r="J12" s="3"/>
      <c r="K12" s="3">
        <v>297.86802545187214</v>
      </c>
      <c r="L12" s="3">
        <v>874.68674199337624</v>
      </c>
    </row>
    <row r="13" spans="1:12" x14ac:dyDescent="0.3">
      <c r="A13" s="2">
        <v>2032</v>
      </c>
      <c r="B13" s="3"/>
      <c r="C13" s="3"/>
      <c r="D13" s="3">
        <v>500.35490658351711</v>
      </c>
      <c r="E13" s="3">
        <v>1.229094143036713</v>
      </c>
      <c r="F13" s="3"/>
      <c r="G13" s="3"/>
      <c r="H13" s="3"/>
      <c r="I13" s="3"/>
      <c r="J13" s="3"/>
      <c r="K13" s="3">
        <v>297.86802545187214</v>
      </c>
      <c r="L13" s="3">
        <v>799.45202617842597</v>
      </c>
    </row>
    <row r="14" spans="1:12" x14ac:dyDescent="0.3">
      <c r="A14" s="2">
        <v>2033</v>
      </c>
      <c r="B14" s="3"/>
      <c r="C14" s="3"/>
      <c r="D14" s="3">
        <v>504.4743579993409</v>
      </c>
      <c r="E14" s="3">
        <v>1.2390483156937637</v>
      </c>
      <c r="F14" s="3"/>
      <c r="G14" s="3"/>
      <c r="H14" s="3"/>
      <c r="I14" s="3"/>
      <c r="J14" s="3"/>
      <c r="K14" s="3">
        <v>297.86802545187214</v>
      </c>
      <c r="L14" s="3">
        <v>803.5814317669068</v>
      </c>
    </row>
    <row r="15" spans="1:12" x14ac:dyDescent="0.3">
      <c r="A15" s="2">
        <v>2034</v>
      </c>
      <c r="B15" s="3"/>
      <c r="C15" s="3"/>
      <c r="D15" s="3">
        <v>423.03597231728645</v>
      </c>
      <c r="E15" s="3">
        <v>1.2465984505725094</v>
      </c>
      <c r="F15" s="3"/>
      <c r="G15" s="3"/>
      <c r="H15" s="3"/>
      <c r="I15" s="3"/>
      <c r="J15" s="3"/>
      <c r="K15" s="3">
        <v>297.86802545187214</v>
      </c>
      <c r="L15" s="3">
        <v>722.15059621973114</v>
      </c>
    </row>
    <row r="16" spans="1:12" x14ac:dyDescent="0.3">
      <c r="A16" s="2">
        <v>2035</v>
      </c>
      <c r="B16" s="3"/>
      <c r="C16" s="3"/>
      <c r="D16" s="3">
        <v>373.60255532740132</v>
      </c>
      <c r="E16" s="3">
        <v>1.2575553124877632</v>
      </c>
      <c r="F16" s="3"/>
      <c r="G16" s="3"/>
      <c r="H16" s="3"/>
      <c r="I16" s="3"/>
      <c r="J16" s="3"/>
      <c r="K16" s="3">
        <v>1499.1634344817096</v>
      </c>
      <c r="L16" s="3">
        <v>1874.0235451215985</v>
      </c>
    </row>
    <row r="17" spans="1:12" x14ac:dyDescent="0.3">
      <c r="A17" s="2">
        <v>2036</v>
      </c>
      <c r="B17" s="3"/>
      <c r="C17" s="3"/>
      <c r="D17" s="3">
        <v>379.62329201206683</v>
      </c>
      <c r="E17" s="3">
        <v>1.2810768733202709</v>
      </c>
      <c r="F17" s="3"/>
      <c r="G17" s="3"/>
      <c r="H17" s="3"/>
      <c r="I17" s="3">
        <v>413.6552109117477</v>
      </c>
      <c r="J17" s="3"/>
      <c r="K17" s="3">
        <v>1499.1634344817096</v>
      </c>
      <c r="L17" s="3">
        <v>2293.7230142788444</v>
      </c>
    </row>
    <row r="18" spans="1:12" x14ac:dyDescent="0.3">
      <c r="A18" s="2">
        <v>2037</v>
      </c>
      <c r="B18" s="3"/>
      <c r="C18" s="3"/>
      <c r="D18" s="3">
        <v>321.63409131239382</v>
      </c>
      <c r="E18" s="3">
        <v>1.3036651011524265</v>
      </c>
      <c r="F18" s="3"/>
      <c r="G18" s="3"/>
      <c r="H18" s="3"/>
      <c r="I18" s="3">
        <v>732.97085025139711</v>
      </c>
      <c r="J18" s="3"/>
      <c r="K18" s="3">
        <v>1499.1634344817096</v>
      </c>
      <c r="L18" s="3">
        <v>2555.0720411466527</v>
      </c>
    </row>
    <row r="19" spans="1:12" x14ac:dyDescent="0.3">
      <c r="A19" s="2">
        <v>2038</v>
      </c>
      <c r="B19" s="3"/>
      <c r="C19" s="3"/>
      <c r="D19" s="3">
        <v>243.9982761680229</v>
      </c>
      <c r="E19" s="3">
        <v>1.3283403227367456</v>
      </c>
      <c r="F19" s="3"/>
      <c r="G19" s="3"/>
      <c r="H19" s="3"/>
      <c r="I19" s="3">
        <v>1499.1634344817096</v>
      </c>
      <c r="J19" s="3"/>
      <c r="K19" s="3">
        <v>1499.1634344817096</v>
      </c>
      <c r="L19" s="3">
        <v>3243.6534854541787</v>
      </c>
    </row>
    <row r="20" spans="1:12" x14ac:dyDescent="0.3">
      <c r="A20" s="2">
        <v>2039</v>
      </c>
      <c r="B20" s="3"/>
      <c r="C20" s="3"/>
      <c r="D20" s="3">
        <v>190.76228864045427</v>
      </c>
      <c r="E20" s="3">
        <v>1.3535725776917156</v>
      </c>
      <c r="F20" s="3">
        <v>1499.1634344817096</v>
      </c>
      <c r="G20" s="3"/>
      <c r="H20" s="3"/>
      <c r="I20" s="3">
        <v>1499.1634344817096</v>
      </c>
      <c r="J20" s="3"/>
      <c r="K20" s="3">
        <v>1499.1634344817096</v>
      </c>
      <c r="L20" s="3">
        <v>4689.6061646632743</v>
      </c>
    </row>
    <row r="21" spans="1:12" x14ac:dyDescent="0.3">
      <c r="A21" s="2">
        <v>2040</v>
      </c>
      <c r="B21" s="3"/>
      <c r="C21" s="3">
        <v>993.10467209166723</v>
      </c>
      <c r="D21" s="3">
        <v>155.58851116688214</v>
      </c>
      <c r="E21" s="3">
        <v>1.3796572732000179</v>
      </c>
      <c r="F21" s="3">
        <v>1499.1634344817096</v>
      </c>
      <c r="G21" s="3"/>
      <c r="H21" s="3"/>
      <c r="I21" s="3">
        <v>1499.1634344817096</v>
      </c>
      <c r="J21" s="3"/>
      <c r="K21" s="3">
        <v>1499.1634344817096</v>
      </c>
      <c r="L21" s="3">
        <v>5647.5631439768777</v>
      </c>
    </row>
    <row r="22" spans="1:12" x14ac:dyDescent="0.3">
      <c r="A22" s="2">
        <v>2041</v>
      </c>
      <c r="B22" s="3"/>
      <c r="C22" s="3">
        <v>876.06022744155064</v>
      </c>
      <c r="D22" s="3">
        <v>130.55492179379928</v>
      </c>
      <c r="E22" s="3">
        <v>1.4067505251678865</v>
      </c>
      <c r="F22" s="3">
        <v>1499.1634344817096</v>
      </c>
      <c r="G22" s="3"/>
      <c r="H22" s="3"/>
      <c r="I22" s="3">
        <v>1499.1634344817096</v>
      </c>
      <c r="J22" s="3"/>
      <c r="K22" s="3">
        <v>1499.1634344817096</v>
      </c>
      <c r="L22" s="3">
        <v>5505.5122032056461</v>
      </c>
    </row>
    <row r="23" spans="1:12" x14ac:dyDescent="0.3">
      <c r="A23" s="2">
        <v>2042</v>
      </c>
      <c r="B23" s="3"/>
      <c r="C23" s="3"/>
      <c r="D23" s="3">
        <v>145.55781131096407</v>
      </c>
      <c r="E23" s="3">
        <v>1.4332925094065814</v>
      </c>
      <c r="F23" s="3">
        <v>1499.1634344817096</v>
      </c>
      <c r="G23" s="3"/>
      <c r="H23" s="3"/>
      <c r="I23" s="3">
        <v>1499.1634344817096</v>
      </c>
      <c r="J23" s="3"/>
      <c r="K23" s="3">
        <v>1499.1634344817096</v>
      </c>
      <c r="L23" s="3">
        <v>4644.481407265499</v>
      </c>
    </row>
    <row r="24" spans="1:12" x14ac:dyDescent="0.3">
      <c r="A24" s="2">
        <v>2043</v>
      </c>
      <c r="B24" s="3"/>
      <c r="C24" s="3"/>
      <c r="D24" s="3">
        <v>96.33178695464801</v>
      </c>
      <c r="E24" s="3">
        <v>1.4601432425765406</v>
      </c>
      <c r="F24" s="3">
        <v>109.23367560418374</v>
      </c>
      <c r="G24" s="3"/>
      <c r="H24" s="3"/>
      <c r="I24" s="3">
        <v>1499.1634344817096</v>
      </c>
      <c r="J24" s="3"/>
      <c r="K24" s="3">
        <v>1499.1634344817096</v>
      </c>
      <c r="L24" s="3">
        <v>3205.3524747648275</v>
      </c>
    </row>
    <row r="25" spans="1:12" x14ac:dyDescent="0.3">
      <c r="A25" s="2">
        <v>2044</v>
      </c>
      <c r="B25" s="3"/>
      <c r="C25" s="3"/>
      <c r="D25" s="3">
        <v>88.409765001140769</v>
      </c>
      <c r="E25" s="3">
        <v>1.4863632440771803</v>
      </c>
      <c r="F25" s="3">
        <v>235.95500621572955</v>
      </c>
      <c r="G25" s="3"/>
      <c r="H25" s="3"/>
      <c r="I25" s="3">
        <v>282.72929466740464</v>
      </c>
      <c r="J25" s="3"/>
      <c r="K25" s="3">
        <v>1499.1634344817096</v>
      </c>
      <c r="L25" s="3">
        <v>2107.7438636100615</v>
      </c>
    </row>
    <row r="26" spans="1:12" x14ac:dyDescent="0.3">
      <c r="A26" s="2">
        <v>2045</v>
      </c>
      <c r="B26" s="3"/>
      <c r="C26" s="3"/>
      <c r="D26" s="3">
        <v>83.339670950896135</v>
      </c>
      <c r="E26" s="3">
        <v>1.7877845137423494</v>
      </c>
      <c r="F26" s="3">
        <v>1184.0103975916534</v>
      </c>
      <c r="G26" s="3"/>
      <c r="H26" s="3"/>
      <c r="I26" s="3">
        <v>1499.1634344817096</v>
      </c>
      <c r="J26" s="3"/>
      <c r="K26" s="3">
        <v>1499.1634344817096</v>
      </c>
      <c r="L26" s="3">
        <v>4267.4647220197112</v>
      </c>
    </row>
    <row r="27" spans="1:12" x14ac:dyDescent="0.3">
      <c r="A27" s="2">
        <v>2046</v>
      </c>
      <c r="B27" s="3"/>
      <c r="C27" s="3"/>
      <c r="D27" s="3">
        <v>80.487743047633529</v>
      </c>
      <c r="E27" s="3">
        <v>1.5122181917142044</v>
      </c>
      <c r="F27" s="3">
        <v>1499.1634344817096</v>
      </c>
      <c r="G27" s="3"/>
      <c r="H27" s="3"/>
      <c r="I27" s="3">
        <v>1499.1634344817096</v>
      </c>
      <c r="J27" s="3"/>
      <c r="K27" s="3">
        <v>1499.1634344817096</v>
      </c>
      <c r="L27" s="3">
        <v>4579.4902646844766</v>
      </c>
    </row>
    <row r="28" spans="1:12" x14ac:dyDescent="0.3">
      <c r="A28" s="2">
        <v>2047</v>
      </c>
      <c r="B28" s="3"/>
      <c r="C28" s="3">
        <v>993.10467209166723</v>
      </c>
      <c r="D28" s="3">
        <v>80.487743047633529</v>
      </c>
      <c r="E28" s="3">
        <v>1.3255808042292394</v>
      </c>
      <c r="F28" s="3">
        <v>1499.1634344817096</v>
      </c>
      <c r="G28" s="3">
        <v>971.87689144619719</v>
      </c>
      <c r="H28" s="3"/>
      <c r="I28" s="3">
        <v>1499.1634344817096</v>
      </c>
      <c r="J28" s="3">
        <v>73.547320246191489</v>
      </c>
      <c r="K28" s="3">
        <v>1499.1634344817096</v>
      </c>
      <c r="L28" s="3">
        <v>6617.8325110810474</v>
      </c>
    </row>
    <row r="29" spans="1:12" x14ac:dyDescent="0.3">
      <c r="A29" s="2">
        <v>2048</v>
      </c>
      <c r="B29" s="3"/>
      <c r="C29" s="3">
        <v>993.10467209166723</v>
      </c>
      <c r="D29" s="3">
        <v>40.243871523816765</v>
      </c>
      <c r="E29" s="3">
        <v>1.7889574559083274</v>
      </c>
      <c r="F29" s="3">
        <v>1499.1634344817096</v>
      </c>
      <c r="G29" s="3"/>
      <c r="H29" s="3"/>
      <c r="I29" s="3">
        <v>1499.1634344817096</v>
      </c>
      <c r="J29" s="3">
        <v>156.93565955927593</v>
      </c>
      <c r="K29" s="3">
        <v>1499.1634344817096</v>
      </c>
      <c r="L29" s="3">
        <v>5689.5634640757971</v>
      </c>
    </row>
    <row r="30" spans="1:12" x14ac:dyDescent="0.3">
      <c r="A30" s="2">
        <v>2049</v>
      </c>
      <c r="B30" s="3"/>
      <c r="C30" s="3"/>
      <c r="D30" s="3">
        <v>40.243871523816765</v>
      </c>
      <c r="E30" s="3">
        <v>1.4235104717982576</v>
      </c>
      <c r="F30" s="3"/>
      <c r="G30" s="3"/>
      <c r="H30" s="3"/>
      <c r="I30" s="3">
        <v>1129.4675214836836</v>
      </c>
      <c r="J30" s="3"/>
      <c r="K30" s="3">
        <v>1499.1634344817096</v>
      </c>
      <c r="L30" s="3">
        <v>2670.2983379610082</v>
      </c>
    </row>
    <row r="31" spans="1:12" x14ac:dyDescent="0.3">
      <c r="A31" s="2">
        <v>2050</v>
      </c>
      <c r="B31" s="3"/>
      <c r="C31" s="3"/>
      <c r="D31" s="3">
        <v>40.243871523816765</v>
      </c>
      <c r="E31" s="3"/>
      <c r="F31" s="3"/>
      <c r="G31" s="3"/>
      <c r="H31" s="3"/>
      <c r="I31" s="3"/>
      <c r="J31" s="3"/>
      <c r="K31" s="3"/>
      <c r="L31" s="3">
        <v>40.243871523816765</v>
      </c>
    </row>
    <row r="32" spans="1:12" x14ac:dyDescent="0.3">
      <c r="A32" s="2">
        <v>2051</v>
      </c>
      <c r="B32" s="3"/>
      <c r="C32" s="3"/>
      <c r="D32" s="3">
        <v>40.243871523816765</v>
      </c>
      <c r="E32" s="3"/>
      <c r="F32" s="3"/>
      <c r="G32" s="3"/>
      <c r="H32" s="3"/>
      <c r="I32" s="3"/>
      <c r="J32" s="3"/>
      <c r="K32" s="3">
        <v>1499.1634344817096</v>
      </c>
      <c r="L32" s="3">
        <v>1539.4073060055264</v>
      </c>
    </row>
    <row r="33" spans="1:12" x14ac:dyDescent="0.3">
      <c r="A33" s="2">
        <v>2052</v>
      </c>
      <c r="B33" s="3"/>
      <c r="C33" s="3"/>
      <c r="D33" s="3">
        <v>40.243871523816765</v>
      </c>
      <c r="E33" s="3"/>
      <c r="F33" s="3">
        <v>1499.1634344817096</v>
      </c>
      <c r="G33" s="3"/>
      <c r="H33" s="3"/>
      <c r="I33" s="3">
        <v>370.96296658074817</v>
      </c>
      <c r="J33" s="3"/>
      <c r="K33" s="3">
        <v>1499.1634344817096</v>
      </c>
      <c r="L33" s="3">
        <v>3409.5337070679843</v>
      </c>
    </row>
    <row r="34" spans="1:12" x14ac:dyDescent="0.3">
      <c r="A34" s="2">
        <v>2053</v>
      </c>
      <c r="B34" s="3"/>
      <c r="C34" s="3"/>
      <c r="D34" s="3">
        <v>40.243871523816765</v>
      </c>
      <c r="E34" s="3">
        <v>0.69920361300498035</v>
      </c>
      <c r="F34" s="3">
        <v>1426.6820327282946</v>
      </c>
      <c r="G34" s="3"/>
      <c r="H34" s="3"/>
      <c r="I34" s="3">
        <v>709.44950369412368</v>
      </c>
      <c r="J34" s="3"/>
      <c r="K34" s="3">
        <v>1499.1634344817096</v>
      </c>
      <c r="L34" s="3">
        <v>3676.2380460409495</v>
      </c>
    </row>
    <row r="35" spans="1:12" x14ac:dyDescent="0.3">
      <c r="A35" s="2">
        <v>2054</v>
      </c>
      <c r="B35" s="3"/>
      <c r="C35" s="3"/>
      <c r="D35" s="3">
        <v>40.243871523816765</v>
      </c>
      <c r="E35" s="3">
        <v>0.71428273259331632</v>
      </c>
      <c r="F35" s="3">
        <v>329.40127036652217</v>
      </c>
      <c r="G35" s="3"/>
      <c r="H35" s="3"/>
      <c r="I35" s="3">
        <v>670.87523744888426</v>
      </c>
      <c r="J35" s="3"/>
      <c r="K35" s="3">
        <v>1499.1634344817096</v>
      </c>
      <c r="L35" s="3">
        <v>2540.3980965535261</v>
      </c>
    </row>
    <row r="36" spans="1:12" x14ac:dyDescent="0.3">
      <c r="A36" s="2">
        <v>2055</v>
      </c>
      <c r="B36" s="3"/>
      <c r="C36" s="3"/>
      <c r="D36" s="3">
        <v>40.243871523816765</v>
      </c>
      <c r="E36" s="3"/>
      <c r="F36" s="3"/>
      <c r="G36" s="3"/>
      <c r="H36" s="3"/>
      <c r="I36" s="3"/>
      <c r="J36" s="3"/>
      <c r="K36" s="3">
        <v>362.48492840597163</v>
      </c>
      <c r="L36" s="3">
        <v>402.72879992978841</v>
      </c>
    </row>
    <row r="37" spans="1:12" x14ac:dyDescent="0.3">
      <c r="A37" s="2" t="s">
        <v>170</v>
      </c>
      <c r="B37" s="3">
        <v>1199.0772428828554</v>
      </c>
      <c r="C37" s="3">
        <v>3855.3742437165529</v>
      </c>
      <c r="D37" s="3">
        <v>7133.4149360606289</v>
      </c>
      <c r="E37" s="3">
        <v>44.814424054284451</v>
      </c>
      <c r="F37" s="3">
        <v>19822.477606477791</v>
      </c>
      <c r="G37" s="3">
        <v>971.87689144619719</v>
      </c>
      <c r="H37" s="3">
        <v>384.82642026009358</v>
      </c>
      <c r="I37" s="3">
        <v>19301.744929855082</v>
      </c>
      <c r="J37" s="3">
        <v>230.48297980546744</v>
      </c>
      <c r="K37" s="3">
        <v>31843.94887003765</v>
      </c>
      <c r="L37" s="3">
        <v>84788.038544596566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878"/>
  <sheetViews>
    <sheetView workbookViewId="0">
      <pane ySplit="1" topLeftCell="A2" activePane="bottomLeft" state="frozen"/>
      <selection pane="bottomLeft" activeCell="I29" sqref="I2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4</v>
      </c>
      <c r="D1" t="s">
        <v>5</v>
      </c>
      <c r="E1" t="s">
        <v>14</v>
      </c>
      <c r="F1" t="s">
        <v>3</v>
      </c>
      <c r="G1" t="s">
        <v>50</v>
      </c>
      <c r="H1" t="s">
        <v>51</v>
      </c>
      <c r="I1" t="s">
        <v>52</v>
      </c>
      <c r="J1" t="s">
        <v>83</v>
      </c>
      <c r="K1" t="s">
        <v>53</v>
      </c>
      <c r="L1" t="s">
        <v>61</v>
      </c>
    </row>
    <row r="2" spans="1:12" x14ac:dyDescent="0.3">
      <c r="A2" t="str">
        <f t="shared" ref="A2:A65" si="0">B2&amp;"|"&amp;F2&amp;"|"&amp;C2&amp;"|"&amp;D2&amp;"|"&amp;E2</f>
        <v>CN|NewCapacity|RE1|PWRHYDDAM|2028</v>
      </c>
      <c r="B2" t="s">
        <v>39</v>
      </c>
      <c r="C2" t="s">
        <v>19</v>
      </c>
      <c r="D2" t="s">
        <v>24</v>
      </c>
      <c r="E2">
        <v>2028</v>
      </c>
      <c r="F2" t="s">
        <v>37</v>
      </c>
      <c r="G2" t="s">
        <v>69</v>
      </c>
      <c r="H2" t="s">
        <v>70</v>
      </c>
      <c r="I2" t="s">
        <v>65</v>
      </c>
      <c r="J2">
        <f>SUMIFS(RawResultsLong!$P:$P,RawResultsLong!$A:$A,A2)</f>
        <v>37.840000000000003</v>
      </c>
      <c r="K2">
        <f t="shared" ref="K2:K65" si="1">J2*1000/31.5576</f>
        <v>1199.0772428828554</v>
      </c>
      <c r="L2">
        <f>SUMIFS(EmploymentResults!$V:$V,EmploymentResults!$D:$D,B2,EmploymentResults!$F:$F,C2,EmploymentResults!$G:$G,D2,EmploymentResults!$H:$H,E2,EmploymentResults!$J:$J,G2,EmploymentResults!$K:$K,H2,EmploymentResults!$L:$L,I2)</f>
        <v>13862.851758940096</v>
      </c>
    </row>
    <row r="3" spans="1:12" x14ac:dyDescent="0.3">
      <c r="A3" t="str">
        <f t="shared" si="0"/>
        <v>CN|NewCapacity|RE1|PWRHYDROR_NDC|2040</v>
      </c>
      <c r="B3" t="s">
        <v>39</v>
      </c>
      <c r="C3" t="s">
        <v>19</v>
      </c>
      <c r="D3" t="s">
        <v>26</v>
      </c>
      <c r="E3">
        <v>2040</v>
      </c>
      <c r="F3" t="s">
        <v>37</v>
      </c>
      <c r="G3" t="s">
        <v>69</v>
      </c>
      <c r="H3" t="s">
        <v>70</v>
      </c>
      <c r="I3" t="s">
        <v>65</v>
      </c>
      <c r="J3">
        <f>SUMIFS(RawResultsLong!$P:$P,RawResultsLong!$A:$A,A3)</f>
        <v>31.34</v>
      </c>
      <c r="K3">
        <f t="shared" si="1"/>
        <v>993.10467209166723</v>
      </c>
      <c r="L3">
        <f>SUMIFS(EmploymentResults!$V:$V,EmploymentResults!$D:$D,B3,EmploymentResults!$F:$F,C3,EmploymentResults!$G:$G,D3,EmploymentResults!$H:$H,E3,EmploymentResults!$J:$J,G3,EmploymentResults!$K:$K,H3,EmploymentResults!$L:$L,I3)</f>
        <v>28299.810359476825</v>
      </c>
    </row>
    <row r="4" spans="1:12" x14ac:dyDescent="0.3">
      <c r="A4" t="str">
        <f t="shared" si="0"/>
        <v>CN|NewCapacity|RE1|PWRHYDROR_NDC|2041</v>
      </c>
      <c r="B4" t="s">
        <v>39</v>
      </c>
      <c r="C4" t="s">
        <v>19</v>
      </c>
      <c r="D4" t="s">
        <v>26</v>
      </c>
      <c r="E4">
        <v>2041</v>
      </c>
      <c r="F4" t="s">
        <v>37</v>
      </c>
      <c r="G4" t="s">
        <v>69</v>
      </c>
      <c r="H4" t="s">
        <v>70</v>
      </c>
      <c r="I4" t="s">
        <v>65</v>
      </c>
      <c r="J4">
        <f>SUMIFS(RawResultsLong!$P:$P,RawResultsLong!$A:$A,A4)</f>
        <v>27.646358233509481</v>
      </c>
      <c r="K4">
        <f t="shared" si="1"/>
        <v>876.06022744155064</v>
      </c>
      <c r="L4">
        <f>SUMIFS(EmploymentResults!$V:$V,EmploymentResults!$D:$D,B4,EmploymentResults!$F:$F,C4,EmploymentResults!$G:$G,D4,EmploymentResults!$H:$H,E4,EmploymentResults!$J:$J,G4,EmploymentResults!$K:$K,H4,EmploymentResults!$L:$L,I4)</f>
        <v>24958.107743388842</v>
      </c>
    </row>
    <row r="5" spans="1:12" x14ac:dyDescent="0.3">
      <c r="A5" t="str">
        <f t="shared" si="0"/>
        <v>CN|NewCapacity|RE1|PWRHYDROR_NDC|2047</v>
      </c>
      <c r="B5" t="s">
        <v>39</v>
      </c>
      <c r="C5" t="s">
        <v>19</v>
      </c>
      <c r="D5" t="s">
        <v>26</v>
      </c>
      <c r="E5">
        <v>2047</v>
      </c>
      <c r="F5" t="s">
        <v>37</v>
      </c>
      <c r="G5" t="s">
        <v>69</v>
      </c>
      <c r="H5" t="s">
        <v>70</v>
      </c>
      <c r="I5" t="s">
        <v>65</v>
      </c>
      <c r="J5">
        <f>SUMIFS(RawResultsLong!$P:$P,RawResultsLong!$A:$A,A5)</f>
        <v>31.34</v>
      </c>
      <c r="K5">
        <f t="shared" si="1"/>
        <v>993.10467209166723</v>
      </c>
      <c r="L5">
        <f>SUMIFS(EmploymentResults!$V:$V,EmploymentResults!$D:$D,B5,EmploymentResults!$F:$F,C5,EmploymentResults!$G:$G,D5,EmploymentResults!$H:$H,E5,EmploymentResults!$J:$J,G5,EmploymentResults!$K:$K,H5,EmploymentResults!$L:$L,I5)</f>
        <v>28249.272447289335</v>
      </c>
    </row>
    <row r="6" spans="1:12" x14ac:dyDescent="0.3">
      <c r="A6" t="str">
        <f t="shared" si="0"/>
        <v>CN|NewCapacity|RE1|PWRHYDROR_NDC|2048</v>
      </c>
      <c r="B6" t="s">
        <v>39</v>
      </c>
      <c r="C6" t="s">
        <v>19</v>
      </c>
      <c r="D6" t="s">
        <v>26</v>
      </c>
      <c r="E6">
        <v>2048</v>
      </c>
      <c r="F6" t="s">
        <v>37</v>
      </c>
      <c r="G6" t="s">
        <v>69</v>
      </c>
      <c r="H6" t="s">
        <v>70</v>
      </c>
      <c r="I6" t="s">
        <v>65</v>
      </c>
      <c r="J6">
        <f>SUMIFS(RawResultsLong!$P:$P,RawResultsLong!$A:$A,A6)</f>
        <v>31.34</v>
      </c>
      <c r="K6">
        <f t="shared" si="1"/>
        <v>993.10467209166723</v>
      </c>
      <c r="L6">
        <f>SUMIFS(EmploymentResults!$V:$V,EmploymentResults!$D:$D,B6,EmploymentResults!$F:$F,C6,EmploymentResults!$G:$G,D6,EmploymentResults!$H:$H,E6,EmploymentResults!$J:$J,G6,EmploymentResults!$K:$K,H6,EmploymentResults!$L:$L,I6)</f>
        <v>28242.052745548266</v>
      </c>
    </row>
    <row r="7" spans="1:12" x14ac:dyDescent="0.3">
      <c r="A7" t="str">
        <f t="shared" si="0"/>
        <v>CN|NewCapacity|RE1|PWRSOLRTP|2026</v>
      </c>
      <c r="B7" t="s">
        <v>39</v>
      </c>
      <c r="C7" t="s">
        <v>19</v>
      </c>
      <c r="D7" t="s">
        <v>31</v>
      </c>
      <c r="E7">
        <v>2026</v>
      </c>
      <c r="F7" t="s">
        <v>37</v>
      </c>
      <c r="G7" t="s">
        <v>69</v>
      </c>
      <c r="H7" t="s">
        <v>70</v>
      </c>
      <c r="I7" t="s">
        <v>65</v>
      </c>
      <c r="J7">
        <f>SUMIFS(RawResultsLong!$P:$P,RawResultsLong!$A:$A,A7)</f>
        <v>10.37</v>
      </c>
      <c r="K7">
        <f t="shared" si="1"/>
        <v>328.60547063148022</v>
      </c>
      <c r="L7">
        <f>SUMIFS(EmploymentResults!$V:$V,EmploymentResults!$D:$D,B7,EmploymentResults!$F:$F,C7,EmploymentResults!$G:$G,D7,EmploymentResults!$H:$H,E7,EmploymentResults!$J:$J,G7,EmploymentResults!$K:$K,H7,EmploymentResults!$L:$L,I7)</f>
        <v>2748.2611921399916</v>
      </c>
    </row>
    <row r="8" spans="1:12" x14ac:dyDescent="0.3">
      <c r="A8" t="str">
        <f t="shared" si="0"/>
        <v>CN|NewCapacity|RE1|PWRSOLRTP|2027</v>
      </c>
      <c r="B8" t="s">
        <v>39</v>
      </c>
      <c r="C8" t="s">
        <v>19</v>
      </c>
      <c r="D8" t="s">
        <v>31</v>
      </c>
      <c r="E8">
        <v>2027</v>
      </c>
      <c r="F8" t="s">
        <v>37</v>
      </c>
      <c r="G8" t="s">
        <v>69</v>
      </c>
      <c r="H8" t="s">
        <v>70</v>
      </c>
      <c r="I8" t="s">
        <v>65</v>
      </c>
      <c r="J8">
        <f>SUMIFS(RawResultsLong!$P:$P,RawResultsLong!$A:$A,A8)</f>
        <v>14.84</v>
      </c>
      <c r="K8">
        <f t="shared" si="1"/>
        <v>470.25122316018962</v>
      </c>
      <c r="L8">
        <f>SUMIFS(EmploymentResults!$V:$V,EmploymentResults!$D:$D,B8,EmploymentResults!$F:$F,C8,EmploymentResults!$G:$G,D8,EmploymentResults!$H:$H,E8,EmploymentResults!$J:$J,G8,EmploymentResults!$K:$K,H8,EmploymentResults!$L:$L,I8)</f>
        <v>3706.1016353047889</v>
      </c>
    </row>
    <row r="9" spans="1:12" x14ac:dyDescent="0.3">
      <c r="A9" t="str">
        <f t="shared" si="0"/>
        <v>CN|NewCapacity|RE1|PWRSOLRTP|2028</v>
      </c>
      <c r="B9" t="s">
        <v>39</v>
      </c>
      <c r="C9" t="s">
        <v>19</v>
      </c>
      <c r="D9" t="s">
        <v>31</v>
      </c>
      <c r="E9">
        <v>2028</v>
      </c>
      <c r="F9" t="s">
        <v>37</v>
      </c>
      <c r="G9" t="s">
        <v>69</v>
      </c>
      <c r="H9" t="s">
        <v>70</v>
      </c>
      <c r="I9" t="s">
        <v>65</v>
      </c>
      <c r="J9">
        <f>SUMIFS(RawResultsLong!$P:$P,RawResultsLong!$A:$A,A9)</f>
        <v>16.329999999999998</v>
      </c>
      <c r="K9">
        <f t="shared" si="1"/>
        <v>517.46647400309269</v>
      </c>
      <c r="L9">
        <f>SUMIFS(EmploymentResults!$V:$V,EmploymentResults!$D:$D,B9,EmploymentResults!$F:$F,C9,EmploymentResults!$G:$G,D9,EmploymentResults!$H:$H,E9,EmploymentResults!$J:$J,G9,EmploymentResults!$K:$K,H9,EmploymentResults!$L:$L,I9)</f>
        <v>3828.6378737340383</v>
      </c>
    </row>
    <row r="10" spans="1:12" x14ac:dyDescent="0.3">
      <c r="A10" t="str">
        <f t="shared" si="0"/>
        <v>CN|NewCapacity|RE1|PWRSOLRTP|2029</v>
      </c>
      <c r="B10" t="s">
        <v>39</v>
      </c>
      <c r="C10" t="s">
        <v>19</v>
      </c>
      <c r="D10" t="s">
        <v>31</v>
      </c>
      <c r="E10">
        <v>2029</v>
      </c>
      <c r="F10" t="s">
        <v>37</v>
      </c>
      <c r="G10" t="s">
        <v>69</v>
      </c>
      <c r="H10" t="s">
        <v>70</v>
      </c>
      <c r="I10" t="s">
        <v>65</v>
      </c>
      <c r="J10">
        <f>SUMIFS(RawResultsLong!$P:$P,RawResultsLong!$A:$A,A10)</f>
        <v>17.82</v>
      </c>
      <c r="K10">
        <f t="shared" si="1"/>
        <v>564.68172484599586</v>
      </c>
      <c r="L10">
        <f>SUMIFS(EmploymentResults!$V:$V,EmploymentResults!$D:$D,B10,EmploymentResults!$F:$F,C10,EmploymentResults!$G:$G,D10,EmploymentResults!$H:$H,E10,EmploymentResults!$J:$J,G10,EmploymentResults!$K:$K,H10,EmploymentResults!$L:$L,I10)</f>
        <v>3905.6305971694042</v>
      </c>
    </row>
    <row r="11" spans="1:12" x14ac:dyDescent="0.3">
      <c r="A11" t="str">
        <f t="shared" si="0"/>
        <v>CN|NewCapacity|RE1|PWRSOLRTP|2030</v>
      </c>
      <c r="B11" t="s">
        <v>39</v>
      </c>
      <c r="C11" t="s">
        <v>19</v>
      </c>
      <c r="D11" t="s">
        <v>31</v>
      </c>
      <c r="E11">
        <v>2030</v>
      </c>
      <c r="F11" t="s">
        <v>37</v>
      </c>
      <c r="G11" t="s">
        <v>69</v>
      </c>
      <c r="H11" t="s">
        <v>70</v>
      </c>
      <c r="I11" t="s">
        <v>65</v>
      </c>
      <c r="J11">
        <f>SUMIFS(RawResultsLong!$P:$P,RawResultsLong!$A:$A,A11)</f>
        <v>18.100000000000001</v>
      </c>
      <c r="K11">
        <f t="shared" si="1"/>
        <v>573.55438943392403</v>
      </c>
      <c r="L11">
        <f>SUMIFS(EmploymentResults!$V:$V,EmploymentResults!$D:$D,B11,EmploymentResults!$F:$F,C11,EmploymentResults!$G:$G,D11,EmploymentResults!$H:$H,E11,EmploymentResults!$J:$J,G11,EmploymentResults!$K:$K,H11,EmploymentResults!$L:$L,I11)</f>
        <v>3690.375167351478</v>
      </c>
    </row>
    <row r="12" spans="1:12" x14ac:dyDescent="0.3">
      <c r="A12" t="str">
        <f t="shared" si="0"/>
        <v>CN|NewCapacity|RE1|PWRSOLRTP|2031</v>
      </c>
      <c r="B12" t="s">
        <v>39</v>
      </c>
      <c r="C12" t="s">
        <v>19</v>
      </c>
      <c r="D12" t="s">
        <v>31</v>
      </c>
      <c r="E12">
        <v>2031</v>
      </c>
      <c r="F12" t="s">
        <v>37</v>
      </c>
      <c r="G12" t="s">
        <v>69</v>
      </c>
      <c r="H12" t="s">
        <v>70</v>
      </c>
      <c r="I12" t="s">
        <v>65</v>
      </c>
      <c r="J12">
        <f>SUMIFS(RawResultsLong!$P:$P,RawResultsLong!$A:$A,A12)</f>
        <v>17.63</v>
      </c>
      <c r="K12">
        <f t="shared" si="1"/>
        <v>558.66098816133035</v>
      </c>
      <c r="L12">
        <f>SUMIFS(EmploymentResults!$V:$V,EmploymentResults!$D:$D,B12,EmploymentResults!$F:$F,C12,EmploymentResults!$G:$G,D12,EmploymentResults!$H:$H,E12,EmploymentResults!$J:$J,G12,EmploymentResults!$K:$K,H12,EmploymentResults!$L:$L,I12)</f>
        <v>3535.5068041642548</v>
      </c>
    </row>
    <row r="13" spans="1:12" x14ac:dyDescent="0.3">
      <c r="A13" t="str">
        <f t="shared" si="0"/>
        <v>CN|NewCapacity|RE1|PWRSOLRTP|2032</v>
      </c>
      <c r="B13" t="s">
        <v>39</v>
      </c>
      <c r="C13" t="s">
        <v>19</v>
      </c>
      <c r="D13" t="s">
        <v>31</v>
      </c>
      <c r="E13">
        <v>2032</v>
      </c>
      <c r="F13" t="s">
        <v>37</v>
      </c>
      <c r="G13" t="s">
        <v>69</v>
      </c>
      <c r="H13" t="s">
        <v>70</v>
      </c>
      <c r="I13" t="s">
        <v>65</v>
      </c>
      <c r="J13">
        <f>SUMIFS(RawResultsLong!$P:$P,RawResultsLong!$A:$A,A13)</f>
        <v>15.79</v>
      </c>
      <c r="K13">
        <f t="shared" si="1"/>
        <v>500.35490658351711</v>
      </c>
      <c r="L13">
        <f>SUMIFS(EmploymentResults!$V:$V,EmploymentResults!$D:$D,B13,EmploymentResults!$F:$F,C13,EmploymentResults!$G:$G,D13,EmploymentResults!$H:$H,E13,EmploymentResults!$J:$J,G13,EmploymentResults!$K:$K,H13,EmploymentResults!$L:$L,I13)</f>
        <v>3113.6356192848821</v>
      </c>
    </row>
    <row r="14" spans="1:12" x14ac:dyDescent="0.3">
      <c r="A14" t="str">
        <f t="shared" si="0"/>
        <v>CN|NewCapacity|RE1|PWRSOLRTP|2033</v>
      </c>
      <c r="B14" t="s">
        <v>39</v>
      </c>
      <c r="C14" t="s">
        <v>19</v>
      </c>
      <c r="D14" t="s">
        <v>31</v>
      </c>
      <c r="E14">
        <v>2033</v>
      </c>
      <c r="F14" t="s">
        <v>37</v>
      </c>
      <c r="G14" t="s">
        <v>69</v>
      </c>
      <c r="H14" t="s">
        <v>70</v>
      </c>
      <c r="I14" t="s">
        <v>65</v>
      </c>
      <c r="J14">
        <f>SUMIFS(RawResultsLong!$P:$P,RawResultsLong!$A:$A,A14)</f>
        <v>15.92</v>
      </c>
      <c r="K14">
        <f t="shared" si="1"/>
        <v>504.4743579993409</v>
      </c>
      <c r="L14">
        <f>SUMIFS(EmploymentResults!$V:$V,EmploymentResults!$D:$D,B14,EmploymentResults!$F:$F,C14,EmploymentResults!$G:$G,D14,EmploymentResults!$H:$H,E14,EmploymentResults!$J:$J,G14,EmploymentResults!$K:$K,H14,EmploymentResults!$L:$L,I14)</f>
        <v>3085.9560259742184</v>
      </c>
    </row>
    <row r="15" spans="1:12" x14ac:dyDescent="0.3">
      <c r="A15" t="str">
        <f t="shared" si="0"/>
        <v>CN|NewCapacity|RE1|PWRSOLRTP|2034</v>
      </c>
      <c r="B15" t="s">
        <v>39</v>
      </c>
      <c r="C15" t="s">
        <v>19</v>
      </c>
      <c r="D15" t="s">
        <v>31</v>
      </c>
      <c r="E15">
        <v>2034</v>
      </c>
      <c r="F15" t="s">
        <v>37</v>
      </c>
      <c r="G15" t="s">
        <v>69</v>
      </c>
      <c r="H15" t="s">
        <v>70</v>
      </c>
      <c r="I15" t="s">
        <v>65</v>
      </c>
      <c r="J15">
        <f>SUMIFS(RawResultsLong!$P:$P,RawResultsLong!$A:$A,A15)</f>
        <v>13.35</v>
      </c>
      <c r="K15">
        <f t="shared" si="1"/>
        <v>423.03597231728645</v>
      </c>
      <c r="L15">
        <f>SUMIFS(EmploymentResults!$V:$V,EmploymentResults!$D:$D,B15,EmploymentResults!$F:$F,C15,EmploymentResults!$G:$G,D15,EmploymentResults!$H:$H,E15,EmploymentResults!$J:$J,G15,EmploymentResults!$K:$K,H15,EmploymentResults!$L:$L,I15)</f>
        <v>2543.0757867102061</v>
      </c>
    </row>
    <row r="16" spans="1:12" x14ac:dyDescent="0.3">
      <c r="A16" t="str">
        <f t="shared" si="0"/>
        <v>CN|NewCapacity|RE1|PWRSOLRTP|2035</v>
      </c>
      <c r="B16" t="s">
        <v>39</v>
      </c>
      <c r="C16" t="s">
        <v>19</v>
      </c>
      <c r="D16" t="s">
        <v>31</v>
      </c>
      <c r="E16">
        <v>2035</v>
      </c>
      <c r="F16" t="s">
        <v>37</v>
      </c>
      <c r="G16" t="s">
        <v>69</v>
      </c>
      <c r="H16" t="s">
        <v>70</v>
      </c>
      <c r="I16" t="s">
        <v>65</v>
      </c>
      <c r="J16">
        <f>SUMIFS(RawResultsLong!$P:$P,RawResultsLong!$A:$A,A16)</f>
        <v>11.79</v>
      </c>
      <c r="K16">
        <f t="shared" si="1"/>
        <v>373.60255532740132</v>
      </c>
      <c r="L16">
        <f>SUMIFS(EmploymentResults!$V:$V,EmploymentResults!$D:$D,B16,EmploymentResults!$F:$F,C16,EmploymentResults!$G:$G,D16,EmploymentResults!$H:$H,E16,EmploymentResults!$J:$J,G16,EmploymentResults!$K:$K,H16,EmploymentResults!$L:$L,I16)</f>
        <v>2206.4239597035989</v>
      </c>
    </row>
    <row r="17" spans="1:12" x14ac:dyDescent="0.3">
      <c r="A17" t="str">
        <f t="shared" si="0"/>
        <v>CN|NewCapacity|RE1|PWRSOLRTP|2036</v>
      </c>
      <c r="B17" t="s">
        <v>39</v>
      </c>
      <c r="C17" t="s">
        <v>19</v>
      </c>
      <c r="D17" t="s">
        <v>31</v>
      </c>
      <c r="E17">
        <v>2036</v>
      </c>
      <c r="F17" t="s">
        <v>37</v>
      </c>
      <c r="G17" t="s">
        <v>69</v>
      </c>
      <c r="H17" t="s">
        <v>70</v>
      </c>
      <c r="I17" t="s">
        <v>65</v>
      </c>
      <c r="J17">
        <f>SUMIFS(RawResultsLong!$P:$P,RawResultsLong!$A:$A,A17)</f>
        <v>11.98</v>
      </c>
      <c r="K17">
        <f t="shared" si="1"/>
        <v>379.62329201206683</v>
      </c>
      <c r="L17">
        <f>SUMIFS(EmploymentResults!$V:$V,EmploymentResults!$D:$D,B17,EmploymentResults!$F:$F,C17,EmploymentResults!$G:$G,D17,EmploymentResults!$H:$H,E17,EmploymentResults!$J:$J,G17,EmploymentResults!$K:$K,H17,EmploymentResults!$L:$L,I17)</f>
        <v>2201.8615487720358</v>
      </c>
    </row>
    <row r="18" spans="1:12" x14ac:dyDescent="0.3">
      <c r="A18" t="str">
        <f t="shared" si="0"/>
        <v>CN|NewCapacity|RE1|PWRSOLRTP|2037</v>
      </c>
      <c r="B18" t="s">
        <v>39</v>
      </c>
      <c r="C18" t="s">
        <v>19</v>
      </c>
      <c r="D18" t="s">
        <v>31</v>
      </c>
      <c r="E18">
        <v>2037</v>
      </c>
      <c r="F18" t="s">
        <v>37</v>
      </c>
      <c r="G18" t="s">
        <v>69</v>
      </c>
      <c r="H18" t="s">
        <v>70</v>
      </c>
      <c r="I18" t="s">
        <v>65</v>
      </c>
      <c r="J18">
        <f>SUMIFS(RawResultsLong!$P:$P,RawResultsLong!$A:$A,A18)</f>
        <v>10.15</v>
      </c>
      <c r="K18">
        <f t="shared" si="1"/>
        <v>321.63409131239382</v>
      </c>
      <c r="L18">
        <f>SUMIFS(EmploymentResults!$V:$V,EmploymentResults!$D:$D,B18,EmploymentResults!$F:$F,C18,EmploymentResults!$G:$G,D18,EmploymentResults!$H:$H,E18,EmploymentResults!$J:$J,G18,EmploymentResults!$K:$K,H18,EmploymentResults!$L:$L,I18)</f>
        <v>1831.5258486392659</v>
      </c>
    </row>
    <row r="19" spans="1:12" x14ac:dyDescent="0.3">
      <c r="A19" t="str">
        <f t="shared" si="0"/>
        <v>CN|NewCapacity|RE1|PWRSOLRTP|2038</v>
      </c>
      <c r="B19" t="s">
        <v>39</v>
      </c>
      <c r="C19" t="s">
        <v>19</v>
      </c>
      <c r="D19" t="s">
        <v>31</v>
      </c>
      <c r="E19">
        <v>2038</v>
      </c>
      <c r="F19" t="s">
        <v>37</v>
      </c>
      <c r="G19" t="s">
        <v>69</v>
      </c>
      <c r="H19" t="s">
        <v>70</v>
      </c>
      <c r="I19" t="s">
        <v>65</v>
      </c>
      <c r="J19">
        <f>SUMIFS(RawResultsLong!$P:$P,RawResultsLong!$A:$A,A19)</f>
        <v>7.7</v>
      </c>
      <c r="K19">
        <f t="shared" si="1"/>
        <v>243.9982761680229</v>
      </c>
      <c r="L19">
        <f>SUMIFS(EmploymentResults!$V:$V,EmploymentResults!$D:$D,B19,EmploymentResults!$F:$F,C19,EmploymentResults!$G:$G,D19,EmploymentResults!$H:$H,E19,EmploymentResults!$J:$J,G19,EmploymentResults!$K:$K,H19,EmploymentResults!$L:$L,I19)</f>
        <v>1363.6469446053247</v>
      </c>
    </row>
    <row r="20" spans="1:12" x14ac:dyDescent="0.3">
      <c r="A20" t="str">
        <f t="shared" si="0"/>
        <v>CN|NewCapacity|RE1|PWRSOLRTP|2039</v>
      </c>
      <c r="B20" t="s">
        <v>39</v>
      </c>
      <c r="C20" t="s">
        <v>19</v>
      </c>
      <c r="D20" t="s">
        <v>31</v>
      </c>
      <c r="E20">
        <v>2039</v>
      </c>
      <c r="F20" t="s">
        <v>37</v>
      </c>
      <c r="G20" t="s">
        <v>69</v>
      </c>
      <c r="H20" t="s">
        <v>70</v>
      </c>
      <c r="I20" t="s">
        <v>65</v>
      </c>
      <c r="J20">
        <f>SUMIFS(RawResultsLong!$P:$P,RawResultsLong!$A:$A,A20)</f>
        <v>6.02</v>
      </c>
      <c r="K20">
        <f t="shared" si="1"/>
        <v>190.76228864045427</v>
      </c>
      <c r="L20">
        <f>SUMIFS(EmploymentResults!$V:$V,EmploymentResults!$D:$D,B20,EmploymentResults!$F:$F,C20,EmploymentResults!$G:$G,D20,EmploymentResults!$H:$H,E20,EmploymentResults!$J:$J,G20,EmploymentResults!$K:$K,H20,EmploymentResults!$L:$L,I20)</f>
        <v>1045.9636533102771</v>
      </c>
    </row>
    <row r="21" spans="1:12" x14ac:dyDescent="0.3">
      <c r="A21" t="str">
        <f t="shared" si="0"/>
        <v>CN|NewCapacity|RE1|PWRSOLRTP|2040</v>
      </c>
      <c r="B21" t="s">
        <v>39</v>
      </c>
      <c r="C21" t="s">
        <v>19</v>
      </c>
      <c r="D21" t="s">
        <v>31</v>
      </c>
      <c r="E21">
        <v>2040</v>
      </c>
      <c r="F21" t="s">
        <v>37</v>
      </c>
      <c r="G21" t="s">
        <v>69</v>
      </c>
      <c r="H21" t="s">
        <v>70</v>
      </c>
      <c r="I21" t="s">
        <v>65</v>
      </c>
      <c r="J21">
        <f>SUMIFS(RawResultsLong!$P:$P,RawResultsLong!$A:$A,A21)</f>
        <v>4.91</v>
      </c>
      <c r="K21">
        <f t="shared" si="1"/>
        <v>155.58851116688214</v>
      </c>
      <c r="L21">
        <f>SUMIFS(EmploymentResults!$V:$V,EmploymentResults!$D:$D,B21,EmploymentResults!$F:$F,C21,EmploymentResults!$G:$G,D21,EmploymentResults!$H:$H,E21,EmploymentResults!$J:$J,G21,EmploymentResults!$K:$K,H21,EmploymentResults!$L:$L,I21)</f>
        <v>836.66019250485783</v>
      </c>
    </row>
    <row r="22" spans="1:12" x14ac:dyDescent="0.3">
      <c r="A22" t="str">
        <f t="shared" si="0"/>
        <v>CN|NewCapacity|RE1|PWRSOLRTP|2041</v>
      </c>
      <c r="B22" t="s">
        <v>39</v>
      </c>
      <c r="C22" t="s">
        <v>19</v>
      </c>
      <c r="D22" t="s">
        <v>31</v>
      </c>
      <c r="E22">
        <v>2041</v>
      </c>
      <c r="F22" t="s">
        <v>37</v>
      </c>
      <c r="G22" t="s">
        <v>69</v>
      </c>
      <c r="H22" t="s">
        <v>70</v>
      </c>
      <c r="I22" t="s">
        <v>65</v>
      </c>
      <c r="J22">
        <f>SUMIFS(RawResultsLong!$P:$P,RawResultsLong!$A:$A,A22)</f>
        <v>4.12</v>
      </c>
      <c r="K22">
        <f t="shared" si="1"/>
        <v>130.55492179379928</v>
      </c>
      <c r="L22">
        <f>SUMIFS(EmploymentResults!$V:$V,EmploymentResults!$D:$D,B22,EmploymentResults!$F:$F,C22,EmploymentResults!$G:$G,D22,EmploymentResults!$H:$H,E22,EmploymentResults!$J:$J,G22,EmploymentResults!$K:$K,H22,EmploymentResults!$L:$L,I22)</f>
        <v>688.24737574076607</v>
      </c>
    </row>
    <row r="23" spans="1:12" x14ac:dyDescent="0.3">
      <c r="A23" t="str">
        <f t="shared" si="0"/>
        <v>CN|NewCapacity|RE1|PWRSOLRTP|2042</v>
      </c>
      <c r="B23" t="s">
        <v>39</v>
      </c>
      <c r="C23" t="s">
        <v>19</v>
      </c>
      <c r="D23" t="s">
        <v>31</v>
      </c>
      <c r="E23">
        <v>2042</v>
      </c>
      <c r="F23" t="s">
        <v>37</v>
      </c>
      <c r="G23" t="s">
        <v>69</v>
      </c>
      <c r="H23" t="s">
        <v>70</v>
      </c>
      <c r="I23" t="s">
        <v>65</v>
      </c>
      <c r="J23">
        <f>SUMIFS(RawResultsLong!$P:$P,RawResultsLong!$A:$A,A23)</f>
        <v>4.5934551862268798</v>
      </c>
      <c r="K23">
        <f t="shared" si="1"/>
        <v>145.55781131096407</v>
      </c>
      <c r="L23">
        <f>SUMIFS(EmploymentResults!$V:$V,EmploymentResults!$D:$D,B23,EmploymentResults!$F:$F,C23,EmploymentResults!$G:$G,D23,EmploymentResults!$H:$H,E23,EmploymentResults!$J:$J,G23,EmploymentResults!$K:$K,H23,EmploymentResults!$L:$L,I23)</f>
        <v>751.95524368513838</v>
      </c>
    </row>
    <row r="24" spans="1:12" x14ac:dyDescent="0.3">
      <c r="A24" t="str">
        <f t="shared" si="0"/>
        <v>CN|NewCapacity|RE1|PWRSOLRTP|2043</v>
      </c>
      <c r="B24" t="s">
        <v>39</v>
      </c>
      <c r="C24" t="s">
        <v>19</v>
      </c>
      <c r="D24" t="s">
        <v>31</v>
      </c>
      <c r="E24">
        <v>2043</v>
      </c>
      <c r="F24" t="s">
        <v>37</v>
      </c>
      <c r="G24" t="s">
        <v>69</v>
      </c>
      <c r="H24" t="s">
        <v>70</v>
      </c>
      <c r="I24" t="s">
        <v>65</v>
      </c>
      <c r="J24">
        <f>SUMIFS(RawResultsLong!$P:$P,RawResultsLong!$A:$A,A24)</f>
        <v>3.04</v>
      </c>
      <c r="K24">
        <f t="shared" si="1"/>
        <v>96.33178695464801</v>
      </c>
      <c r="L24">
        <f>SUMIFS(EmploymentResults!$V:$V,EmploymentResults!$D:$D,B24,EmploymentResults!$F:$F,C24,EmploymentResults!$G:$G,D24,EmploymentResults!$H:$H,E24,EmploymentResults!$J:$J,G24,EmploymentResults!$K:$K,H24,EmploymentResults!$L:$L,I24)</f>
        <v>487.47176010920981</v>
      </c>
    </row>
    <row r="25" spans="1:12" x14ac:dyDescent="0.3">
      <c r="A25" t="str">
        <f t="shared" si="0"/>
        <v>CN|NewCapacity|RE1|PWRSOLRTP|2044</v>
      </c>
      <c r="B25" t="s">
        <v>39</v>
      </c>
      <c r="C25" t="s">
        <v>19</v>
      </c>
      <c r="D25" t="s">
        <v>31</v>
      </c>
      <c r="E25">
        <v>2044</v>
      </c>
      <c r="F25" t="s">
        <v>37</v>
      </c>
      <c r="G25" t="s">
        <v>69</v>
      </c>
      <c r="H25" t="s">
        <v>70</v>
      </c>
      <c r="I25" t="s">
        <v>65</v>
      </c>
      <c r="J25">
        <f>SUMIFS(RawResultsLong!$P:$P,RawResultsLong!$A:$A,A25)</f>
        <v>2.79</v>
      </c>
      <c r="K25">
        <f t="shared" si="1"/>
        <v>88.409765001140769</v>
      </c>
      <c r="L25">
        <f>SUMIFS(EmploymentResults!$V:$V,EmploymentResults!$D:$D,B25,EmploymentResults!$F:$F,C25,EmploymentResults!$G:$G,D25,EmploymentResults!$H:$H,E25,EmploymentResults!$J:$J,G25,EmploymentResults!$K:$K,H25,EmploymentResults!$L:$L,I25)</f>
        <v>438.04021709924706</v>
      </c>
    </row>
    <row r="26" spans="1:12" x14ac:dyDescent="0.3">
      <c r="A26" t="str">
        <f t="shared" si="0"/>
        <v>CN|NewCapacity|RE1|PWRSOLRTP|2045</v>
      </c>
      <c r="B26" t="s">
        <v>39</v>
      </c>
      <c r="C26" t="s">
        <v>19</v>
      </c>
      <c r="D26" t="s">
        <v>31</v>
      </c>
      <c r="E26">
        <v>2045</v>
      </c>
      <c r="F26" t="s">
        <v>37</v>
      </c>
      <c r="G26" t="s">
        <v>69</v>
      </c>
      <c r="H26" t="s">
        <v>70</v>
      </c>
      <c r="I26" t="s">
        <v>65</v>
      </c>
      <c r="J26">
        <f>SUMIFS(RawResultsLong!$P:$P,RawResultsLong!$A:$A,A26)</f>
        <v>2.63</v>
      </c>
      <c r="K26">
        <f t="shared" si="1"/>
        <v>83.339670950896135</v>
      </c>
      <c r="L26">
        <f>SUMIFS(EmploymentResults!$V:$V,EmploymentResults!$D:$D,B26,EmploymentResults!$F:$F,C26,EmploymentResults!$G:$G,D26,EmploymentResults!$H:$H,E26,EmploymentResults!$J:$J,G26,EmploymentResults!$K:$K,H26,EmploymentResults!$L:$L,I26)</f>
        <v>404.11204882845021</v>
      </c>
    </row>
    <row r="27" spans="1:12" x14ac:dyDescent="0.3">
      <c r="A27" t="str">
        <f t="shared" si="0"/>
        <v>CN|NewCapacity|RE1|PWRSOLRTP|2046</v>
      </c>
      <c r="B27" t="s">
        <v>39</v>
      </c>
      <c r="C27" t="s">
        <v>19</v>
      </c>
      <c r="D27" t="s">
        <v>31</v>
      </c>
      <c r="E27">
        <v>2046</v>
      </c>
      <c r="F27" t="s">
        <v>37</v>
      </c>
      <c r="G27" t="s">
        <v>69</v>
      </c>
      <c r="H27" t="s">
        <v>70</v>
      </c>
      <c r="I27" t="s">
        <v>65</v>
      </c>
      <c r="J27">
        <f>SUMIFS(RawResultsLong!$P:$P,RawResultsLong!$A:$A,A27)</f>
        <v>2.54</v>
      </c>
      <c r="K27">
        <f t="shared" si="1"/>
        <v>80.487743047633529</v>
      </c>
      <c r="L27">
        <f>SUMIFS(EmploymentResults!$V:$V,EmploymentResults!$D:$D,B27,EmploymentResults!$F:$F,C27,EmploymentResults!$G:$G,D27,EmploymentResults!$H:$H,E27,EmploymentResults!$J:$J,G27,EmploymentResults!$K:$K,H27,EmploymentResults!$L:$L,I27)</f>
        <v>381.77693721315939</v>
      </c>
    </row>
    <row r="28" spans="1:12" x14ac:dyDescent="0.3">
      <c r="A28" t="str">
        <f t="shared" si="0"/>
        <v>CN|NewCapacity|RE1|PWRSOLRTP|2047</v>
      </c>
      <c r="B28" t="s">
        <v>39</v>
      </c>
      <c r="C28" t="s">
        <v>19</v>
      </c>
      <c r="D28" t="s">
        <v>31</v>
      </c>
      <c r="E28">
        <v>2047</v>
      </c>
      <c r="F28" t="s">
        <v>37</v>
      </c>
      <c r="G28" t="s">
        <v>69</v>
      </c>
      <c r="H28" t="s">
        <v>70</v>
      </c>
      <c r="I28" t="s">
        <v>65</v>
      </c>
      <c r="J28">
        <f>SUMIFS(RawResultsLong!$P:$P,RawResultsLong!$A:$A,A28)</f>
        <v>2.54</v>
      </c>
      <c r="K28">
        <f t="shared" si="1"/>
        <v>80.487743047633529</v>
      </c>
      <c r="L28">
        <f>SUMIFS(EmploymentResults!$V:$V,EmploymentResults!$D:$D,B28,EmploymentResults!$F:$F,C28,EmploymentResults!$G:$G,D28,EmploymentResults!$H:$H,E28,EmploymentResults!$J:$J,G28,EmploymentResults!$K:$K,H28,EmploymentResults!$L:$L,I28)</f>
        <v>373.27075502545824</v>
      </c>
    </row>
    <row r="29" spans="1:12" x14ac:dyDescent="0.3">
      <c r="A29" t="str">
        <f t="shared" si="0"/>
        <v>CN|NewCapacity|RE1|PWRSOLRTP|2048</v>
      </c>
      <c r="B29" t="s">
        <v>39</v>
      </c>
      <c r="C29" t="s">
        <v>19</v>
      </c>
      <c r="D29" t="s">
        <v>31</v>
      </c>
      <c r="E29">
        <v>2048</v>
      </c>
      <c r="F29" t="s">
        <v>37</v>
      </c>
      <c r="G29" t="s">
        <v>69</v>
      </c>
      <c r="H29" t="s">
        <v>70</v>
      </c>
      <c r="I29" t="s">
        <v>65</v>
      </c>
      <c r="J29">
        <f>SUMIFS(RawResultsLong!$P:$P,RawResultsLong!$A:$A,A29)</f>
        <v>1.27</v>
      </c>
      <c r="K29">
        <f t="shared" si="1"/>
        <v>40.243871523816765</v>
      </c>
      <c r="L29">
        <f>SUMIFS(EmploymentResults!$V:$V,EmploymentResults!$D:$D,B29,EmploymentResults!$F:$F,C29,EmploymentResults!$G:$G,D29,EmploymentResults!$H:$H,E29,EmploymentResults!$J:$J,G29,EmploymentResults!$K:$K,H29,EmploymentResults!$L:$L,I29)</f>
        <v>182.38228641887849</v>
      </c>
    </row>
    <row r="30" spans="1:12" x14ac:dyDescent="0.3">
      <c r="A30" t="str">
        <f t="shared" si="0"/>
        <v>CN|NewCapacity|RE1|PWRSOLRTP|2049</v>
      </c>
      <c r="B30" t="s">
        <v>39</v>
      </c>
      <c r="C30" t="s">
        <v>19</v>
      </c>
      <c r="D30" t="s">
        <v>31</v>
      </c>
      <c r="E30">
        <v>2049</v>
      </c>
      <c r="F30" t="s">
        <v>37</v>
      </c>
      <c r="G30" t="s">
        <v>69</v>
      </c>
      <c r="H30" t="s">
        <v>70</v>
      </c>
      <c r="I30" t="s">
        <v>65</v>
      </c>
      <c r="J30">
        <f>SUMIFS(RawResultsLong!$P:$P,RawResultsLong!$A:$A,A30)</f>
        <v>1.27</v>
      </c>
      <c r="K30">
        <f t="shared" si="1"/>
        <v>40.243871523816765</v>
      </c>
      <c r="L30">
        <f>SUMIFS(EmploymentResults!$V:$V,EmploymentResults!$D:$D,B30,EmploymentResults!$F:$F,C30,EmploymentResults!$G:$G,D30,EmploymentResults!$H:$H,E30,EmploymentResults!$J:$J,G30,EmploymentResults!$K:$K,H30,EmploymentResults!$L:$L,I30)</f>
        <v>178.12919532502787</v>
      </c>
    </row>
    <row r="31" spans="1:12" x14ac:dyDescent="0.3">
      <c r="A31" t="str">
        <f t="shared" si="0"/>
        <v>CN|NewCapacity|RE1|PWRSOLRTP|2050</v>
      </c>
      <c r="B31" t="s">
        <v>39</v>
      </c>
      <c r="C31" t="s">
        <v>19</v>
      </c>
      <c r="D31" t="s">
        <v>31</v>
      </c>
      <c r="E31">
        <v>2050</v>
      </c>
      <c r="F31" t="s">
        <v>37</v>
      </c>
      <c r="G31" t="s">
        <v>69</v>
      </c>
      <c r="H31" t="s">
        <v>70</v>
      </c>
      <c r="I31" t="s">
        <v>65</v>
      </c>
      <c r="J31">
        <f>SUMIFS(RawResultsLong!$P:$P,RawResultsLong!$A:$A,A31)</f>
        <v>1.27</v>
      </c>
      <c r="K31">
        <f t="shared" si="1"/>
        <v>40.243871523816765</v>
      </c>
      <c r="L31">
        <f>SUMIFS(EmploymentResults!$V:$V,EmploymentResults!$D:$D,B31,EmploymentResults!$F:$F,C31,EmploymentResults!$G:$G,D31,EmploymentResults!$H:$H,E31,EmploymentResults!$J:$J,G31,EmploymentResults!$K:$K,H31,EmploymentResults!$L:$L,I31)</f>
        <v>173.87610423117727</v>
      </c>
    </row>
    <row r="32" spans="1:12" x14ac:dyDescent="0.3">
      <c r="A32" t="str">
        <f t="shared" si="0"/>
        <v>CN|NewCapacity|RE1|PWRSOLRTP|2051</v>
      </c>
      <c r="B32" t="s">
        <v>39</v>
      </c>
      <c r="C32" t="s">
        <v>19</v>
      </c>
      <c r="D32" t="s">
        <v>31</v>
      </c>
      <c r="E32">
        <v>2051</v>
      </c>
      <c r="F32" t="s">
        <v>37</v>
      </c>
      <c r="G32" t="s">
        <v>69</v>
      </c>
      <c r="H32" t="s">
        <v>70</v>
      </c>
      <c r="I32" t="s">
        <v>65</v>
      </c>
      <c r="J32">
        <f>SUMIFS(RawResultsLong!$P:$P,RawResultsLong!$A:$A,A32)</f>
        <v>1.27</v>
      </c>
      <c r="K32">
        <f t="shared" si="1"/>
        <v>40.243871523816765</v>
      </c>
      <c r="L32">
        <f>SUMIFS(EmploymentResults!$V:$V,EmploymentResults!$D:$D,B32,EmploymentResults!$F:$F,C32,EmploymentResults!$G:$G,D32,EmploymentResults!$H:$H,E32,EmploymentResults!$J:$J,G32,EmploymentResults!$K:$K,H32,EmploymentResults!$L:$L,I32)</f>
        <v>173.87610423117727</v>
      </c>
    </row>
    <row r="33" spans="1:12" x14ac:dyDescent="0.3">
      <c r="A33" t="str">
        <f t="shared" si="0"/>
        <v>CN|NewCapacity|RE1|PWRSOLRTP|2052</v>
      </c>
      <c r="B33" t="s">
        <v>39</v>
      </c>
      <c r="C33" t="s">
        <v>19</v>
      </c>
      <c r="D33" t="s">
        <v>31</v>
      </c>
      <c r="E33">
        <v>2052</v>
      </c>
      <c r="F33" t="s">
        <v>37</v>
      </c>
      <c r="G33" t="s">
        <v>69</v>
      </c>
      <c r="H33" t="s">
        <v>70</v>
      </c>
      <c r="I33" t="s">
        <v>65</v>
      </c>
      <c r="J33">
        <f>SUMIFS(RawResultsLong!$P:$P,RawResultsLong!$A:$A,A33)</f>
        <v>1.27</v>
      </c>
      <c r="K33">
        <f t="shared" si="1"/>
        <v>40.243871523816765</v>
      </c>
      <c r="L33">
        <f>SUMIFS(EmploymentResults!$V:$V,EmploymentResults!$D:$D,B33,EmploymentResults!$F:$F,C33,EmploymentResults!$G:$G,D33,EmploymentResults!$H:$H,E33,EmploymentResults!$J:$J,G33,EmploymentResults!$K:$K,H33,EmploymentResults!$L:$L,I33)</f>
        <v>173.87610423117727</v>
      </c>
    </row>
    <row r="34" spans="1:12" x14ac:dyDescent="0.3">
      <c r="A34" t="str">
        <f t="shared" si="0"/>
        <v>CN|NewCapacity|RE1|PWRSOLRTP|2053</v>
      </c>
      <c r="B34" t="s">
        <v>39</v>
      </c>
      <c r="C34" t="s">
        <v>19</v>
      </c>
      <c r="D34" t="s">
        <v>31</v>
      </c>
      <c r="E34">
        <v>2053</v>
      </c>
      <c r="F34" t="s">
        <v>37</v>
      </c>
      <c r="G34" t="s">
        <v>69</v>
      </c>
      <c r="H34" t="s">
        <v>70</v>
      </c>
      <c r="I34" t="s">
        <v>65</v>
      </c>
      <c r="J34">
        <f>SUMIFS(RawResultsLong!$P:$P,RawResultsLong!$A:$A,A34)</f>
        <v>1.27</v>
      </c>
      <c r="K34">
        <f t="shared" si="1"/>
        <v>40.243871523816765</v>
      </c>
      <c r="L34">
        <f>SUMIFS(EmploymentResults!$V:$V,EmploymentResults!$D:$D,B34,EmploymentResults!$F:$F,C34,EmploymentResults!$G:$G,D34,EmploymentResults!$H:$H,E34,EmploymentResults!$J:$J,G34,EmploymentResults!$K:$K,H34,EmploymentResults!$L:$L,I34)</f>
        <v>173.87610423117727</v>
      </c>
    </row>
    <row r="35" spans="1:12" x14ac:dyDescent="0.3">
      <c r="A35" t="str">
        <f t="shared" si="0"/>
        <v>CN|NewCapacity|RE1|PWRSOLRTP|2054</v>
      </c>
      <c r="B35" t="s">
        <v>39</v>
      </c>
      <c r="C35" t="s">
        <v>19</v>
      </c>
      <c r="D35" t="s">
        <v>31</v>
      </c>
      <c r="E35">
        <v>2054</v>
      </c>
      <c r="F35" t="s">
        <v>37</v>
      </c>
      <c r="G35" t="s">
        <v>69</v>
      </c>
      <c r="H35" t="s">
        <v>70</v>
      </c>
      <c r="I35" t="s">
        <v>65</v>
      </c>
      <c r="J35">
        <f>SUMIFS(RawResultsLong!$P:$P,RawResultsLong!$A:$A,A35)</f>
        <v>1.27</v>
      </c>
      <c r="K35">
        <f t="shared" si="1"/>
        <v>40.243871523816765</v>
      </c>
      <c r="L35">
        <f>SUMIFS(EmploymentResults!$V:$V,EmploymentResults!$D:$D,B35,EmploymentResults!$F:$F,C35,EmploymentResults!$G:$G,D35,EmploymentResults!$H:$H,E35,EmploymentResults!$J:$J,G35,EmploymentResults!$K:$K,H35,EmploymentResults!$L:$L,I35)</f>
        <v>173.87610423117727</v>
      </c>
    </row>
    <row r="36" spans="1:12" x14ac:dyDescent="0.3">
      <c r="A36" t="str">
        <f t="shared" si="0"/>
        <v>CN|NewCapacity|RE1|PWRSOLRTP|2055</v>
      </c>
      <c r="B36" t="s">
        <v>39</v>
      </c>
      <c r="C36" t="s">
        <v>19</v>
      </c>
      <c r="D36" t="s">
        <v>31</v>
      </c>
      <c r="E36">
        <v>2055</v>
      </c>
      <c r="F36" t="s">
        <v>37</v>
      </c>
      <c r="G36" t="s">
        <v>69</v>
      </c>
      <c r="H36" t="s">
        <v>70</v>
      </c>
      <c r="I36" t="s">
        <v>65</v>
      </c>
      <c r="J36">
        <f>SUMIFS(RawResultsLong!$P:$P,RawResultsLong!$A:$A,A36)</f>
        <v>1.27</v>
      </c>
      <c r="K36">
        <f t="shared" si="1"/>
        <v>40.243871523816765</v>
      </c>
      <c r="L36">
        <f>SUMIFS(EmploymentResults!$V:$V,EmploymentResults!$D:$D,B36,EmploymentResults!$F:$F,C36,EmploymentResults!$G:$G,D36,EmploymentResults!$H:$H,E36,EmploymentResults!$J:$J,G36,EmploymentResults!$K:$K,H36,EmploymentResults!$L:$L,I36)</f>
        <v>173.87610423117727</v>
      </c>
    </row>
    <row r="37" spans="1:12" x14ac:dyDescent="0.3">
      <c r="A37" t="str">
        <f t="shared" si="0"/>
        <v>CN|NewCapacity|RE1|PWRSOLRTP_ZNI|2031</v>
      </c>
      <c r="B37" t="s">
        <v>39</v>
      </c>
      <c r="C37" t="s">
        <v>19</v>
      </c>
      <c r="D37" t="s">
        <v>32</v>
      </c>
      <c r="E37">
        <v>2031</v>
      </c>
      <c r="F37" t="s">
        <v>37</v>
      </c>
      <c r="G37" t="s">
        <v>69</v>
      </c>
      <c r="H37" t="s">
        <v>70</v>
      </c>
      <c r="I37" t="s">
        <v>65</v>
      </c>
      <c r="J37">
        <f>SUMIFS(RawResultsLong!$P:$P,RawResultsLong!$A:$A,A37)</f>
        <v>0.57301432913016792</v>
      </c>
      <c r="K37">
        <f t="shared" si="1"/>
        <v>18.157728380173648</v>
      </c>
      <c r="L37">
        <f>SUMIFS(EmploymentResults!$V:$V,EmploymentResults!$D:$D,B37,EmploymentResults!$F:$F,C37,EmploymentResults!$G:$G,D37,EmploymentResults!$H:$H,E37,EmploymentResults!$J:$J,G37,EmploymentResults!$K:$K,H37,EmploymentResults!$L:$L,I37)</f>
        <v>114.91185816921863</v>
      </c>
    </row>
    <row r="38" spans="1:12" x14ac:dyDescent="0.3">
      <c r="A38" t="str">
        <f t="shared" si="0"/>
        <v>CN|NewCapacity|RE1|PWRSOLRTP_ZNI|2032</v>
      </c>
      <c r="B38" t="s">
        <v>39</v>
      </c>
      <c r="C38" t="s">
        <v>19</v>
      </c>
      <c r="D38" t="s">
        <v>32</v>
      </c>
      <c r="E38">
        <v>2032</v>
      </c>
      <c r="F38" t="s">
        <v>37</v>
      </c>
      <c r="G38" t="s">
        <v>69</v>
      </c>
      <c r="H38" t="s">
        <v>70</v>
      </c>
      <c r="I38" t="s">
        <v>65</v>
      </c>
      <c r="J38">
        <f>SUMIFS(RawResultsLong!$P:$P,RawResultsLong!$A:$A,A38)</f>
        <v>3.878726132829538E-2</v>
      </c>
      <c r="K38">
        <f t="shared" si="1"/>
        <v>1.229094143036713</v>
      </c>
      <c r="L38">
        <f>SUMIFS(EmploymentResults!$V:$V,EmploymentResults!$D:$D,B38,EmploymentResults!$F:$F,C38,EmploymentResults!$G:$G,D38,EmploymentResults!$H:$H,E38,EmploymentResults!$J:$J,G38,EmploymentResults!$K:$K,H38,EmploymentResults!$L:$L,I38)</f>
        <v>7.6484736191444931</v>
      </c>
    </row>
    <row r="39" spans="1:12" x14ac:dyDescent="0.3">
      <c r="A39" t="str">
        <f t="shared" si="0"/>
        <v>CN|NewCapacity|RE1|PWRSOLRTP_ZNI|2033</v>
      </c>
      <c r="B39" t="s">
        <v>39</v>
      </c>
      <c r="C39" t="s">
        <v>19</v>
      </c>
      <c r="D39" t="s">
        <v>32</v>
      </c>
      <c r="E39">
        <v>2033</v>
      </c>
      <c r="F39" t="s">
        <v>37</v>
      </c>
      <c r="G39" t="s">
        <v>69</v>
      </c>
      <c r="H39" t="s">
        <v>70</v>
      </c>
      <c r="I39" t="s">
        <v>65</v>
      </c>
      <c r="J39">
        <f>SUMIFS(RawResultsLong!$P:$P,RawResultsLong!$A:$A,A39)</f>
        <v>3.9101391127337522E-2</v>
      </c>
      <c r="K39">
        <f t="shared" si="1"/>
        <v>1.2390483156937637</v>
      </c>
      <c r="L39">
        <f>SUMIFS(EmploymentResults!$V:$V,EmploymentResults!$D:$D,B39,EmploymentResults!$F:$F,C39,EmploymentResults!$G:$G,D39,EmploymentResults!$H:$H,E39,EmploymentResults!$J:$J,G39,EmploymentResults!$K:$K,H39,EmploymentResults!$L:$L,I39)</f>
        <v>7.5794707018456062</v>
      </c>
    </row>
    <row r="40" spans="1:12" x14ac:dyDescent="0.3">
      <c r="A40" t="str">
        <f t="shared" si="0"/>
        <v>CN|NewCapacity|RE1|PWRSOLRTP_ZNI|2034</v>
      </c>
      <c r="B40" t="s">
        <v>39</v>
      </c>
      <c r="C40" t="s">
        <v>19</v>
      </c>
      <c r="D40" t="s">
        <v>32</v>
      </c>
      <c r="E40">
        <v>2034</v>
      </c>
      <c r="F40" t="s">
        <v>37</v>
      </c>
      <c r="G40" t="s">
        <v>69</v>
      </c>
      <c r="H40" t="s">
        <v>70</v>
      </c>
      <c r="I40" t="s">
        <v>65</v>
      </c>
      <c r="J40">
        <f>SUMIFS(RawResultsLong!$P:$P,RawResultsLong!$A:$A,A40)</f>
        <v>3.9339655263787021E-2</v>
      </c>
      <c r="K40">
        <f t="shared" si="1"/>
        <v>1.2465984505725094</v>
      </c>
      <c r="L40">
        <f>SUMIFS(EmploymentResults!$V:$V,EmploymentResults!$D:$D,B40,EmploymentResults!$F:$F,C40,EmploymentResults!$G:$G,D40,EmploymentResults!$H:$H,E40,EmploymentResults!$J:$J,G40,EmploymentResults!$K:$K,H40,EmploymentResults!$L:$L,I40)</f>
        <v>7.493911966956067</v>
      </c>
    </row>
    <row r="41" spans="1:12" x14ac:dyDescent="0.3">
      <c r="A41" t="str">
        <f t="shared" si="0"/>
        <v>CN|NewCapacity|RE1|PWRSOLRTP_ZNI|2035</v>
      </c>
      <c r="B41" t="s">
        <v>39</v>
      </c>
      <c r="C41" t="s">
        <v>19</v>
      </c>
      <c r="D41" t="s">
        <v>32</v>
      </c>
      <c r="E41">
        <v>2035</v>
      </c>
      <c r="F41" t="s">
        <v>37</v>
      </c>
      <c r="G41" t="s">
        <v>69</v>
      </c>
      <c r="H41" t="s">
        <v>70</v>
      </c>
      <c r="I41" t="s">
        <v>65</v>
      </c>
      <c r="J41">
        <f>SUMIFS(RawResultsLong!$P:$P,RawResultsLong!$A:$A,A41)</f>
        <v>3.9685427529363833E-2</v>
      </c>
      <c r="K41">
        <f t="shared" si="1"/>
        <v>1.2575553124877632</v>
      </c>
      <c r="L41">
        <f>SUMIFS(EmploymentResults!$V:$V,EmploymentResults!$D:$D,B41,EmploymentResults!$F:$F,C41,EmploymentResults!$G:$G,D41,EmploymentResults!$H:$H,E41,EmploymentResults!$J:$J,G41,EmploymentResults!$K:$K,H41,EmploymentResults!$L:$L,I41)</f>
        <v>7.4268768576649</v>
      </c>
    </row>
    <row r="42" spans="1:12" x14ac:dyDescent="0.3">
      <c r="A42" t="str">
        <f t="shared" si="0"/>
        <v>CN|NewCapacity|RE1|PWRSOLRTP_ZNI|2036</v>
      </c>
      <c r="B42" t="s">
        <v>39</v>
      </c>
      <c r="C42" t="s">
        <v>19</v>
      </c>
      <c r="D42" t="s">
        <v>32</v>
      </c>
      <c r="E42">
        <v>2036</v>
      </c>
      <c r="F42" t="s">
        <v>37</v>
      </c>
      <c r="G42" t="s">
        <v>69</v>
      </c>
      <c r="H42" t="s">
        <v>70</v>
      </c>
      <c r="I42" t="s">
        <v>65</v>
      </c>
      <c r="J42">
        <f>SUMIFS(RawResultsLong!$P:$P,RawResultsLong!$A:$A,A42)</f>
        <v>4.0427711537491778E-2</v>
      </c>
      <c r="K42">
        <f t="shared" si="1"/>
        <v>1.2810768733202709</v>
      </c>
      <c r="L42">
        <f>SUMIFS(EmploymentResults!$V:$V,EmploymentResults!$D:$D,B42,EmploymentResults!$F:$F,C42,EmploymentResults!$G:$G,D42,EmploymentResults!$H:$H,E42,EmploymentResults!$J:$J,G42,EmploymentResults!$K:$K,H42,EmploymentResults!$L:$L,I42)</f>
        <v>7.4304026326586605</v>
      </c>
    </row>
    <row r="43" spans="1:12" x14ac:dyDescent="0.3">
      <c r="A43" t="str">
        <f t="shared" si="0"/>
        <v>CN|NewCapacity|RE1|PWRSOLRTP_ZNI|2037</v>
      </c>
      <c r="B43" t="s">
        <v>39</v>
      </c>
      <c r="C43" t="s">
        <v>19</v>
      </c>
      <c r="D43" t="s">
        <v>32</v>
      </c>
      <c r="E43">
        <v>2037</v>
      </c>
      <c r="F43" t="s">
        <v>37</v>
      </c>
      <c r="G43" t="s">
        <v>69</v>
      </c>
      <c r="H43" t="s">
        <v>70</v>
      </c>
      <c r="I43" t="s">
        <v>65</v>
      </c>
      <c r="J43">
        <f>SUMIFS(RawResultsLong!$P:$P,RawResultsLong!$A:$A,A43)</f>
        <v>4.1140541796127812E-2</v>
      </c>
      <c r="K43">
        <f t="shared" si="1"/>
        <v>1.3036651011524265</v>
      </c>
      <c r="L43">
        <f>SUMIFS(EmploymentResults!$V:$V,EmploymentResults!$D:$D,B43,EmploymentResults!$F:$F,C43,EmploymentResults!$G:$G,D43,EmploymentResults!$H:$H,E43,EmploymentResults!$J:$J,G43,EmploymentResults!$K:$K,H43,EmploymentResults!$L:$L,I43)</f>
        <v>7.4236419435105603</v>
      </c>
    </row>
    <row r="44" spans="1:12" x14ac:dyDescent="0.3">
      <c r="A44" t="str">
        <f t="shared" si="0"/>
        <v>CN|NewCapacity|RE1|PWRSOLRTP_ZNI|2038</v>
      </c>
      <c r="B44" t="s">
        <v>39</v>
      </c>
      <c r="C44" t="s">
        <v>19</v>
      </c>
      <c r="D44" t="s">
        <v>32</v>
      </c>
      <c r="E44">
        <v>2038</v>
      </c>
      <c r="F44" t="s">
        <v>37</v>
      </c>
      <c r="G44" t="s">
        <v>69</v>
      </c>
      <c r="H44" t="s">
        <v>70</v>
      </c>
      <c r="I44" t="s">
        <v>65</v>
      </c>
      <c r="J44">
        <f>SUMIFS(RawResultsLong!$P:$P,RawResultsLong!$A:$A,A44)</f>
        <v>4.1919232568797128E-2</v>
      </c>
      <c r="K44">
        <f t="shared" si="1"/>
        <v>1.3283403227367456</v>
      </c>
      <c r="L44">
        <f>SUMIFS(EmploymentResults!$V:$V,EmploymentResults!$D:$D,B44,EmploymentResults!$F:$F,C44,EmploymentResults!$G:$G,D44,EmploymentResults!$H:$H,E44,EmploymentResults!$J:$J,G44,EmploymentResults!$K:$K,H44,EmploymentResults!$L:$L,I44)</f>
        <v>7.4237705730701586</v>
      </c>
    </row>
    <row r="45" spans="1:12" x14ac:dyDescent="0.3">
      <c r="A45" t="str">
        <f t="shared" si="0"/>
        <v>CN|NewCapacity|RE1|PWRSOLRTP_ZNI|2039</v>
      </c>
      <c r="B45" t="s">
        <v>39</v>
      </c>
      <c r="C45" t="s">
        <v>19</v>
      </c>
      <c r="D45" t="s">
        <v>32</v>
      </c>
      <c r="E45">
        <v>2039</v>
      </c>
      <c r="F45" t="s">
        <v>37</v>
      </c>
      <c r="G45" t="s">
        <v>69</v>
      </c>
      <c r="H45" t="s">
        <v>70</v>
      </c>
      <c r="I45" t="s">
        <v>65</v>
      </c>
      <c r="J45">
        <f>SUMIFS(RawResultsLong!$P:$P,RawResultsLong!$A:$A,A45)</f>
        <v>4.2715501977764088E-2</v>
      </c>
      <c r="K45">
        <f t="shared" si="1"/>
        <v>1.3535725776917156</v>
      </c>
      <c r="L45">
        <f>SUMIFS(EmploymentResults!$V:$V,EmploymentResults!$D:$D,B45,EmploymentResults!$F:$F,C45,EmploymentResults!$G:$G,D45,EmploymentResults!$H:$H,E45,EmploymentResults!$J:$J,G45,EmploymentResults!$K:$K,H45,EmploymentResults!$L:$L,I45)</f>
        <v>7.4217379570838027</v>
      </c>
    </row>
    <row r="46" spans="1:12" x14ac:dyDescent="0.3">
      <c r="A46" t="str">
        <f t="shared" si="0"/>
        <v>CN|NewCapacity|RE1|PWRSOLRTP_ZNI|2040</v>
      </c>
      <c r="B46" t="s">
        <v>39</v>
      </c>
      <c r="C46" t="s">
        <v>19</v>
      </c>
      <c r="D46" t="s">
        <v>32</v>
      </c>
      <c r="E46">
        <v>2040</v>
      </c>
      <c r="F46" t="s">
        <v>37</v>
      </c>
      <c r="G46" t="s">
        <v>69</v>
      </c>
      <c r="H46" t="s">
        <v>70</v>
      </c>
      <c r="I46" t="s">
        <v>65</v>
      </c>
      <c r="J46">
        <f>SUMIFS(RawResultsLong!$P:$P,RawResultsLong!$A:$A,A46)</f>
        <v>4.353867236473688E-2</v>
      </c>
      <c r="K46">
        <f t="shared" si="1"/>
        <v>1.3796572732000179</v>
      </c>
      <c r="L46">
        <f>SUMIFS(EmploymentResults!$V:$V,EmploymentResults!$D:$D,B46,EmploymentResults!$F:$F,C46,EmploymentResults!$G:$G,D46,EmploymentResults!$H:$H,E46,EmploymentResults!$J:$J,G46,EmploymentResults!$K:$K,H46,EmploymentResults!$L:$L,I46)</f>
        <v>7.4189560085716275</v>
      </c>
    </row>
    <row r="47" spans="1:12" x14ac:dyDescent="0.3">
      <c r="A47" t="str">
        <f t="shared" si="0"/>
        <v>CN|NewCapacity|RE1|PWRSOLRTP_ZNI|2041</v>
      </c>
      <c r="B47" t="s">
        <v>39</v>
      </c>
      <c r="C47" t="s">
        <v>19</v>
      </c>
      <c r="D47" t="s">
        <v>32</v>
      </c>
      <c r="E47">
        <v>2041</v>
      </c>
      <c r="F47" t="s">
        <v>37</v>
      </c>
      <c r="G47" t="s">
        <v>69</v>
      </c>
      <c r="H47" t="s">
        <v>70</v>
      </c>
      <c r="I47" t="s">
        <v>65</v>
      </c>
      <c r="J47">
        <f>SUMIFS(RawResultsLong!$P:$P,RawResultsLong!$A:$A,A47)</f>
        <v>4.439367037303809E-2</v>
      </c>
      <c r="K47">
        <f t="shared" si="1"/>
        <v>1.4067505251678865</v>
      </c>
      <c r="L47">
        <f>SUMIFS(EmploymentResults!$V:$V,EmploymentResults!$D:$D,B47,EmploymentResults!$F:$F,C47,EmploymentResults!$G:$G,D47,EmploymentResults!$H:$H,E47,EmploymentResults!$J:$J,G47,EmploymentResults!$K:$K,H47,EmploymentResults!$L:$L,I47)</f>
        <v>7.4159774596466175</v>
      </c>
    </row>
    <row r="48" spans="1:12" x14ac:dyDescent="0.3">
      <c r="A48" t="str">
        <f t="shared" si="0"/>
        <v>CN|NewCapacity|RE1|PWRSOLRTP_ZNI|2042</v>
      </c>
      <c r="B48" t="s">
        <v>39</v>
      </c>
      <c r="C48" t="s">
        <v>19</v>
      </c>
      <c r="D48" t="s">
        <v>32</v>
      </c>
      <c r="E48">
        <v>2042</v>
      </c>
      <c r="F48" t="s">
        <v>37</v>
      </c>
      <c r="G48" t="s">
        <v>69</v>
      </c>
      <c r="H48" t="s">
        <v>70</v>
      </c>
      <c r="I48" t="s">
        <v>65</v>
      </c>
      <c r="J48">
        <f>SUMIFS(RawResultsLong!$P:$P,RawResultsLong!$A:$A,A48)</f>
        <v>4.5231271694849133E-2</v>
      </c>
      <c r="K48">
        <f t="shared" si="1"/>
        <v>1.4332925094065814</v>
      </c>
      <c r="L48">
        <f>SUMIFS(EmploymentResults!$V:$V,EmploymentResults!$D:$D,B48,EmploymentResults!$F:$F,C48,EmploymentResults!$G:$G,D48,EmploymentResults!$H:$H,E48,EmploymentResults!$J:$J,G48,EmploymentResults!$K:$K,H48,EmploymentResults!$L:$L,I48)</f>
        <v>7.4044244584057353</v>
      </c>
    </row>
    <row r="49" spans="1:12" x14ac:dyDescent="0.3">
      <c r="A49" t="str">
        <f t="shared" si="0"/>
        <v>CN|NewCapacity|RE1|PWRSOLRTP_ZNI|2043</v>
      </c>
      <c r="B49" t="s">
        <v>39</v>
      </c>
      <c r="C49" t="s">
        <v>19</v>
      </c>
      <c r="D49" t="s">
        <v>32</v>
      </c>
      <c r="E49">
        <v>2043</v>
      </c>
      <c r="F49" t="s">
        <v>37</v>
      </c>
      <c r="G49" t="s">
        <v>69</v>
      </c>
      <c r="H49" t="s">
        <v>70</v>
      </c>
      <c r="I49" t="s">
        <v>65</v>
      </c>
      <c r="J49">
        <f>SUMIFS(RawResultsLong!$P:$P,RawResultsLong!$A:$A,A49)</f>
        <v>4.607861639193344E-2</v>
      </c>
      <c r="K49">
        <f t="shared" si="1"/>
        <v>1.4601432425765406</v>
      </c>
      <c r="L49">
        <f>SUMIFS(EmploymentResults!$V:$V,EmploymentResults!$D:$D,B49,EmploymentResults!$F:$F,C49,EmploymentResults!$G:$G,D49,EmploymentResults!$H:$H,E49,EmploymentResults!$J:$J,G49,EmploymentResults!$K:$K,H49,EmploymentResults!$L:$L,I49)</f>
        <v>7.3888237618331845</v>
      </c>
    </row>
    <row r="50" spans="1:12" x14ac:dyDescent="0.3">
      <c r="A50" t="str">
        <f t="shared" si="0"/>
        <v>CN|NewCapacity|RE1|PWRSOLRTP_ZNI|2044</v>
      </c>
      <c r="B50" t="s">
        <v>39</v>
      </c>
      <c r="C50" t="s">
        <v>19</v>
      </c>
      <c r="D50" t="s">
        <v>32</v>
      </c>
      <c r="E50">
        <v>2044</v>
      </c>
      <c r="F50" t="s">
        <v>37</v>
      </c>
      <c r="G50" t="s">
        <v>69</v>
      </c>
      <c r="H50" t="s">
        <v>70</v>
      </c>
      <c r="I50" t="s">
        <v>65</v>
      </c>
      <c r="J50">
        <f>SUMIFS(RawResultsLong!$P:$P,RawResultsLong!$A:$A,A50)</f>
        <v>4.6906056711290028E-2</v>
      </c>
      <c r="K50">
        <f t="shared" si="1"/>
        <v>1.4863632440771803</v>
      </c>
      <c r="L50">
        <f>SUMIFS(EmploymentResults!$V:$V,EmploymentResults!$D:$D,B50,EmploymentResults!$F:$F,C50,EmploymentResults!$G:$G,D50,EmploymentResults!$H:$H,E50,EmploymentResults!$J:$J,G50,EmploymentResults!$K:$K,H50,EmploymentResults!$L:$L,I50)</f>
        <v>7.3644226756570168</v>
      </c>
    </row>
    <row r="51" spans="1:12" x14ac:dyDescent="0.3">
      <c r="A51" t="str">
        <f t="shared" si="0"/>
        <v>CN|NewCapacity|RE1|PWRSOLRTP_ZNI|2045</v>
      </c>
      <c r="B51" t="s">
        <v>39</v>
      </c>
      <c r="C51" t="s">
        <v>19</v>
      </c>
      <c r="D51" t="s">
        <v>32</v>
      </c>
      <c r="E51">
        <v>2045</v>
      </c>
      <c r="F51" t="s">
        <v>37</v>
      </c>
      <c r="G51" t="s">
        <v>69</v>
      </c>
      <c r="H51" t="s">
        <v>70</v>
      </c>
      <c r="I51" t="s">
        <v>65</v>
      </c>
      <c r="J51">
        <f>SUMIFS(RawResultsLong!$P:$P,RawResultsLong!$A:$A,A51)</f>
        <v>5.6418188570875563E-2</v>
      </c>
      <c r="K51">
        <f t="shared" si="1"/>
        <v>1.7877845137423494</v>
      </c>
      <c r="L51">
        <f>SUMIFS(EmploymentResults!$V:$V,EmploymentResults!$D:$D,B51,EmploymentResults!$F:$F,C51,EmploymentResults!$G:$G,D51,EmploymentResults!$H:$H,E51,EmploymentResults!$J:$J,G51,EmploymentResults!$K:$K,H51,EmploymentResults!$L:$L,I51)</f>
        <v>8.6689238686564174</v>
      </c>
    </row>
    <row r="52" spans="1:12" x14ac:dyDescent="0.3">
      <c r="A52" t="str">
        <f t="shared" si="0"/>
        <v>CN|NewCapacity|RE1|PWRSOLRTP_ZNI|2046</v>
      </c>
      <c r="B52" t="s">
        <v>39</v>
      </c>
      <c r="C52" t="s">
        <v>19</v>
      </c>
      <c r="D52" t="s">
        <v>32</v>
      </c>
      <c r="E52">
        <v>2046</v>
      </c>
      <c r="F52" t="s">
        <v>37</v>
      </c>
      <c r="G52" t="s">
        <v>69</v>
      </c>
      <c r="H52" t="s">
        <v>70</v>
      </c>
      <c r="I52" t="s">
        <v>65</v>
      </c>
      <c r="J52">
        <f>SUMIFS(RawResultsLong!$P:$P,RawResultsLong!$A:$A,A52)</f>
        <v>4.7721976806840177E-2</v>
      </c>
      <c r="K52">
        <f t="shared" si="1"/>
        <v>1.5122181917142044</v>
      </c>
      <c r="L52">
        <f>SUMIFS(EmploymentResults!$V:$V,EmploymentResults!$D:$D,B52,EmploymentResults!$F:$F,C52,EmploymentResults!$G:$G,D52,EmploymentResults!$H:$H,E52,EmploymentResults!$J:$J,G52,EmploymentResults!$K:$K,H52,EmploymentResults!$L:$L,I52)</f>
        <v>7.172893757115304</v>
      </c>
    </row>
    <row r="53" spans="1:12" x14ac:dyDescent="0.3">
      <c r="A53" t="str">
        <f t="shared" si="0"/>
        <v>CN|NewCapacity|RE1|PWRSOLRTP_ZNI|2047</v>
      </c>
      <c r="B53" t="s">
        <v>39</v>
      </c>
      <c r="C53" t="s">
        <v>19</v>
      </c>
      <c r="D53" t="s">
        <v>32</v>
      </c>
      <c r="E53">
        <v>2047</v>
      </c>
      <c r="F53" t="s">
        <v>37</v>
      </c>
      <c r="G53" t="s">
        <v>69</v>
      </c>
      <c r="H53" t="s">
        <v>70</v>
      </c>
      <c r="I53" t="s">
        <v>65</v>
      </c>
      <c r="J53">
        <f>SUMIFS(RawResultsLong!$P:$P,RawResultsLong!$A:$A,A53)</f>
        <v>4.1832148787544647E-2</v>
      </c>
      <c r="K53">
        <f t="shared" si="1"/>
        <v>1.3255808042292394</v>
      </c>
      <c r="L53">
        <f>SUMIFS(EmploymentResults!$V:$V,EmploymentResults!$D:$D,B53,EmploymentResults!$F:$F,C53,EmploymentResults!$G:$G,D53,EmploymentResults!$H:$H,E53,EmploymentResults!$J:$J,G53,EmploymentResults!$K:$K,H53,EmploymentResults!$L:$L,I53)</f>
        <v>6.1475266780567308</v>
      </c>
    </row>
    <row r="54" spans="1:12" x14ac:dyDescent="0.3">
      <c r="A54" t="str">
        <f t="shared" si="0"/>
        <v>CN|NewCapacity|RE1|PWRSOLRTP_ZNI|2048</v>
      </c>
      <c r="B54" t="s">
        <v>39</v>
      </c>
      <c r="C54" t="s">
        <v>19</v>
      </c>
      <c r="D54" t="s">
        <v>32</v>
      </c>
      <c r="E54">
        <v>2048</v>
      </c>
      <c r="F54" t="s">
        <v>37</v>
      </c>
      <c r="G54" t="s">
        <v>69</v>
      </c>
      <c r="H54" t="s">
        <v>70</v>
      </c>
      <c r="I54" t="s">
        <v>65</v>
      </c>
      <c r="J54">
        <f>SUMIFS(RawResultsLong!$P:$P,RawResultsLong!$A:$A,A54)</f>
        <v>5.6455203810572632E-2</v>
      </c>
      <c r="K54">
        <f t="shared" si="1"/>
        <v>1.7889574559083274</v>
      </c>
      <c r="L54">
        <f>SUMIFS(EmploymentResults!$V:$V,EmploymentResults!$D:$D,B54,EmploymentResults!$F:$F,C54,EmploymentResults!$G:$G,D54,EmploymentResults!$H:$H,E54,EmploymentResults!$J:$J,G54,EmploymentResults!$K:$K,H54,EmploymentResults!$L:$L,I54)</f>
        <v>8.1074245285165496</v>
      </c>
    </row>
    <row r="55" spans="1:12" x14ac:dyDescent="0.3">
      <c r="A55" t="str">
        <f t="shared" si="0"/>
        <v>CN|NewCapacity|RE1|PWRSOLRTP_ZNI|2049</v>
      </c>
      <c r="B55" t="s">
        <v>39</v>
      </c>
      <c r="C55" t="s">
        <v>19</v>
      </c>
      <c r="D55" t="s">
        <v>32</v>
      </c>
      <c r="E55">
        <v>2049</v>
      </c>
      <c r="F55" t="s">
        <v>37</v>
      </c>
      <c r="G55" t="s">
        <v>69</v>
      </c>
      <c r="H55" t="s">
        <v>70</v>
      </c>
      <c r="I55" t="s">
        <v>65</v>
      </c>
      <c r="J55">
        <f>SUMIFS(RawResultsLong!$P:$P,RawResultsLong!$A:$A,A55)</f>
        <v>4.4922574064820697E-2</v>
      </c>
      <c r="K55">
        <f t="shared" si="1"/>
        <v>1.4235104717982576</v>
      </c>
      <c r="L55">
        <f>SUMIFS(EmploymentResults!$V:$V,EmploymentResults!$D:$D,B55,EmploymentResults!$F:$F,C55,EmploymentResults!$G:$G,D55,EmploymentResults!$H:$H,E55,EmploymentResults!$J:$J,G55,EmploymentResults!$K:$K,H55,EmploymentResults!$L:$L,I55)</f>
        <v>6.3008047008625798</v>
      </c>
    </row>
    <row r="56" spans="1:12" x14ac:dyDescent="0.3">
      <c r="A56" t="str">
        <f t="shared" si="0"/>
        <v>CN|NewCapacity|RE1|PWRSOLRTP_ZNI|2053</v>
      </c>
      <c r="B56" t="s">
        <v>39</v>
      </c>
      <c r="C56" t="s">
        <v>19</v>
      </c>
      <c r="D56" t="s">
        <v>32</v>
      </c>
      <c r="E56">
        <v>2053</v>
      </c>
      <c r="F56" t="s">
        <v>37</v>
      </c>
      <c r="G56" t="s">
        <v>69</v>
      </c>
      <c r="H56" t="s">
        <v>70</v>
      </c>
      <c r="I56" t="s">
        <v>65</v>
      </c>
      <c r="J56">
        <f>SUMIFS(RawResultsLong!$P:$P,RawResultsLong!$A:$A,A56)</f>
        <v>2.2065187937765969E-2</v>
      </c>
      <c r="K56">
        <f t="shared" si="1"/>
        <v>0.69920361300498035</v>
      </c>
      <c r="L56">
        <f>SUMIFS(EmploymentResults!$V:$V,EmploymentResults!$D:$D,B56,EmploymentResults!$F:$F,C56,EmploymentResults!$G:$G,D56,EmploymentResults!$H:$H,E56,EmploymentResults!$J:$J,G56,EmploymentResults!$K:$K,H56,EmploymentResults!$L:$L,I56)</f>
        <v>3.0209519037381978</v>
      </c>
    </row>
    <row r="57" spans="1:12" x14ac:dyDescent="0.3">
      <c r="A57" t="str">
        <f t="shared" si="0"/>
        <v>CN|NewCapacity|RE1|PWRSOLRTP_ZNI|2054</v>
      </c>
      <c r="B57" t="s">
        <v>39</v>
      </c>
      <c r="C57" t="s">
        <v>19</v>
      </c>
      <c r="D57" t="s">
        <v>32</v>
      </c>
      <c r="E57">
        <v>2054</v>
      </c>
      <c r="F57" t="s">
        <v>37</v>
      </c>
      <c r="G57" t="s">
        <v>69</v>
      </c>
      <c r="H57" t="s">
        <v>70</v>
      </c>
      <c r="I57" t="s">
        <v>65</v>
      </c>
      <c r="J57">
        <f>SUMIFS(RawResultsLong!$P:$P,RawResultsLong!$A:$A,A57)</f>
        <v>2.2541048762086839E-2</v>
      </c>
      <c r="K57">
        <f t="shared" si="1"/>
        <v>0.71428273259331632</v>
      </c>
      <c r="L57">
        <f>SUMIFS(EmploymentResults!$V:$V,EmploymentResults!$D:$D,B57,EmploymentResults!$F:$F,C57,EmploymentResults!$G:$G,D57,EmploymentResults!$H:$H,E57,EmploymentResults!$J:$J,G57,EmploymentResults!$K:$K,H57,EmploymentResults!$L:$L,I57)</f>
        <v>3.086102160658788</v>
      </c>
    </row>
    <row r="58" spans="1:12" x14ac:dyDescent="0.3">
      <c r="A58" t="str">
        <f t="shared" si="0"/>
        <v>CN|NewCapacity|RE1|PWRSOLUGE|2025</v>
      </c>
      <c r="B58" t="s">
        <v>39</v>
      </c>
      <c r="C58" t="s">
        <v>19</v>
      </c>
      <c r="D58" t="s">
        <v>33</v>
      </c>
      <c r="E58">
        <v>2025</v>
      </c>
      <c r="F58" t="s">
        <v>37</v>
      </c>
      <c r="G58" t="s">
        <v>69</v>
      </c>
      <c r="H58" t="s">
        <v>70</v>
      </c>
      <c r="I58" t="s">
        <v>65</v>
      </c>
      <c r="J58">
        <f>SUMIFS(RawResultsLong!$P:$P,RawResultsLong!$A:$A,A58)</f>
        <v>6.717168</v>
      </c>
      <c r="K58">
        <f t="shared" si="1"/>
        <v>212.85420944558521</v>
      </c>
      <c r="L58">
        <f>SUMIFS(EmploymentResults!$V:$V,EmploymentResults!$D:$D,B58,EmploymentResults!$F:$F,C58,EmploymentResults!$G:$G,D58,EmploymentResults!$H:$H,E58,EmploymentResults!$J:$J,G58,EmploymentResults!$K:$K,H58,EmploymentResults!$L:$L,I58)</f>
        <v>2012.5687818907716</v>
      </c>
    </row>
    <row r="59" spans="1:12" x14ac:dyDescent="0.3">
      <c r="A59" t="str">
        <f t="shared" si="0"/>
        <v>CN|NewCapacity|RE1|PWRSOLUGE|2026</v>
      </c>
      <c r="B59" t="s">
        <v>39</v>
      </c>
      <c r="C59" t="s">
        <v>19</v>
      </c>
      <c r="D59" t="s">
        <v>33</v>
      </c>
      <c r="E59">
        <v>2026</v>
      </c>
      <c r="F59" t="s">
        <v>37</v>
      </c>
      <c r="G59" t="s">
        <v>69</v>
      </c>
      <c r="H59" t="s">
        <v>70</v>
      </c>
      <c r="I59" t="s">
        <v>65</v>
      </c>
      <c r="J59">
        <f>SUMIFS(RawResultsLong!$P:$P,RawResultsLong!$A:$A,A59)</f>
        <v>55.787184000000003</v>
      </c>
      <c r="K59">
        <f t="shared" si="1"/>
        <v>1767.7891854893908</v>
      </c>
      <c r="L59">
        <f>SUMIFS(EmploymentResults!$V:$V,EmploymentResults!$D:$D,B59,EmploymentResults!$F:$F,C59,EmploymentResults!$G:$G,D59,EmploymentResults!$H:$H,E59,EmploymentResults!$J:$J,G59,EmploymentResults!$K:$K,H59,EmploymentResults!$L:$L,I59)</f>
        <v>15804.570695439714</v>
      </c>
    </row>
    <row r="60" spans="1:12" x14ac:dyDescent="0.3">
      <c r="A60" t="str">
        <f t="shared" si="0"/>
        <v>CN|NewCapacity|RE1|PWRSOLUGE|2027</v>
      </c>
      <c r="B60" t="s">
        <v>39</v>
      </c>
      <c r="C60" t="s">
        <v>19</v>
      </c>
      <c r="D60" t="s">
        <v>33</v>
      </c>
      <c r="E60">
        <v>2027</v>
      </c>
      <c r="F60" t="s">
        <v>37</v>
      </c>
      <c r="G60" t="s">
        <v>69</v>
      </c>
      <c r="H60" t="s">
        <v>70</v>
      </c>
      <c r="I60" t="s">
        <v>65</v>
      </c>
      <c r="J60">
        <f>SUMIFS(RawResultsLong!$P:$P,RawResultsLong!$A:$A,A60)</f>
        <v>73.005840000000006</v>
      </c>
      <c r="K60">
        <f t="shared" si="1"/>
        <v>2313.4154688569474</v>
      </c>
      <c r="L60">
        <f>SUMIFS(EmploymentResults!$V:$V,EmploymentResults!$D:$D,B60,EmploymentResults!$F:$F,C60,EmploymentResults!$G:$G,D60,EmploymentResults!$H:$H,E60,EmploymentResults!$J:$J,G60,EmploymentResults!$K:$K,H60,EmploymentResults!$L:$L,I60)</f>
        <v>19491.576256281118</v>
      </c>
    </row>
    <row r="61" spans="1:12" x14ac:dyDescent="0.3">
      <c r="A61" t="str">
        <f t="shared" si="0"/>
        <v>CN|NewCapacity|RE1|PWRSOLUGE|2030</v>
      </c>
      <c r="B61" t="s">
        <v>39</v>
      </c>
      <c r="C61" t="s">
        <v>19</v>
      </c>
      <c r="D61" t="s">
        <v>33</v>
      </c>
      <c r="E61">
        <v>2030</v>
      </c>
      <c r="F61" t="s">
        <v>37</v>
      </c>
      <c r="G61" t="s">
        <v>69</v>
      </c>
      <c r="H61" t="s">
        <v>70</v>
      </c>
      <c r="I61" t="s">
        <v>65</v>
      </c>
      <c r="J61">
        <f>SUMIFS(RawResultsLong!$P:$P,RawResultsLong!$A:$A,A61)</f>
        <v>7.8840000000000003</v>
      </c>
      <c r="K61">
        <f t="shared" si="1"/>
        <v>249.82888432580424</v>
      </c>
      <c r="L61">
        <f>SUMIFS(EmploymentResults!$V:$V,EmploymentResults!$D:$D,B61,EmploymentResults!$F:$F,C61,EmploymentResults!$G:$G,D61,EmploymentResults!$H:$H,E61,EmploymentResults!$J:$J,G61,EmploymentResults!$K:$K,H61,EmploymentResults!$L:$L,I61)</f>
        <v>1719.0497071337441</v>
      </c>
    </row>
    <row r="62" spans="1:12" x14ac:dyDescent="0.3">
      <c r="A62" t="str">
        <f t="shared" si="0"/>
        <v>CN|NewCapacity|RE1|PWRSOLUGE|2039</v>
      </c>
      <c r="B62" t="s">
        <v>39</v>
      </c>
      <c r="C62" t="s">
        <v>19</v>
      </c>
      <c r="D62" t="s">
        <v>33</v>
      </c>
      <c r="E62">
        <v>2039</v>
      </c>
      <c r="F62" t="s">
        <v>37</v>
      </c>
      <c r="G62" t="s">
        <v>69</v>
      </c>
      <c r="H62" t="s">
        <v>70</v>
      </c>
      <c r="I62" t="s">
        <v>65</v>
      </c>
      <c r="J62">
        <f>SUMIFS(RawResultsLong!$P:$P,RawResultsLong!$A:$A,A62)</f>
        <v>47.31</v>
      </c>
      <c r="K62">
        <f t="shared" si="1"/>
        <v>1499.1634344817096</v>
      </c>
      <c r="L62">
        <f>SUMIFS(EmploymentResults!$V:$V,EmploymentResults!$D:$D,B62,EmploymentResults!$F:$F,C62,EmploymentResults!$G:$G,D62,EmploymentResults!$H:$H,E62,EmploymentResults!$J:$J,G62,EmploymentResults!$K:$K,H62,EmploymentResults!$L:$L,I62)</f>
        <v>8792.5795564451582</v>
      </c>
    </row>
    <row r="63" spans="1:12" x14ac:dyDescent="0.3">
      <c r="A63" t="str">
        <f t="shared" si="0"/>
        <v>CN|NewCapacity|RE1|PWRSOLUGE|2040</v>
      </c>
      <c r="B63" t="s">
        <v>39</v>
      </c>
      <c r="C63" t="s">
        <v>19</v>
      </c>
      <c r="D63" t="s">
        <v>33</v>
      </c>
      <c r="E63">
        <v>2040</v>
      </c>
      <c r="F63" t="s">
        <v>37</v>
      </c>
      <c r="G63" t="s">
        <v>69</v>
      </c>
      <c r="H63" t="s">
        <v>70</v>
      </c>
      <c r="I63" t="s">
        <v>65</v>
      </c>
      <c r="J63">
        <f>SUMIFS(RawResultsLong!$P:$P,RawResultsLong!$A:$A,A63)</f>
        <v>47.31</v>
      </c>
      <c r="K63">
        <f t="shared" si="1"/>
        <v>1499.1634344817096</v>
      </c>
      <c r="L63">
        <f>SUMIFS(EmploymentResults!$V:$V,EmploymentResults!$D:$D,B63,EmploymentResults!$F:$F,C63,EmploymentResults!$G:$G,D63,EmploymentResults!$H:$H,E63,EmploymentResults!$J:$J,G63,EmploymentResults!$K:$K,H63,EmploymentResults!$L:$L,I63)</f>
        <v>8623.3543405191267</v>
      </c>
    </row>
    <row r="64" spans="1:12" x14ac:dyDescent="0.3">
      <c r="A64" t="str">
        <f t="shared" si="0"/>
        <v>CN|NewCapacity|RE1|PWRSOLUGE|2041</v>
      </c>
      <c r="B64" t="s">
        <v>39</v>
      </c>
      <c r="C64" t="s">
        <v>19</v>
      </c>
      <c r="D64" t="s">
        <v>33</v>
      </c>
      <c r="E64">
        <v>2041</v>
      </c>
      <c r="F64" t="s">
        <v>37</v>
      </c>
      <c r="G64" t="s">
        <v>69</v>
      </c>
      <c r="H64" t="s">
        <v>70</v>
      </c>
      <c r="I64" t="s">
        <v>65</v>
      </c>
      <c r="J64">
        <f>SUMIFS(RawResultsLong!$P:$P,RawResultsLong!$A:$A,A64)</f>
        <v>47.31</v>
      </c>
      <c r="K64">
        <f t="shared" si="1"/>
        <v>1499.1634344817096</v>
      </c>
      <c r="L64">
        <f>SUMIFS(EmploymentResults!$V:$V,EmploymentResults!$D:$D,B64,EmploymentResults!$F:$F,C64,EmploymentResults!$G:$G,D64,EmploymentResults!$H:$H,E64,EmploymentResults!$J:$J,G64,EmploymentResults!$K:$K,H64,EmploymentResults!$L:$L,I64)</f>
        <v>8454.1291245930952</v>
      </c>
    </row>
    <row r="65" spans="1:12" x14ac:dyDescent="0.3">
      <c r="A65" t="str">
        <f t="shared" si="0"/>
        <v>CN|NewCapacity|RE1|PWRSOLUGE|2042</v>
      </c>
      <c r="B65" t="s">
        <v>39</v>
      </c>
      <c r="C65" t="s">
        <v>19</v>
      </c>
      <c r="D65" t="s">
        <v>33</v>
      </c>
      <c r="E65">
        <v>2042</v>
      </c>
      <c r="F65" t="s">
        <v>37</v>
      </c>
      <c r="G65" t="s">
        <v>69</v>
      </c>
      <c r="H65" t="s">
        <v>70</v>
      </c>
      <c r="I65" t="s">
        <v>65</v>
      </c>
      <c r="J65">
        <f>SUMIFS(RawResultsLong!$P:$P,RawResultsLong!$A:$A,A65)</f>
        <v>47.31</v>
      </c>
      <c r="K65">
        <f t="shared" si="1"/>
        <v>1499.1634344817096</v>
      </c>
      <c r="L65">
        <f>SUMIFS(EmploymentResults!$V:$V,EmploymentResults!$D:$D,B65,EmploymentResults!$F:$F,C65,EmploymentResults!$G:$G,D65,EmploymentResults!$H:$H,E65,EmploymentResults!$J:$J,G65,EmploymentResults!$K:$K,H65,EmploymentResults!$L:$L,I65)</f>
        <v>8284.9039086670655</v>
      </c>
    </row>
    <row r="66" spans="1:12" x14ac:dyDescent="0.3">
      <c r="A66" t="str">
        <f t="shared" ref="A66:A129" si="2">B66&amp;"|"&amp;F66&amp;"|"&amp;C66&amp;"|"&amp;D66&amp;"|"&amp;E66</f>
        <v>CN|NewCapacity|RE1|PWRSOLUGE|2043</v>
      </c>
      <c r="B66" t="s">
        <v>39</v>
      </c>
      <c r="C66" t="s">
        <v>19</v>
      </c>
      <c r="D66" t="s">
        <v>33</v>
      </c>
      <c r="E66">
        <v>2043</v>
      </c>
      <c r="F66" t="s">
        <v>37</v>
      </c>
      <c r="G66" t="s">
        <v>69</v>
      </c>
      <c r="H66" t="s">
        <v>70</v>
      </c>
      <c r="I66" t="s">
        <v>65</v>
      </c>
      <c r="J66">
        <f>SUMIFS(RawResultsLong!$P:$P,RawResultsLong!$A:$A,A66)</f>
        <v>3.4471526412465892</v>
      </c>
      <c r="K66">
        <f t="shared" ref="K66:K129" si="3">J66*1000/31.5576</f>
        <v>109.23367560418374</v>
      </c>
      <c r="L66">
        <f>SUMIFS(EmploymentResults!$V:$V,EmploymentResults!$D:$D,B66,EmploymentResults!$F:$F,C66,EmploymentResults!$G:$G,D66,EmploymentResults!$H:$H,E66,EmploymentResults!$J:$J,G66,EmploymentResults!$K:$K,H66,EmploymentResults!$L:$L,I66)</f>
        <v>591.33340184297037</v>
      </c>
    </row>
    <row r="67" spans="1:12" x14ac:dyDescent="0.3">
      <c r="A67" t="str">
        <f t="shared" si="2"/>
        <v>CN|NewCapacity|RE1|PWRSOLUGE|2044</v>
      </c>
      <c r="B67" t="s">
        <v>39</v>
      </c>
      <c r="C67" t="s">
        <v>19</v>
      </c>
      <c r="D67" t="s">
        <v>33</v>
      </c>
      <c r="E67">
        <v>2044</v>
      </c>
      <c r="F67" t="s">
        <v>37</v>
      </c>
      <c r="G67" t="s">
        <v>69</v>
      </c>
      <c r="H67" t="s">
        <v>70</v>
      </c>
      <c r="I67" t="s">
        <v>65</v>
      </c>
      <c r="J67">
        <f>SUMIFS(RawResultsLong!$P:$P,RawResultsLong!$A:$A,A67)</f>
        <v>7.446173704153507</v>
      </c>
      <c r="K67">
        <f t="shared" si="3"/>
        <v>235.95500621572955</v>
      </c>
      <c r="L67">
        <f>SUMIFS(EmploymentResults!$V:$V,EmploymentResults!$D:$D,B67,EmploymentResults!$F:$F,C67,EmploymentResults!$G:$G,D67,EmploymentResults!$H:$H,E67,EmploymentResults!$J:$J,G67,EmploymentResults!$K:$K,H67,EmploymentResults!$L:$L,I67)</f>
        <v>1250.7011819982899</v>
      </c>
    </row>
    <row r="68" spans="1:12" x14ac:dyDescent="0.3">
      <c r="A68" t="str">
        <f t="shared" si="2"/>
        <v>CN|NewCapacity|RE1|PWRSOLUGE|2045</v>
      </c>
      <c r="B68" t="s">
        <v>39</v>
      </c>
      <c r="C68" t="s">
        <v>19</v>
      </c>
      <c r="D68" t="s">
        <v>33</v>
      </c>
      <c r="E68">
        <v>2045</v>
      </c>
      <c r="F68" t="s">
        <v>37</v>
      </c>
      <c r="G68" t="s">
        <v>69</v>
      </c>
      <c r="H68" t="s">
        <v>70</v>
      </c>
      <c r="I68" t="s">
        <v>65</v>
      </c>
      <c r="J68">
        <f>SUMIFS(RawResultsLong!$P:$P,RawResultsLong!$A:$A,A68)</f>
        <v>37.364526523038357</v>
      </c>
      <c r="K68">
        <f t="shared" si="3"/>
        <v>1184.0103975916534</v>
      </c>
      <c r="L68">
        <f>SUMIFS(EmploymentResults!$V:$V,EmploymentResults!$D:$D,B68,EmploymentResults!$F:$F,C68,EmploymentResults!$G:$G,D68,EmploymentResults!$H:$H,E68,EmploymentResults!$J:$J,G68,EmploymentResults!$K:$K,H68,EmploymentResults!$L:$L,I68)</f>
        <v>6142.3050439473564</v>
      </c>
    </row>
    <row r="69" spans="1:12" x14ac:dyDescent="0.3">
      <c r="A69" t="str">
        <f t="shared" si="2"/>
        <v>CN|NewCapacity|RE1|PWRSOLUGE|2046</v>
      </c>
      <c r="B69" t="s">
        <v>39</v>
      </c>
      <c r="C69" t="s">
        <v>19</v>
      </c>
      <c r="D69" t="s">
        <v>33</v>
      </c>
      <c r="E69">
        <v>2046</v>
      </c>
      <c r="F69" t="s">
        <v>37</v>
      </c>
      <c r="G69" t="s">
        <v>69</v>
      </c>
      <c r="H69" t="s">
        <v>70</v>
      </c>
      <c r="I69" t="s">
        <v>65</v>
      </c>
      <c r="J69">
        <f>SUMIFS(RawResultsLong!$P:$P,RawResultsLong!$A:$A,A69)</f>
        <v>47.31</v>
      </c>
      <c r="K69">
        <f t="shared" si="3"/>
        <v>1499.1634344817096</v>
      </c>
      <c r="L69">
        <f>SUMIFS(EmploymentResults!$V:$V,EmploymentResults!$D:$D,B69,EmploymentResults!$F:$F,C69,EmploymentResults!$G:$G,D69,EmploymentResults!$H:$H,E69,EmploymentResults!$J:$J,G69,EmploymentResults!$K:$K,H69,EmploymentResults!$L:$L,I69)</f>
        <v>7608.0030449479527</v>
      </c>
    </row>
    <row r="70" spans="1:12" x14ac:dyDescent="0.3">
      <c r="A70" t="str">
        <f t="shared" si="2"/>
        <v>CN|NewCapacity|RE1|PWRSOLUGE|2047</v>
      </c>
      <c r="B70" t="s">
        <v>39</v>
      </c>
      <c r="C70" t="s">
        <v>19</v>
      </c>
      <c r="D70" t="s">
        <v>33</v>
      </c>
      <c r="E70">
        <v>2047</v>
      </c>
      <c r="F70" t="s">
        <v>37</v>
      </c>
      <c r="G70" t="s">
        <v>69</v>
      </c>
      <c r="H70" t="s">
        <v>70</v>
      </c>
      <c r="I70" t="s">
        <v>65</v>
      </c>
      <c r="J70">
        <f>SUMIFS(RawResultsLong!$P:$P,RawResultsLong!$A:$A,A70)</f>
        <v>47.31</v>
      </c>
      <c r="K70">
        <f t="shared" si="3"/>
        <v>1499.1634344817096</v>
      </c>
      <c r="L70">
        <f>SUMIFS(EmploymentResults!$V:$V,EmploymentResults!$D:$D,B70,EmploymentResults!$F:$F,C70,EmploymentResults!$G:$G,D70,EmploymentResults!$H:$H,E70,EmploymentResults!$J:$J,G70,EmploymentResults!$K:$K,H70,EmploymentResults!$L:$L,I70)</f>
        <v>7438.7778290219212</v>
      </c>
    </row>
    <row r="71" spans="1:12" x14ac:dyDescent="0.3">
      <c r="A71" t="str">
        <f t="shared" si="2"/>
        <v>CN|NewCapacity|RE1|PWRSOLUGE|2048</v>
      </c>
      <c r="B71" t="s">
        <v>39</v>
      </c>
      <c r="C71" t="s">
        <v>19</v>
      </c>
      <c r="D71" t="s">
        <v>33</v>
      </c>
      <c r="E71">
        <v>2048</v>
      </c>
      <c r="F71" t="s">
        <v>37</v>
      </c>
      <c r="G71" t="s">
        <v>69</v>
      </c>
      <c r="H71" t="s">
        <v>70</v>
      </c>
      <c r="I71" t="s">
        <v>65</v>
      </c>
      <c r="J71">
        <f>SUMIFS(RawResultsLong!$P:$P,RawResultsLong!$A:$A,A71)</f>
        <v>47.31</v>
      </c>
      <c r="K71">
        <f t="shared" si="3"/>
        <v>1499.1634344817096</v>
      </c>
      <c r="L71">
        <f>SUMIFS(EmploymentResults!$V:$V,EmploymentResults!$D:$D,B71,EmploymentResults!$F:$F,C71,EmploymentResults!$G:$G,D71,EmploymentResults!$H:$H,E71,EmploymentResults!$J:$J,G71,EmploymentResults!$K:$K,H71,EmploymentResults!$L:$L,I71)</f>
        <v>7269.5526130958906</v>
      </c>
    </row>
    <row r="72" spans="1:12" x14ac:dyDescent="0.3">
      <c r="A72" t="str">
        <f t="shared" si="2"/>
        <v>CN|NewCapacity|RE1|PWRSOLUGE|2052</v>
      </c>
      <c r="B72" t="s">
        <v>39</v>
      </c>
      <c r="C72" t="s">
        <v>19</v>
      </c>
      <c r="D72" t="s">
        <v>33</v>
      </c>
      <c r="E72">
        <v>2052</v>
      </c>
      <c r="F72" t="s">
        <v>37</v>
      </c>
      <c r="G72" t="s">
        <v>69</v>
      </c>
      <c r="H72" t="s">
        <v>70</v>
      </c>
      <c r="I72" t="s">
        <v>65</v>
      </c>
      <c r="J72">
        <f>SUMIFS(RawResultsLong!$P:$P,RawResultsLong!$A:$A,A72)</f>
        <v>47.31</v>
      </c>
      <c r="K72">
        <f t="shared" si="3"/>
        <v>1499.1634344817096</v>
      </c>
      <c r="L72">
        <f>SUMIFS(EmploymentResults!$V:$V,EmploymentResults!$D:$D,B72,EmploymentResults!$F:$F,C72,EmploymentResults!$G:$G,D72,EmploymentResults!$H:$H,E72,EmploymentResults!$J:$J,G72,EmploymentResults!$K:$K,H72,EmploymentResults!$L:$L,I72)</f>
        <v>6931.1021812438312</v>
      </c>
    </row>
    <row r="73" spans="1:12" x14ac:dyDescent="0.3">
      <c r="A73" t="str">
        <f t="shared" si="2"/>
        <v>CN|NewCapacity|RE1|PWRSOLUGE|2053</v>
      </c>
      <c r="B73" t="s">
        <v>39</v>
      </c>
      <c r="C73" t="s">
        <v>19</v>
      </c>
      <c r="D73" t="s">
        <v>33</v>
      </c>
      <c r="E73">
        <v>2053</v>
      </c>
      <c r="F73" t="s">
        <v>37</v>
      </c>
      <c r="G73" t="s">
        <v>69</v>
      </c>
      <c r="H73" t="s">
        <v>70</v>
      </c>
      <c r="I73" t="s">
        <v>65</v>
      </c>
      <c r="J73">
        <f>SUMIFS(RawResultsLong!$P:$P,RawResultsLong!$A:$A,A73)</f>
        <v>45.022660916026432</v>
      </c>
      <c r="K73">
        <f t="shared" si="3"/>
        <v>1426.6820327282946</v>
      </c>
      <c r="L73">
        <f>SUMIFS(EmploymentResults!$V:$V,EmploymentResults!$D:$D,B73,EmploymentResults!$F:$F,C73,EmploymentResults!$G:$G,D73,EmploymentResults!$H:$H,E73,EmploymentResults!$J:$J,G73,EmploymentResults!$K:$K,H73,EmploymentResults!$L:$L,I73)</f>
        <v>6595.9979556219014</v>
      </c>
    </row>
    <row r="74" spans="1:12" x14ac:dyDescent="0.3">
      <c r="A74" t="str">
        <f t="shared" si="2"/>
        <v>CN|NewCapacity|RE1|PWRSOLUGE|2054</v>
      </c>
      <c r="B74" t="s">
        <v>39</v>
      </c>
      <c r="C74" t="s">
        <v>19</v>
      </c>
      <c r="D74" t="s">
        <v>33</v>
      </c>
      <c r="E74">
        <v>2054</v>
      </c>
      <c r="F74" t="s">
        <v>37</v>
      </c>
      <c r="G74" t="s">
        <v>69</v>
      </c>
      <c r="H74" t="s">
        <v>70</v>
      </c>
      <c r="I74" t="s">
        <v>65</v>
      </c>
      <c r="J74">
        <f>SUMIFS(RawResultsLong!$P:$P,RawResultsLong!$A:$A,A74)</f>
        <v>10.395113529718561</v>
      </c>
      <c r="K74">
        <f t="shared" si="3"/>
        <v>329.40127036652217</v>
      </c>
      <c r="L74">
        <f>SUMIFS(EmploymentResults!$V:$V,EmploymentResults!$D:$D,B74,EmploymentResults!$F:$F,C74,EmploymentResults!$G:$G,D74,EmploymentResults!$H:$H,E74,EmploymentResults!$J:$J,G74,EmploymentResults!$K:$K,H74,EmploymentResults!$L:$L,I74)</f>
        <v>1522.9252602010056</v>
      </c>
    </row>
    <row r="75" spans="1:12" x14ac:dyDescent="0.3">
      <c r="A75" t="str">
        <f t="shared" si="2"/>
        <v>CN|NewCapacity|RE1|PWRSOLUGE_BAT|2047</v>
      </c>
      <c r="B75" t="s">
        <v>39</v>
      </c>
      <c r="C75" t="s">
        <v>19</v>
      </c>
      <c r="D75" t="s">
        <v>41</v>
      </c>
      <c r="E75">
        <v>2047</v>
      </c>
      <c r="F75" t="s">
        <v>37</v>
      </c>
      <c r="G75" t="s">
        <v>69</v>
      </c>
      <c r="H75" t="s">
        <v>70</v>
      </c>
      <c r="I75" t="s">
        <v>65</v>
      </c>
      <c r="J75">
        <f>SUMIFS(RawResultsLong!$P:$P,RawResultsLong!$A:$A,A75)</f>
        <v>30.670102189502511</v>
      </c>
      <c r="K75">
        <f t="shared" si="3"/>
        <v>971.87689144619719</v>
      </c>
      <c r="L75">
        <f>SUMIFS(EmploymentResults!$V:$V,EmploymentResults!$D:$D,B75,EmploymentResults!$F:$F,C75,EmploymentResults!$G:$G,D75,EmploymentResults!$H:$H,E75,EmploymentResults!$J:$J,G75,EmploymentResults!$K:$K,H75,EmploymentResults!$L:$L,I75)</f>
        <v>5046.6605302741946</v>
      </c>
    </row>
    <row r="76" spans="1:12" x14ac:dyDescent="0.3">
      <c r="A76" t="str">
        <f t="shared" si="2"/>
        <v>CN|NewCapacity|RE1|PWRSOLUPE|2025</v>
      </c>
      <c r="B76" t="s">
        <v>39</v>
      </c>
      <c r="C76" t="s">
        <v>19</v>
      </c>
      <c r="D76" t="s">
        <v>34</v>
      </c>
      <c r="E76">
        <v>2025</v>
      </c>
      <c r="F76" t="s">
        <v>37</v>
      </c>
      <c r="G76" t="s">
        <v>69</v>
      </c>
      <c r="H76" t="s">
        <v>70</v>
      </c>
      <c r="I76" t="s">
        <v>65</v>
      </c>
      <c r="J76">
        <f>SUMIFS(RawResultsLong!$P:$P,RawResultsLong!$A:$A,A76)</f>
        <v>5.3106623999999574</v>
      </c>
      <c r="K76">
        <f t="shared" si="3"/>
        <v>168.28473648186039</v>
      </c>
      <c r="L76">
        <f>SUMIFS(EmploymentResults!$V:$V,EmploymentResults!$D:$D,B76,EmploymentResults!$F:$F,C76,EmploymentResults!$G:$G,D76,EmploymentResults!$H:$H,E76,EmploymentResults!$J:$J,G76,EmploymentResults!$K:$K,H76,EmploymentResults!$L:$L,I76)</f>
        <v>1591.1576660582311</v>
      </c>
    </row>
    <row r="77" spans="1:12" x14ac:dyDescent="0.3">
      <c r="A77" t="str">
        <f t="shared" si="2"/>
        <v>CN|NewCapacity|RE1|PWRSOLUPE|2026</v>
      </c>
      <c r="B77" t="s">
        <v>39</v>
      </c>
      <c r="C77" t="s">
        <v>19</v>
      </c>
      <c r="D77" t="s">
        <v>34</v>
      </c>
      <c r="E77">
        <v>2026</v>
      </c>
      <c r="F77" t="s">
        <v>37</v>
      </c>
      <c r="G77" t="s">
        <v>69</v>
      </c>
      <c r="H77" t="s">
        <v>70</v>
      </c>
      <c r="I77" t="s">
        <v>65</v>
      </c>
      <c r="J77">
        <f>SUMIFS(RawResultsLong!$P:$P,RawResultsLong!$A:$A,A77)</f>
        <v>3.364575839999973</v>
      </c>
      <c r="K77">
        <f t="shared" si="3"/>
        <v>106.61697467487936</v>
      </c>
      <c r="L77">
        <f>SUMIFS(EmploymentResults!$V:$V,EmploymentResults!$D:$D,B77,EmploymentResults!$F:$F,C77,EmploymentResults!$G:$G,D77,EmploymentResults!$H:$H,E77,EmploymentResults!$J:$J,G77,EmploymentResults!$K:$K,H77,EmploymentResults!$L:$L,I77)</f>
        <v>953.18804267747294</v>
      </c>
    </row>
    <row r="78" spans="1:12" x14ac:dyDescent="0.3">
      <c r="A78" t="str">
        <f t="shared" si="2"/>
        <v>CN|NewCapacity|RE1|PWRSOLUPE|2027</v>
      </c>
      <c r="B78" t="s">
        <v>39</v>
      </c>
      <c r="C78" t="s">
        <v>19</v>
      </c>
      <c r="D78" t="s">
        <v>34</v>
      </c>
      <c r="E78">
        <v>2027</v>
      </c>
      <c r="F78" t="s">
        <v>37</v>
      </c>
      <c r="G78" t="s">
        <v>69</v>
      </c>
      <c r="H78" t="s">
        <v>70</v>
      </c>
      <c r="I78" t="s">
        <v>65</v>
      </c>
      <c r="J78">
        <f>SUMIFS(RawResultsLong!$P:$P,RawResultsLong!$A:$A,A78)</f>
        <v>3.46896</v>
      </c>
      <c r="K78">
        <f t="shared" si="3"/>
        <v>109.92470910335386</v>
      </c>
      <c r="L78">
        <f>SUMIFS(EmploymentResults!$V:$V,EmploymentResults!$D:$D,B78,EmploymentResults!$F:$F,C78,EmploymentResults!$G:$G,D78,EmploymentResults!$H:$H,E78,EmploymentResults!$J:$J,G78,EmploymentResults!$K:$K,H78,EmploymentResults!$L:$L,I78)</f>
        <v>926.16561044964271</v>
      </c>
    </row>
    <row r="79" spans="1:12" x14ac:dyDescent="0.3">
      <c r="A79" t="str">
        <f t="shared" si="2"/>
        <v>CN|NewCapacity|RE1|PWRWNDOFS_FIX|2036</v>
      </c>
      <c r="B79" t="s">
        <v>39</v>
      </c>
      <c r="C79" t="s">
        <v>19</v>
      </c>
      <c r="D79" t="s">
        <v>42</v>
      </c>
      <c r="E79">
        <v>2036</v>
      </c>
      <c r="F79" t="s">
        <v>37</v>
      </c>
      <c r="G79" t="s">
        <v>69</v>
      </c>
      <c r="H79" t="s">
        <v>70</v>
      </c>
      <c r="I79" t="s">
        <v>65</v>
      </c>
      <c r="J79">
        <f>SUMIFS(RawResultsLong!$P:$P,RawResultsLong!$A:$A,A79)</f>
        <v>13.05396568386857</v>
      </c>
      <c r="K79">
        <f t="shared" si="3"/>
        <v>413.6552109117477</v>
      </c>
      <c r="L79">
        <f>SUMIFS(EmploymentResults!$V:$V,EmploymentResults!$D:$D,B79,EmploymentResults!$F:$F,C79,EmploymentResults!$G:$G,D79,EmploymentResults!$H:$H,E79,EmploymentResults!$J:$J,G79,EmploymentResults!$K:$K,H79,EmploymentResults!$L:$L,I79)</f>
        <v>1799.067821179714</v>
      </c>
    </row>
    <row r="80" spans="1:12" x14ac:dyDescent="0.3">
      <c r="A80" t="str">
        <f t="shared" si="2"/>
        <v>CN|NewCapacity|RE1|PWRWNDOFS_FIX|2037</v>
      </c>
      <c r="B80" t="s">
        <v>39</v>
      </c>
      <c r="C80" t="s">
        <v>19</v>
      </c>
      <c r="D80" t="s">
        <v>42</v>
      </c>
      <c r="E80">
        <v>2037</v>
      </c>
      <c r="F80" t="s">
        <v>37</v>
      </c>
      <c r="G80" t="s">
        <v>69</v>
      </c>
      <c r="H80" t="s">
        <v>70</v>
      </c>
      <c r="I80" t="s">
        <v>65</v>
      </c>
      <c r="J80">
        <f>SUMIFS(RawResultsLong!$P:$P,RawResultsLong!$A:$A,A80)</f>
        <v>23.130800903893491</v>
      </c>
      <c r="K80">
        <f t="shared" si="3"/>
        <v>732.97085025139711</v>
      </c>
      <c r="L80">
        <f>SUMIFS(EmploymentResults!$V:$V,EmploymentResults!$D:$D,B80,EmploymentResults!$F:$F,C80,EmploymentResults!$G:$G,D80,EmploymentResults!$H:$H,E80,EmploymentResults!$J:$J,G80,EmploymentResults!$K:$K,H80,EmploymentResults!$L:$L,I80)</f>
        <v>3135.3924648073421</v>
      </c>
    </row>
    <row r="81" spans="1:12" x14ac:dyDescent="0.3">
      <c r="A81" t="str">
        <f t="shared" si="2"/>
        <v>CN|NewCapacity|RE1|PWRWNDOFS_FIX|2038</v>
      </c>
      <c r="B81" t="s">
        <v>39</v>
      </c>
      <c r="C81" t="s">
        <v>19</v>
      </c>
      <c r="D81" t="s">
        <v>42</v>
      </c>
      <c r="E81">
        <v>2038</v>
      </c>
      <c r="F81" t="s">
        <v>37</v>
      </c>
      <c r="G81" t="s">
        <v>69</v>
      </c>
      <c r="H81" t="s">
        <v>70</v>
      </c>
      <c r="I81" t="s">
        <v>65</v>
      </c>
      <c r="J81">
        <f>SUMIFS(RawResultsLong!$P:$P,RawResultsLong!$A:$A,A81)</f>
        <v>47.31</v>
      </c>
      <c r="K81">
        <f t="shared" si="3"/>
        <v>1499.1634344817096</v>
      </c>
      <c r="L81">
        <f>SUMIFS(EmploymentResults!$V:$V,EmploymentResults!$D:$D,B81,EmploymentResults!$F:$F,C81,EmploymentResults!$G:$G,D81,EmploymentResults!$H:$H,E81,EmploymentResults!$J:$J,G81,EmploymentResults!$K:$K,H81,EmploymentResults!$L:$L,I81)</f>
        <v>6305.6352781857559</v>
      </c>
    </row>
    <row r="82" spans="1:12" x14ac:dyDescent="0.3">
      <c r="A82" t="str">
        <f t="shared" si="2"/>
        <v>CN|NewCapacity|RE1|PWRWNDOFS_FIX|2039</v>
      </c>
      <c r="B82" t="s">
        <v>39</v>
      </c>
      <c r="C82" t="s">
        <v>19</v>
      </c>
      <c r="D82" t="s">
        <v>42</v>
      </c>
      <c r="E82">
        <v>2039</v>
      </c>
      <c r="F82" t="s">
        <v>37</v>
      </c>
      <c r="G82" t="s">
        <v>69</v>
      </c>
      <c r="H82" t="s">
        <v>70</v>
      </c>
      <c r="I82" t="s">
        <v>65</v>
      </c>
      <c r="J82">
        <f>SUMIFS(RawResultsLong!$P:$P,RawResultsLong!$A:$A,A82)</f>
        <v>47.31</v>
      </c>
      <c r="K82">
        <f t="shared" si="3"/>
        <v>1499.1634344817096</v>
      </c>
      <c r="L82">
        <f>SUMIFS(EmploymentResults!$V:$V,EmploymentResults!$D:$D,B82,EmploymentResults!$F:$F,C82,EmploymentResults!$G:$G,D82,EmploymentResults!$H:$H,E82,EmploymentResults!$J:$J,G82,EmploymentResults!$K:$K,H82,EmploymentResults!$L:$L,I82)</f>
        <v>6198.3746896716766</v>
      </c>
    </row>
    <row r="83" spans="1:12" x14ac:dyDescent="0.3">
      <c r="A83" t="str">
        <f t="shared" si="2"/>
        <v>CN|NewCapacity|RE1|PWRWNDOFS_FIX|2040</v>
      </c>
      <c r="B83" t="s">
        <v>39</v>
      </c>
      <c r="C83" t="s">
        <v>19</v>
      </c>
      <c r="D83" t="s">
        <v>42</v>
      </c>
      <c r="E83">
        <v>2040</v>
      </c>
      <c r="F83" t="s">
        <v>37</v>
      </c>
      <c r="G83" t="s">
        <v>69</v>
      </c>
      <c r="H83" t="s">
        <v>70</v>
      </c>
      <c r="I83" t="s">
        <v>65</v>
      </c>
      <c r="J83">
        <f>SUMIFS(RawResultsLong!$P:$P,RawResultsLong!$A:$A,A83)</f>
        <v>47.31</v>
      </c>
      <c r="K83">
        <f t="shared" si="3"/>
        <v>1499.1634344817096</v>
      </c>
      <c r="L83">
        <f>SUMIFS(EmploymentResults!$V:$V,EmploymentResults!$D:$D,B83,EmploymentResults!$F:$F,C83,EmploymentResults!$G:$G,D83,EmploymentResults!$H:$H,E83,EmploymentResults!$J:$J,G83,EmploymentResults!$K:$K,H83,EmploymentResults!$L:$L,I83)</f>
        <v>6091.1141011575974</v>
      </c>
    </row>
    <row r="84" spans="1:12" x14ac:dyDescent="0.3">
      <c r="A84" t="str">
        <f t="shared" si="2"/>
        <v>CN|NewCapacity|RE1|PWRWNDOFS_FIX|2041</v>
      </c>
      <c r="B84" t="s">
        <v>39</v>
      </c>
      <c r="C84" t="s">
        <v>19</v>
      </c>
      <c r="D84" t="s">
        <v>42</v>
      </c>
      <c r="E84">
        <v>2041</v>
      </c>
      <c r="F84" t="s">
        <v>37</v>
      </c>
      <c r="G84" t="s">
        <v>69</v>
      </c>
      <c r="H84" t="s">
        <v>70</v>
      </c>
      <c r="I84" t="s">
        <v>65</v>
      </c>
      <c r="J84">
        <f>SUMIFS(RawResultsLong!$P:$P,RawResultsLong!$A:$A,A84)</f>
        <v>47.31</v>
      </c>
      <c r="K84">
        <f t="shared" si="3"/>
        <v>1499.1634344817096</v>
      </c>
      <c r="L84">
        <f>SUMIFS(EmploymentResults!$V:$V,EmploymentResults!$D:$D,B84,EmploymentResults!$F:$F,C84,EmploymentResults!$G:$G,D84,EmploymentResults!$H:$H,E84,EmploymentResults!$J:$J,G84,EmploymentResults!$K:$K,H84,EmploymentResults!$L:$L,I84)</f>
        <v>5983.8535126435181</v>
      </c>
    </row>
    <row r="85" spans="1:12" x14ac:dyDescent="0.3">
      <c r="A85" t="str">
        <f t="shared" si="2"/>
        <v>CN|NewCapacity|RE1|PWRWNDOFS_FIX|2042</v>
      </c>
      <c r="B85" t="s">
        <v>39</v>
      </c>
      <c r="C85" t="s">
        <v>19</v>
      </c>
      <c r="D85" t="s">
        <v>42</v>
      </c>
      <c r="E85">
        <v>2042</v>
      </c>
      <c r="F85" t="s">
        <v>37</v>
      </c>
      <c r="G85" t="s">
        <v>69</v>
      </c>
      <c r="H85" t="s">
        <v>70</v>
      </c>
      <c r="I85" t="s">
        <v>65</v>
      </c>
      <c r="J85">
        <f>SUMIFS(RawResultsLong!$P:$P,RawResultsLong!$A:$A,A85)</f>
        <v>47.31</v>
      </c>
      <c r="K85">
        <f t="shared" si="3"/>
        <v>1499.1634344817096</v>
      </c>
      <c r="L85">
        <f>SUMIFS(EmploymentResults!$V:$V,EmploymentResults!$D:$D,B85,EmploymentResults!$F:$F,C85,EmploymentResults!$G:$G,D85,EmploymentResults!$H:$H,E85,EmploymentResults!$J:$J,G85,EmploymentResults!$K:$K,H85,EmploymentResults!$L:$L,I85)</f>
        <v>5876.5929241294389</v>
      </c>
    </row>
    <row r="86" spans="1:12" x14ac:dyDescent="0.3">
      <c r="A86" t="str">
        <f t="shared" si="2"/>
        <v>CN|NewCapacity|RE1|PWRWNDOFS_FIX|2043</v>
      </c>
      <c r="B86" t="s">
        <v>39</v>
      </c>
      <c r="C86" t="s">
        <v>19</v>
      </c>
      <c r="D86" t="s">
        <v>42</v>
      </c>
      <c r="E86">
        <v>2043</v>
      </c>
      <c r="F86" t="s">
        <v>37</v>
      </c>
      <c r="G86" t="s">
        <v>69</v>
      </c>
      <c r="H86" t="s">
        <v>70</v>
      </c>
      <c r="I86" t="s">
        <v>65</v>
      </c>
      <c r="J86">
        <f>SUMIFS(RawResultsLong!$P:$P,RawResultsLong!$A:$A,A86)</f>
        <v>47.31</v>
      </c>
      <c r="K86">
        <f t="shared" si="3"/>
        <v>1499.1634344817096</v>
      </c>
      <c r="L86">
        <f>SUMIFS(EmploymentResults!$V:$V,EmploymentResults!$D:$D,B86,EmploymentResults!$F:$F,C86,EmploymentResults!$G:$G,D86,EmploymentResults!$H:$H,E86,EmploymentResults!$J:$J,G86,EmploymentResults!$K:$K,H86,EmploymentResults!$L:$L,I86)</f>
        <v>5769.3323356003684</v>
      </c>
    </row>
    <row r="87" spans="1:12" x14ac:dyDescent="0.3">
      <c r="A87" t="str">
        <f t="shared" si="2"/>
        <v>CN|NewCapacity|RE1|PWRWNDOFS_FIX|2044</v>
      </c>
      <c r="B87" t="s">
        <v>39</v>
      </c>
      <c r="C87" t="s">
        <v>19</v>
      </c>
      <c r="D87" t="s">
        <v>42</v>
      </c>
      <c r="E87">
        <v>2044</v>
      </c>
      <c r="F87" t="s">
        <v>37</v>
      </c>
      <c r="G87" t="s">
        <v>69</v>
      </c>
      <c r="H87" t="s">
        <v>70</v>
      </c>
      <c r="I87" t="s">
        <v>65</v>
      </c>
      <c r="J87">
        <f>SUMIFS(RawResultsLong!$P:$P,RawResultsLong!$A:$A,A87)</f>
        <v>8.9222579893960887</v>
      </c>
      <c r="K87">
        <f t="shared" si="3"/>
        <v>282.72929466740464</v>
      </c>
      <c r="L87">
        <f>SUMIFS(EmploymentResults!$V:$V,EmploymentResults!$D:$D,B87,EmploymentResults!$F:$F,C87,EmploymentResults!$G:$G,D87,EmploymentResults!$H:$H,E87,EmploymentResults!$J:$J,G87,EmploymentResults!$K:$K,H87,EmploymentResults!$L:$L,I87)</f>
        <v>1067.8179006969883</v>
      </c>
    </row>
    <row r="88" spans="1:12" x14ac:dyDescent="0.3">
      <c r="A88" t="str">
        <f t="shared" si="2"/>
        <v>CN|NewCapacity|RE1|PWRWNDOFS_FIX|2045</v>
      </c>
      <c r="B88" t="s">
        <v>39</v>
      </c>
      <c r="C88" t="s">
        <v>19</v>
      </c>
      <c r="D88" t="s">
        <v>42</v>
      </c>
      <c r="E88">
        <v>2045</v>
      </c>
      <c r="F88" t="s">
        <v>37</v>
      </c>
      <c r="G88" t="s">
        <v>69</v>
      </c>
      <c r="H88" t="s">
        <v>70</v>
      </c>
      <c r="I88" t="s">
        <v>65</v>
      </c>
      <c r="J88">
        <f>SUMIFS(RawResultsLong!$P:$P,RawResultsLong!$A:$A,A88)</f>
        <v>47.31</v>
      </c>
      <c r="K88">
        <f t="shared" si="3"/>
        <v>1499.1634344817096</v>
      </c>
      <c r="L88">
        <f>SUMIFS(EmploymentResults!$V:$V,EmploymentResults!$D:$D,B88,EmploymentResults!$F:$F,C88,EmploymentResults!$G:$G,D88,EmploymentResults!$H:$H,E88,EmploymentResults!$J:$J,G88,EmploymentResults!$K:$K,H88,EmploymentResults!$L:$L,I88)</f>
        <v>5554.8111585722108</v>
      </c>
    </row>
    <row r="89" spans="1:12" x14ac:dyDescent="0.3">
      <c r="A89" t="str">
        <f t="shared" si="2"/>
        <v>CN|NewCapacity|RE1|PWRWNDOFS_FIX|2046</v>
      </c>
      <c r="B89" t="s">
        <v>39</v>
      </c>
      <c r="C89" t="s">
        <v>19</v>
      </c>
      <c r="D89" t="s">
        <v>42</v>
      </c>
      <c r="E89">
        <v>2046</v>
      </c>
      <c r="F89" t="s">
        <v>37</v>
      </c>
      <c r="G89" t="s">
        <v>69</v>
      </c>
      <c r="H89" t="s">
        <v>70</v>
      </c>
      <c r="I89" t="s">
        <v>65</v>
      </c>
      <c r="J89">
        <f>SUMIFS(RawResultsLong!$P:$P,RawResultsLong!$A:$A,A89)</f>
        <v>47.31</v>
      </c>
      <c r="K89">
        <f t="shared" si="3"/>
        <v>1499.1634344817096</v>
      </c>
      <c r="L89">
        <f>SUMIFS(EmploymentResults!$V:$V,EmploymentResults!$D:$D,B89,EmploymentResults!$F:$F,C89,EmploymentResults!$G:$G,D89,EmploymentResults!$H:$H,E89,EmploymentResults!$J:$J,G89,EmploymentResults!$K:$K,H89,EmploymentResults!$L:$L,I89)</f>
        <v>5447.5505700581316</v>
      </c>
    </row>
    <row r="90" spans="1:12" x14ac:dyDescent="0.3">
      <c r="A90" t="str">
        <f t="shared" si="2"/>
        <v>CN|NewCapacity|RE1|PWRWNDOFS_FIX|2047</v>
      </c>
      <c r="B90" t="s">
        <v>39</v>
      </c>
      <c r="C90" t="s">
        <v>19</v>
      </c>
      <c r="D90" t="s">
        <v>42</v>
      </c>
      <c r="E90">
        <v>2047</v>
      </c>
      <c r="F90" t="s">
        <v>37</v>
      </c>
      <c r="G90" t="s">
        <v>69</v>
      </c>
      <c r="H90" t="s">
        <v>70</v>
      </c>
      <c r="I90" t="s">
        <v>65</v>
      </c>
      <c r="J90">
        <f>SUMIFS(RawResultsLong!$P:$P,RawResultsLong!$A:$A,A90)</f>
        <v>47.31</v>
      </c>
      <c r="K90">
        <f t="shared" si="3"/>
        <v>1499.1634344817096</v>
      </c>
      <c r="L90">
        <f>SUMIFS(EmploymentResults!$V:$V,EmploymentResults!$D:$D,B90,EmploymentResults!$F:$F,C90,EmploymentResults!$G:$G,D90,EmploymentResults!$H:$H,E90,EmploymentResults!$J:$J,G90,EmploymentResults!$K:$K,H90,EmploymentResults!$L:$L,I90)</f>
        <v>5340.2899815440524</v>
      </c>
    </row>
    <row r="91" spans="1:12" x14ac:dyDescent="0.3">
      <c r="A91" t="str">
        <f t="shared" si="2"/>
        <v>CN|NewCapacity|RE1|PWRWNDOFS_FIX|2048</v>
      </c>
      <c r="B91" t="s">
        <v>39</v>
      </c>
      <c r="C91" t="s">
        <v>19</v>
      </c>
      <c r="D91" t="s">
        <v>42</v>
      </c>
      <c r="E91">
        <v>2048</v>
      </c>
      <c r="F91" t="s">
        <v>37</v>
      </c>
      <c r="G91" t="s">
        <v>69</v>
      </c>
      <c r="H91" t="s">
        <v>70</v>
      </c>
      <c r="I91" t="s">
        <v>65</v>
      </c>
      <c r="J91">
        <f>SUMIFS(RawResultsLong!$P:$P,RawResultsLong!$A:$A,A91)</f>
        <v>47.31</v>
      </c>
      <c r="K91">
        <f t="shared" si="3"/>
        <v>1499.1634344817096</v>
      </c>
      <c r="L91">
        <f>SUMIFS(EmploymentResults!$V:$V,EmploymentResults!$D:$D,B91,EmploymentResults!$F:$F,C91,EmploymentResults!$G:$G,D91,EmploymentResults!$H:$H,E91,EmploymentResults!$J:$J,G91,EmploymentResults!$K:$K,H91,EmploymentResults!$L:$L,I91)</f>
        <v>5233.029393029974</v>
      </c>
    </row>
    <row r="92" spans="1:12" x14ac:dyDescent="0.3">
      <c r="A92" t="str">
        <f t="shared" si="2"/>
        <v>CN|NewCapacity|RE1|PWRWNDOFS_FIX|2049</v>
      </c>
      <c r="B92" t="s">
        <v>39</v>
      </c>
      <c r="C92" t="s">
        <v>19</v>
      </c>
      <c r="D92" t="s">
        <v>42</v>
      </c>
      <c r="E92">
        <v>2049</v>
      </c>
      <c r="F92" t="s">
        <v>37</v>
      </c>
      <c r="G92" t="s">
        <v>69</v>
      </c>
      <c r="H92" t="s">
        <v>70</v>
      </c>
      <c r="I92" t="s">
        <v>65</v>
      </c>
      <c r="J92">
        <f>SUMIFS(RawResultsLong!$P:$P,RawResultsLong!$A:$A,A92)</f>
        <v>35.643284255973491</v>
      </c>
      <c r="K92">
        <f t="shared" si="3"/>
        <v>1129.4675214836836</v>
      </c>
      <c r="L92">
        <f>SUMIFS(EmploymentResults!$V:$V,EmploymentResults!$D:$D,B92,EmploymentResults!$F:$F,C92,EmploymentResults!$G:$G,D92,EmploymentResults!$H:$H,E92,EmploymentResults!$J:$J,G92,EmploymentResults!$K:$K,H92,EmploymentResults!$L:$L,I92)</f>
        <v>3861.7466609432913</v>
      </c>
    </row>
    <row r="93" spans="1:12" x14ac:dyDescent="0.3">
      <c r="A93" t="str">
        <f t="shared" si="2"/>
        <v>CN|NewCapacity|RE1|PWRWNDOFS_FIX|2052</v>
      </c>
      <c r="B93" t="s">
        <v>39</v>
      </c>
      <c r="C93" t="s">
        <v>19</v>
      </c>
      <c r="D93" t="s">
        <v>42</v>
      </c>
      <c r="E93">
        <v>2052</v>
      </c>
      <c r="F93" t="s">
        <v>37</v>
      </c>
      <c r="G93" t="s">
        <v>69</v>
      </c>
      <c r="H93" t="s">
        <v>70</v>
      </c>
      <c r="I93" t="s">
        <v>65</v>
      </c>
      <c r="J93">
        <f>SUMIFS(RawResultsLong!$P:$P,RawResultsLong!$A:$A,A93)</f>
        <v>11.70670091416862</v>
      </c>
      <c r="K93">
        <f t="shared" si="3"/>
        <v>370.96296658074817</v>
      </c>
      <c r="L93">
        <f>SUMIFS(EmploymentResults!$V:$V,EmploymentResults!$D:$D,B93,EmploymentResults!$F:$F,C93,EmploymentResults!$G:$G,D93,EmploymentResults!$H:$H,E93,EmploymentResults!$J:$J,G93,EmploymentResults!$K:$K,H93,EmploymentResults!$L:$L,I93)</f>
        <v>1241.8130357187842</v>
      </c>
    </row>
    <row r="94" spans="1:12" x14ac:dyDescent="0.3">
      <c r="A94" t="str">
        <f t="shared" si="2"/>
        <v>CN|NewCapacity|RE1|PWRWNDOFS_FIX|2053</v>
      </c>
      <c r="B94" t="s">
        <v>39</v>
      </c>
      <c r="C94" t="s">
        <v>19</v>
      </c>
      <c r="D94" t="s">
        <v>42</v>
      </c>
      <c r="E94">
        <v>2053</v>
      </c>
      <c r="F94" t="s">
        <v>37</v>
      </c>
      <c r="G94" t="s">
        <v>69</v>
      </c>
      <c r="H94" t="s">
        <v>70</v>
      </c>
      <c r="I94" t="s">
        <v>65</v>
      </c>
      <c r="J94">
        <f>SUMIFS(RawResultsLong!$P:$P,RawResultsLong!$A:$A,A94)</f>
        <v>22.388523657777679</v>
      </c>
      <c r="K94">
        <f t="shared" si="3"/>
        <v>709.44950369412368</v>
      </c>
      <c r="L94">
        <f>SUMIFS(EmploymentResults!$V:$V,EmploymentResults!$D:$D,B94,EmploymentResults!$F:$F,C94,EmploymentResults!$G:$G,D94,EmploymentResults!$H:$H,E94,EmploymentResults!$J:$J,G94,EmploymentResults!$K:$K,H94,EmploymentResults!$L:$L,I94)</f>
        <v>2374.9099539288241</v>
      </c>
    </row>
    <row r="95" spans="1:12" x14ac:dyDescent="0.3">
      <c r="A95" t="str">
        <f t="shared" si="2"/>
        <v>CN|NewCapacity|RE1|PWRWNDOFS_FIX|2054</v>
      </c>
      <c r="B95" t="s">
        <v>39</v>
      </c>
      <c r="C95" t="s">
        <v>19</v>
      </c>
      <c r="D95" t="s">
        <v>42</v>
      </c>
      <c r="E95">
        <v>2054</v>
      </c>
      <c r="F95" t="s">
        <v>37</v>
      </c>
      <c r="G95" t="s">
        <v>69</v>
      </c>
      <c r="H95" t="s">
        <v>70</v>
      </c>
      <c r="I95" t="s">
        <v>65</v>
      </c>
      <c r="J95">
        <f>SUMIFS(RawResultsLong!$P:$P,RawResultsLong!$A:$A,A95)</f>
        <v>21.17121239331691</v>
      </c>
      <c r="K95">
        <f t="shared" si="3"/>
        <v>670.87523744888426</v>
      </c>
      <c r="L95">
        <f>SUMIFS(EmploymentResults!$V:$V,EmploymentResults!$D:$D,B95,EmploymentResults!$F:$F,C95,EmploymentResults!$G:$G,D95,EmploymentResults!$H:$H,E95,EmploymentResults!$J:$J,G95,EmploymentResults!$K:$K,H95,EmploymentResults!$L:$L,I95)</f>
        <v>2245.7810893735573</v>
      </c>
    </row>
    <row r="96" spans="1:12" x14ac:dyDescent="0.3">
      <c r="A96" t="str">
        <f t="shared" si="2"/>
        <v>CN|NewCapacity|RE1|PWRWNDOFS_FLO|2047</v>
      </c>
      <c r="B96" t="s">
        <v>39</v>
      </c>
      <c r="C96" t="s">
        <v>19</v>
      </c>
      <c r="D96" t="s">
        <v>43</v>
      </c>
      <c r="E96">
        <v>2047</v>
      </c>
      <c r="F96" t="s">
        <v>37</v>
      </c>
      <c r="G96" t="s">
        <v>69</v>
      </c>
      <c r="H96" t="s">
        <v>70</v>
      </c>
      <c r="I96" t="s">
        <v>65</v>
      </c>
      <c r="J96">
        <f>SUMIFS(RawResultsLong!$P:$P,RawResultsLong!$A:$A,A96)</f>
        <v>2.3209769134012128</v>
      </c>
      <c r="K96">
        <f t="shared" si="3"/>
        <v>73.547320246191489</v>
      </c>
      <c r="L96">
        <f>SUMIFS(EmploymentResults!$V:$V,EmploymentResults!$D:$D,B96,EmploymentResults!$F:$F,C96,EmploymentResults!$G:$G,D96,EmploymentResults!$H:$H,E96,EmploymentResults!$J:$J,G96,EmploymentResults!$K:$K,H96,EmploymentResults!$L:$L,I96)</f>
        <v>632.62434210369827</v>
      </c>
    </row>
    <row r="97" spans="1:12" x14ac:dyDescent="0.3">
      <c r="A97" t="str">
        <f t="shared" si="2"/>
        <v>CN|NewCapacity|RE1|PWRWNDOFS_FLO|2048</v>
      </c>
      <c r="B97" t="s">
        <v>39</v>
      </c>
      <c r="C97" t="s">
        <v>19</v>
      </c>
      <c r="D97" t="s">
        <v>43</v>
      </c>
      <c r="E97">
        <v>2048</v>
      </c>
      <c r="F97" t="s">
        <v>37</v>
      </c>
      <c r="G97" t="s">
        <v>69</v>
      </c>
      <c r="H97" t="s">
        <v>70</v>
      </c>
      <c r="I97" t="s">
        <v>65</v>
      </c>
      <c r="J97">
        <f>SUMIFS(RawResultsLong!$P:$P,RawResultsLong!$A:$A,A97)</f>
        <v>4.9525127701078064</v>
      </c>
      <c r="K97">
        <f t="shared" si="3"/>
        <v>156.93565955927593</v>
      </c>
      <c r="L97">
        <f>SUMIFS(EmploymentResults!$V:$V,EmploymentResults!$D:$D,B97,EmploymentResults!$F:$F,C97,EmploymentResults!$G:$G,D97,EmploymentResults!$H:$H,E97,EmploymentResults!$J:$J,G97,EmploymentResults!$K:$K,H97,EmploymentResults!$L:$L,I97)</f>
        <v>1295.7413925374262</v>
      </c>
    </row>
    <row r="98" spans="1:12" x14ac:dyDescent="0.3">
      <c r="A98" t="str">
        <f t="shared" si="2"/>
        <v>CN|NewCapacity|RE1|PWRWNDONS|2025</v>
      </c>
      <c r="B98" t="s">
        <v>39</v>
      </c>
      <c r="C98" t="s">
        <v>19</v>
      </c>
      <c r="D98" t="s">
        <v>36</v>
      </c>
      <c r="E98">
        <v>2025</v>
      </c>
      <c r="F98" t="s">
        <v>37</v>
      </c>
      <c r="G98" t="s">
        <v>69</v>
      </c>
      <c r="H98" t="s">
        <v>70</v>
      </c>
      <c r="I98" t="s">
        <v>65</v>
      </c>
      <c r="J98">
        <f>SUMIFS(RawResultsLong!$P:$P,RawResultsLong!$A:$A,A98)</f>
        <v>0.15362331428571441</v>
      </c>
      <c r="K98">
        <f t="shared" si="3"/>
        <v>4.8680290733678859</v>
      </c>
      <c r="L98">
        <f>SUMIFS(EmploymentResults!$V:$V,EmploymentResults!$D:$D,B98,EmploymentResults!$F:$F,C98,EmploymentResults!$G:$G,D98,EmploymentResults!$H:$H,E98,EmploymentResults!$J:$J,G98,EmploymentResults!$K:$K,H98,EmploymentResults!$L:$L,I98)</f>
        <v>34.978894298950074</v>
      </c>
    </row>
    <row r="99" spans="1:12" x14ac:dyDescent="0.3">
      <c r="A99" t="str">
        <f t="shared" si="2"/>
        <v>CN|NewCapacity|RE1|PWRWNDONS|2026</v>
      </c>
      <c r="B99" t="s">
        <v>39</v>
      </c>
      <c r="C99" t="s">
        <v>19</v>
      </c>
      <c r="D99" t="s">
        <v>36</v>
      </c>
      <c r="E99">
        <v>2026</v>
      </c>
      <c r="F99" t="s">
        <v>37</v>
      </c>
      <c r="G99" t="s">
        <v>69</v>
      </c>
      <c r="H99" t="s">
        <v>70</v>
      </c>
      <c r="I99" t="s">
        <v>65</v>
      </c>
      <c r="J99">
        <f>SUMIFS(RawResultsLong!$P:$P,RawResultsLong!$A:$A,A99)</f>
        <v>14.13582317014987</v>
      </c>
      <c r="K99">
        <f t="shared" si="3"/>
        <v>447.93720593929419</v>
      </c>
      <c r="L99">
        <f>SUMIFS(EmploymentResults!$V:$V,EmploymentResults!$D:$D,B99,EmploymentResults!$F:$F,C99,EmploymentResults!$G:$G,D99,EmploymentResults!$H:$H,E99,EmploymentResults!$J:$J,G99,EmploymentResults!$K:$K,H99,EmploymentResults!$L:$L,I99)</f>
        <v>3191.044180690576</v>
      </c>
    </row>
    <row r="100" spans="1:12" x14ac:dyDescent="0.3">
      <c r="A100" t="str">
        <f t="shared" si="2"/>
        <v>CN|NewCapacity|RE1|PWRWNDONS|2027</v>
      </c>
      <c r="B100" t="s">
        <v>39</v>
      </c>
      <c r="C100" t="s">
        <v>19</v>
      </c>
      <c r="D100" t="s">
        <v>36</v>
      </c>
      <c r="E100">
        <v>2027</v>
      </c>
      <c r="F100" t="s">
        <v>37</v>
      </c>
      <c r="G100" t="s">
        <v>69</v>
      </c>
      <c r="H100" t="s">
        <v>70</v>
      </c>
      <c r="I100" t="s">
        <v>65</v>
      </c>
      <c r="J100">
        <f>SUMIFS(RawResultsLong!$P:$P,RawResultsLong!$A:$A,A100)</f>
        <v>17.399999999999999</v>
      </c>
      <c r="K100">
        <f t="shared" si="3"/>
        <v>551.37272796410377</v>
      </c>
      <c r="L100">
        <f>SUMIFS(EmploymentResults!$V:$V,EmploymentResults!$D:$D,B100,EmploymentResults!$F:$F,C100,EmploymentResults!$G:$G,D100,EmploymentResults!$H:$H,E100,EmploymentResults!$J:$J,G100,EmploymentResults!$K:$K,H100,EmploymentResults!$L:$L,I100)</f>
        <v>3893.9582329152408</v>
      </c>
    </row>
    <row r="101" spans="1:12" x14ac:dyDescent="0.3">
      <c r="A101" t="str">
        <f t="shared" si="2"/>
        <v>CN|NewCapacity|RE1|PWRWNDONS|2028</v>
      </c>
      <c r="B101" t="s">
        <v>39</v>
      </c>
      <c r="C101" t="s">
        <v>19</v>
      </c>
      <c r="D101" t="s">
        <v>36</v>
      </c>
      <c r="E101">
        <v>2028</v>
      </c>
      <c r="F101" t="s">
        <v>37</v>
      </c>
      <c r="G101" t="s">
        <v>69</v>
      </c>
      <c r="H101" t="s">
        <v>70</v>
      </c>
      <c r="I101" t="s">
        <v>65</v>
      </c>
      <c r="J101">
        <f>SUMIFS(RawResultsLong!$P:$P,RawResultsLong!$A:$A,A101)</f>
        <v>6.4</v>
      </c>
      <c r="K101">
        <f t="shared" si="3"/>
        <v>202.80376200978529</v>
      </c>
      <c r="L101">
        <f>SUMIFS(EmploymentResults!$V:$V,EmploymentResults!$D:$D,B101,EmploymentResults!$F:$F,C101,EmploymentResults!$G:$G,D101,EmploymentResults!$H:$H,E101,EmploymentResults!$J:$J,G101,EmploymentResults!$K:$K,H101,EmploymentResults!$L:$L,I101)</f>
        <v>1419.7743781904835</v>
      </c>
    </row>
    <row r="102" spans="1:12" x14ac:dyDescent="0.3">
      <c r="A102" t="str">
        <f t="shared" si="2"/>
        <v>CN|NewCapacity|RE1|PWRWNDONS|2029</v>
      </c>
      <c r="B102" t="s">
        <v>39</v>
      </c>
      <c r="C102" t="s">
        <v>19</v>
      </c>
      <c r="D102" t="s">
        <v>36</v>
      </c>
      <c r="E102">
        <v>2029</v>
      </c>
      <c r="F102" t="s">
        <v>37</v>
      </c>
      <c r="G102" t="s">
        <v>69</v>
      </c>
      <c r="H102" t="s">
        <v>70</v>
      </c>
      <c r="I102" t="s">
        <v>65</v>
      </c>
      <c r="J102">
        <f>SUMIFS(RawResultsLong!$P:$P,RawResultsLong!$A:$A,A102)</f>
        <v>9.5</v>
      </c>
      <c r="K102">
        <f t="shared" si="3"/>
        <v>301.03683423327504</v>
      </c>
      <c r="L102">
        <f>SUMIFS(EmploymentResults!$V:$V,EmploymentResults!$D:$D,B102,EmploymentResults!$F:$F,C102,EmploymentResults!$G:$G,D102,EmploymentResults!$H:$H,E102,EmploymentResults!$J:$J,G102,EmploymentResults!$K:$K,H102,EmploymentResults!$L:$L,I102)</f>
        <v>2088.9435063594824</v>
      </c>
    </row>
    <row r="103" spans="1:12" x14ac:dyDescent="0.3">
      <c r="A103" t="str">
        <f t="shared" si="2"/>
        <v>CN|NewCapacity|RE1|PWRWNDONS|2030</v>
      </c>
      <c r="B103" t="s">
        <v>39</v>
      </c>
      <c r="C103" t="s">
        <v>19</v>
      </c>
      <c r="D103" t="s">
        <v>36</v>
      </c>
      <c r="E103">
        <v>2030</v>
      </c>
      <c r="F103" t="s">
        <v>37</v>
      </c>
      <c r="G103" t="s">
        <v>69</v>
      </c>
      <c r="H103" t="s">
        <v>70</v>
      </c>
      <c r="I103" t="s">
        <v>65</v>
      </c>
      <c r="J103">
        <f>SUMIFS(RawResultsLong!$P:$P,RawResultsLong!$A:$A,A103)</f>
        <v>9.4</v>
      </c>
      <c r="K103">
        <f t="shared" si="3"/>
        <v>297.86802545187214</v>
      </c>
      <c r="L103">
        <f>SUMIFS(EmploymentResults!$V:$V,EmploymentResults!$D:$D,B103,EmploymentResults!$F:$F,C103,EmploymentResults!$G:$G,D103,EmploymentResults!$H:$H,E103,EmploymentResults!$J:$J,G103,EmploymentResults!$K:$K,H103,EmploymentResults!$L:$L,I103)</f>
        <v>2048.6156367230715</v>
      </c>
    </row>
    <row r="104" spans="1:12" x14ac:dyDescent="0.3">
      <c r="A104" t="str">
        <f t="shared" si="2"/>
        <v>CN|NewCapacity|RE1|PWRWNDONS|2031</v>
      </c>
      <c r="B104" t="s">
        <v>39</v>
      </c>
      <c r="C104" t="s">
        <v>19</v>
      </c>
      <c r="D104" t="s">
        <v>36</v>
      </c>
      <c r="E104">
        <v>2031</v>
      </c>
      <c r="F104" t="s">
        <v>37</v>
      </c>
      <c r="G104" t="s">
        <v>69</v>
      </c>
      <c r="H104" t="s">
        <v>70</v>
      </c>
      <c r="I104" t="s">
        <v>65</v>
      </c>
      <c r="J104">
        <f>SUMIFS(RawResultsLong!$P:$P,RawResultsLong!$A:$A,A104)</f>
        <v>9.4</v>
      </c>
      <c r="K104">
        <f t="shared" si="3"/>
        <v>297.86802545187214</v>
      </c>
      <c r="L104">
        <f>SUMIFS(EmploymentResults!$V:$V,EmploymentResults!$D:$D,B104,EmploymentResults!$F:$F,C104,EmploymentResults!$G:$G,D104,EmploymentResults!$H:$H,E104,EmploymentResults!$J:$J,G104,EmploymentResults!$K:$K,H104,EmploymentResults!$L:$L,I104)</f>
        <v>2043.1820032059472</v>
      </c>
    </row>
    <row r="105" spans="1:12" x14ac:dyDescent="0.3">
      <c r="A105" t="str">
        <f t="shared" si="2"/>
        <v>CN|NewCapacity|RE1|PWRWNDONS|2032</v>
      </c>
      <c r="B105" t="s">
        <v>39</v>
      </c>
      <c r="C105" t="s">
        <v>19</v>
      </c>
      <c r="D105" t="s">
        <v>36</v>
      </c>
      <c r="E105">
        <v>2032</v>
      </c>
      <c r="F105" t="s">
        <v>37</v>
      </c>
      <c r="G105" t="s">
        <v>69</v>
      </c>
      <c r="H105" t="s">
        <v>70</v>
      </c>
      <c r="I105" t="s">
        <v>65</v>
      </c>
      <c r="J105">
        <f>SUMIFS(RawResultsLong!$P:$P,RawResultsLong!$A:$A,A105)</f>
        <v>9.4</v>
      </c>
      <c r="K105">
        <f t="shared" si="3"/>
        <v>297.86802545187214</v>
      </c>
      <c r="L105">
        <f>SUMIFS(EmploymentResults!$V:$V,EmploymentResults!$D:$D,B105,EmploymentResults!$F:$F,C105,EmploymentResults!$G:$G,D105,EmploymentResults!$H:$H,E105,EmploymentResults!$J:$J,G105,EmploymentResults!$K:$K,H105,EmploymentResults!$L:$L,I105)</f>
        <v>2037.748369688823</v>
      </c>
    </row>
    <row r="106" spans="1:12" x14ac:dyDescent="0.3">
      <c r="A106" t="str">
        <f t="shared" si="2"/>
        <v>CN|NewCapacity|RE1|PWRWNDONS|2033</v>
      </c>
      <c r="B106" t="s">
        <v>39</v>
      </c>
      <c r="C106" t="s">
        <v>19</v>
      </c>
      <c r="D106" t="s">
        <v>36</v>
      </c>
      <c r="E106">
        <v>2033</v>
      </c>
      <c r="F106" t="s">
        <v>37</v>
      </c>
      <c r="G106" t="s">
        <v>69</v>
      </c>
      <c r="H106" t="s">
        <v>70</v>
      </c>
      <c r="I106" t="s">
        <v>65</v>
      </c>
      <c r="J106">
        <f>SUMIFS(RawResultsLong!$P:$P,RawResultsLong!$A:$A,A106)</f>
        <v>9.4</v>
      </c>
      <c r="K106">
        <f t="shared" si="3"/>
        <v>297.86802545187214</v>
      </c>
      <c r="L106">
        <f>SUMIFS(EmploymentResults!$V:$V,EmploymentResults!$D:$D,B106,EmploymentResults!$F:$F,C106,EmploymentResults!$G:$G,D106,EmploymentResults!$H:$H,E106,EmploymentResults!$J:$J,G106,EmploymentResults!$K:$K,H106,EmploymentResults!$L:$L,I106)</f>
        <v>2032.314736171699</v>
      </c>
    </row>
    <row r="107" spans="1:12" x14ac:dyDescent="0.3">
      <c r="A107" t="str">
        <f t="shared" si="2"/>
        <v>CN|NewCapacity|RE1|PWRWNDONS|2034</v>
      </c>
      <c r="B107" t="s">
        <v>39</v>
      </c>
      <c r="C107" t="s">
        <v>19</v>
      </c>
      <c r="D107" t="s">
        <v>36</v>
      </c>
      <c r="E107">
        <v>2034</v>
      </c>
      <c r="F107" t="s">
        <v>37</v>
      </c>
      <c r="G107" t="s">
        <v>69</v>
      </c>
      <c r="H107" t="s">
        <v>70</v>
      </c>
      <c r="I107" t="s">
        <v>65</v>
      </c>
      <c r="J107">
        <f>SUMIFS(RawResultsLong!$P:$P,RawResultsLong!$A:$A,A107)</f>
        <v>9.4</v>
      </c>
      <c r="K107">
        <f t="shared" si="3"/>
        <v>297.86802545187214</v>
      </c>
      <c r="L107">
        <f>SUMIFS(EmploymentResults!$V:$V,EmploymentResults!$D:$D,B107,EmploymentResults!$F:$F,C107,EmploymentResults!$G:$G,D107,EmploymentResults!$H:$H,E107,EmploymentResults!$J:$J,G107,EmploymentResults!$K:$K,H107,EmploymentResults!$L:$L,I107)</f>
        <v>2026.8811026545745</v>
      </c>
    </row>
    <row r="108" spans="1:12" x14ac:dyDescent="0.3">
      <c r="A108" t="str">
        <f t="shared" si="2"/>
        <v>CN|NewCapacity|RE1|PWRWNDONS|2035</v>
      </c>
      <c r="B108" t="s">
        <v>39</v>
      </c>
      <c r="C108" t="s">
        <v>19</v>
      </c>
      <c r="D108" t="s">
        <v>36</v>
      </c>
      <c r="E108">
        <v>2035</v>
      </c>
      <c r="F108" t="s">
        <v>37</v>
      </c>
      <c r="G108" t="s">
        <v>69</v>
      </c>
      <c r="H108" t="s">
        <v>70</v>
      </c>
      <c r="I108" t="s">
        <v>65</v>
      </c>
      <c r="J108">
        <f>SUMIFS(RawResultsLong!$P:$P,RawResultsLong!$A:$A,A108)</f>
        <v>47.31</v>
      </c>
      <c r="K108">
        <f t="shared" si="3"/>
        <v>1499.1634344817096</v>
      </c>
      <c r="L108">
        <f>SUMIFS(EmploymentResults!$V:$V,EmploymentResults!$D:$D,B108,EmploymentResults!$F:$F,C108,EmploymentResults!$G:$G,D108,EmploymentResults!$H:$H,E108,EmploymentResults!$J:$J,G108,EmploymentResults!$K:$K,H108,EmploymentResults!$L:$L,I108)</f>
        <v>10173.902102648166</v>
      </c>
    </row>
    <row r="109" spans="1:12" x14ac:dyDescent="0.3">
      <c r="A109" t="str">
        <f t="shared" si="2"/>
        <v>CN|NewCapacity|RE1|PWRWNDONS|2036</v>
      </c>
      <c r="B109" t="s">
        <v>39</v>
      </c>
      <c r="C109" t="s">
        <v>19</v>
      </c>
      <c r="D109" t="s">
        <v>36</v>
      </c>
      <c r="E109">
        <v>2036</v>
      </c>
      <c r="F109" t="s">
        <v>37</v>
      </c>
      <c r="G109" t="s">
        <v>69</v>
      </c>
      <c r="H109" t="s">
        <v>70</v>
      </c>
      <c r="I109" t="s">
        <v>65</v>
      </c>
      <c r="J109">
        <f>SUMIFS(RawResultsLong!$P:$P,RawResultsLong!$A:$A,A109)</f>
        <v>47.31</v>
      </c>
      <c r="K109">
        <f t="shared" si="3"/>
        <v>1499.1634344817096</v>
      </c>
      <c r="L109">
        <f>SUMIFS(EmploymentResults!$V:$V,EmploymentResults!$D:$D,B109,EmploymentResults!$F:$F,C109,EmploymentResults!$G:$G,D109,EmploymentResults!$H:$H,E109,EmploymentResults!$J:$J,G109,EmploymentResults!$K:$K,H109,EmploymentResults!$L:$L,I109)</f>
        <v>10146.554740765705</v>
      </c>
    </row>
    <row r="110" spans="1:12" x14ac:dyDescent="0.3">
      <c r="A110" t="str">
        <f t="shared" si="2"/>
        <v>CN|NewCapacity|RE1|PWRWNDONS|2037</v>
      </c>
      <c r="B110" t="s">
        <v>39</v>
      </c>
      <c r="C110" t="s">
        <v>19</v>
      </c>
      <c r="D110" t="s">
        <v>36</v>
      </c>
      <c r="E110">
        <v>2037</v>
      </c>
      <c r="F110" t="s">
        <v>37</v>
      </c>
      <c r="G110" t="s">
        <v>69</v>
      </c>
      <c r="H110" t="s">
        <v>70</v>
      </c>
      <c r="I110" t="s">
        <v>65</v>
      </c>
      <c r="J110">
        <f>SUMIFS(RawResultsLong!$P:$P,RawResultsLong!$A:$A,A110)</f>
        <v>47.31</v>
      </c>
      <c r="K110">
        <f t="shared" si="3"/>
        <v>1499.1634344817096</v>
      </c>
      <c r="L110">
        <f>SUMIFS(EmploymentResults!$V:$V,EmploymentResults!$D:$D,B110,EmploymentResults!$F:$F,C110,EmploymentResults!$G:$G,D110,EmploymentResults!$H:$H,E110,EmploymentResults!$J:$J,G110,EmploymentResults!$K:$K,H110,EmploymentResults!$L:$L,I110)</f>
        <v>10119.207378883242</v>
      </c>
    </row>
    <row r="111" spans="1:12" x14ac:dyDescent="0.3">
      <c r="A111" t="str">
        <f t="shared" si="2"/>
        <v>CN|NewCapacity|RE1|PWRWNDONS|2038</v>
      </c>
      <c r="B111" t="s">
        <v>39</v>
      </c>
      <c r="C111" t="s">
        <v>19</v>
      </c>
      <c r="D111" t="s">
        <v>36</v>
      </c>
      <c r="E111">
        <v>2038</v>
      </c>
      <c r="F111" t="s">
        <v>37</v>
      </c>
      <c r="G111" t="s">
        <v>69</v>
      </c>
      <c r="H111" t="s">
        <v>70</v>
      </c>
      <c r="I111" t="s">
        <v>65</v>
      </c>
      <c r="J111">
        <f>SUMIFS(RawResultsLong!$P:$P,RawResultsLong!$A:$A,A111)</f>
        <v>47.31</v>
      </c>
      <c r="K111">
        <f t="shared" si="3"/>
        <v>1499.1634344817096</v>
      </c>
      <c r="L111">
        <f>SUMIFS(EmploymentResults!$V:$V,EmploymentResults!$D:$D,B111,EmploymentResults!$F:$F,C111,EmploymentResults!$G:$G,D111,EmploymentResults!$H:$H,E111,EmploymentResults!$J:$J,G111,EmploymentResults!$K:$K,H111,EmploymentResults!$L:$L,I111)</f>
        <v>10091.860017000779</v>
      </c>
    </row>
    <row r="112" spans="1:12" x14ac:dyDescent="0.3">
      <c r="A112" t="str">
        <f t="shared" si="2"/>
        <v>CN|NewCapacity|RE1|PWRWNDONS|2039</v>
      </c>
      <c r="B112" t="s">
        <v>39</v>
      </c>
      <c r="C112" t="s">
        <v>19</v>
      </c>
      <c r="D112" t="s">
        <v>36</v>
      </c>
      <c r="E112">
        <v>2039</v>
      </c>
      <c r="F112" t="s">
        <v>37</v>
      </c>
      <c r="G112" t="s">
        <v>69</v>
      </c>
      <c r="H112" t="s">
        <v>70</v>
      </c>
      <c r="I112" t="s">
        <v>65</v>
      </c>
      <c r="J112">
        <f>SUMIFS(RawResultsLong!$P:$P,RawResultsLong!$A:$A,A112)</f>
        <v>47.31</v>
      </c>
      <c r="K112">
        <f t="shared" si="3"/>
        <v>1499.1634344817096</v>
      </c>
      <c r="L112">
        <f>SUMIFS(EmploymentResults!$V:$V,EmploymentResults!$D:$D,B112,EmploymentResults!$F:$F,C112,EmploymentResults!$G:$G,D112,EmploymentResults!$H:$H,E112,EmploymentResults!$J:$J,G112,EmploymentResults!$K:$K,H112,EmploymentResults!$L:$L,I112)</f>
        <v>10064.512655118317</v>
      </c>
    </row>
    <row r="113" spans="1:12" x14ac:dyDescent="0.3">
      <c r="A113" t="str">
        <f t="shared" si="2"/>
        <v>CN|NewCapacity|RE1|PWRWNDONS|2040</v>
      </c>
      <c r="B113" t="s">
        <v>39</v>
      </c>
      <c r="C113" t="s">
        <v>19</v>
      </c>
      <c r="D113" t="s">
        <v>36</v>
      </c>
      <c r="E113">
        <v>2040</v>
      </c>
      <c r="F113" t="s">
        <v>37</v>
      </c>
      <c r="G113" t="s">
        <v>69</v>
      </c>
      <c r="H113" t="s">
        <v>70</v>
      </c>
      <c r="I113" t="s">
        <v>65</v>
      </c>
      <c r="J113">
        <f>SUMIFS(RawResultsLong!$P:$P,RawResultsLong!$A:$A,A113)</f>
        <v>47.31</v>
      </c>
      <c r="K113">
        <f t="shared" si="3"/>
        <v>1499.1634344817096</v>
      </c>
      <c r="L113">
        <f>SUMIFS(EmploymentResults!$V:$V,EmploymentResults!$D:$D,B113,EmploymentResults!$F:$F,C113,EmploymentResults!$G:$G,D113,EmploymentResults!$H:$H,E113,EmploymentResults!$J:$J,G113,EmploymentResults!$K:$K,H113,EmploymentResults!$L:$L,I113)</f>
        <v>10037.165293235854</v>
      </c>
    </row>
    <row r="114" spans="1:12" x14ac:dyDescent="0.3">
      <c r="A114" t="str">
        <f t="shared" si="2"/>
        <v>CN|NewCapacity|RE1|PWRWNDONS|2041</v>
      </c>
      <c r="B114" t="s">
        <v>39</v>
      </c>
      <c r="C114" t="s">
        <v>19</v>
      </c>
      <c r="D114" t="s">
        <v>36</v>
      </c>
      <c r="E114">
        <v>2041</v>
      </c>
      <c r="F114" t="s">
        <v>37</v>
      </c>
      <c r="G114" t="s">
        <v>69</v>
      </c>
      <c r="H114" t="s">
        <v>70</v>
      </c>
      <c r="I114" t="s">
        <v>65</v>
      </c>
      <c r="J114">
        <f>SUMIFS(RawResultsLong!$P:$P,RawResultsLong!$A:$A,A114)</f>
        <v>47.31</v>
      </c>
      <c r="K114">
        <f t="shared" si="3"/>
        <v>1499.1634344817096</v>
      </c>
      <c r="L114">
        <f>SUMIFS(EmploymentResults!$V:$V,EmploymentResults!$D:$D,B114,EmploymentResults!$F:$F,C114,EmploymentResults!$G:$G,D114,EmploymentResults!$H:$H,E114,EmploymentResults!$J:$J,G114,EmploymentResults!$K:$K,H114,EmploymentResults!$L:$L,I114)</f>
        <v>10009.817931353393</v>
      </c>
    </row>
    <row r="115" spans="1:12" x14ac:dyDescent="0.3">
      <c r="A115" t="str">
        <f t="shared" si="2"/>
        <v>CN|NewCapacity|RE1|PWRWNDONS|2042</v>
      </c>
      <c r="B115" t="s">
        <v>39</v>
      </c>
      <c r="C115" t="s">
        <v>19</v>
      </c>
      <c r="D115" t="s">
        <v>36</v>
      </c>
      <c r="E115">
        <v>2042</v>
      </c>
      <c r="F115" t="s">
        <v>37</v>
      </c>
      <c r="G115" t="s">
        <v>69</v>
      </c>
      <c r="H115" t="s">
        <v>70</v>
      </c>
      <c r="I115" t="s">
        <v>65</v>
      </c>
      <c r="J115">
        <f>SUMIFS(RawResultsLong!$P:$P,RawResultsLong!$A:$A,A115)</f>
        <v>47.31</v>
      </c>
      <c r="K115">
        <f t="shared" si="3"/>
        <v>1499.1634344817096</v>
      </c>
      <c r="L115">
        <f>SUMIFS(EmploymentResults!$V:$V,EmploymentResults!$D:$D,B115,EmploymentResults!$F:$F,C115,EmploymentResults!$G:$G,D115,EmploymentResults!$H:$H,E115,EmploymentResults!$J:$J,G115,EmploymentResults!$K:$K,H115,EmploymentResults!$L:$L,I115)</f>
        <v>9982.4705694709282</v>
      </c>
    </row>
    <row r="116" spans="1:12" x14ac:dyDescent="0.3">
      <c r="A116" t="str">
        <f t="shared" si="2"/>
        <v>CN|NewCapacity|RE1|PWRWNDONS|2043</v>
      </c>
      <c r="B116" t="s">
        <v>39</v>
      </c>
      <c r="C116" t="s">
        <v>19</v>
      </c>
      <c r="D116" t="s">
        <v>36</v>
      </c>
      <c r="E116">
        <v>2043</v>
      </c>
      <c r="F116" t="s">
        <v>37</v>
      </c>
      <c r="G116" t="s">
        <v>69</v>
      </c>
      <c r="H116" t="s">
        <v>70</v>
      </c>
      <c r="I116" t="s">
        <v>65</v>
      </c>
      <c r="J116">
        <f>SUMIFS(RawResultsLong!$P:$P,RawResultsLong!$A:$A,A116)</f>
        <v>47.31</v>
      </c>
      <c r="K116">
        <f t="shared" si="3"/>
        <v>1499.1634344817096</v>
      </c>
      <c r="L116">
        <f>SUMIFS(EmploymentResults!$V:$V,EmploymentResults!$D:$D,B116,EmploymentResults!$F:$F,C116,EmploymentResults!$G:$G,D116,EmploymentResults!$H:$H,E116,EmploymentResults!$J:$J,G116,EmploymentResults!$K:$K,H116,EmploymentResults!$L:$L,I116)</f>
        <v>9955.1232075884673</v>
      </c>
    </row>
    <row r="117" spans="1:12" x14ac:dyDescent="0.3">
      <c r="A117" t="str">
        <f t="shared" si="2"/>
        <v>CN|NewCapacity|RE1|PWRWNDONS|2044</v>
      </c>
      <c r="B117" t="s">
        <v>39</v>
      </c>
      <c r="C117" t="s">
        <v>19</v>
      </c>
      <c r="D117" t="s">
        <v>36</v>
      </c>
      <c r="E117">
        <v>2044</v>
      </c>
      <c r="F117" t="s">
        <v>37</v>
      </c>
      <c r="G117" t="s">
        <v>69</v>
      </c>
      <c r="H117" t="s">
        <v>70</v>
      </c>
      <c r="I117" t="s">
        <v>65</v>
      </c>
      <c r="J117">
        <f>SUMIFS(RawResultsLong!$P:$P,RawResultsLong!$A:$A,A117)</f>
        <v>47.31</v>
      </c>
      <c r="K117">
        <f t="shared" si="3"/>
        <v>1499.1634344817096</v>
      </c>
      <c r="L117">
        <f>SUMIFS(EmploymentResults!$V:$V,EmploymentResults!$D:$D,B117,EmploymentResults!$F:$F,C117,EmploymentResults!$G:$G,D117,EmploymentResults!$H:$H,E117,EmploymentResults!$J:$J,G117,EmploymentResults!$K:$K,H117,EmploymentResults!$L:$L,I117)</f>
        <v>9927.7758457060045</v>
      </c>
    </row>
    <row r="118" spans="1:12" x14ac:dyDescent="0.3">
      <c r="A118" t="str">
        <f t="shared" si="2"/>
        <v>CN|NewCapacity|RE1|PWRWNDONS|2045</v>
      </c>
      <c r="B118" t="s">
        <v>39</v>
      </c>
      <c r="C118" t="s">
        <v>19</v>
      </c>
      <c r="D118" t="s">
        <v>36</v>
      </c>
      <c r="E118">
        <v>2045</v>
      </c>
      <c r="F118" t="s">
        <v>37</v>
      </c>
      <c r="G118" t="s">
        <v>69</v>
      </c>
      <c r="H118" t="s">
        <v>70</v>
      </c>
      <c r="I118" t="s">
        <v>65</v>
      </c>
      <c r="J118">
        <f>SUMIFS(RawResultsLong!$P:$P,RawResultsLong!$A:$A,A118)</f>
        <v>47.31</v>
      </c>
      <c r="K118">
        <f t="shared" si="3"/>
        <v>1499.1634344817096</v>
      </c>
      <c r="L118">
        <f>SUMIFS(EmploymentResults!$V:$V,EmploymentResults!$D:$D,B118,EmploymentResults!$F:$F,C118,EmploymentResults!$G:$G,D118,EmploymentResults!$H:$H,E118,EmploymentResults!$J:$J,G118,EmploymentResults!$K:$K,H118,EmploymentResults!$L:$L,I118)</f>
        <v>9900.4284838235417</v>
      </c>
    </row>
    <row r="119" spans="1:12" x14ac:dyDescent="0.3">
      <c r="A119" t="str">
        <f t="shared" si="2"/>
        <v>CN|NewCapacity|RE1|PWRWNDONS|2046</v>
      </c>
      <c r="B119" t="s">
        <v>39</v>
      </c>
      <c r="C119" t="s">
        <v>19</v>
      </c>
      <c r="D119" t="s">
        <v>36</v>
      </c>
      <c r="E119">
        <v>2046</v>
      </c>
      <c r="F119" t="s">
        <v>37</v>
      </c>
      <c r="G119" t="s">
        <v>69</v>
      </c>
      <c r="H119" t="s">
        <v>70</v>
      </c>
      <c r="I119" t="s">
        <v>65</v>
      </c>
      <c r="J119">
        <f>SUMIFS(RawResultsLong!$P:$P,RawResultsLong!$A:$A,A119)</f>
        <v>47.31</v>
      </c>
      <c r="K119">
        <f t="shared" si="3"/>
        <v>1499.1634344817096</v>
      </c>
      <c r="L119">
        <f>SUMIFS(EmploymentResults!$V:$V,EmploymentResults!$D:$D,B119,EmploymentResults!$F:$F,C119,EmploymentResults!$G:$G,D119,EmploymentResults!$H:$H,E119,EmploymentResults!$J:$J,G119,EmploymentResults!$K:$K,H119,EmploymentResults!$L:$L,I119)</f>
        <v>9873.0811219410789</v>
      </c>
    </row>
    <row r="120" spans="1:12" x14ac:dyDescent="0.3">
      <c r="A120" t="str">
        <f t="shared" si="2"/>
        <v>CN|NewCapacity|RE1|PWRWNDONS|2047</v>
      </c>
      <c r="B120" t="s">
        <v>39</v>
      </c>
      <c r="C120" t="s">
        <v>19</v>
      </c>
      <c r="D120" t="s">
        <v>36</v>
      </c>
      <c r="E120">
        <v>2047</v>
      </c>
      <c r="F120" t="s">
        <v>37</v>
      </c>
      <c r="G120" t="s">
        <v>69</v>
      </c>
      <c r="H120" t="s">
        <v>70</v>
      </c>
      <c r="I120" t="s">
        <v>65</v>
      </c>
      <c r="J120">
        <f>SUMIFS(RawResultsLong!$P:$P,RawResultsLong!$A:$A,A120)</f>
        <v>47.31</v>
      </c>
      <c r="K120">
        <f t="shared" si="3"/>
        <v>1499.1634344817096</v>
      </c>
      <c r="L120">
        <f>SUMIFS(EmploymentResults!$V:$V,EmploymentResults!$D:$D,B120,EmploymentResults!$F:$F,C120,EmploymentResults!$G:$G,D120,EmploymentResults!$H:$H,E120,EmploymentResults!$J:$J,G120,EmploymentResults!$K:$K,H120,EmploymentResults!$L:$L,I120)</f>
        <v>9845.7337600586161</v>
      </c>
    </row>
    <row r="121" spans="1:12" x14ac:dyDescent="0.3">
      <c r="A121" t="str">
        <f t="shared" si="2"/>
        <v>CN|NewCapacity|RE1|PWRWNDONS|2048</v>
      </c>
      <c r="B121" t="s">
        <v>39</v>
      </c>
      <c r="C121" t="s">
        <v>19</v>
      </c>
      <c r="D121" t="s">
        <v>36</v>
      </c>
      <c r="E121">
        <v>2048</v>
      </c>
      <c r="F121" t="s">
        <v>37</v>
      </c>
      <c r="G121" t="s">
        <v>69</v>
      </c>
      <c r="H121" t="s">
        <v>70</v>
      </c>
      <c r="I121" t="s">
        <v>65</v>
      </c>
      <c r="J121">
        <f>SUMIFS(RawResultsLong!$P:$P,RawResultsLong!$A:$A,A121)</f>
        <v>47.31</v>
      </c>
      <c r="K121">
        <f t="shared" si="3"/>
        <v>1499.1634344817096</v>
      </c>
      <c r="L121">
        <f>SUMIFS(EmploymentResults!$V:$V,EmploymentResults!$D:$D,B121,EmploymentResults!$F:$F,C121,EmploymentResults!$G:$G,D121,EmploymentResults!$H:$H,E121,EmploymentResults!$J:$J,G121,EmploymentResults!$K:$K,H121,EmploymentResults!$L:$L,I121)</f>
        <v>9818.3863981761551</v>
      </c>
    </row>
    <row r="122" spans="1:12" x14ac:dyDescent="0.3">
      <c r="A122" t="str">
        <f t="shared" si="2"/>
        <v>CN|NewCapacity|RE1|PWRWNDONS|2049</v>
      </c>
      <c r="B122" t="s">
        <v>39</v>
      </c>
      <c r="C122" t="s">
        <v>19</v>
      </c>
      <c r="D122" t="s">
        <v>36</v>
      </c>
      <c r="E122">
        <v>2049</v>
      </c>
      <c r="F122" t="s">
        <v>37</v>
      </c>
      <c r="G122" t="s">
        <v>69</v>
      </c>
      <c r="H122" t="s">
        <v>70</v>
      </c>
      <c r="I122" t="s">
        <v>65</v>
      </c>
      <c r="J122">
        <f>SUMIFS(RawResultsLong!$P:$P,RawResultsLong!$A:$A,A122)</f>
        <v>47.31</v>
      </c>
      <c r="K122">
        <f t="shared" si="3"/>
        <v>1499.1634344817096</v>
      </c>
      <c r="L122">
        <f>SUMIFS(EmploymentResults!$V:$V,EmploymentResults!$D:$D,B122,EmploymentResults!$F:$F,C122,EmploymentResults!$G:$G,D122,EmploymentResults!$H:$H,E122,EmploymentResults!$J:$J,G122,EmploymentResults!$K:$K,H122,EmploymentResults!$L:$L,I122)</f>
        <v>9791.0390362936905</v>
      </c>
    </row>
    <row r="123" spans="1:12" x14ac:dyDescent="0.3">
      <c r="A123" t="str">
        <f t="shared" si="2"/>
        <v>CN|NewCapacity|RE1|PWRWNDONS|2051</v>
      </c>
      <c r="B123" t="s">
        <v>39</v>
      </c>
      <c r="C123" t="s">
        <v>19</v>
      </c>
      <c r="D123" t="s">
        <v>36</v>
      </c>
      <c r="E123">
        <v>2051</v>
      </c>
      <c r="F123" t="s">
        <v>37</v>
      </c>
      <c r="G123" t="s">
        <v>69</v>
      </c>
      <c r="H123" t="s">
        <v>70</v>
      </c>
      <c r="I123" t="s">
        <v>65</v>
      </c>
      <c r="J123">
        <f>SUMIFS(RawResultsLong!$P:$P,RawResultsLong!$A:$A,A123)</f>
        <v>47.31</v>
      </c>
      <c r="K123">
        <f t="shared" si="3"/>
        <v>1499.1634344817096</v>
      </c>
      <c r="L123">
        <f>SUMIFS(EmploymentResults!$V:$V,EmploymentResults!$D:$D,B123,EmploymentResults!$F:$F,C123,EmploymentResults!$G:$G,D123,EmploymentResults!$H:$H,E123,EmploymentResults!$J:$J,G123,EmploymentResults!$K:$K,H123,EmploymentResults!$L:$L,I123)</f>
        <v>9763.6916744112277</v>
      </c>
    </row>
    <row r="124" spans="1:12" x14ac:dyDescent="0.3">
      <c r="A124" t="str">
        <f t="shared" si="2"/>
        <v>CN|NewCapacity|RE1|PWRWNDONS|2052</v>
      </c>
      <c r="B124" t="s">
        <v>39</v>
      </c>
      <c r="C124" t="s">
        <v>19</v>
      </c>
      <c r="D124" t="s">
        <v>36</v>
      </c>
      <c r="E124">
        <v>2052</v>
      </c>
      <c r="F124" t="s">
        <v>37</v>
      </c>
      <c r="G124" t="s">
        <v>69</v>
      </c>
      <c r="H124" t="s">
        <v>70</v>
      </c>
      <c r="I124" t="s">
        <v>65</v>
      </c>
      <c r="J124">
        <f>SUMIFS(RawResultsLong!$P:$P,RawResultsLong!$A:$A,A124)</f>
        <v>47.31</v>
      </c>
      <c r="K124">
        <f t="shared" si="3"/>
        <v>1499.1634344817096</v>
      </c>
      <c r="L124">
        <f>SUMIFS(EmploymentResults!$V:$V,EmploymentResults!$D:$D,B124,EmploymentResults!$F:$F,C124,EmploymentResults!$G:$G,D124,EmploymentResults!$H:$H,E124,EmploymentResults!$J:$J,G124,EmploymentResults!$K:$K,H124,EmploymentResults!$L:$L,I124)</f>
        <v>9763.6916744112277</v>
      </c>
    </row>
    <row r="125" spans="1:12" x14ac:dyDescent="0.3">
      <c r="A125" t="str">
        <f t="shared" si="2"/>
        <v>CN|NewCapacity|RE1|PWRWNDONS|2053</v>
      </c>
      <c r="B125" t="s">
        <v>39</v>
      </c>
      <c r="C125" t="s">
        <v>19</v>
      </c>
      <c r="D125" t="s">
        <v>36</v>
      </c>
      <c r="E125">
        <v>2053</v>
      </c>
      <c r="F125" t="s">
        <v>37</v>
      </c>
      <c r="G125" t="s">
        <v>69</v>
      </c>
      <c r="H125" t="s">
        <v>70</v>
      </c>
      <c r="I125" t="s">
        <v>65</v>
      </c>
      <c r="J125">
        <f>SUMIFS(RawResultsLong!$P:$P,RawResultsLong!$A:$A,A125)</f>
        <v>47.31</v>
      </c>
      <c r="K125">
        <f t="shared" si="3"/>
        <v>1499.1634344817096</v>
      </c>
      <c r="L125">
        <f>SUMIFS(EmploymentResults!$V:$V,EmploymentResults!$D:$D,B125,EmploymentResults!$F:$F,C125,EmploymentResults!$G:$G,D125,EmploymentResults!$H:$H,E125,EmploymentResults!$J:$J,G125,EmploymentResults!$K:$K,H125,EmploymentResults!$L:$L,I125)</f>
        <v>9763.6916744112277</v>
      </c>
    </row>
    <row r="126" spans="1:12" x14ac:dyDescent="0.3">
      <c r="A126" t="str">
        <f t="shared" si="2"/>
        <v>CN|NewCapacity|RE1|PWRWNDONS|2054</v>
      </c>
      <c r="B126" t="s">
        <v>39</v>
      </c>
      <c r="C126" t="s">
        <v>19</v>
      </c>
      <c r="D126" t="s">
        <v>36</v>
      </c>
      <c r="E126">
        <v>2054</v>
      </c>
      <c r="F126" t="s">
        <v>37</v>
      </c>
      <c r="G126" t="s">
        <v>69</v>
      </c>
      <c r="H126" t="s">
        <v>70</v>
      </c>
      <c r="I126" t="s">
        <v>65</v>
      </c>
      <c r="J126">
        <f>SUMIFS(RawResultsLong!$P:$P,RawResultsLong!$A:$A,A126)</f>
        <v>47.31</v>
      </c>
      <c r="K126">
        <f t="shared" si="3"/>
        <v>1499.1634344817096</v>
      </c>
      <c r="L126">
        <f>SUMIFS(EmploymentResults!$V:$V,EmploymentResults!$D:$D,B126,EmploymentResults!$F:$F,C126,EmploymentResults!$G:$G,D126,EmploymentResults!$H:$H,E126,EmploymentResults!$J:$J,G126,EmploymentResults!$K:$K,H126,EmploymentResults!$L:$L,I126)</f>
        <v>9763.6916744112277</v>
      </c>
    </row>
    <row r="127" spans="1:12" x14ac:dyDescent="0.3">
      <c r="A127" t="str">
        <f t="shared" si="2"/>
        <v>CN|NewCapacity|RE1|PWRWNDONS|2055</v>
      </c>
      <c r="B127" t="s">
        <v>39</v>
      </c>
      <c r="C127" t="s">
        <v>19</v>
      </c>
      <c r="D127" t="s">
        <v>36</v>
      </c>
      <c r="E127">
        <v>2055</v>
      </c>
      <c r="F127" t="s">
        <v>37</v>
      </c>
      <c r="G127" t="s">
        <v>69</v>
      </c>
      <c r="H127" t="s">
        <v>70</v>
      </c>
      <c r="I127" t="s">
        <v>65</v>
      </c>
      <c r="J127">
        <f>SUMIFS(RawResultsLong!$P:$P,RawResultsLong!$A:$A,A127)</f>
        <v>11.439154376664289</v>
      </c>
      <c r="K127">
        <f t="shared" si="3"/>
        <v>362.48492840597163</v>
      </c>
      <c r="L127">
        <f>SUMIFS(EmploymentResults!$V:$V,EmploymentResults!$D:$D,B127,EmploymentResults!$F:$F,C127,EmploymentResults!$G:$G,D127,EmploymentResults!$H:$H,E127,EmploymentResults!$J:$J,G127,EmploymentResults!$K:$K,H127,EmploymentResults!$L:$L,I127)</f>
        <v>2360.7773483352757</v>
      </c>
    </row>
    <row r="128" spans="1:12" x14ac:dyDescent="0.3">
      <c r="A128" t="str">
        <f t="shared" si="2"/>
        <v>CN|AccumulatedNewCapacity|RE1|PWRHYDDAM|2028</v>
      </c>
      <c r="B128" t="s">
        <v>39</v>
      </c>
      <c r="C128" t="s">
        <v>19</v>
      </c>
      <c r="D128" t="s">
        <v>24</v>
      </c>
      <c r="E128">
        <v>2028</v>
      </c>
      <c r="F128" t="s">
        <v>18</v>
      </c>
      <c r="G128" t="s">
        <v>63</v>
      </c>
      <c r="H128" t="s">
        <v>64</v>
      </c>
      <c r="I128" t="s">
        <v>65</v>
      </c>
      <c r="J128">
        <f>SUMIFS(RawResultsLong!$P:$P,RawResultsLong!$A:$A,A128)</f>
        <v>37.840000000000003</v>
      </c>
      <c r="K128">
        <f t="shared" si="3"/>
        <v>1199.0772428828554</v>
      </c>
      <c r="L128">
        <f>SUMIFS(EmploymentResults!$V:$V,EmploymentResults!$D:$D,B128,EmploymentResults!$F:$F,C128,EmploymentResults!$G:$G,D128,EmploymentResults!$H:$H,E128,EmploymentResults!$J:$J,G128,EmploymentResults!$K:$K,H128,EmploymentResults!$L:$L,I128)</f>
        <v>763.09275737064911</v>
      </c>
    </row>
    <row r="129" spans="1:12" x14ac:dyDescent="0.3">
      <c r="A129" t="str">
        <f t="shared" si="2"/>
        <v>CN|AccumulatedNewCapacity|RE1|PWRHYDDAM|2029</v>
      </c>
      <c r="B129" t="s">
        <v>39</v>
      </c>
      <c r="C129" t="s">
        <v>19</v>
      </c>
      <c r="D129" t="s">
        <v>24</v>
      </c>
      <c r="E129">
        <v>2029</v>
      </c>
      <c r="F129" t="s">
        <v>18</v>
      </c>
      <c r="G129" t="s">
        <v>63</v>
      </c>
      <c r="H129" t="s">
        <v>64</v>
      </c>
      <c r="I129" t="s">
        <v>65</v>
      </c>
      <c r="J129">
        <f>SUMIFS(RawResultsLong!$P:$P,RawResultsLong!$A:$A,A129)</f>
        <v>37.840000000000003</v>
      </c>
      <c r="K129">
        <f t="shared" si="3"/>
        <v>1199.0772428828554</v>
      </c>
      <c r="L129">
        <f>SUMIFS(EmploymentResults!$V:$V,EmploymentResults!$D:$D,B129,EmploymentResults!$F:$F,C129,EmploymentResults!$G:$G,D129,EmploymentResults!$H:$H,E129,EmploymentResults!$J:$J,G129,EmploymentResults!$K:$K,H129,EmploymentResults!$L:$L,I129)</f>
        <v>766.45017365072124</v>
      </c>
    </row>
    <row r="130" spans="1:12" x14ac:dyDescent="0.3">
      <c r="A130" t="str">
        <f t="shared" ref="A130:A193" si="4">B130&amp;"|"&amp;F130&amp;"|"&amp;C130&amp;"|"&amp;D130&amp;"|"&amp;E130</f>
        <v>CN|AccumulatedNewCapacity|RE1|PWRHYDDAM|2030</v>
      </c>
      <c r="B130" t="s">
        <v>39</v>
      </c>
      <c r="C130" t="s">
        <v>19</v>
      </c>
      <c r="D130" t="s">
        <v>24</v>
      </c>
      <c r="E130">
        <v>2030</v>
      </c>
      <c r="F130" t="s">
        <v>18</v>
      </c>
      <c r="G130" t="s">
        <v>63</v>
      </c>
      <c r="H130" t="s">
        <v>64</v>
      </c>
      <c r="I130" t="s">
        <v>65</v>
      </c>
      <c r="J130">
        <f>SUMIFS(RawResultsLong!$P:$P,RawResultsLong!$A:$A,A130)</f>
        <v>37.840000000000003</v>
      </c>
      <c r="K130">
        <f t="shared" ref="K130:K193" si="5">J130*1000/31.5576</f>
        <v>1199.0772428828554</v>
      </c>
      <c r="L130">
        <f>SUMIFS(EmploymentResults!$V:$V,EmploymentResults!$D:$D,B130,EmploymentResults!$F:$F,C130,EmploymentResults!$G:$G,D130,EmploymentResults!$H:$H,E130,EmploymentResults!$J:$J,G130,EmploymentResults!$K:$K,H130,EmploymentResults!$L:$L,I130)</f>
        <v>769.80758993079326</v>
      </c>
    </row>
    <row r="131" spans="1:12" x14ac:dyDescent="0.3">
      <c r="A131" t="str">
        <f t="shared" si="4"/>
        <v>CN|AccumulatedNewCapacity|RE1|PWRHYDDAM|2031</v>
      </c>
      <c r="B131" t="s">
        <v>39</v>
      </c>
      <c r="C131" t="s">
        <v>19</v>
      </c>
      <c r="D131" t="s">
        <v>24</v>
      </c>
      <c r="E131">
        <v>2031</v>
      </c>
      <c r="F131" t="s">
        <v>18</v>
      </c>
      <c r="G131" t="s">
        <v>63</v>
      </c>
      <c r="H131" t="s">
        <v>64</v>
      </c>
      <c r="I131" t="s">
        <v>65</v>
      </c>
      <c r="J131">
        <f>SUMIFS(RawResultsLong!$P:$P,RawResultsLong!$A:$A,A131)</f>
        <v>37.840000000000003</v>
      </c>
      <c r="K131">
        <f t="shared" si="5"/>
        <v>1199.0772428828554</v>
      </c>
      <c r="L131">
        <f>SUMIFS(EmploymentResults!$V:$V,EmploymentResults!$D:$D,B131,EmploymentResults!$F:$F,C131,EmploymentResults!$G:$G,D131,EmploymentResults!$H:$H,E131,EmploymentResults!$J:$J,G131,EmploymentResults!$K:$K,H131,EmploymentResults!$L:$L,I131)</f>
        <v>769.59725998826775</v>
      </c>
    </row>
    <row r="132" spans="1:12" x14ac:dyDescent="0.3">
      <c r="A132" t="str">
        <f t="shared" si="4"/>
        <v>CN|AccumulatedNewCapacity|RE1|PWRHYDDAM|2032</v>
      </c>
      <c r="B132" t="s">
        <v>39</v>
      </c>
      <c r="C132" t="s">
        <v>19</v>
      </c>
      <c r="D132" t="s">
        <v>24</v>
      </c>
      <c r="E132">
        <v>2032</v>
      </c>
      <c r="F132" t="s">
        <v>18</v>
      </c>
      <c r="G132" t="s">
        <v>63</v>
      </c>
      <c r="H132" t="s">
        <v>64</v>
      </c>
      <c r="I132" t="s">
        <v>65</v>
      </c>
      <c r="J132">
        <f>SUMIFS(RawResultsLong!$P:$P,RawResultsLong!$A:$A,A132)</f>
        <v>37.840000000000003</v>
      </c>
      <c r="K132">
        <f t="shared" si="5"/>
        <v>1199.0772428828554</v>
      </c>
      <c r="L132">
        <f>SUMIFS(EmploymentResults!$V:$V,EmploymentResults!$D:$D,B132,EmploymentResults!$F:$F,C132,EmploymentResults!$G:$G,D132,EmploymentResults!$H:$H,E132,EmploymentResults!$J:$J,G132,EmploymentResults!$K:$K,H132,EmploymentResults!$L:$L,I132)</f>
        <v>769.38693004574236</v>
      </c>
    </row>
    <row r="133" spans="1:12" x14ac:dyDescent="0.3">
      <c r="A133" t="str">
        <f t="shared" si="4"/>
        <v>CN|AccumulatedNewCapacity|RE1|PWRHYDDAM|2033</v>
      </c>
      <c r="B133" t="s">
        <v>39</v>
      </c>
      <c r="C133" t="s">
        <v>19</v>
      </c>
      <c r="D133" t="s">
        <v>24</v>
      </c>
      <c r="E133">
        <v>2033</v>
      </c>
      <c r="F133" t="s">
        <v>18</v>
      </c>
      <c r="G133" t="s">
        <v>63</v>
      </c>
      <c r="H133" t="s">
        <v>64</v>
      </c>
      <c r="I133" t="s">
        <v>65</v>
      </c>
      <c r="J133">
        <f>SUMIFS(RawResultsLong!$P:$P,RawResultsLong!$A:$A,A133)</f>
        <v>37.840000000000003</v>
      </c>
      <c r="K133">
        <f t="shared" si="5"/>
        <v>1199.0772428828554</v>
      </c>
      <c r="L133">
        <f>SUMIFS(EmploymentResults!$V:$V,EmploymentResults!$D:$D,B133,EmploymentResults!$F:$F,C133,EmploymentResults!$G:$G,D133,EmploymentResults!$H:$H,E133,EmploymentResults!$J:$J,G133,EmploymentResults!$K:$K,H133,EmploymentResults!$L:$L,I133)</f>
        <v>769.17660010321697</v>
      </c>
    </row>
    <row r="134" spans="1:12" x14ac:dyDescent="0.3">
      <c r="A134" t="str">
        <f t="shared" si="4"/>
        <v>CN|AccumulatedNewCapacity|RE1|PWRHYDDAM|2034</v>
      </c>
      <c r="B134" t="s">
        <v>39</v>
      </c>
      <c r="C134" t="s">
        <v>19</v>
      </c>
      <c r="D134" t="s">
        <v>24</v>
      </c>
      <c r="E134">
        <v>2034</v>
      </c>
      <c r="F134" t="s">
        <v>18</v>
      </c>
      <c r="G134" t="s">
        <v>63</v>
      </c>
      <c r="H134" t="s">
        <v>64</v>
      </c>
      <c r="I134" t="s">
        <v>65</v>
      </c>
      <c r="J134">
        <f>SUMIFS(RawResultsLong!$P:$P,RawResultsLong!$A:$A,A134)</f>
        <v>37.840000000000003</v>
      </c>
      <c r="K134">
        <f t="shared" si="5"/>
        <v>1199.0772428828554</v>
      </c>
      <c r="L134">
        <f>SUMIFS(EmploymentResults!$V:$V,EmploymentResults!$D:$D,B134,EmploymentResults!$F:$F,C134,EmploymentResults!$G:$G,D134,EmploymentResults!$H:$H,E134,EmploymentResults!$J:$J,G134,EmploymentResults!$K:$K,H134,EmploymentResults!$L:$L,I134)</f>
        <v>768.96627016069158</v>
      </c>
    </row>
    <row r="135" spans="1:12" x14ac:dyDescent="0.3">
      <c r="A135" t="str">
        <f t="shared" si="4"/>
        <v>CN|AccumulatedNewCapacity|RE1|PWRHYDDAM|2035</v>
      </c>
      <c r="B135" t="s">
        <v>39</v>
      </c>
      <c r="C135" t="s">
        <v>19</v>
      </c>
      <c r="D135" t="s">
        <v>24</v>
      </c>
      <c r="E135">
        <v>2035</v>
      </c>
      <c r="F135" t="s">
        <v>18</v>
      </c>
      <c r="G135" t="s">
        <v>63</v>
      </c>
      <c r="H135" t="s">
        <v>64</v>
      </c>
      <c r="I135" t="s">
        <v>65</v>
      </c>
      <c r="J135">
        <f>SUMIFS(RawResultsLong!$P:$P,RawResultsLong!$A:$A,A135)</f>
        <v>37.840000000000003</v>
      </c>
      <c r="K135">
        <f t="shared" si="5"/>
        <v>1199.0772428828554</v>
      </c>
      <c r="L135">
        <f>SUMIFS(EmploymentResults!$V:$V,EmploymentResults!$D:$D,B135,EmploymentResults!$F:$F,C135,EmploymentResults!$G:$G,D135,EmploymentResults!$H:$H,E135,EmploymentResults!$J:$J,G135,EmploymentResults!$K:$K,H135,EmploymentResults!$L:$L,I135)</f>
        <v>768.75594021816619</v>
      </c>
    </row>
    <row r="136" spans="1:12" x14ac:dyDescent="0.3">
      <c r="A136" t="str">
        <f t="shared" si="4"/>
        <v>CN|AccumulatedNewCapacity|RE1|PWRHYDDAM|2036</v>
      </c>
      <c r="B136" t="s">
        <v>39</v>
      </c>
      <c r="C136" t="s">
        <v>19</v>
      </c>
      <c r="D136" t="s">
        <v>24</v>
      </c>
      <c r="E136">
        <v>2036</v>
      </c>
      <c r="F136" t="s">
        <v>18</v>
      </c>
      <c r="G136" t="s">
        <v>63</v>
      </c>
      <c r="H136" t="s">
        <v>64</v>
      </c>
      <c r="I136" t="s">
        <v>65</v>
      </c>
      <c r="J136">
        <f>SUMIFS(RawResultsLong!$P:$P,RawResultsLong!$A:$A,A136)</f>
        <v>37.840000000000003</v>
      </c>
      <c r="K136">
        <f t="shared" si="5"/>
        <v>1199.0772428828554</v>
      </c>
      <c r="L136">
        <f>SUMIFS(EmploymentResults!$V:$V,EmploymentResults!$D:$D,B136,EmploymentResults!$F:$F,C136,EmploymentResults!$G:$G,D136,EmploymentResults!$H:$H,E136,EmploymentResults!$J:$J,G136,EmploymentResults!$K:$K,H136,EmploymentResults!$L:$L,I136)</f>
        <v>768.54561027564068</v>
      </c>
    </row>
    <row r="137" spans="1:12" x14ac:dyDescent="0.3">
      <c r="A137" t="str">
        <f t="shared" si="4"/>
        <v>CN|AccumulatedNewCapacity|RE1|PWRHYDDAM|2037</v>
      </c>
      <c r="B137" t="s">
        <v>39</v>
      </c>
      <c r="C137" t="s">
        <v>19</v>
      </c>
      <c r="D137" t="s">
        <v>24</v>
      </c>
      <c r="E137">
        <v>2037</v>
      </c>
      <c r="F137" t="s">
        <v>18</v>
      </c>
      <c r="G137" t="s">
        <v>63</v>
      </c>
      <c r="H137" t="s">
        <v>64</v>
      </c>
      <c r="I137" t="s">
        <v>65</v>
      </c>
      <c r="J137">
        <f>SUMIFS(RawResultsLong!$P:$P,RawResultsLong!$A:$A,A137)</f>
        <v>37.840000000000003</v>
      </c>
      <c r="K137">
        <f t="shared" si="5"/>
        <v>1199.0772428828554</v>
      </c>
      <c r="L137">
        <f>SUMIFS(EmploymentResults!$V:$V,EmploymentResults!$D:$D,B137,EmploymentResults!$F:$F,C137,EmploymentResults!$G:$G,D137,EmploymentResults!$H:$H,E137,EmploymentResults!$J:$J,G137,EmploymentResults!$K:$K,H137,EmploymentResults!$L:$L,I137)</f>
        <v>768.33528033311529</v>
      </c>
    </row>
    <row r="138" spans="1:12" x14ac:dyDescent="0.3">
      <c r="A138" t="str">
        <f t="shared" si="4"/>
        <v>CN|AccumulatedNewCapacity|RE1|PWRHYDDAM|2038</v>
      </c>
      <c r="B138" t="s">
        <v>39</v>
      </c>
      <c r="C138" t="s">
        <v>19</v>
      </c>
      <c r="D138" t="s">
        <v>24</v>
      </c>
      <c r="E138">
        <v>2038</v>
      </c>
      <c r="F138" t="s">
        <v>18</v>
      </c>
      <c r="G138" t="s">
        <v>63</v>
      </c>
      <c r="H138" t="s">
        <v>64</v>
      </c>
      <c r="I138" t="s">
        <v>65</v>
      </c>
      <c r="J138">
        <f>SUMIFS(RawResultsLong!$P:$P,RawResultsLong!$A:$A,A138)</f>
        <v>37.840000000000003</v>
      </c>
      <c r="K138">
        <f t="shared" si="5"/>
        <v>1199.0772428828554</v>
      </c>
      <c r="L138">
        <f>SUMIFS(EmploymentResults!$V:$V,EmploymentResults!$D:$D,B138,EmploymentResults!$F:$F,C138,EmploymentResults!$G:$G,D138,EmploymentResults!$H:$H,E138,EmploymentResults!$J:$J,G138,EmploymentResults!$K:$K,H138,EmploymentResults!$L:$L,I138)</f>
        <v>768.12495038939073</v>
      </c>
    </row>
    <row r="139" spans="1:12" x14ac:dyDescent="0.3">
      <c r="A139" t="str">
        <f t="shared" si="4"/>
        <v>CN|AccumulatedNewCapacity|RE1|PWRHYDDAM|2039</v>
      </c>
      <c r="B139" t="s">
        <v>39</v>
      </c>
      <c r="C139" t="s">
        <v>19</v>
      </c>
      <c r="D139" t="s">
        <v>24</v>
      </c>
      <c r="E139">
        <v>2039</v>
      </c>
      <c r="F139" t="s">
        <v>18</v>
      </c>
      <c r="G139" t="s">
        <v>63</v>
      </c>
      <c r="H139" t="s">
        <v>64</v>
      </c>
      <c r="I139" t="s">
        <v>65</v>
      </c>
      <c r="J139">
        <f>SUMIFS(RawResultsLong!$P:$P,RawResultsLong!$A:$A,A139)</f>
        <v>37.840000000000003</v>
      </c>
      <c r="K139">
        <f t="shared" si="5"/>
        <v>1199.0772428828554</v>
      </c>
      <c r="L139">
        <f>SUMIFS(EmploymentResults!$V:$V,EmploymentResults!$D:$D,B139,EmploymentResults!$F:$F,C139,EmploymentResults!$G:$G,D139,EmploymentResults!$H:$H,E139,EmploymentResults!$J:$J,G139,EmploymentResults!$K:$K,H139,EmploymentResults!$L:$L,I139)</f>
        <v>767.91462044686546</v>
      </c>
    </row>
    <row r="140" spans="1:12" x14ac:dyDescent="0.3">
      <c r="A140" t="str">
        <f t="shared" si="4"/>
        <v>CN|AccumulatedNewCapacity|RE1|PWRHYDDAM|2040</v>
      </c>
      <c r="B140" t="s">
        <v>39</v>
      </c>
      <c r="C140" t="s">
        <v>19</v>
      </c>
      <c r="D140" t="s">
        <v>24</v>
      </c>
      <c r="E140">
        <v>2040</v>
      </c>
      <c r="F140" t="s">
        <v>18</v>
      </c>
      <c r="G140" t="s">
        <v>63</v>
      </c>
      <c r="H140" t="s">
        <v>64</v>
      </c>
      <c r="I140" t="s">
        <v>65</v>
      </c>
      <c r="J140">
        <f>SUMIFS(RawResultsLong!$P:$P,RawResultsLong!$A:$A,A140)</f>
        <v>37.840000000000003</v>
      </c>
      <c r="K140">
        <f t="shared" si="5"/>
        <v>1199.0772428828554</v>
      </c>
      <c r="L140">
        <f>SUMIFS(EmploymentResults!$V:$V,EmploymentResults!$D:$D,B140,EmploymentResults!$F:$F,C140,EmploymentResults!$G:$G,D140,EmploymentResults!$H:$H,E140,EmploymentResults!$J:$J,G140,EmploymentResults!$K:$K,H140,EmploymentResults!$L:$L,I140)</f>
        <v>767.70429050433995</v>
      </c>
    </row>
    <row r="141" spans="1:12" x14ac:dyDescent="0.3">
      <c r="A141" t="str">
        <f t="shared" si="4"/>
        <v>CN|AccumulatedNewCapacity|RE1|PWRHYDDAM|2041</v>
      </c>
      <c r="B141" t="s">
        <v>39</v>
      </c>
      <c r="C141" t="s">
        <v>19</v>
      </c>
      <c r="D141" t="s">
        <v>24</v>
      </c>
      <c r="E141">
        <v>2041</v>
      </c>
      <c r="F141" t="s">
        <v>18</v>
      </c>
      <c r="G141" t="s">
        <v>63</v>
      </c>
      <c r="H141" t="s">
        <v>64</v>
      </c>
      <c r="I141" t="s">
        <v>65</v>
      </c>
      <c r="J141">
        <f>SUMIFS(RawResultsLong!$P:$P,RawResultsLong!$A:$A,A141)</f>
        <v>37.840000000000003</v>
      </c>
      <c r="K141">
        <f t="shared" si="5"/>
        <v>1199.0772428828554</v>
      </c>
      <c r="L141">
        <f>SUMIFS(EmploymentResults!$V:$V,EmploymentResults!$D:$D,B141,EmploymentResults!$F:$F,C141,EmploymentResults!$G:$G,D141,EmploymentResults!$H:$H,E141,EmploymentResults!$J:$J,G141,EmploymentResults!$K:$K,H141,EmploymentResults!$L:$L,I141)</f>
        <v>767.49396056181456</v>
      </c>
    </row>
    <row r="142" spans="1:12" x14ac:dyDescent="0.3">
      <c r="A142" t="str">
        <f t="shared" si="4"/>
        <v>CN|AccumulatedNewCapacity|RE1|PWRHYDDAM|2042</v>
      </c>
      <c r="B142" t="s">
        <v>39</v>
      </c>
      <c r="C142" t="s">
        <v>19</v>
      </c>
      <c r="D142" t="s">
        <v>24</v>
      </c>
      <c r="E142">
        <v>2042</v>
      </c>
      <c r="F142" t="s">
        <v>18</v>
      </c>
      <c r="G142" t="s">
        <v>63</v>
      </c>
      <c r="H142" t="s">
        <v>64</v>
      </c>
      <c r="I142" t="s">
        <v>65</v>
      </c>
      <c r="J142">
        <f>SUMIFS(RawResultsLong!$P:$P,RawResultsLong!$A:$A,A142)</f>
        <v>37.840000000000003</v>
      </c>
      <c r="K142">
        <f t="shared" si="5"/>
        <v>1199.0772428828554</v>
      </c>
      <c r="L142">
        <f>SUMIFS(EmploymentResults!$V:$V,EmploymentResults!$D:$D,B142,EmploymentResults!$F:$F,C142,EmploymentResults!$G:$G,D142,EmploymentResults!$H:$H,E142,EmploymentResults!$J:$J,G142,EmploymentResults!$K:$K,H142,EmploymentResults!$L:$L,I142)</f>
        <v>767.28363061928906</v>
      </c>
    </row>
    <row r="143" spans="1:12" x14ac:dyDescent="0.3">
      <c r="A143" t="str">
        <f t="shared" si="4"/>
        <v>CN|AccumulatedNewCapacity|RE1|PWRHYDDAM|2043</v>
      </c>
      <c r="B143" t="s">
        <v>39</v>
      </c>
      <c r="C143" t="s">
        <v>19</v>
      </c>
      <c r="D143" t="s">
        <v>24</v>
      </c>
      <c r="E143">
        <v>2043</v>
      </c>
      <c r="F143" t="s">
        <v>18</v>
      </c>
      <c r="G143" t="s">
        <v>63</v>
      </c>
      <c r="H143" t="s">
        <v>64</v>
      </c>
      <c r="I143" t="s">
        <v>65</v>
      </c>
      <c r="J143">
        <f>SUMIFS(RawResultsLong!$P:$P,RawResultsLong!$A:$A,A143)</f>
        <v>37.840000000000003</v>
      </c>
      <c r="K143">
        <f t="shared" si="5"/>
        <v>1199.0772428828554</v>
      </c>
      <c r="L143">
        <f>SUMIFS(EmploymentResults!$V:$V,EmploymentResults!$D:$D,B143,EmploymentResults!$F:$F,C143,EmploymentResults!$G:$G,D143,EmploymentResults!$H:$H,E143,EmploymentResults!$J:$J,G143,EmploymentResults!$K:$K,H143,EmploymentResults!$L:$L,I143)</f>
        <v>767.07330067676378</v>
      </c>
    </row>
    <row r="144" spans="1:12" x14ac:dyDescent="0.3">
      <c r="A144" t="str">
        <f t="shared" si="4"/>
        <v>CN|AccumulatedNewCapacity|RE1|PWRHYDDAM|2044</v>
      </c>
      <c r="B144" t="s">
        <v>39</v>
      </c>
      <c r="C144" t="s">
        <v>19</v>
      </c>
      <c r="D144" t="s">
        <v>24</v>
      </c>
      <c r="E144">
        <v>2044</v>
      </c>
      <c r="F144" t="s">
        <v>18</v>
      </c>
      <c r="G144" t="s">
        <v>63</v>
      </c>
      <c r="H144" t="s">
        <v>64</v>
      </c>
      <c r="I144" t="s">
        <v>65</v>
      </c>
      <c r="J144">
        <f>SUMIFS(RawResultsLong!$P:$P,RawResultsLong!$A:$A,A144)</f>
        <v>37.840000000000003</v>
      </c>
      <c r="K144">
        <f t="shared" si="5"/>
        <v>1199.0772428828554</v>
      </c>
      <c r="L144">
        <f>SUMIFS(EmploymentResults!$V:$V,EmploymentResults!$D:$D,B144,EmploymentResults!$F:$F,C144,EmploymentResults!$G:$G,D144,EmploymentResults!$H:$H,E144,EmploymentResults!$J:$J,G144,EmploymentResults!$K:$K,H144,EmploymentResults!$L:$L,I144)</f>
        <v>766.86297073423839</v>
      </c>
    </row>
    <row r="145" spans="1:12" x14ac:dyDescent="0.3">
      <c r="A145" t="str">
        <f t="shared" si="4"/>
        <v>CN|AccumulatedNewCapacity|RE1|PWRHYDDAM|2045</v>
      </c>
      <c r="B145" t="s">
        <v>39</v>
      </c>
      <c r="C145" t="s">
        <v>19</v>
      </c>
      <c r="D145" t="s">
        <v>24</v>
      </c>
      <c r="E145">
        <v>2045</v>
      </c>
      <c r="F145" t="s">
        <v>18</v>
      </c>
      <c r="G145" t="s">
        <v>63</v>
      </c>
      <c r="H145" t="s">
        <v>64</v>
      </c>
      <c r="I145" t="s">
        <v>65</v>
      </c>
      <c r="J145">
        <f>SUMIFS(RawResultsLong!$P:$P,RawResultsLong!$A:$A,A145)</f>
        <v>37.840000000000003</v>
      </c>
      <c r="K145">
        <f t="shared" si="5"/>
        <v>1199.0772428828554</v>
      </c>
      <c r="L145">
        <f>SUMIFS(EmploymentResults!$V:$V,EmploymentResults!$D:$D,B145,EmploymentResults!$F:$F,C145,EmploymentResults!$G:$G,D145,EmploymentResults!$H:$H,E145,EmploymentResults!$J:$J,G145,EmploymentResults!$K:$K,H145,EmploymentResults!$L:$L,I145)</f>
        <v>766.65264079171288</v>
      </c>
    </row>
    <row r="146" spans="1:12" x14ac:dyDescent="0.3">
      <c r="A146" t="str">
        <f t="shared" si="4"/>
        <v>CN|AccumulatedNewCapacity|RE1|PWRHYDDAM|2046</v>
      </c>
      <c r="B146" t="s">
        <v>39</v>
      </c>
      <c r="C146" t="s">
        <v>19</v>
      </c>
      <c r="D146" t="s">
        <v>24</v>
      </c>
      <c r="E146">
        <v>2046</v>
      </c>
      <c r="F146" t="s">
        <v>18</v>
      </c>
      <c r="G146" t="s">
        <v>63</v>
      </c>
      <c r="H146" t="s">
        <v>64</v>
      </c>
      <c r="I146" t="s">
        <v>65</v>
      </c>
      <c r="J146">
        <f>SUMIFS(RawResultsLong!$P:$P,RawResultsLong!$A:$A,A146)</f>
        <v>37.840000000000003</v>
      </c>
      <c r="K146">
        <f t="shared" si="5"/>
        <v>1199.0772428828554</v>
      </c>
      <c r="L146">
        <f>SUMIFS(EmploymentResults!$V:$V,EmploymentResults!$D:$D,B146,EmploymentResults!$F:$F,C146,EmploymentResults!$G:$G,D146,EmploymentResults!$H:$H,E146,EmploymentResults!$J:$J,G146,EmploymentResults!$K:$K,H146,EmploymentResults!$L:$L,I146)</f>
        <v>766.44231084918749</v>
      </c>
    </row>
    <row r="147" spans="1:12" x14ac:dyDescent="0.3">
      <c r="A147" t="str">
        <f t="shared" si="4"/>
        <v>CN|AccumulatedNewCapacity|RE1|PWRHYDDAM|2047</v>
      </c>
      <c r="B147" t="s">
        <v>39</v>
      </c>
      <c r="C147" t="s">
        <v>19</v>
      </c>
      <c r="D147" t="s">
        <v>24</v>
      </c>
      <c r="E147">
        <v>2047</v>
      </c>
      <c r="F147" t="s">
        <v>18</v>
      </c>
      <c r="G147" t="s">
        <v>63</v>
      </c>
      <c r="H147" t="s">
        <v>64</v>
      </c>
      <c r="I147" t="s">
        <v>65</v>
      </c>
      <c r="J147">
        <f>SUMIFS(RawResultsLong!$P:$P,RawResultsLong!$A:$A,A147)</f>
        <v>37.840000000000003</v>
      </c>
      <c r="K147">
        <f t="shared" si="5"/>
        <v>1199.0772428828554</v>
      </c>
      <c r="L147">
        <f>SUMIFS(EmploymentResults!$V:$V,EmploymentResults!$D:$D,B147,EmploymentResults!$F:$F,C147,EmploymentResults!$G:$G,D147,EmploymentResults!$H:$H,E147,EmploymentResults!$J:$J,G147,EmploymentResults!$K:$K,H147,EmploymentResults!$L:$L,I147)</f>
        <v>766.2319809066621</v>
      </c>
    </row>
    <row r="148" spans="1:12" x14ac:dyDescent="0.3">
      <c r="A148" t="str">
        <f t="shared" si="4"/>
        <v>CN|AccumulatedNewCapacity|RE1|PWRHYDDAM|2048</v>
      </c>
      <c r="B148" t="s">
        <v>39</v>
      </c>
      <c r="C148" t="s">
        <v>19</v>
      </c>
      <c r="D148" t="s">
        <v>24</v>
      </c>
      <c r="E148">
        <v>2048</v>
      </c>
      <c r="F148" t="s">
        <v>18</v>
      </c>
      <c r="G148" t="s">
        <v>63</v>
      </c>
      <c r="H148" t="s">
        <v>64</v>
      </c>
      <c r="I148" t="s">
        <v>65</v>
      </c>
      <c r="J148">
        <f>SUMIFS(RawResultsLong!$P:$P,RawResultsLong!$A:$A,A148)</f>
        <v>37.840000000000003</v>
      </c>
      <c r="K148">
        <f t="shared" si="5"/>
        <v>1199.0772428828554</v>
      </c>
      <c r="L148">
        <f>SUMIFS(EmploymentResults!$V:$V,EmploymentResults!$D:$D,B148,EmploymentResults!$F:$F,C148,EmploymentResults!$G:$G,D148,EmploymentResults!$H:$H,E148,EmploymentResults!$J:$J,G148,EmploymentResults!$K:$K,H148,EmploymentResults!$L:$L,I148)</f>
        <v>766.02165096413671</v>
      </c>
    </row>
    <row r="149" spans="1:12" x14ac:dyDescent="0.3">
      <c r="A149" t="str">
        <f t="shared" si="4"/>
        <v>CN|AccumulatedNewCapacity|RE1|PWRHYDDAM|2049</v>
      </c>
      <c r="B149" t="s">
        <v>39</v>
      </c>
      <c r="C149" t="s">
        <v>19</v>
      </c>
      <c r="D149" t="s">
        <v>24</v>
      </c>
      <c r="E149">
        <v>2049</v>
      </c>
      <c r="F149" t="s">
        <v>18</v>
      </c>
      <c r="G149" t="s">
        <v>63</v>
      </c>
      <c r="H149" t="s">
        <v>64</v>
      </c>
      <c r="I149" t="s">
        <v>65</v>
      </c>
      <c r="J149">
        <f>SUMIFS(RawResultsLong!$P:$P,RawResultsLong!$A:$A,A149)</f>
        <v>37.840000000000003</v>
      </c>
      <c r="K149">
        <f t="shared" si="5"/>
        <v>1199.0772428828554</v>
      </c>
      <c r="L149">
        <f>SUMIFS(EmploymentResults!$V:$V,EmploymentResults!$D:$D,B149,EmploymentResults!$F:$F,C149,EmploymentResults!$G:$G,D149,EmploymentResults!$H:$H,E149,EmploymentResults!$J:$J,G149,EmploymentResults!$K:$K,H149,EmploymentResults!$L:$L,I149)</f>
        <v>765.81132102161121</v>
      </c>
    </row>
    <row r="150" spans="1:12" x14ac:dyDescent="0.3">
      <c r="A150" t="str">
        <f t="shared" si="4"/>
        <v>CN|AccumulatedNewCapacity|RE1|PWRHYDDAM|2050</v>
      </c>
      <c r="B150" t="s">
        <v>39</v>
      </c>
      <c r="C150" t="s">
        <v>19</v>
      </c>
      <c r="D150" t="s">
        <v>24</v>
      </c>
      <c r="E150">
        <v>2050</v>
      </c>
      <c r="F150" t="s">
        <v>18</v>
      </c>
      <c r="G150" t="s">
        <v>63</v>
      </c>
      <c r="H150" t="s">
        <v>64</v>
      </c>
      <c r="I150" t="s">
        <v>65</v>
      </c>
      <c r="J150">
        <f>SUMIFS(RawResultsLong!$P:$P,RawResultsLong!$A:$A,A150)</f>
        <v>37.840000000000003</v>
      </c>
      <c r="K150">
        <f t="shared" si="5"/>
        <v>1199.0772428828554</v>
      </c>
      <c r="L150">
        <f>SUMIFS(EmploymentResults!$V:$V,EmploymentResults!$D:$D,B150,EmploymentResults!$F:$F,C150,EmploymentResults!$G:$G,D150,EmploymentResults!$H:$H,E150,EmploymentResults!$J:$J,G150,EmploymentResults!$K:$K,H150,EmploymentResults!$L:$L,I150)</f>
        <v>765.60099107908582</v>
      </c>
    </row>
    <row r="151" spans="1:12" x14ac:dyDescent="0.3">
      <c r="A151" t="str">
        <f t="shared" si="4"/>
        <v>CN|AccumulatedNewCapacity|RE1|PWRHYDDAM|2051</v>
      </c>
      <c r="B151" t="s">
        <v>39</v>
      </c>
      <c r="C151" t="s">
        <v>19</v>
      </c>
      <c r="D151" t="s">
        <v>24</v>
      </c>
      <c r="E151">
        <v>2051</v>
      </c>
      <c r="F151" t="s">
        <v>18</v>
      </c>
      <c r="G151" t="s">
        <v>63</v>
      </c>
      <c r="H151" t="s">
        <v>64</v>
      </c>
      <c r="I151" t="s">
        <v>65</v>
      </c>
      <c r="J151">
        <f>SUMIFS(RawResultsLong!$P:$P,RawResultsLong!$A:$A,A151)</f>
        <v>37.840000000000003</v>
      </c>
      <c r="K151">
        <f t="shared" si="5"/>
        <v>1199.0772428828554</v>
      </c>
      <c r="L151">
        <f>SUMIFS(EmploymentResults!$V:$V,EmploymentResults!$D:$D,B151,EmploymentResults!$F:$F,C151,EmploymentResults!$G:$G,D151,EmploymentResults!$H:$H,E151,EmploymentResults!$J:$J,G151,EmploymentResults!$K:$K,H151,EmploymentResults!$L:$L,I151)</f>
        <v>765.60099107908582</v>
      </c>
    </row>
    <row r="152" spans="1:12" x14ac:dyDescent="0.3">
      <c r="A152" t="str">
        <f t="shared" si="4"/>
        <v>CN|AccumulatedNewCapacity|RE1|PWRHYDDAM|2052</v>
      </c>
      <c r="B152" t="s">
        <v>39</v>
      </c>
      <c r="C152" t="s">
        <v>19</v>
      </c>
      <c r="D152" t="s">
        <v>24</v>
      </c>
      <c r="E152">
        <v>2052</v>
      </c>
      <c r="F152" t="s">
        <v>18</v>
      </c>
      <c r="G152" t="s">
        <v>63</v>
      </c>
      <c r="H152" t="s">
        <v>64</v>
      </c>
      <c r="I152" t="s">
        <v>65</v>
      </c>
      <c r="J152">
        <f>SUMIFS(RawResultsLong!$P:$P,RawResultsLong!$A:$A,A152)</f>
        <v>37.840000000000003</v>
      </c>
      <c r="K152">
        <f t="shared" si="5"/>
        <v>1199.0772428828554</v>
      </c>
      <c r="L152">
        <f>SUMIFS(EmploymentResults!$V:$V,EmploymentResults!$D:$D,B152,EmploymentResults!$F:$F,C152,EmploymentResults!$G:$G,D152,EmploymentResults!$H:$H,E152,EmploymentResults!$J:$J,G152,EmploymentResults!$K:$K,H152,EmploymentResults!$L:$L,I152)</f>
        <v>765.60099107908582</v>
      </c>
    </row>
    <row r="153" spans="1:12" x14ac:dyDescent="0.3">
      <c r="A153" t="str">
        <f t="shared" si="4"/>
        <v>CN|AccumulatedNewCapacity|RE1|PWRHYDDAM|2053</v>
      </c>
      <c r="B153" t="s">
        <v>39</v>
      </c>
      <c r="C153" t="s">
        <v>19</v>
      </c>
      <c r="D153" t="s">
        <v>24</v>
      </c>
      <c r="E153">
        <v>2053</v>
      </c>
      <c r="F153" t="s">
        <v>18</v>
      </c>
      <c r="G153" t="s">
        <v>63</v>
      </c>
      <c r="H153" t="s">
        <v>64</v>
      </c>
      <c r="I153" t="s">
        <v>65</v>
      </c>
      <c r="J153">
        <f>SUMIFS(RawResultsLong!$P:$P,RawResultsLong!$A:$A,A153)</f>
        <v>37.840000000000003</v>
      </c>
      <c r="K153">
        <f t="shared" si="5"/>
        <v>1199.0772428828554</v>
      </c>
      <c r="L153">
        <f>SUMIFS(EmploymentResults!$V:$V,EmploymentResults!$D:$D,B153,EmploymentResults!$F:$F,C153,EmploymentResults!$G:$G,D153,EmploymentResults!$H:$H,E153,EmploymentResults!$J:$J,G153,EmploymentResults!$K:$K,H153,EmploymentResults!$L:$L,I153)</f>
        <v>765.60099107908582</v>
      </c>
    </row>
    <row r="154" spans="1:12" x14ac:dyDescent="0.3">
      <c r="A154" t="str">
        <f t="shared" si="4"/>
        <v>CN|AccumulatedNewCapacity|RE1|PWRHYDDAM|2054</v>
      </c>
      <c r="B154" t="s">
        <v>39</v>
      </c>
      <c r="C154" t="s">
        <v>19</v>
      </c>
      <c r="D154" t="s">
        <v>24</v>
      </c>
      <c r="E154">
        <v>2054</v>
      </c>
      <c r="F154" t="s">
        <v>18</v>
      </c>
      <c r="G154" t="s">
        <v>63</v>
      </c>
      <c r="H154" t="s">
        <v>64</v>
      </c>
      <c r="I154" t="s">
        <v>65</v>
      </c>
      <c r="J154">
        <f>SUMIFS(RawResultsLong!$P:$P,RawResultsLong!$A:$A,A154)</f>
        <v>37.840000000000003</v>
      </c>
      <c r="K154">
        <f t="shared" si="5"/>
        <v>1199.0772428828554</v>
      </c>
      <c r="L154">
        <f>SUMIFS(EmploymentResults!$V:$V,EmploymentResults!$D:$D,B154,EmploymentResults!$F:$F,C154,EmploymentResults!$G:$G,D154,EmploymentResults!$H:$H,E154,EmploymentResults!$J:$J,G154,EmploymentResults!$K:$K,H154,EmploymentResults!$L:$L,I154)</f>
        <v>765.60099107908582</v>
      </c>
    </row>
    <row r="155" spans="1:12" x14ac:dyDescent="0.3">
      <c r="A155" t="str">
        <f t="shared" si="4"/>
        <v>CN|AccumulatedNewCapacity|RE1|PWRHYDDAM|2055</v>
      </c>
      <c r="B155" t="s">
        <v>39</v>
      </c>
      <c r="C155" t="s">
        <v>19</v>
      </c>
      <c r="D155" t="s">
        <v>24</v>
      </c>
      <c r="E155">
        <v>2055</v>
      </c>
      <c r="F155" t="s">
        <v>18</v>
      </c>
      <c r="G155" t="s">
        <v>63</v>
      </c>
      <c r="H155" t="s">
        <v>64</v>
      </c>
      <c r="I155" t="s">
        <v>65</v>
      </c>
      <c r="J155">
        <f>SUMIFS(RawResultsLong!$P:$P,RawResultsLong!$A:$A,A155)</f>
        <v>37.840000000000003</v>
      </c>
      <c r="K155">
        <f t="shared" si="5"/>
        <v>1199.0772428828554</v>
      </c>
      <c r="L155">
        <f>SUMIFS(EmploymentResults!$V:$V,EmploymentResults!$D:$D,B155,EmploymentResults!$F:$F,C155,EmploymentResults!$G:$G,D155,EmploymentResults!$H:$H,E155,EmploymentResults!$J:$J,G155,EmploymentResults!$K:$K,H155,EmploymentResults!$L:$L,I155)</f>
        <v>765.60099107908582</v>
      </c>
    </row>
    <row r="156" spans="1:12" x14ac:dyDescent="0.3">
      <c r="A156" t="str">
        <f t="shared" si="4"/>
        <v>CN|AccumulatedNewCapacity|RE1|PWRHYDROR_NDC|2040</v>
      </c>
      <c r="B156" t="s">
        <v>39</v>
      </c>
      <c r="C156" t="s">
        <v>19</v>
      </c>
      <c r="D156" t="s">
        <v>26</v>
      </c>
      <c r="E156">
        <v>2040</v>
      </c>
      <c r="F156" t="s">
        <v>18</v>
      </c>
      <c r="G156" t="s">
        <v>63</v>
      </c>
      <c r="H156" t="s">
        <v>64</v>
      </c>
      <c r="I156" t="s">
        <v>65</v>
      </c>
      <c r="J156">
        <f>SUMIFS(RawResultsLong!$P:$P,RawResultsLong!$A:$A,A156)</f>
        <v>31.34</v>
      </c>
      <c r="K156">
        <f t="shared" si="5"/>
        <v>993.10467209166723</v>
      </c>
      <c r="L156">
        <f>SUMIFS(EmploymentResults!$V:$V,EmploymentResults!$D:$D,B156,EmploymentResults!$F:$F,C156,EmploymentResults!$G:$G,D156,EmploymentResults!$H:$H,E156,EmploymentResults!$J:$J,G156,EmploymentResults!$K:$K,H156,EmploymentResults!$L:$L,I156)</f>
        <v>5191.1645192879751</v>
      </c>
    </row>
    <row r="157" spans="1:12" x14ac:dyDescent="0.3">
      <c r="A157" t="str">
        <f t="shared" si="4"/>
        <v>CN|AccumulatedNewCapacity|RE1|PWRHYDROR_NDC|2041</v>
      </c>
      <c r="B157" t="s">
        <v>39</v>
      </c>
      <c r="C157" t="s">
        <v>19</v>
      </c>
      <c r="D157" t="s">
        <v>26</v>
      </c>
      <c r="E157">
        <v>2041</v>
      </c>
      <c r="F157" t="s">
        <v>18</v>
      </c>
      <c r="G157" t="s">
        <v>63</v>
      </c>
      <c r="H157" t="s">
        <v>64</v>
      </c>
      <c r="I157" t="s">
        <v>65</v>
      </c>
      <c r="J157">
        <f>SUMIFS(RawResultsLong!$P:$P,RawResultsLong!$A:$A,A157)</f>
        <v>58.986358233509478</v>
      </c>
      <c r="K157">
        <f t="shared" si="5"/>
        <v>1869.1648995332177</v>
      </c>
      <c r="L157">
        <f>SUMIFS(EmploymentResults!$V:$V,EmploymentResults!$D:$D,B157,EmploymentResults!$F:$F,C157,EmploymentResults!$G:$G,D157,EmploymentResults!$H:$H,E157,EmploymentResults!$J:$J,G157,EmploymentResults!$K:$K,H157,EmploymentResults!$L:$L,I157)</f>
        <v>9767.5615841450326</v>
      </c>
    </row>
    <row r="158" spans="1:12" x14ac:dyDescent="0.3">
      <c r="A158" t="str">
        <f t="shared" si="4"/>
        <v>CN|AccumulatedNewCapacity|RE1|PWRHYDROR_NDC|2042</v>
      </c>
      <c r="B158" t="s">
        <v>39</v>
      </c>
      <c r="C158" t="s">
        <v>19</v>
      </c>
      <c r="D158" t="s">
        <v>26</v>
      </c>
      <c r="E158">
        <v>2042</v>
      </c>
      <c r="F158" t="s">
        <v>18</v>
      </c>
      <c r="G158" t="s">
        <v>63</v>
      </c>
      <c r="H158" t="s">
        <v>64</v>
      </c>
      <c r="I158" t="s">
        <v>65</v>
      </c>
      <c r="J158">
        <f>SUMIFS(RawResultsLong!$P:$P,RawResultsLong!$A:$A,A158)</f>
        <v>58.986358233509478</v>
      </c>
      <c r="K158">
        <f t="shared" si="5"/>
        <v>1869.1648995332177</v>
      </c>
      <c r="L158">
        <f>SUMIFS(EmploymentResults!$V:$V,EmploymentResults!$D:$D,B158,EmploymentResults!$F:$F,C158,EmploymentResults!$G:$G,D158,EmploymentResults!$H:$H,E158,EmploymentResults!$J:$J,G158,EmploymentResults!$K:$K,H158,EmploymentResults!$L:$L,I158)</f>
        <v>9764.6097674028788</v>
      </c>
    </row>
    <row r="159" spans="1:12" x14ac:dyDescent="0.3">
      <c r="A159" t="str">
        <f t="shared" si="4"/>
        <v>CN|AccumulatedNewCapacity|RE1|PWRHYDROR_NDC|2043</v>
      </c>
      <c r="B159" t="s">
        <v>39</v>
      </c>
      <c r="C159" t="s">
        <v>19</v>
      </c>
      <c r="D159" t="s">
        <v>26</v>
      </c>
      <c r="E159">
        <v>2043</v>
      </c>
      <c r="F159" t="s">
        <v>18</v>
      </c>
      <c r="G159" t="s">
        <v>63</v>
      </c>
      <c r="H159" t="s">
        <v>64</v>
      </c>
      <c r="I159" t="s">
        <v>65</v>
      </c>
      <c r="J159">
        <f>SUMIFS(RawResultsLong!$P:$P,RawResultsLong!$A:$A,A159)</f>
        <v>58.986358233509478</v>
      </c>
      <c r="K159">
        <f t="shared" si="5"/>
        <v>1869.1648995332177</v>
      </c>
      <c r="L159">
        <f>SUMIFS(EmploymentResults!$V:$V,EmploymentResults!$D:$D,B159,EmploymentResults!$F:$F,C159,EmploymentResults!$G:$G,D159,EmploymentResults!$H:$H,E159,EmploymentResults!$J:$J,G159,EmploymentResults!$K:$K,H159,EmploymentResults!$L:$L,I159)</f>
        <v>9761.657950660725</v>
      </c>
    </row>
    <row r="160" spans="1:12" x14ac:dyDescent="0.3">
      <c r="A160" t="str">
        <f t="shared" si="4"/>
        <v>CN|AccumulatedNewCapacity|RE1|PWRHYDROR_NDC|2044</v>
      </c>
      <c r="B160" t="s">
        <v>39</v>
      </c>
      <c r="C160" t="s">
        <v>19</v>
      </c>
      <c r="D160" t="s">
        <v>26</v>
      </c>
      <c r="E160">
        <v>2044</v>
      </c>
      <c r="F160" t="s">
        <v>18</v>
      </c>
      <c r="G160" t="s">
        <v>63</v>
      </c>
      <c r="H160" t="s">
        <v>64</v>
      </c>
      <c r="I160" t="s">
        <v>65</v>
      </c>
      <c r="J160">
        <f>SUMIFS(RawResultsLong!$P:$P,RawResultsLong!$A:$A,A160)</f>
        <v>58.986358233509478</v>
      </c>
      <c r="K160">
        <f t="shared" si="5"/>
        <v>1869.1648995332177</v>
      </c>
      <c r="L160">
        <f>SUMIFS(EmploymentResults!$V:$V,EmploymentResults!$D:$D,B160,EmploymentResults!$F:$F,C160,EmploymentResults!$G:$G,D160,EmploymentResults!$H:$H,E160,EmploymentResults!$J:$J,G160,EmploymentResults!$K:$K,H160,EmploymentResults!$L:$L,I160)</f>
        <v>9758.7061339372613</v>
      </c>
    </row>
    <row r="161" spans="1:12" x14ac:dyDescent="0.3">
      <c r="A161" t="str">
        <f t="shared" si="4"/>
        <v>CN|AccumulatedNewCapacity|RE1|PWRHYDROR_NDC|2045</v>
      </c>
      <c r="B161" t="s">
        <v>39</v>
      </c>
      <c r="C161" t="s">
        <v>19</v>
      </c>
      <c r="D161" t="s">
        <v>26</v>
      </c>
      <c r="E161">
        <v>2045</v>
      </c>
      <c r="F161" t="s">
        <v>18</v>
      </c>
      <c r="G161" t="s">
        <v>63</v>
      </c>
      <c r="H161" t="s">
        <v>64</v>
      </c>
      <c r="I161" t="s">
        <v>65</v>
      </c>
      <c r="J161">
        <f>SUMIFS(RawResultsLong!$P:$P,RawResultsLong!$A:$A,A161)</f>
        <v>58.986358233509478</v>
      </c>
      <c r="K161">
        <f t="shared" si="5"/>
        <v>1869.1648995332177</v>
      </c>
      <c r="L161">
        <f>SUMIFS(EmploymentResults!$V:$V,EmploymentResults!$D:$D,B161,EmploymentResults!$F:$F,C161,EmploymentResults!$G:$G,D161,EmploymentResults!$H:$H,E161,EmploymentResults!$J:$J,G161,EmploymentResults!$K:$K,H161,EmploymentResults!$L:$L,I161)</f>
        <v>9755.7543171951056</v>
      </c>
    </row>
    <row r="162" spans="1:12" x14ac:dyDescent="0.3">
      <c r="A162" t="str">
        <f t="shared" si="4"/>
        <v>CN|AccumulatedNewCapacity|RE1|PWRHYDROR_NDC|2046</v>
      </c>
      <c r="B162" t="s">
        <v>39</v>
      </c>
      <c r="C162" t="s">
        <v>19</v>
      </c>
      <c r="D162" t="s">
        <v>26</v>
      </c>
      <c r="E162">
        <v>2046</v>
      </c>
      <c r="F162" t="s">
        <v>18</v>
      </c>
      <c r="G162" t="s">
        <v>63</v>
      </c>
      <c r="H162" t="s">
        <v>64</v>
      </c>
      <c r="I162" t="s">
        <v>65</v>
      </c>
      <c r="J162">
        <f>SUMIFS(RawResultsLong!$P:$P,RawResultsLong!$A:$A,A162)</f>
        <v>58.986358233509478</v>
      </c>
      <c r="K162">
        <f t="shared" si="5"/>
        <v>1869.1648995332177</v>
      </c>
      <c r="L162">
        <f>SUMIFS(EmploymentResults!$V:$V,EmploymentResults!$D:$D,B162,EmploymentResults!$F:$F,C162,EmploymentResults!$G:$G,D162,EmploymentResults!$H:$H,E162,EmploymentResults!$J:$J,G162,EmploymentResults!$K:$K,H162,EmploymentResults!$L:$L,I162)</f>
        <v>9752.8025004529518</v>
      </c>
    </row>
    <row r="163" spans="1:12" x14ac:dyDescent="0.3">
      <c r="A163" t="str">
        <f t="shared" si="4"/>
        <v>CN|AccumulatedNewCapacity|RE1|PWRHYDROR_NDC|2047</v>
      </c>
      <c r="B163" t="s">
        <v>39</v>
      </c>
      <c r="C163" t="s">
        <v>19</v>
      </c>
      <c r="D163" t="s">
        <v>26</v>
      </c>
      <c r="E163">
        <v>2047</v>
      </c>
      <c r="F163" t="s">
        <v>18</v>
      </c>
      <c r="G163" t="s">
        <v>63</v>
      </c>
      <c r="H163" t="s">
        <v>64</v>
      </c>
      <c r="I163" t="s">
        <v>65</v>
      </c>
      <c r="J163">
        <f>SUMIFS(RawResultsLong!$P:$P,RawResultsLong!$A:$A,A163)</f>
        <v>90.326358233509481</v>
      </c>
      <c r="K163">
        <f t="shared" si="5"/>
        <v>2862.2695716248854</v>
      </c>
      <c r="L163">
        <f>SUMIFS(EmploymentResults!$V:$V,EmploymentResults!$D:$D,B163,EmploymentResults!$F:$F,C163,EmploymentResults!$G:$G,D163,EmploymentResults!$H:$H,E163,EmploymentResults!$J:$J,G163,EmploymentResults!$K:$K,H163,EmploymentResults!$L:$L,I163)</f>
        <v>14930.036909445806</v>
      </c>
    </row>
    <row r="164" spans="1:12" x14ac:dyDescent="0.3">
      <c r="A164" t="str">
        <f t="shared" si="4"/>
        <v>CN|AccumulatedNewCapacity|RE1|PWRHYDROR_NDC|2048</v>
      </c>
      <c r="B164" t="s">
        <v>39</v>
      </c>
      <c r="C164" t="s">
        <v>19</v>
      </c>
      <c r="D164" t="s">
        <v>26</v>
      </c>
      <c r="E164">
        <v>2048</v>
      </c>
      <c r="F164" t="s">
        <v>18</v>
      </c>
      <c r="G164" t="s">
        <v>63</v>
      </c>
      <c r="H164" t="s">
        <v>64</v>
      </c>
      <c r="I164" t="s">
        <v>65</v>
      </c>
      <c r="J164">
        <f>SUMIFS(RawResultsLong!$P:$P,RawResultsLong!$A:$A,A164)</f>
        <v>121.6663582335095</v>
      </c>
      <c r="K164">
        <f t="shared" si="5"/>
        <v>3855.3742437165529</v>
      </c>
      <c r="L164">
        <f>SUMIFS(EmploymentResults!$V:$V,EmploymentResults!$D:$D,B164,EmploymentResults!$F:$F,C164,EmploymentResults!$G:$G,D164,EmploymentResults!$H:$H,E164,EmploymentResults!$J:$J,G164,EmploymentResults!$K:$K,H164,EmploymentResults!$L:$L,I164)</f>
        <v>20104.134663173521</v>
      </c>
    </row>
    <row r="165" spans="1:12" x14ac:dyDescent="0.3">
      <c r="A165" t="str">
        <f t="shared" si="4"/>
        <v>CN|AccumulatedNewCapacity|RE1|PWRHYDROR_NDC|2049</v>
      </c>
      <c r="B165" t="s">
        <v>39</v>
      </c>
      <c r="C165" t="s">
        <v>19</v>
      </c>
      <c r="D165" t="s">
        <v>26</v>
      </c>
      <c r="E165">
        <v>2049</v>
      </c>
      <c r="F165" t="s">
        <v>18</v>
      </c>
      <c r="G165" t="s">
        <v>63</v>
      </c>
      <c r="H165" t="s">
        <v>64</v>
      </c>
      <c r="I165" t="s">
        <v>65</v>
      </c>
      <c r="J165">
        <f>SUMIFS(RawResultsLong!$P:$P,RawResultsLong!$A:$A,A165)</f>
        <v>121.6663582335095</v>
      </c>
      <c r="K165">
        <f t="shared" si="5"/>
        <v>3855.3742437165529</v>
      </c>
      <c r="L165">
        <f>SUMIFS(EmploymentResults!$V:$V,EmploymentResults!$D:$D,B165,EmploymentResults!$F:$F,C165,EmploymentResults!$G:$G,D165,EmploymentResults!$H:$H,E165,EmploymentResults!$J:$J,G165,EmploymentResults!$K:$K,H165,EmploymentResults!$L:$L,I165)</f>
        <v>20098.046191127683</v>
      </c>
    </row>
    <row r="166" spans="1:12" x14ac:dyDescent="0.3">
      <c r="A166" t="str">
        <f t="shared" si="4"/>
        <v>CN|AccumulatedNewCapacity|RE1|PWRHYDROR_NDC|2050</v>
      </c>
      <c r="B166" t="s">
        <v>39</v>
      </c>
      <c r="C166" t="s">
        <v>19</v>
      </c>
      <c r="D166" t="s">
        <v>26</v>
      </c>
      <c r="E166">
        <v>2050</v>
      </c>
      <c r="F166" t="s">
        <v>18</v>
      </c>
      <c r="G166" t="s">
        <v>63</v>
      </c>
      <c r="H166" t="s">
        <v>64</v>
      </c>
      <c r="I166" t="s">
        <v>65</v>
      </c>
      <c r="J166">
        <f>SUMIFS(RawResultsLong!$P:$P,RawResultsLong!$A:$A,A166)</f>
        <v>121.6663582335095</v>
      </c>
      <c r="K166">
        <f t="shared" si="5"/>
        <v>3855.3742437165529</v>
      </c>
      <c r="L166">
        <f>SUMIFS(EmploymentResults!$V:$V,EmploymentResults!$D:$D,B166,EmploymentResults!$F:$F,C166,EmploymentResults!$G:$G,D166,EmploymentResults!$H:$H,E166,EmploymentResults!$J:$J,G166,EmploymentResults!$K:$K,H166,EmploymentResults!$L:$L,I166)</f>
        <v>20091.957719081842</v>
      </c>
    </row>
    <row r="167" spans="1:12" x14ac:dyDescent="0.3">
      <c r="A167" t="str">
        <f t="shared" si="4"/>
        <v>CN|AccumulatedNewCapacity|RE1|PWRHYDROR_NDC|2051</v>
      </c>
      <c r="B167" t="s">
        <v>39</v>
      </c>
      <c r="C167" t="s">
        <v>19</v>
      </c>
      <c r="D167" t="s">
        <v>26</v>
      </c>
      <c r="E167">
        <v>2051</v>
      </c>
      <c r="F167" t="s">
        <v>18</v>
      </c>
      <c r="G167" t="s">
        <v>63</v>
      </c>
      <c r="H167" t="s">
        <v>64</v>
      </c>
      <c r="I167" t="s">
        <v>65</v>
      </c>
      <c r="J167">
        <f>SUMIFS(RawResultsLong!$P:$P,RawResultsLong!$A:$A,A167)</f>
        <v>121.6663582335095</v>
      </c>
      <c r="K167">
        <f t="shared" si="5"/>
        <v>3855.3742437165529</v>
      </c>
      <c r="L167">
        <f>SUMIFS(EmploymentResults!$V:$V,EmploymentResults!$D:$D,B167,EmploymentResults!$F:$F,C167,EmploymentResults!$G:$G,D167,EmploymentResults!$H:$H,E167,EmploymentResults!$J:$J,G167,EmploymentResults!$K:$K,H167,EmploymentResults!$L:$L,I167)</f>
        <v>20091.957719081842</v>
      </c>
    </row>
    <row r="168" spans="1:12" x14ac:dyDescent="0.3">
      <c r="A168" t="str">
        <f t="shared" si="4"/>
        <v>CN|AccumulatedNewCapacity|RE1|PWRHYDROR_NDC|2052</v>
      </c>
      <c r="B168" t="s">
        <v>39</v>
      </c>
      <c r="C168" t="s">
        <v>19</v>
      </c>
      <c r="D168" t="s">
        <v>26</v>
      </c>
      <c r="E168">
        <v>2052</v>
      </c>
      <c r="F168" t="s">
        <v>18</v>
      </c>
      <c r="G168" t="s">
        <v>63</v>
      </c>
      <c r="H168" t="s">
        <v>64</v>
      </c>
      <c r="I168" t="s">
        <v>65</v>
      </c>
      <c r="J168">
        <f>SUMIFS(RawResultsLong!$P:$P,RawResultsLong!$A:$A,A168)</f>
        <v>121.6663582335095</v>
      </c>
      <c r="K168">
        <f t="shared" si="5"/>
        <v>3855.3742437165529</v>
      </c>
      <c r="L168">
        <f>SUMIFS(EmploymentResults!$V:$V,EmploymentResults!$D:$D,B168,EmploymentResults!$F:$F,C168,EmploymentResults!$G:$G,D168,EmploymentResults!$H:$H,E168,EmploymentResults!$J:$J,G168,EmploymentResults!$K:$K,H168,EmploymentResults!$L:$L,I168)</f>
        <v>20091.957719081842</v>
      </c>
    </row>
    <row r="169" spans="1:12" x14ac:dyDescent="0.3">
      <c r="A169" t="str">
        <f t="shared" si="4"/>
        <v>CN|AccumulatedNewCapacity|RE1|PWRHYDROR_NDC|2053</v>
      </c>
      <c r="B169" t="s">
        <v>39</v>
      </c>
      <c r="C169" t="s">
        <v>19</v>
      </c>
      <c r="D169" t="s">
        <v>26</v>
      </c>
      <c r="E169">
        <v>2053</v>
      </c>
      <c r="F169" t="s">
        <v>18</v>
      </c>
      <c r="G169" t="s">
        <v>63</v>
      </c>
      <c r="H169" t="s">
        <v>64</v>
      </c>
      <c r="I169" t="s">
        <v>65</v>
      </c>
      <c r="J169">
        <f>SUMIFS(RawResultsLong!$P:$P,RawResultsLong!$A:$A,A169)</f>
        <v>121.6663582335095</v>
      </c>
      <c r="K169">
        <f t="shared" si="5"/>
        <v>3855.3742437165529</v>
      </c>
      <c r="L169">
        <f>SUMIFS(EmploymentResults!$V:$V,EmploymentResults!$D:$D,B169,EmploymentResults!$F:$F,C169,EmploymentResults!$G:$G,D169,EmploymentResults!$H:$H,E169,EmploymentResults!$J:$J,G169,EmploymentResults!$K:$K,H169,EmploymentResults!$L:$L,I169)</f>
        <v>20091.957719081842</v>
      </c>
    </row>
    <row r="170" spans="1:12" x14ac:dyDescent="0.3">
      <c r="A170" t="str">
        <f t="shared" si="4"/>
        <v>CN|AccumulatedNewCapacity|RE1|PWRHYDROR_NDC|2054</v>
      </c>
      <c r="B170" t="s">
        <v>39</v>
      </c>
      <c r="C170" t="s">
        <v>19</v>
      </c>
      <c r="D170" t="s">
        <v>26</v>
      </c>
      <c r="E170">
        <v>2054</v>
      </c>
      <c r="F170" t="s">
        <v>18</v>
      </c>
      <c r="G170" t="s">
        <v>63</v>
      </c>
      <c r="H170" t="s">
        <v>64</v>
      </c>
      <c r="I170" t="s">
        <v>65</v>
      </c>
      <c r="J170">
        <f>SUMIFS(RawResultsLong!$P:$P,RawResultsLong!$A:$A,A170)</f>
        <v>121.6663582335095</v>
      </c>
      <c r="K170">
        <f t="shared" si="5"/>
        <v>3855.3742437165529</v>
      </c>
      <c r="L170">
        <f>SUMIFS(EmploymentResults!$V:$V,EmploymentResults!$D:$D,B170,EmploymentResults!$F:$F,C170,EmploymentResults!$G:$G,D170,EmploymentResults!$H:$H,E170,EmploymentResults!$J:$J,G170,EmploymentResults!$K:$K,H170,EmploymentResults!$L:$L,I170)</f>
        <v>20091.957719081842</v>
      </c>
    </row>
    <row r="171" spans="1:12" x14ac:dyDescent="0.3">
      <c r="A171" t="str">
        <f t="shared" si="4"/>
        <v>CN|AccumulatedNewCapacity|RE1|PWRHYDROR_NDC|2055</v>
      </c>
      <c r="B171" t="s">
        <v>39</v>
      </c>
      <c r="C171" t="s">
        <v>19</v>
      </c>
      <c r="D171" t="s">
        <v>26</v>
      </c>
      <c r="E171">
        <v>2055</v>
      </c>
      <c r="F171" t="s">
        <v>18</v>
      </c>
      <c r="G171" t="s">
        <v>63</v>
      </c>
      <c r="H171" t="s">
        <v>64</v>
      </c>
      <c r="I171" t="s">
        <v>65</v>
      </c>
      <c r="J171">
        <f>SUMIFS(RawResultsLong!$P:$P,RawResultsLong!$A:$A,A171)</f>
        <v>121.6663582335095</v>
      </c>
      <c r="K171">
        <f t="shared" si="5"/>
        <v>3855.3742437165529</v>
      </c>
      <c r="L171">
        <f>SUMIFS(EmploymentResults!$V:$V,EmploymentResults!$D:$D,B171,EmploymentResults!$F:$F,C171,EmploymentResults!$G:$G,D171,EmploymentResults!$H:$H,E171,EmploymentResults!$J:$J,G171,EmploymentResults!$K:$K,H171,EmploymentResults!$L:$L,I171)</f>
        <v>20091.957719081842</v>
      </c>
    </row>
    <row r="172" spans="1:12" x14ac:dyDescent="0.3">
      <c r="A172" t="str">
        <f t="shared" si="4"/>
        <v>CN|AccumulatedNewCapacity|RE1|PWRSOLRTP|2026</v>
      </c>
      <c r="B172" t="s">
        <v>39</v>
      </c>
      <c r="C172" t="s">
        <v>19</v>
      </c>
      <c r="D172" t="s">
        <v>31</v>
      </c>
      <c r="E172">
        <v>2026</v>
      </c>
      <c r="F172" t="s">
        <v>18</v>
      </c>
      <c r="G172" t="s">
        <v>63</v>
      </c>
      <c r="H172" t="s">
        <v>64</v>
      </c>
      <c r="I172" t="s">
        <v>65</v>
      </c>
      <c r="J172">
        <f>SUMIFS(RawResultsLong!$P:$P,RawResultsLong!$A:$A,A172)</f>
        <v>10.37</v>
      </c>
      <c r="K172">
        <f t="shared" si="5"/>
        <v>328.60547063148022</v>
      </c>
      <c r="L172">
        <f>SUMIFS(EmploymentResults!$V:$V,EmploymentResults!$D:$D,B172,EmploymentResults!$F:$F,C172,EmploymentResults!$G:$G,D172,EmploymentResults!$H:$H,E172,EmploymentResults!$J:$J,G172,EmploymentResults!$K:$K,H172,EmploymentResults!$L:$L,I172)</f>
        <v>93.94250513341224</v>
      </c>
    </row>
    <row r="173" spans="1:12" x14ac:dyDescent="0.3">
      <c r="A173" t="str">
        <f t="shared" si="4"/>
        <v>CN|AccumulatedNewCapacity|RE1|PWRSOLRTP|2027</v>
      </c>
      <c r="B173" t="s">
        <v>39</v>
      </c>
      <c r="C173" t="s">
        <v>19</v>
      </c>
      <c r="D173" t="s">
        <v>31</v>
      </c>
      <c r="E173">
        <v>2027</v>
      </c>
      <c r="F173" t="s">
        <v>18</v>
      </c>
      <c r="G173" t="s">
        <v>63</v>
      </c>
      <c r="H173" t="s">
        <v>64</v>
      </c>
      <c r="I173" t="s">
        <v>65</v>
      </c>
      <c r="J173">
        <f>SUMIFS(RawResultsLong!$P:$P,RawResultsLong!$A:$A,A173)</f>
        <v>25.21</v>
      </c>
      <c r="K173">
        <f t="shared" si="5"/>
        <v>798.85669379166984</v>
      </c>
      <c r="L173">
        <f>SUMIFS(EmploymentResults!$V:$V,EmploymentResults!$D:$D,B173,EmploymentResults!$F:$F,C173,EmploymentResults!$G:$G,D173,EmploymentResults!$H:$H,E173,EmploymentResults!$J:$J,G173,EmploymentResults!$K:$K,H173,EmploymentResults!$L:$L,I173)</f>
        <v>222.74004285739474</v>
      </c>
    </row>
    <row r="174" spans="1:12" x14ac:dyDescent="0.3">
      <c r="A174" t="str">
        <f t="shared" si="4"/>
        <v>CN|AccumulatedNewCapacity|RE1|PWRSOLRTP|2028</v>
      </c>
      <c r="B174" t="s">
        <v>39</v>
      </c>
      <c r="C174" t="s">
        <v>19</v>
      </c>
      <c r="D174" t="s">
        <v>31</v>
      </c>
      <c r="E174">
        <v>2028</v>
      </c>
      <c r="F174" t="s">
        <v>18</v>
      </c>
      <c r="G174" t="s">
        <v>63</v>
      </c>
      <c r="H174" t="s">
        <v>64</v>
      </c>
      <c r="I174" t="s">
        <v>65</v>
      </c>
      <c r="J174">
        <f>SUMIFS(RawResultsLong!$P:$P,RawResultsLong!$A:$A,A174)</f>
        <v>41.54</v>
      </c>
      <c r="K174">
        <f t="shared" si="5"/>
        <v>1316.3231677947626</v>
      </c>
      <c r="L174">
        <f>SUMIFS(EmploymentResults!$V:$V,EmploymentResults!$D:$D,B174,EmploymentResults!$F:$F,C174,EmploymentResults!$G:$G,D174,EmploymentResults!$H:$H,E174,EmploymentResults!$J:$J,G174,EmploymentResults!$K:$K,H174,EmploymentResults!$L:$L,I174)</f>
        <v>357.73017854140625</v>
      </c>
    </row>
    <row r="175" spans="1:12" x14ac:dyDescent="0.3">
      <c r="A175" t="str">
        <f t="shared" si="4"/>
        <v>CN|AccumulatedNewCapacity|RE1|PWRSOLRTP|2029</v>
      </c>
      <c r="B175" t="s">
        <v>39</v>
      </c>
      <c r="C175" t="s">
        <v>19</v>
      </c>
      <c r="D175" t="s">
        <v>31</v>
      </c>
      <c r="E175">
        <v>2029</v>
      </c>
      <c r="F175" t="s">
        <v>18</v>
      </c>
      <c r="G175" t="s">
        <v>63</v>
      </c>
      <c r="H175" t="s">
        <v>64</v>
      </c>
      <c r="I175" t="s">
        <v>65</v>
      </c>
      <c r="J175">
        <f>SUMIFS(RawResultsLong!$P:$P,RawResultsLong!$A:$A,A175)</f>
        <v>59.36</v>
      </c>
      <c r="K175">
        <f t="shared" si="5"/>
        <v>1881.0048926407585</v>
      </c>
      <c r="L175">
        <f>SUMIFS(EmploymentResults!$V:$V,EmploymentResults!$D:$D,B175,EmploymentResults!$F:$F,C175,EmploymentResults!$G:$G,D175,EmploymentResults!$H:$H,E175,EmploymentResults!$J:$J,G175,EmploymentResults!$K:$K,H175,EmploymentResults!$L:$L,I175)</f>
        <v>497.91305981678204</v>
      </c>
    </row>
    <row r="176" spans="1:12" x14ac:dyDescent="0.3">
      <c r="A176" t="str">
        <f t="shared" si="4"/>
        <v>CN|AccumulatedNewCapacity|RE1|PWRSOLRTP|2030</v>
      </c>
      <c r="B176" t="s">
        <v>39</v>
      </c>
      <c r="C176" t="s">
        <v>19</v>
      </c>
      <c r="D176" t="s">
        <v>31</v>
      </c>
      <c r="E176">
        <v>2030</v>
      </c>
      <c r="F176" t="s">
        <v>18</v>
      </c>
      <c r="G176" t="s">
        <v>63</v>
      </c>
      <c r="H176" t="s">
        <v>64</v>
      </c>
      <c r="I176" t="s">
        <v>65</v>
      </c>
      <c r="J176">
        <f>SUMIFS(RawResultsLong!$P:$P,RawResultsLong!$A:$A,A176)</f>
        <v>77.460000000000008</v>
      </c>
      <c r="K176">
        <f t="shared" si="5"/>
        <v>2454.5592820746829</v>
      </c>
      <c r="L176">
        <f>SUMIFS(EmploymentResults!$V:$V,EmploymentResults!$D:$D,B176,EmploymentResults!$F:$F,C176,EmploymentResults!$G:$G,D176,EmploymentResults!$H:$H,E176,EmploymentResults!$J:$J,G176,EmploymentResults!$K:$K,H176,EmploymentResults!$L:$L,I176)</f>
        <v>632.40997973569108</v>
      </c>
    </row>
    <row r="177" spans="1:12" x14ac:dyDescent="0.3">
      <c r="A177" t="str">
        <f t="shared" si="4"/>
        <v>CN|AccumulatedNewCapacity|RE1|PWRSOLRTP|2031</v>
      </c>
      <c r="B177" t="s">
        <v>39</v>
      </c>
      <c r="C177" t="s">
        <v>19</v>
      </c>
      <c r="D177" t="s">
        <v>31</v>
      </c>
      <c r="E177">
        <v>2031</v>
      </c>
      <c r="F177" t="s">
        <v>18</v>
      </c>
      <c r="G177" t="s">
        <v>63</v>
      </c>
      <c r="H177" t="s">
        <v>64</v>
      </c>
      <c r="I177" t="s">
        <v>65</v>
      </c>
      <c r="J177">
        <f>SUMIFS(RawResultsLong!$P:$P,RawResultsLong!$A:$A,A177)</f>
        <v>95.09</v>
      </c>
      <c r="K177">
        <f t="shared" si="5"/>
        <v>3013.2202702360128</v>
      </c>
      <c r="L177">
        <f>SUMIFS(EmploymentResults!$V:$V,EmploymentResults!$D:$D,B177,EmploymentResults!$F:$F,C177,EmploymentResults!$G:$G,D177,EmploymentResults!$H:$H,E177,EmploymentResults!$J:$J,G177,EmploymentResults!$K:$K,H177,EmploymentResults!$L:$L,I177)</f>
        <v>770.23227554821369</v>
      </c>
    </row>
    <row r="178" spans="1:12" x14ac:dyDescent="0.3">
      <c r="A178" t="str">
        <f t="shared" si="4"/>
        <v>CN|AccumulatedNewCapacity|RE1|PWRSOLRTP|2032</v>
      </c>
      <c r="B178" t="s">
        <v>39</v>
      </c>
      <c r="C178" t="s">
        <v>19</v>
      </c>
      <c r="D178" t="s">
        <v>31</v>
      </c>
      <c r="E178">
        <v>2032</v>
      </c>
      <c r="F178" t="s">
        <v>18</v>
      </c>
      <c r="G178" t="s">
        <v>63</v>
      </c>
      <c r="H178" t="s">
        <v>64</v>
      </c>
      <c r="I178" t="s">
        <v>65</v>
      </c>
      <c r="J178">
        <f>SUMIFS(RawResultsLong!$P:$P,RawResultsLong!$A:$A,A178)</f>
        <v>110.88</v>
      </c>
      <c r="K178">
        <f t="shared" si="5"/>
        <v>3513.57517681953</v>
      </c>
      <c r="L178">
        <f>SUMIFS(EmploymentResults!$V:$V,EmploymentResults!$D:$D,B178,EmploymentResults!$F:$F,C178,EmploymentResults!$G:$G,D178,EmploymentResults!$H:$H,E178,EmploymentResults!$J:$J,G178,EmploymentResults!$K:$K,H178,EmploymentResults!$L:$L,I178)</f>
        <v>891.00132866246861</v>
      </c>
    </row>
    <row r="179" spans="1:12" x14ac:dyDescent="0.3">
      <c r="A179" t="str">
        <f t="shared" si="4"/>
        <v>CN|AccumulatedNewCapacity|RE1|PWRSOLRTP|2033</v>
      </c>
      <c r="B179" t="s">
        <v>39</v>
      </c>
      <c r="C179" t="s">
        <v>19</v>
      </c>
      <c r="D179" t="s">
        <v>31</v>
      </c>
      <c r="E179">
        <v>2033</v>
      </c>
      <c r="F179" t="s">
        <v>18</v>
      </c>
      <c r="G179" t="s">
        <v>63</v>
      </c>
      <c r="H179" t="s">
        <v>64</v>
      </c>
      <c r="I179" t="s">
        <v>65</v>
      </c>
      <c r="J179">
        <f>SUMIFS(RawResultsLong!$P:$P,RawResultsLong!$A:$A,A179)</f>
        <v>126.8</v>
      </c>
      <c r="K179">
        <f t="shared" si="5"/>
        <v>4018.0495348188706</v>
      </c>
      <c r="L179">
        <f>SUMIFS(EmploymentResults!$V:$V,EmploymentResults!$D:$D,B179,EmploymentResults!$F:$F,C179,EmploymentResults!$G:$G,D179,EmploymentResults!$H:$H,E179,EmploymentResults!$J:$J,G179,EmploymentResults!$K:$K,H179,EmploymentResults!$L:$L,I179)</f>
        <v>1010.7758138602808</v>
      </c>
    </row>
    <row r="180" spans="1:12" x14ac:dyDescent="0.3">
      <c r="A180" t="str">
        <f t="shared" si="4"/>
        <v>CN|AccumulatedNewCapacity|RE1|PWRSOLRTP|2034</v>
      </c>
      <c r="B180" t="s">
        <v>39</v>
      </c>
      <c r="C180" t="s">
        <v>19</v>
      </c>
      <c r="D180" t="s">
        <v>31</v>
      </c>
      <c r="E180">
        <v>2034</v>
      </c>
      <c r="F180" t="s">
        <v>18</v>
      </c>
      <c r="G180" t="s">
        <v>63</v>
      </c>
      <c r="H180" t="s">
        <v>64</v>
      </c>
      <c r="I180" t="s">
        <v>65</v>
      </c>
      <c r="J180">
        <f>SUMIFS(RawResultsLong!$P:$P,RawResultsLong!$A:$A,A180)</f>
        <v>140.15</v>
      </c>
      <c r="K180">
        <f t="shared" si="5"/>
        <v>4441.0855071361575</v>
      </c>
      <c r="L180">
        <f>SUMIFS(EmploymentResults!$V:$V,EmploymentResults!$D:$D,B180,EmploymentResults!$F:$F,C180,EmploymentResults!$G:$G,D180,EmploymentResults!$H:$H,E180,EmploymentResults!$J:$J,G180,EmploymentResults!$K:$K,H180,EmploymentResults!$L:$L,I180)</f>
        <v>1108.181454193752</v>
      </c>
    </row>
    <row r="181" spans="1:12" x14ac:dyDescent="0.3">
      <c r="A181" t="str">
        <f t="shared" si="4"/>
        <v>CN|AccumulatedNewCapacity|RE1|PWRSOLRTP|2035</v>
      </c>
      <c r="B181" t="s">
        <v>39</v>
      </c>
      <c r="C181" t="s">
        <v>19</v>
      </c>
      <c r="D181" t="s">
        <v>31</v>
      </c>
      <c r="E181">
        <v>2035</v>
      </c>
      <c r="F181" t="s">
        <v>18</v>
      </c>
      <c r="G181" t="s">
        <v>63</v>
      </c>
      <c r="H181" t="s">
        <v>64</v>
      </c>
      <c r="I181" t="s">
        <v>65</v>
      </c>
      <c r="J181">
        <f>SUMIFS(RawResultsLong!$P:$P,RawResultsLong!$A:$A,A181)</f>
        <v>151.94</v>
      </c>
      <c r="K181">
        <f t="shared" si="5"/>
        <v>4814.6880624635587</v>
      </c>
      <c r="L181">
        <f>SUMIFS(EmploymentResults!$V:$V,EmploymentResults!$D:$D,B181,EmploymentResults!$F:$F,C181,EmploymentResults!$G:$G,D181,EmploymentResults!$H:$H,E181,EmploymentResults!$J:$J,G181,EmploymentResults!$K:$K,H181,EmploymentResults!$L:$L,I181)</f>
        <v>1191.6352954597307</v>
      </c>
    </row>
    <row r="182" spans="1:12" x14ac:dyDescent="0.3">
      <c r="A182" t="str">
        <f t="shared" si="4"/>
        <v>CN|AccumulatedNewCapacity|RE1|PWRSOLRTP|2036</v>
      </c>
      <c r="B182" t="s">
        <v>39</v>
      </c>
      <c r="C182" t="s">
        <v>19</v>
      </c>
      <c r="D182" t="s">
        <v>31</v>
      </c>
      <c r="E182">
        <v>2036</v>
      </c>
      <c r="F182" t="s">
        <v>18</v>
      </c>
      <c r="G182" t="s">
        <v>63</v>
      </c>
      <c r="H182" t="s">
        <v>64</v>
      </c>
      <c r="I182" t="s">
        <v>65</v>
      </c>
      <c r="J182">
        <f>SUMIFS(RawResultsLong!$P:$P,RawResultsLong!$A:$A,A182)</f>
        <v>163.92</v>
      </c>
      <c r="K182">
        <f t="shared" si="5"/>
        <v>5194.3113544756252</v>
      </c>
      <c r="L182">
        <f>SUMIFS(EmploymentResults!$V:$V,EmploymentResults!$D:$D,B182,EmploymentResults!$F:$F,C182,EmploymentResults!$G:$G,D182,EmploymentResults!$H:$H,E182,EmploymentResults!$J:$J,G182,EmploymentResults!$K:$K,H182,EmploymentResults!$L:$L,I182)</f>
        <v>1275.0506636588714</v>
      </c>
    </row>
    <row r="183" spans="1:12" x14ac:dyDescent="0.3">
      <c r="A183" t="str">
        <f t="shared" si="4"/>
        <v>CN|AccumulatedNewCapacity|RE1|PWRSOLRTP|2037</v>
      </c>
      <c r="B183" t="s">
        <v>39</v>
      </c>
      <c r="C183" t="s">
        <v>19</v>
      </c>
      <c r="D183" t="s">
        <v>31</v>
      </c>
      <c r="E183">
        <v>2037</v>
      </c>
      <c r="F183" t="s">
        <v>18</v>
      </c>
      <c r="G183" t="s">
        <v>63</v>
      </c>
      <c r="H183" t="s">
        <v>64</v>
      </c>
      <c r="I183" t="s">
        <v>65</v>
      </c>
      <c r="J183">
        <f>SUMIFS(RawResultsLong!$P:$P,RawResultsLong!$A:$A,A183)</f>
        <v>174.07</v>
      </c>
      <c r="K183">
        <f t="shared" si="5"/>
        <v>5515.9454457880192</v>
      </c>
      <c r="L183">
        <f>SUMIFS(EmploymentResults!$V:$V,EmploymentResults!$D:$D,B183,EmploymentResults!$F:$F,C183,EmploymentResults!$G:$G,D183,EmploymentResults!$H:$H,E183,EmploymentResults!$J:$J,G183,EmploymentResults!$K:$K,H183,EmploymentResults!$L:$L,I183)</f>
        <v>1342.80824867249</v>
      </c>
    </row>
    <row r="184" spans="1:12" x14ac:dyDescent="0.3">
      <c r="A184" t="str">
        <f t="shared" si="4"/>
        <v>CN|AccumulatedNewCapacity|RE1|PWRSOLRTP|2038</v>
      </c>
      <c r="B184" t="s">
        <v>39</v>
      </c>
      <c r="C184" t="s">
        <v>19</v>
      </c>
      <c r="D184" t="s">
        <v>31</v>
      </c>
      <c r="E184">
        <v>2038</v>
      </c>
      <c r="F184" t="s">
        <v>18</v>
      </c>
      <c r="G184" t="s">
        <v>63</v>
      </c>
      <c r="H184" t="s">
        <v>64</v>
      </c>
      <c r="I184" t="s">
        <v>65</v>
      </c>
      <c r="J184">
        <f>SUMIFS(RawResultsLong!$P:$P,RawResultsLong!$A:$A,A184)</f>
        <v>181.77</v>
      </c>
      <c r="K184">
        <f t="shared" si="5"/>
        <v>5759.9437219560423</v>
      </c>
      <c r="L184">
        <f>SUMIFS(EmploymentResults!$V:$V,EmploymentResults!$D:$D,B184,EmploymentResults!$F:$F,C184,EmploymentResults!$G:$G,D184,EmploymentResults!$H:$H,E184,EmploymentResults!$J:$J,G184,EmploymentResults!$K:$K,H184,EmploymentResults!$L:$L,I184)</f>
        <v>1390.5181785246541</v>
      </c>
    </row>
    <row r="185" spans="1:12" x14ac:dyDescent="0.3">
      <c r="A185" t="str">
        <f t="shared" si="4"/>
        <v>CN|AccumulatedNewCapacity|RE1|PWRSOLRTP|2039</v>
      </c>
      <c r="B185" t="s">
        <v>39</v>
      </c>
      <c r="C185" t="s">
        <v>19</v>
      </c>
      <c r="D185" t="s">
        <v>31</v>
      </c>
      <c r="E185">
        <v>2039</v>
      </c>
      <c r="F185" t="s">
        <v>18</v>
      </c>
      <c r="G185" t="s">
        <v>63</v>
      </c>
      <c r="H185" t="s">
        <v>64</v>
      </c>
      <c r="I185" t="s">
        <v>65</v>
      </c>
      <c r="J185">
        <f>SUMIFS(RawResultsLong!$P:$P,RawResultsLong!$A:$A,A185)</f>
        <v>187.79</v>
      </c>
      <c r="K185">
        <f t="shared" si="5"/>
        <v>5950.7060105964965</v>
      </c>
      <c r="L185">
        <f>SUMIFS(EmploymentResults!$V:$V,EmploymentResults!$D:$D,B185,EmploymentResults!$F:$F,C185,EmploymentResults!$G:$G,D185,EmploymentResults!$H:$H,E185,EmploymentResults!$J:$J,G185,EmploymentResults!$K:$K,H185,EmploymentResults!$L:$L,I185)</f>
        <v>1424.4940064767407</v>
      </c>
    </row>
    <row r="186" spans="1:12" x14ac:dyDescent="0.3">
      <c r="A186" t="str">
        <f t="shared" si="4"/>
        <v>CN|AccumulatedNewCapacity|RE1|PWRSOLRTP|2040</v>
      </c>
      <c r="B186" t="s">
        <v>39</v>
      </c>
      <c r="C186" t="s">
        <v>19</v>
      </c>
      <c r="D186" t="s">
        <v>31</v>
      </c>
      <c r="E186">
        <v>2040</v>
      </c>
      <c r="F186" t="s">
        <v>18</v>
      </c>
      <c r="G186" t="s">
        <v>63</v>
      </c>
      <c r="H186" t="s">
        <v>64</v>
      </c>
      <c r="I186" t="s">
        <v>65</v>
      </c>
      <c r="J186">
        <f>SUMIFS(RawResultsLong!$P:$P,RawResultsLong!$A:$A,A186)</f>
        <v>192.7</v>
      </c>
      <c r="K186">
        <f t="shared" si="5"/>
        <v>6106.2945217633787</v>
      </c>
      <c r="L186">
        <f>SUMIFS(EmploymentResults!$V:$V,EmploymentResults!$D:$D,B186,EmploymentResults!$F:$F,C186,EmploymentResults!$G:$G,D186,EmploymentResults!$H:$H,E186,EmploymentResults!$J:$J,G186,EmploymentResults!$K:$K,H186,EmploymentResults!$L:$L,I186)</f>
        <v>1449.3469644274344</v>
      </c>
    </row>
    <row r="187" spans="1:12" x14ac:dyDescent="0.3">
      <c r="A187" t="str">
        <f t="shared" si="4"/>
        <v>CN|AccumulatedNewCapacity|RE1|PWRSOLRTP|2041</v>
      </c>
      <c r="B187" t="s">
        <v>39</v>
      </c>
      <c r="C187" t="s">
        <v>19</v>
      </c>
      <c r="D187" t="s">
        <v>31</v>
      </c>
      <c r="E187">
        <v>2041</v>
      </c>
      <c r="F187" t="s">
        <v>18</v>
      </c>
      <c r="G187" t="s">
        <v>63</v>
      </c>
      <c r="H187" t="s">
        <v>64</v>
      </c>
      <c r="I187" t="s">
        <v>65</v>
      </c>
      <c r="J187">
        <f>SUMIFS(RawResultsLong!$P:$P,RawResultsLong!$A:$A,A187)</f>
        <v>196.82</v>
      </c>
      <c r="K187">
        <f t="shared" si="5"/>
        <v>6236.8494435571774</v>
      </c>
      <c r="L187">
        <f>SUMIFS(EmploymentResults!$V:$V,EmploymentResults!$D:$D,B187,EmploymentResults!$F:$F,C187,EmploymentResults!$G:$G,D187,EmploymentResults!$H:$H,E187,EmploymentResults!$J:$J,G187,EmploymentResults!$K:$K,H187,EmploymentResults!$L:$L,I187)</f>
        <v>1467.6774234691432</v>
      </c>
    </row>
    <row r="188" spans="1:12" x14ac:dyDescent="0.3">
      <c r="A188" t="str">
        <f t="shared" si="4"/>
        <v>CN|AccumulatedNewCapacity|RE1|PWRSOLRTP|2042</v>
      </c>
      <c r="B188" t="s">
        <v>39</v>
      </c>
      <c r="C188" t="s">
        <v>19</v>
      </c>
      <c r="D188" t="s">
        <v>31</v>
      </c>
      <c r="E188">
        <v>2042</v>
      </c>
      <c r="F188" t="s">
        <v>18</v>
      </c>
      <c r="G188" t="s">
        <v>63</v>
      </c>
      <c r="H188" t="s">
        <v>64</v>
      </c>
      <c r="I188" t="s">
        <v>65</v>
      </c>
      <c r="J188">
        <f>SUMIFS(RawResultsLong!$P:$P,RawResultsLong!$A:$A,A188)</f>
        <v>201.41345518622691</v>
      </c>
      <c r="K188">
        <f t="shared" si="5"/>
        <v>6382.4072548681424</v>
      </c>
      <c r="L188">
        <f>SUMIFS(EmploymentResults!$V:$V,EmploymentResults!$D:$D,B188,EmploymentResults!$F:$F,C188,EmploymentResults!$G:$G,D188,EmploymentResults!$H:$H,E188,EmploymentResults!$J:$J,G188,EmploymentResults!$K:$K,H188,EmploymentResults!$L:$L,I188)</f>
        <v>1488.9780689882748</v>
      </c>
    </row>
    <row r="189" spans="1:12" x14ac:dyDescent="0.3">
      <c r="A189" t="str">
        <f t="shared" si="4"/>
        <v>CN|AccumulatedNewCapacity|RE1|PWRSOLRTP|2043</v>
      </c>
      <c r="B189" t="s">
        <v>39</v>
      </c>
      <c r="C189" t="s">
        <v>19</v>
      </c>
      <c r="D189" t="s">
        <v>31</v>
      </c>
      <c r="E189">
        <v>2043</v>
      </c>
      <c r="F189" t="s">
        <v>18</v>
      </c>
      <c r="G189" t="s">
        <v>63</v>
      </c>
      <c r="H189" t="s">
        <v>64</v>
      </c>
      <c r="I189" t="s">
        <v>65</v>
      </c>
      <c r="J189">
        <f>SUMIFS(RawResultsLong!$P:$P,RawResultsLong!$A:$A,A189)</f>
        <v>204.4534551862269</v>
      </c>
      <c r="K189">
        <f t="shared" si="5"/>
        <v>6478.7390418227906</v>
      </c>
      <c r="L189">
        <f>SUMIFS(EmploymentResults!$V:$V,EmploymentResults!$D:$D,B189,EmploymentResults!$F:$F,C189,EmploymentResults!$G:$G,D189,EmploymentResults!$H:$H,E189,EmploymentResults!$J:$J,G189,EmploymentResults!$K:$K,H189,EmploymentResults!$L:$L,I189)</f>
        <v>1498.3036789933781</v>
      </c>
    </row>
    <row r="190" spans="1:12" x14ac:dyDescent="0.3">
      <c r="A190" t="str">
        <f t="shared" si="4"/>
        <v>CN|AccumulatedNewCapacity|RE1|PWRSOLRTP|2044</v>
      </c>
      <c r="B190" t="s">
        <v>39</v>
      </c>
      <c r="C190" t="s">
        <v>19</v>
      </c>
      <c r="D190" t="s">
        <v>31</v>
      </c>
      <c r="E190">
        <v>2044</v>
      </c>
      <c r="F190" t="s">
        <v>18</v>
      </c>
      <c r="G190" t="s">
        <v>63</v>
      </c>
      <c r="H190" t="s">
        <v>64</v>
      </c>
      <c r="I190" t="s">
        <v>65</v>
      </c>
      <c r="J190">
        <f>SUMIFS(RawResultsLong!$P:$P,RawResultsLong!$A:$A,A190)</f>
        <v>207.2434551862269</v>
      </c>
      <c r="K190">
        <f t="shared" si="5"/>
        <v>6567.1488068239314</v>
      </c>
      <c r="L190">
        <f>SUMIFS(EmploymentResults!$V:$V,EmploymentResults!$D:$D,B190,EmploymentResults!$F:$F,C190,EmploymentResults!$G:$G,D190,EmploymentResults!$H:$H,E190,EmploymentResults!$J:$J,G190,EmploymentResults!$K:$K,H190,EmploymentResults!$L:$L,I190)</f>
        <v>1505.4222882489566</v>
      </c>
    </row>
    <row r="191" spans="1:12" x14ac:dyDescent="0.3">
      <c r="A191" t="str">
        <f t="shared" si="4"/>
        <v>CN|AccumulatedNewCapacity|RE1|PWRSOLRTP|2045</v>
      </c>
      <c r="B191" t="s">
        <v>39</v>
      </c>
      <c r="C191" t="s">
        <v>19</v>
      </c>
      <c r="D191" t="s">
        <v>31</v>
      </c>
      <c r="E191">
        <v>2045</v>
      </c>
      <c r="F191" t="s">
        <v>18</v>
      </c>
      <c r="G191" t="s">
        <v>63</v>
      </c>
      <c r="H191" t="s">
        <v>64</v>
      </c>
      <c r="I191" t="s">
        <v>65</v>
      </c>
      <c r="J191">
        <f>SUMIFS(RawResultsLong!$P:$P,RawResultsLong!$A:$A,A191)</f>
        <v>209.87345518622689</v>
      </c>
      <c r="K191">
        <f t="shared" si="5"/>
        <v>6650.4884777748275</v>
      </c>
      <c r="L191">
        <f>SUMIFS(EmploymentResults!$V:$V,EmploymentResults!$D:$D,B191,EmploymentResults!$F:$F,C191,EmploymentResults!$G:$G,D191,EmploymentResults!$H:$H,E191,EmploymentResults!$J:$J,G191,EmploymentResults!$K:$K,H191,EmploymentResults!$L:$L,I191)</f>
        <v>1511.0301026712893</v>
      </c>
    </row>
    <row r="192" spans="1:12" x14ac:dyDescent="0.3">
      <c r="A192" t="str">
        <f t="shared" si="4"/>
        <v>CN|AccumulatedNewCapacity|RE1|PWRSOLRTP|2046</v>
      </c>
      <c r="B192" t="s">
        <v>39</v>
      </c>
      <c r="C192" t="s">
        <v>19</v>
      </c>
      <c r="D192" t="s">
        <v>31</v>
      </c>
      <c r="E192">
        <v>2046</v>
      </c>
      <c r="F192" t="s">
        <v>18</v>
      </c>
      <c r="G192" t="s">
        <v>63</v>
      </c>
      <c r="H192" t="s">
        <v>64</v>
      </c>
      <c r="I192" t="s">
        <v>65</v>
      </c>
      <c r="J192">
        <f>SUMIFS(RawResultsLong!$P:$P,RawResultsLong!$A:$A,A192)</f>
        <v>212.41345518622691</v>
      </c>
      <c r="K192">
        <f t="shared" si="5"/>
        <v>6730.9762208224611</v>
      </c>
      <c r="L192">
        <f>SUMIFS(EmploymentResults!$V:$V,EmploymentResults!$D:$D,B192,EmploymentResults!$F:$F,C192,EmploymentResults!$G:$G,D192,EmploymentResults!$H:$H,E192,EmploymentResults!$J:$J,G192,EmploymentResults!$K:$K,H192,EmploymentResults!$L:$L,I192)</f>
        <v>1515.6574690165562</v>
      </c>
    </row>
    <row r="193" spans="1:12" x14ac:dyDescent="0.3">
      <c r="A193" t="str">
        <f t="shared" si="4"/>
        <v>CN|AccumulatedNewCapacity|RE1|PWRSOLRTP|2047</v>
      </c>
      <c r="B193" t="s">
        <v>39</v>
      </c>
      <c r="C193" t="s">
        <v>19</v>
      </c>
      <c r="D193" t="s">
        <v>31</v>
      </c>
      <c r="E193">
        <v>2047</v>
      </c>
      <c r="F193" t="s">
        <v>18</v>
      </c>
      <c r="G193" t="s">
        <v>63</v>
      </c>
      <c r="H193" t="s">
        <v>64</v>
      </c>
      <c r="I193" t="s">
        <v>65</v>
      </c>
      <c r="J193">
        <f>SUMIFS(RawResultsLong!$P:$P,RawResultsLong!$A:$A,A193)</f>
        <v>214.95345518622679</v>
      </c>
      <c r="K193">
        <f t="shared" si="5"/>
        <v>6811.463963870091</v>
      </c>
      <c r="L193">
        <f>SUMIFS(EmploymentResults!$V:$V,EmploymentResults!$D:$D,B193,EmploymentResults!$F:$F,C193,EmploymentResults!$G:$G,D193,EmploymentResults!$H:$H,E193,EmploymentResults!$J:$J,G193,EmploymentResults!$K:$K,H193,EmploymentResults!$L:$L,I193)</f>
        <v>1519.9581498232753</v>
      </c>
    </row>
    <row r="194" spans="1:12" x14ac:dyDescent="0.3">
      <c r="A194" t="str">
        <f t="shared" ref="A194:A257" si="6">B194&amp;"|"&amp;F194&amp;"|"&amp;C194&amp;"|"&amp;D194&amp;"|"&amp;E194</f>
        <v>CN|AccumulatedNewCapacity|RE1|PWRSOLRTP|2048</v>
      </c>
      <c r="B194" t="s">
        <v>39</v>
      </c>
      <c r="C194" t="s">
        <v>19</v>
      </c>
      <c r="D194" t="s">
        <v>31</v>
      </c>
      <c r="E194">
        <v>2048</v>
      </c>
      <c r="F194" t="s">
        <v>18</v>
      </c>
      <c r="G194" t="s">
        <v>63</v>
      </c>
      <c r="H194" t="s">
        <v>64</v>
      </c>
      <c r="I194" t="s">
        <v>65</v>
      </c>
      <c r="J194">
        <f>SUMIFS(RawResultsLong!$P:$P,RawResultsLong!$A:$A,A194)</f>
        <v>216.22345518622689</v>
      </c>
      <c r="K194">
        <f t="shared" ref="K194:K257" si="7">J194*1000/31.5576</f>
        <v>6851.7078353939114</v>
      </c>
      <c r="L194">
        <f>SUMIFS(EmploymentResults!$V:$V,EmploymentResults!$D:$D,B194,EmploymentResults!$F:$F,C194,EmploymentResults!$G:$G,D194,EmploymentResults!$H:$H,E194,EmploymentResults!$J:$J,G194,EmploymentResults!$K:$K,H194,EmploymentResults!$L:$L,I194)</f>
        <v>1515.0335148980157</v>
      </c>
    </row>
    <row r="195" spans="1:12" x14ac:dyDescent="0.3">
      <c r="A195" t="str">
        <f t="shared" si="6"/>
        <v>CN|AccumulatedNewCapacity|RE1|PWRSOLRTP|2049</v>
      </c>
      <c r="B195" t="s">
        <v>39</v>
      </c>
      <c r="C195" t="s">
        <v>19</v>
      </c>
      <c r="D195" t="s">
        <v>31</v>
      </c>
      <c r="E195">
        <v>2049</v>
      </c>
      <c r="F195" t="s">
        <v>18</v>
      </c>
      <c r="G195" t="s">
        <v>63</v>
      </c>
      <c r="H195" t="s">
        <v>64</v>
      </c>
      <c r="I195" t="s">
        <v>65</v>
      </c>
      <c r="J195">
        <f>SUMIFS(RawResultsLong!$P:$P,RawResultsLong!$A:$A,A195)</f>
        <v>217.4934551862269</v>
      </c>
      <c r="K195">
        <f t="shared" si="7"/>
        <v>6891.9517069177282</v>
      </c>
      <c r="L195">
        <f>SUMIFS(EmploymentResults!$V:$V,EmploymentResults!$D:$D,B195,EmploymentResults!$F:$F,C195,EmploymentResults!$G:$G,D195,EmploymentResults!$H:$H,E195,EmploymentResults!$J:$J,G195,EmploymentResults!$K:$K,H195,EmploymentResults!$L:$L,I195)</f>
        <v>1509.9455372000762</v>
      </c>
    </row>
    <row r="196" spans="1:12" x14ac:dyDescent="0.3">
      <c r="A196" t="str">
        <f t="shared" si="6"/>
        <v>CN|AccumulatedNewCapacity|RE1|PWRSOLRTP|2050</v>
      </c>
      <c r="B196" t="s">
        <v>39</v>
      </c>
      <c r="C196" t="s">
        <v>19</v>
      </c>
      <c r="D196" t="s">
        <v>31</v>
      </c>
      <c r="E196">
        <v>2050</v>
      </c>
      <c r="F196" t="s">
        <v>18</v>
      </c>
      <c r="G196" t="s">
        <v>63</v>
      </c>
      <c r="H196" t="s">
        <v>64</v>
      </c>
      <c r="I196" t="s">
        <v>65</v>
      </c>
      <c r="J196">
        <f>SUMIFS(RawResultsLong!$P:$P,RawResultsLong!$A:$A,A196)</f>
        <v>218.76345518622691</v>
      </c>
      <c r="K196">
        <f t="shared" si="7"/>
        <v>6932.195578441545</v>
      </c>
      <c r="L196">
        <f>SUMIFS(EmploymentResults!$V:$V,EmploymentResults!$D:$D,B196,EmploymentResults!$F:$F,C196,EmploymentResults!$G:$G,D196,EmploymentResults!$H:$H,E196,EmploymentResults!$J:$J,G196,EmploymentResults!$K:$K,H196,EmploymentResults!$L:$L,I196)</f>
        <v>1504.6942167294574</v>
      </c>
    </row>
    <row r="197" spans="1:12" x14ac:dyDescent="0.3">
      <c r="A197" t="str">
        <f t="shared" si="6"/>
        <v>CN|AccumulatedNewCapacity|RE1|PWRSOLRTP|2051</v>
      </c>
      <c r="B197" t="s">
        <v>39</v>
      </c>
      <c r="C197" t="s">
        <v>19</v>
      </c>
      <c r="D197" t="s">
        <v>31</v>
      </c>
      <c r="E197">
        <v>2051</v>
      </c>
      <c r="F197" t="s">
        <v>18</v>
      </c>
      <c r="G197" t="s">
        <v>63</v>
      </c>
      <c r="H197" t="s">
        <v>64</v>
      </c>
      <c r="I197" t="s">
        <v>65</v>
      </c>
      <c r="J197">
        <f>SUMIFS(RawResultsLong!$P:$P,RawResultsLong!$A:$A,A197)</f>
        <v>209.66345518622691</v>
      </c>
      <c r="K197">
        <f t="shared" si="7"/>
        <v>6643.833979333881</v>
      </c>
      <c r="L197">
        <f>SUMIFS(EmploymentResults!$V:$V,EmploymentResults!$D:$D,B197,EmploymentResults!$F:$F,C197,EmploymentResults!$G:$G,D197,EmploymentResults!$H:$H,E197,EmploymentResults!$J:$J,G197,EmploymentResults!$K:$K,H197,EmploymentResults!$L:$L,I197)</f>
        <v>1442.1027872762068</v>
      </c>
    </row>
    <row r="198" spans="1:12" x14ac:dyDescent="0.3">
      <c r="A198" t="str">
        <f t="shared" si="6"/>
        <v>CN|AccumulatedNewCapacity|RE1|PWRSOLRTP|2052</v>
      </c>
      <c r="B198" t="s">
        <v>39</v>
      </c>
      <c r="C198" t="s">
        <v>19</v>
      </c>
      <c r="D198" t="s">
        <v>31</v>
      </c>
      <c r="E198">
        <v>2052</v>
      </c>
      <c r="F198" t="s">
        <v>18</v>
      </c>
      <c r="G198" t="s">
        <v>63</v>
      </c>
      <c r="H198" t="s">
        <v>64</v>
      </c>
      <c r="I198" t="s">
        <v>65</v>
      </c>
      <c r="J198">
        <f>SUMIFS(RawResultsLong!$P:$P,RawResultsLong!$A:$A,A198)</f>
        <v>196.09345518622689</v>
      </c>
      <c r="K198">
        <f t="shared" si="7"/>
        <v>6213.8266276975082</v>
      </c>
      <c r="L198">
        <f>SUMIFS(EmploymentResults!$V:$V,EmploymentResults!$D:$D,B198,EmploymentResults!$F:$F,C198,EmploymentResults!$G:$G,D198,EmploymentResults!$H:$H,E198,EmploymentResults!$J:$J,G198,EmploymentResults!$K:$K,H198,EmploymentResults!$L:$L,I198)</f>
        <v>1348.7658974211945</v>
      </c>
    </row>
    <row r="199" spans="1:12" x14ac:dyDescent="0.3">
      <c r="A199" t="str">
        <f t="shared" si="6"/>
        <v>CN|AccumulatedNewCapacity|RE1|PWRSOLRTP|2053</v>
      </c>
      <c r="B199" t="s">
        <v>39</v>
      </c>
      <c r="C199" t="s">
        <v>19</v>
      </c>
      <c r="D199" t="s">
        <v>31</v>
      </c>
      <c r="E199">
        <v>2053</v>
      </c>
      <c r="F199" t="s">
        <v>18</v>
      </c>
      <c r="G199" t="s">
        <v>63</v>
      </c>
      <c r="H199" t="s">
        <v>64</v>
      </c>
      <c r="I199" t="s">
        <v>65</v>
      </c>
      <c r="J199">
        <f>SUMIFS(RawResultsLong!$P:$P,RawResultsLong!$A:$A,A199)</f>
        <v>181.03345518622689</v>
      </c>
      <c r="K199">
        <f t="shared" si="7"/>
        <v>5736.6040252182329</v>
      </c>
      <c r="L199">
        <f>SUMIFS(EmploymentResults!$V:$V,EmploymentResults!$D:$D,B199,EmploymentResults!$F:$F,C199,EmploymentResults!$G:$G,D199,EmploymentResults!$H:$H,E199,EmploymentResults!$J:$J,G199,EmploymentResults!$K:$K,H199,EmploymentResults!$L:$L,I199)</f>
        <v>1245.1805207655955</v>
      </c>
    </row>
    <row r="200" spans="1:12" x14ac:dyDescent="0.3">
      <c r="A200" t="str">
        <f t="shared" si="6"/>
        <v>CN|AccumulatedNewCapacity|RE1|PWRSOLRTP|2054</v>
      </c>
      <c r="B200" t="s">
        <v>39</v>
      </c>
      <c r="C200" t="s">
        <v>19</v>
      </c>
      <c r="D200" t="s">
        <v>31</v>
      </c>
      <c r="E200">
        <v>2054</v>
      </c>
      <c r="F200" t="s">
        <v>18</v>
      </c>
      <c r="G200" t="s">
        <v>63</v>
      </c>
      <c r="H200" t="s">
        <v>64</v>
      </c>
      <c r="I200" t="s">
        <v>65</v>
      </c>
      <c r="J200">
        <f>SUMIFS(RawResultsLong!$P:$P,RawResultsLong!$A:$A,A200)</f>
        <v>164.48345518622691</v>
      </c>
      <c r="K200">
        <f t="shared" si="7"/>
        <v>5212.1661718960531</v>
      </c>
      <c r="L200">
        <f>SUMIFS(EmploymentResults!$V:$V,EmploymentResults!$D:$D,B200,EmploymentResults!$F:$F,C200,EmploymentResults!$G:$G,D200,EmploymentResults!$H:$H,E200,EmploymentResults!$J:$J,G200,EmploymentResults!$K:$K,H200,EmploymentResults!$L:$L,I200)</f>
        <v>1131.3466573094088</v>
      </c>
    </row>
    <row r="201" spans="1:12" x14ac:dyDescent="0.3">
      <c r="A201" t="str">
        <f t="shared" si="6"/>
        <v>CN|AccumulatedNewCapacity|RE1|PWRSOLRTP|2055</v>
      </c>
      <c r="B201" t="s">
        <v>39</v>
      </c>
      <c r="C201" t="s">
        <v>19</v>
      </c>
      <c r="D201" t="s">
        <v>31</v>
      </c>
      <c r="E201">
        <v>2055</v>
      </c>
      <c r="F201" t="s">
        <v>18</v>
      </c>
      <c r="G201" t="s">
        <v>63</v>
      </c>
      <c r="H201" t="s">
        <v>64</v>
      </c>
      <c r="I201" t="s">
        <v>65</v>
      </c>
      <c r="J201">
        <f>SUMIFS(RawResultsLong!$P:$P,RawResultsLong!$A:$A,A201)</f>
        <v>147.65345518622689</v>
      </c>
      <c r="K201">
        <f t="shared" si="7"/>
        <v>4678.8556539859464</v>
      </c>
      <c r="L201">
        <f>SUMIFS(EmploymentResults!$V:$V,EmploymentResults!$D:$D,B201,EmploymentResults!$F:$F,C201,EmploymentResults!$G:$G,D201,EmploymentResults!$H:$H,E201,EmploymentResults!$J:$J,G201,EmploymentResults!$K:$K,H201,EmploymentResults!$L:$L,I201)</f>
        <v>1015.5869037161995</v>
      </c>
    </row>
    <row r="202" spans="1:12" x14ac:dyDescent="0.3">
      <c r="A202" t="str">
        <f t="shared" si="6"/>
        <v>CN|AccumulatedNewCapacity|RE1|PWRSOLRTP_ZNI|2031</v>
      </c>
      <c r="B202" t="s">
        <v>39</v>
      </c>
      <c r="C202" t="s">
        <v>19</v>
      </c>
      <c r="D202" t="s">
        <v>32</v>
      </c>
      <c r="E202">
        <v>2031</v>
      </c>
      <c r="F202" t="s">
        <v>18</v>
      </c>
      <c r="G202" t="s">
        <v>63</v>
      </c>
      <c r="H202" t="s">
        <v>64</v>
      </c>
      <c r="I202" t="s">
        <v>65</v>
      </c>
      <c r="J202">
        <f>SUMIFS(RawResultsLong!$P:$P,RawResultsLong!$A:$A,A202)</f>
        <v>0.57301432913016792</v>
      </c>
      <c r="K202">
        <f t="shared" si="7"/>
        <v>18.157728380173648</v>
      </c>
      <c r="L202">
        <f>SUMIFS(EmploymentResults!$V:$V,EmploymentResults!$D:$D,B202,EmploymentResults!$F:$F,C202,EmploymentResults!$G:$G,D202,EmploymentResults!$H:$H,E202,EmploymentResults!$J:$J,G202,EmploymentResults!$K:$K,H202,EmploymentResults!$L:$L,I202)</f>
        <v>4.6414358044764148</v>
      </c>
    </row>
    <row r="203" spans="1:12" x14ac:dyDescent="0.3">
      <c r="A203" t="str">
        <f t="shared" si="6"/>
        <v>CN|AccumulatedNewCapacity|RE1|PWRSOLRTP_ZNI|2032</v>
      </c>
      <c r="B203" t="s">
        <v>39</v>
      </c>
      <c r="C203" t="s">
        <v>19</v>
      </c>
      <c r="D203" t="s">
        <v>32</v>
      </c>
      <c r="E203">
        <v>2032</v>
      </c>
      <c r="F203" t="s">
        <v>18</v>
      </c>
      <c r="G203" t="s">
        <v>63</v>
      </c>
      <c r="H203" t="s">
        <v>64</v>
      </c>
      <c r="I203" t="s">
        <v>65</v>
      </c>
      <c r="J203">
        <f>SUMIFS(RawResultsLong!$P:$P,RawResultsLong!$A:$A,A203)</f>
        <v>0.61180159045846327</v>
      </c>
      <c r="K203">
        <f t="shared" si="7"/>
        <v>19.386822523210359</v>
      </c>
      <c r="L203">
        <f>SUMIFS(EmploymentResults!$V:$V,EmploymentResults!$D:$D,B203,EmploymentResults!$F:$F,C203,EmploymentResults!$G:$G,D203,EmploymentResults!$H:$H,E203,EmploymentResults!$J:$J,G203,EmploymentResults!$K:$K,H203,EmploymentResults!$L:$L,I203)</f>
        <v>4.9162701116188874</v>
      </c>
    </row>
    <row r="204" spans="1:12" x14ac:dyDescent="0.3">
      <c r="A204" t="str">
        <f t="shared" si="6"/>
        <v>CN|AccumulatedNewCapacity|RE1|PWRSOLRTP_ZNI|2033</v>
      </c>
      <c r="B204" t="s">
        <v>39</v>
      </c>
      <c r="C204" t="s">
        <v>19</v>
      </c>
      <c r="D204" t="s">
        <v>32</v>
      </c>
      <c r="E204">
        <v>2033</v>
      </c>
      <c r="F204" t="s">
        <v>18</v>
      </c>
      <c r="G204" t="s">
        <v>63</v>
      </c>
      <c r="H204" t="s">
        <v>64</v>
      </c>
      <c r="I204" t="s">
        <v>65</v>
      </c>
      <c r="J204">
        <f>SUMIFS(RawResultsLong!$P:$P,RawResultsLong!$A:$A,A204)</f>
        <v>0.65090298158580084</v>
      </c>
      <c r="K204">
        <f t="shared" si="7"/>
        <v>20.625870838904124</v>
      </c>
      <c r="L204">
        <f>SUMIFS(EmploymentResults!$V:$V,EmploymentResults!$D:$D,B204,EmploymentResults!$F:$F,C204,EmploymentResults!$G:$G,D204,EmploymentResults!$H:$H,E204,EmploymentResults!$J:$J,G204,EmploymentResults!$K:$K,H204,EmploymentResults!$L:$L,I204)</f>
        <v>5.1886198024958299</v>
      </c>
    </row>
    <row r="205" spans="1:12" x14ac:dyDescent="0.3">
      <c r="A205" t="str">
        <f t="shared" si="6"/>
        <v>CN|AccumulatedNewCapacity|RE1|PWRSOLRTP_ZNI|2034</v>
      </c>
      <c r="B205" t="s">
        <v>39</v>
      </c>
      <c r="C205" t="s">
        <v>19</v>
      </c>
      <c r="D205" t="s">
        <v>32</v>
      </c>
      <c r="E205">
        <v>2034</v>
      </c>
      <c r="F205" t="s">
        <v>18</v>
      </c>
      <c r="G205" t="s">
        <v>63</v>
      </c>
      <c r="H205" t="s">
        <v>64</v>
      </c>
      <c r="I205" t="s">
        <v>65</v>
      </c>
      <c r="J205">
        <f>SUMIFS(RawResultsLong!$P:$P,RawResultsLong!$A:$A,A205)</f>
        <v>0.69024263684958787</v>
      </c>
      <c r="K205">
        <f t="shared" si="7"/>
        <v>21.872469289476633</v>
      </c>
      <c r="L205">
        <f>SUMIFS(EmploymentResults!$V:$V,EmploymentResults!$D:$D,B205,EmploymentResults!$F:$F,C205,EmploymentResults!$G:$G,D205,EmploymentResults!$H:$H,E205,EmploymentResults!$J:$J,G205,EmploymentResults!$K:$K,H205,EmploymentResults!$L:$L,I205)</f>
        <v>5.4578243956511319</v>
      </c>
    </row>
    <row r="206" spans="1:12" x14ac:dyDescent="0.3">
      <c r="A206" t="str">
        <f t="shared" si="6"/>
        <v>CN|AccumulatedNewCapacity|RE1|PWRSOLRTP_ZNI|2035</v>
      </c>
      <c r="B206" t="s">
        <v>39</v>
      </c>
      <c r="C206" t="s">
        <v>19</v>
      </c>
      <c r="D206" t="s">
        <v>32</v>
      </c>
      <c r="E206">
        <v>2035</v>
      </c>
      <c r="F206" t="s">
        <v>18</v>
      </c>
      <c r="G206" t="s">
        <v>63</v>
      </c>
      <c r="H206" t="s">
        <v>64</v>
      </c>
      <c r="I206" t="s">
        <v>65</v>
      </c>
      <c r="J206">
        <f>SUMIFS(RawResultsLong!$P:$P,RawResultsLong!$A:$A,A206)</f>
        <v>0.72992806437895164</v>
      </c>
      <c r="K206">
        <f t="shared" si="7"/>
        <v>23.130024601964394</v>
      </c>
      <c r="L206">
        <f>SUMIFS(EmploymentResults!$V:$V,EmploymentResults!$D:$D,B206,EmploymentResults!$F:$F,C206,EmploymentResults!$G:$G,D206,EmploymentResults!$H:$H,E206,EmploymentResults!$J:$J,G206,EmploymentResults!$K:$K,H206,EmploymentResults!$L:$L,I206)</f>
        <v>5.7246810889861877</v>
      </c>
    </row>
    <row r="207" spans="1:12" x14ac:dyDescent="0.3">
      <c r="A207" t="str">
        <f t="shared" si="6"/>
        <v>CN|AccumulatedNewCapacity|RE1|PWRSOLRTP_ZNI|2036</v>
      </c>
      <c r="B207" t="s">
        <v>39</v>
      </c>
      <c r="C207" t="s">
        <v>19</v>
      </c>
      <c r="D207" t="s">
        <v>32</v>
      </c>
      <c r="E207">
        <v>2036</v>
      </c>
      <c r="F207" t="s">
        <v>18</v>
      </c>
      <c r="G207" t="s">
        <v>63</v>
      </c>
      <c r="H207" t="s">
        <v>64</v>
      </c>
      <c r="I207" t="s">
        <v>65</v>
      </c>
      <c r="J207">
        <f>SUMIFS(RawResultsLong!$P:$P,RawResultsLong!$A:$A,A207)</f>
        <v>0.77035577591644344</v>
      </c>
      <c r="K207">
        <f t="shared" si="7"/>
        <v>24.411101475284667</v>
      </c>
      <c r="L207">
        <f>SUMIFS(EmploymentResults!$V:$V,EmploymentResults!$D:$D,B207,EmploymentResults!$F:$F,C207,EmploymentResults!$G:$G,D207,EmploymentResults!$H:$H,E207,EmploymentResults!$J:$J,G207,EmploymentResults!$K:$K,H207,EmploymentResults!$L:$L,I207)</f>
        <v>5.9922074386024038</v>
      </c>
    </row>
    <row r="208" spans="1:12" x14ac:dyDescent="0.3">
      <c r="A208" t="str">
        <f t="shared" si="6"/>
        <v>CN|AccumulatedNewCapacity|RE1|PWRSOLRTP_ZNI|2037</v>
      </c>
      <c r="B208" t="s">
        <v>39</v>
      </c>
      <c r="C208" t="s">
        <v>19</v>
      </c>
      <c r="D208" t="s">
        <v>32</v>
      </c>
      <c r="E208">
        <v>2037</v>
      </c>
      <c r="F208" t="s">
        <v>18</v>
      </c>
      <c r="G208" t="s">
        <v>63</v>
      </c>
      <c r="H208" t="s">
        <v>64</v>
      </c>
      <c r="I208" t="s">
        <v>65</v>
      </c>
      <c r="J208">
        <f>SUMIFS(RawResultsLong!$P:$P,RawResultsLong!$A:$A,A208)</f>
        <v>0.81149631771257125</v>
      </c>
      <c r="K208">
        <f t="shared" si="7"/>
        <v>25.714766576437093</v>
      </c>
      <c r="L208">
        <f>SUMIFS(EmploymentResults!$V:$V,EmploymentResults!$D:$D,B208,EmploymentResults!$F:$F,C208,EmploymentResults!$G:$G,D208,EmploymentResults!$H:$H,E208,EmploymentResults!$J:$J,G208,EmploymentResults!$K:$K,H208,EmploymentResults!$L:$L,I208)</f>
        <v>6.2600330280449947</v>
      </c>
    </row>
    <row r="209" spans="1:12" x14ac:dyDescent="0.3">
      <c r="A209" t="str">
        <f t="shared" si="6"/>
        <v>CN|AccumulatedNewCapacity|RE1|PWRSOLRTP_ZNI|2038</v>
      </c>
      <c r="B209" t="s">
        <v>39</v>
      </c>
      <c r="C209" t="s">
        <v>19</v>
      </c>
      <c r="D209" t="s">
        <v>32</v>
      </c>
      <c r="E209">
        <v>2038</v>
      </c>
      <c r="F209" t="s">
        <v>18</v>
      </c>
      <c r="G209" t="s">
        <v>63</v>
      </c>
      <c r="H209" t="s">
        <v>64</v>
      </c>
      <c r="I209" t="s">
        <v>65</v>
      </c>
      <c r="J209">
        <f>SUMIFS(RawResultsLong!$P:$P,RawResultsLong!$A:$A,A209)</f>
        <v>0.8534155502813684</v>
      </c>
      <c r="K209">
        <f t="shared" si="7"/>
        <v>27.043106899173839</v>
      </c>
      <c r="L209">
        <f>SUMIFS(EmploymentResults!$V:$V,EmploymentResults!$D:$D,B209,EmploymentResults!$F:$F,C209,EmploymentResults!$G:$G,D209,EmploymentResults!$H:$H,E209,EmploymentResults!$J:$J,G209,EmploymentResults!$K:$K,H209,EmploymentResults!$L:$L,I209)</f>
        <v>6.5285241596625605</v>
      </c>
    </row>
    <row r="210" spans="1:12" x14ac:dyDescent="0.3">
      <c r="A210" t="str">
        <f t="shared" si="6"/>
        <v>CN|AccumulatedNewCapacity|RE1|PWRSOLRTP_ZNI|2039</v>
      </c>
      <c r="B210" t="s">
        <v>39</v>
      </c>
      <c r="C210" t="s">
        <v>19</v>
      </c>
      <c r="D210" t="s">
        <v>32</v>
      </c>
      <c r="E210">
        <v>2039</v>
      </c>
      <c r="F210" t="s">
        <v>18</v>
      </c>
      <c r="G210" t="s">
        <v>63</v>
      </c>
      <c r="H210" t="s">
        <v>64</v>
      </c>
      <c r="I210" t="s">
        <v>65</v>
      </c>
      <c r="J210">
        <f>SUMIFS(RawResultsLong!$P:$P,RawResultsLong!$A:$A,A210)</f>
        <v>0.89613105225913248</v>
      </c>
      <c r="K210">
        <f t="shared" si="7"/>
        <v>28.396679476865557</v>
      </c>
      <c r="L210">
        <f>SUMIFS(EmploymentResults!$V:$V,EmploymentResults!$D:$D,B210,EmploymentResults!$F:$F,C210,EmploymentResults!$G:$G,D210,EmploymentResults!$H:$H,E210,EmploymentResults!$J:$J,G210,EmploymentResults!$K:$K,H210,EmploymentResults!$L:$L,I210)</f>
        <v>6.797663948883482</v>
      </c>
    </row>
    <row r="211" spans="1:12" x14ac:dyDescent="0.3">
      <c r="A211" t="str">
        <f t="shared" si="6"/>
        <v>CN|AccumulatedNewCapacity|RE1|PWRSOLRTP_ZNI|2040</v>
      </c>
      <c r="B211" t="s">
        <v>39</v>
      </c>
      <c r="C211" t="s">
        <v>19</v>
      </c>
      <c r="D211" t="s">
        <v>32</v>
      </c>
      <c r="E211">
        <v>2040</v>
      </c>
      <c r="F211" t="s">
        <v>18</v>
      </c>
      <c r="G211" t="s">
        <v>63</v>
      </c>
      <c r="H211" t="s">
        <v>64</v>
      </c>
      <c r="I211" t="s">
        <v>65</v>
      </c>
      <c r="J211">
        <f>SUMIFS(RawResultsLong!$P:$P,RawResultsLong!$A:$A,A211)</f>
        <v>0.93966972462386933</v>
      </c>
      <c r="K211">
        <f t="shared" si="7"/>
        <v>29.776336750065571</v>
      </c>
      <c r="L211">
        <f>SUMIFS(EmploymentResults!$V:$V,EmploymentResults!$D:$D,B211,EmploymentResults!$F:$F,C211,EmploymentResults!$G:$G,D211,EmploymentResults!$H:$H,E211,EmploymentResults!$J:$J,G211,EmploymentResults!$K:$K,H211,EmploymentResults!$L:$L,I211)</f>
        <v>7.0675011050750802</v>
      </c>
    </row>
    <row r="212" spans="1:12" x14ac:dyDescent="0.3">
      <c r="A212" t="str">
        <f t="shared" si="6"/>
        <v>CN|AccumulatedNewCapacity|RE1|PWRSOLRTP_ZNI|2041</v>
      </c>
      <c r="B212" t="s">
        <v>39</v>
      </c>
      <c r="C212" t="s">
        <v>19</v>
      </c>
      <c r="D212" t="s">
        <v>32</v>
      </c>
      <c r="E212">
        <v>2041</v>
      </c>
      <c r="F212" t="s">
        <v>18</v>
      </c>
      <c r="G212" t="s">
        <v>63</v>
      </c>
      <c r="H212" t="s">
        <v>64</v>
      </c>
      <c r="I212" t="s">
        <v>65</v>
      </c>
      <c r="J212">
        <f>SUMIFS(RawResultsLong!$P:$P,RawResultsLong!$A:$A,A212)</f>
        <v>0.98406339499690743</v>
      </c>
      <c r="K212">
        <f t="shared" si="7"/>
        <v>31.183087275233458</v>
      </c>
      <c r="L212">
        <f>SUMIFS(EmploymentResults!$V:$V,EmploymentResults!$D:$D,B212,EmploymentResults!$F:$F,C212,EmploymentResults!$G:$G,D212,EmploymentResults!$H:$H,E212,EmploymentResults!$J:$J,G212,EmploymentResults!$K:$K,H212,EmploymentResults!$L:$L,I212)</f>
        <v>7.3381141555703637</v>
      </c>
    </row>
    <row r="213" spans="1:12" x14ac:dyDescent="0.3">
      <c r="A213" t="str">
        <f t="shared" si="6"/>
        <v>CN|AccumulatedNewCapacity|RE1|PWRSOLRTP_ZNI|2042</v>
      </c>
      <c r="B213" t="s">
        <v>39</v>
      </c>
      <c r="C213" t="s">
        <v>19</v>
      </c>
      <c r="D213" t="s">
        <v>32</v>
      </c>
      <c r="E213">
        <v>2042</v>
      </c>
      <c r="F213" t="s">
        <v>18</v>
      </c>
      <c r="G213" t="s">
        <v>63</v>
      </c>
      <c r="H213" t="s">
        <v>64</v>
      </c>
      <c r="I213" t="s">
        <v>65</v>
      </c>
      <c r="J213">
        <f>SUMIFS(RawResultsLong!$P:$P,RawResultsLong!$A:$A,A213)</f>
        <v>1.0292946666917571</v>
      </c>
      <c r="K213">
        <f t="shared" si="7"/>
        <v>32.61637978464006</v>
      </c>
      <c r="L213">
        <f>SUMIFS(EmploymentResults!$V:$V,EmploymentResults!$D:$D,B213,EmploymentResults!$F:$F,C213,EmploymentResults!$G:$G,D213,EmploymentResults!$H:$H,E213,EmploymentResults!$J:$J,G213,EmploymentResults!$K:$K,H213,EmploymentResults!$L:$L,I213)</f>
        <v>7.6092095426970507</v>
      </c>
    </row>
    <row r="214" spans="1:12" x14ac:dyDescent="0.3">
      <c r="A214" t="str">
        <f t="shared" si="6"/>
        <v>CN|AccumulatedNewCapacity|RE1|PWRSOLRTP_ZNI|2043</v>
      </c>
      <c r="B214" t="s">
        <v>39</v>
      </c>
      <c r="C214" t="s">
        <v>19</v>
      </c>
      <c r="D214" t="s">
        <v>32</v>
      </c>
      <c r="E214">
        <v>2043</v>
      </c>
      <c r="F214" t="s">
        <v>18</v>
      </c>
      <c r="G214" t="s">
        <v>63</v>
      </c>
      <c r="H214" t="s">
        <v>64</v>
      </c>
      <c r="I214" t="s">
        <v>65</v>
      </c>
      <c r="J214">
        <f>SUMIFS(RawResultsLong!$P:$P,RawResultsLong!$A:$A,A214)</f>
        <v>1.07537328308369</v>
      </c>
      <c r="K214">
        <f t="shared" si="7"/>
        <v>34.076523027216581</v>
      </c>
      <c r="L214">
        <f>SUMIFS(EmploymentResults!$V:$V,EmploymentResults!$D:$D,B214,EmploymentResults!$F:$F,C214,EmploymentResults!$G:$G,D214,EmploymentResults!$H:$H,E214,EmploymentResults!$J:$J,G214,EmploymentResults!$K:$K,H214,EmploymentResults!$L:$L,I214)</f>
        <v>7.8806970753704428</v>
      </c>
    </row>
    <row r="215" spans="1:12" x14ac:dyDescent="0.3">
      <c r="A215" t="str">
        <f t="shared" si="6"/>
        <v>CN|AccumulatedNewCapacity|RE1|PWRSOLRTP_ZNI|2044</v>
      </c>
      <c r="B215" t="s">
        <v>39</v>
      </c>
      <c r="C215" t="s">
        <v>19</v>
      </c>
      <c r="D215" t="s">
        <v>32</v>
      </c>
      <c r="E215">
        <v>2044</v>
      </c>
      <c r="F215" t="s">
        <v>18</v>
      </c>
      <c r="G215" t="s">
        <v>63</v>
      </c>
      <c r="H215" t="s">
        <v>64</v>
      </c>
      <c r="I215" t="s">
        <v>65</v>
      </c>
      <c r="J215">
        <f>SUMIFS(RawResultsLong!$P:$P,RawResultsLong!$A:$A,A215)</f>
        <v>1.12227933979498</v>
      </c>
      <c r="K215">
        <f t="shared" si="7"/>
        <v>35.562886271293756</v>
      </c>
      <c r="L215">
        <f>SUMIFS(EmploymentResults!$V:$V,EmploymentResults!$D:$D,B215,EmploymentResults!$F:$F,C215,EmploymentResults!$G:$G,D215,EmploymentResults!$H:$H,E215,EmploymentResults!$J:$J,G215,EmploymentResults!$K:$K,H215,EmploymentResults!$L:$L,I215)</f>
        <v>8.1522686940850093</v>
      </c>
    </row>
    <row r="216" spans="1:12" x14ac:dyDescent="0.3">
      <c r="A216" t="str">
        <f t="shared" si="6"/>
        <v>CN|AccumulatedNewCapacity|RE1|PWRSOLRTP_ZNI|2045</v>
      </c>
      <c r="B216" t="s">
        <v>39</v>
      </c>
      <c r="C216" t="s">
        <v>19</v>
      </c>
      <c r="D216" t="s">
        <v>32</v>
      </c>
      <c r="E216">
        <v>2045</v>
      </c>
      <c r="F216" t="s">
        <v>18</v>
      </c>
      <c r="G216" t="s">
        <v>63</v>
      </c>
      <c r="H216" t="s">
        <v>64</v>
      </c>
      <c r="I216" t="s">
        <v>65</v>
      </c>
      <c r="J216">
        <f>SUMIFS(RawResultsLong!$P:$P,RawResultsLong!$A:$A,A216)</f>
        <v>1.1786975283658561</v>
      </c>
      <c r="K216">
        <f t="shared" si="7"/>
        <v>37.350670785036122</v>
      </c>
      <c r="L216">
        <f>SUMIFS(EmploymentResults!$V:$V,EmploymentResults!$D:$D,B216,EmploymentResults!$F:$F,C216,EmploymentResults!$G:$G,D216,EmploymentResults!$H:$H,E216,EmploymentResults!$J:$J,G216,EmploymentResults!$K:$K,H216,EmploymentResults!$L:$L,I216)</f>
        <v>8.4862921121905508</v>
      </c>
    </row>
    <row r="217" spans="1:12" x14ac:dyDescent="0.3">
      <c r="A217" t="str">
        <f t="shared" si="6"/>
        <v>CN|AccumulatedNewCapacity|RE1|PWRSOLRTP_ZNI|2046</v>
      </c>
      <c r="B217" t="s">
        <v>39</v>
      </c>
      <c r="C217" t="s">
        <v>19</v>
      </c>
      <c r="D217" t="s">
        <v>32</v>
      </c>
      <c r="E217">
        <v>2046</v>
      </c>
      <c r="F217" t="s">
        <v>18</v>
      </c>
      <c r="G217" t="s">
        <v>63</v>
      </c>
      <c r="H217" t="s">
        <v>64</v>
      </c>
      <c r="I217" t="s">
        <v>65</v>
      </c>
      <c r="J217">
        <f>SUMIFS(RawResultsLong!$P:$P,RawResultsLong!$A:$A,A217)</f>
        <v>1.226419505172696</v>
      </c>
      <c r="K217">
        <f t="shared" si="7"/>
        <v>38.862888976750327</v>
      </c>
      <c r="L217">
        <f>SUMIFS(EmploymentResults!$V:$V,EmploymentResults!$D:$D,B217,EmploymentResults!$F:$F,C217,EmploymentResults!$G:$G,D217,EmploymentResults!$H:$H,E217,EmploymentResults!$J:$J,G217,EmploymentResults!$K:$K,H217,EmploymentResults!$L:$L,I217)</f>
        <v>8.7510081766379297</v>
      </c>
    </row>
    <row r="218" spans="1:12" x14ac:dyDescent="0.3">
      <c r="A218" t="str">
        <f t="shared" si="6"/>
        <v>CN|AccumulatedNewCapacity|RE1|PWRSOLRTP_ZNI|2047</v>
      </c>
      <c r="B218" t="s">
        <v>39</v>
      </c>
      <c r="C218" t="s">
        <v>19</v>
      </c>
      <c r="D218" t="s">
        <v>32</v>
      </c>
      <c r="E218">
        <v>2047</v>
      </c>
      <c r="F218" t="s">
        <v>18</v>
      </c>
      <c r="G218" t="s">
        <v>63</v>
      </c>
      <c r="H218" t="s">
        <v>64</v>
      </c>
      <c r="I218" t="s">
        <v>65</v>
      </c>
      <c r="J218">
        <f>SUMIFS(RawResultsLong!$P:$P,RawResultsLong!$A:$A,A218)</f>
        <v>1.26825165396024</v>
      </c>
      <c r="K218">
        <f t="shared" si="7"/>
        <v>40.188469780979538</v>
      </c>
      <c r="L218">
        <f>SUMIFS(EmploymentResults!$V:$V,EmploymentResults!$D:$D,B218,EmploymentResults!$F:$F,C218,EmploymentResults!$G:$G,D218,EmploymentResults!$H:$H,E218,EmploymentResults!$J:$J,G218,EmploymentResults!$K:$K,H218,EmploymentResults!$L:$L,I218)</f>
        <v>8.9679388302627867</v>
      </c>
    </row>
    <row r="219" spans="1:12" x14ac:dyDescent="0.3">
      <c r="A219" t="str">
        <f t="shared" si="6"/>
        <v>CN|AccumulatedNewCapacity|RE1|PWRSOLRTP_ZNI|2048</v>
      </c>
      <c r="B219" t="s">
        <v>39</v>
      </c>
      <c r="C219" t="s">
        <v>19</v>
      </c>
      <c r="D219" t="s">
        <v>32</v>
      </c>
      <c r="E219">
        <v>2048</v>
      </c>
      <c r="F219" t="s">
        <v>18</v>
      </c>
      <c r="G219" t="s">
        <v>63</v>
      </c>
      <c r="H219" t="s">
        <v>64</v>
      </c>
      <c r="I219" t="s">
        <v>65</v>
      </c>
      <c r="J219">
        <f>SUMIFS(RawResultsLong!$P:$P,RawResultsLong!$A:$A,A219)</f>
        <v>1.324706857770813</v>
      </c>
      <c r="K219">
        <f t="shared" si="7"/>
        <v>41.977427236887884</v>
      </c>
      <c r="L219">
        <f>SUMIFS(EmploymentResults!$V:$V,EmploymentResults!$D:$D,B219,EmploymentResults!$F:$F,C219,EmploymentResults!$G:$G,D219,EmploymentResults!$H:$H,E219,EmploymentResults!$J:$J,G219,EmploymentResults!$K:$K,H219,EmploymentResults!$L:$L,I219)</f>
        <v>9.2819499402110281</v>
      </c>
    </row>
    <row r="220" spans="1:12" x14ac:dyDescent="0.3">
      <c r="A220" t="str">
        <f t="shared" si="6"/>
        <v>CN|AccumulatedNewCapacity|RE1|PWRSOLRTP_ZNI|2049</v>
      </c>
      <c r="B220" t="s">
        <v>39</v>
      </c>
      <c r="C220" t="s">
        <v>19</v>
      </c>
      <c r="D220" t="s">
        <v>32</v>
      </c>
      <c r="E220">
        <v>2049</v>
      </c>
      <c r="F220" t="s">
        <v>18</v>
      </c>
      <c r="G220" t="s">
        <v>63</v>
      </c>
      <c r="H220" t="s">
        <v>64</v>
      </c>
      <c r="I220" t="s">
        <v>65</v>
      </c>
      <c r="J220">
        <f>SUMIFS(RawResultsLong!$P:$P,RawResultsLong!$A:$A,A220)</f>
        <v>1.3696294318356339</v>
      </c>
      <c r="K220">
        <f t="shared" si="7"/>
        <v>43.400937708686143</v>
      </c>
      <c r="L220">
        <f>SUMIFS(EmploymentResults!$V:$V,EmploymentResults!$D:$D,B220,EmploymentResults!$F:$F,C220,EmploymentResults!$G:$G,D220,EmploymentResults!$H:$H,E220,EmploymentResults!$J:$J,G220,EmploymentResults!$K:$K,H220,EmploymentResults!$L:$L,I220)</f>
        <v>9.5086348527008671</v>
      </c>
    </row>
    <row r="221" spans="1:12" x14ac:dyDescent="0.3">
      <c r="A221" t="str">
        <f t="shared" si="6"/>
        <v>CN|AccumulatedNewCapacity|RE1|PWRSOLRTP_ZNI|2050</v>
      </c>
      <c r="B221" t="s">
        <v>39</v>
      </c>
      <c r="C221" t="s">
        <v>19</v>
      </c>
      <c r="D221" t="s">
        <v>32</v>
      </c>
      <c r="E221">
        <v>2050</v>
      </c>
      <c r="F221" t="s">
        <v>18</v>
      </c>
      <c r="G221" t="s">
        <v>63</v>
      </c>
      <c r="H221" t="s">
        <v>64</v>
      </c>
      <c r="I221" t="s">
        <v>65</v>
      </c>
      <c r="J221">
        <f>SUMIFS(RawResultsLong!$P:$P,RawResultsLong!$A:$A,A221)</f>
        <v>1.3696294318356339</v>
      </c>
      <c r="K221">
        <f t="shared" si="7"/>
        <v>43.400937708686143</v>
      </c>
      <c r="L221">
        <f>SUMIFS(EmploymentResults!$V:$V,EmploymentResults!$D:$D,B221,EmploymentResults!$F:$F,C221,EmploymentResults!$G:$G,D221,EmploymentResults!$H:$H,E221,EmploymentResults!$J:$J,G221,EmploymentResults!$K:$K,H221,EmploymentResults!$L:$L,I221)</f>
        <v>9.4205564791028262</v>
      </c>
    </row>
    <row r="222" spans="1:12" x14ac:dyDescent="0.3">
      <c r="A222" t="str">
        <f t="shared" si="6"/>
        <v>CN|AccumulatedNewCapacity|RE1|PWRSOLRTP_ZNI|2051</v>
      </c>
      <c r="B222" t="s">
        <v>39</v>
      </c>
      <c r="C222" t="s">
        <v>19</v>
      </c>
      <c r="D222" t="s">
        <v>32</v>
      </c>
      <c r="E222">
        <v>2051</v>
      </c>
      <c r="F222" t="s">
        <v>18</v>
      </c>
      <c r="G222" t="s">
        <v>63</v>
      </c>
      <c r="H222" t="s">
        <v>64</v>
      </c>
      <c r="I222" t="s">
        <v>65</v>
      </c>
      <c r="J222">
        <f>SUMIFS(RawResultsLong!$P:$P,RawResultsLong!$A:$A,A222)</f>
        <v>1.3696294318356339</v>
      </c>
      <c r="K222">
        <f t="shared" si="7"/>
        <v>43.400937708686143</v>
      </c>
      <c r="L222">
        <f>SUMIFS(EmploymentResults!$V:$V,EmploymentResults!$D:$D,B222,EmploymentResults!$F:$F,C222,EmploymentResults!$G:$G,D222,EmploymentResults!$H:$H,E222,EmploymentResults!$J:$J,G222,EmploymentResults!$K:$K,H222,EmploymentResults!$L:$L,I222)</f>
        <v>9.4205564791028262</v>
      </c>
    </row>
    <row r="223" spans="1:12" x14ac:dyDescent="0.3">
      <c r="A223" t="str">
        <f t="shared" si="6"/>
        <v>CN|AccumulatedNewCapacity|RE1|PWRSOLRTP_ZNI|2052</v>
      </c>
      <c r="B223" t="s">
        <v>39</v>
      </c>
      <c r="C223" t="s">
        <v>19</v>
      </c>
      <c r="D223" t="s">
        <v>32</v>
      </c>
      <c r="E223">
        <v>2052</v>
      </c>
      <c r="F223" t="s">
        <v>18</v>
      </c>
      <c r="G223" t="s">
        <v>63</v>
      </c>
      <c r="H223" t="s">
        <v>64</v>
      </c>
      <c r="I223" t="s">
        <v>65</v>
      </c>
      <c r="J223">
        <f>SUMIFS(RawResultsLong!$P:$P,RawResultsLong!$A:$A,A223)</f>
        <v>1.3696294318356339</v>
      </c>
      <c r="K223">
        <f t="shared" si="7"/>
        <v>43.400937708686143</v>
      </c>
      <c r="L223">
        <f>SUMIFS(EmploymentResults!$V:$V,EmploymentResults!$D:$D,B223,EmploymentResults!$F:$F,C223,EmploymentResults!$G:$G,D223,EmploymentResults!$H:$H,E223,EmploymentResults!$J:$J,G223,EmploymentResults!$K:$K,H223,EmploymentResults!$L:$L,I223)</f>
        <v>9.4205564791028262</v>
      </c>
    </row>
    <row r="224" spans="1:12" x14ac:dyDescent="0.3">
      <c r="A224" t="str">
        <f t="shared" si="6"/>
        <v>CN|AccumulatedNewCapacity|RE1|PWRSOLRTP_ZNI|2053</v>
      </c>
      <c r="B224" t="s">
        <v>39</v>
      </c>
      <c r="C224" t="s">
        <v>19</v>
      </c>
      <c r="D224" t="s">
        <v>32</v>
      </c>
      <c r="E224">
        <v>2053</v>
      </c>
      <c r="F224" t="s">
        <v>18</v>
      </c>
      <c r="G224" t="s">
        <v>63</v>
      </c>
      <c r="H224" t="s">
        <v>64</v>
      </c>
      <c r="I224" t="s">
        <v>65</v>
      </c>
      <c r="J224">
        <f>SUMIFS(RawResultsLong!$P:$P,RawResultsLong!$A:$A,A224)</f>
        <v>1.3916946197733999</v>
      </c>
      <c r="K224">
        <f t="shared" si="7"/>
        <v>44.100141321691126</v>
      </c>
      <c r="L224">
        <f>SUMIFS(EmploymentResults!$V:$V,EmploymentResults!$D:$D,B224,EmploymentResults!$F:$F,C224,EmploymentResults!$G:$G,D224,EmploymentResults!$H:$H,E224,EmploymentResults!$J:$J,G224,EmploymentResults!$K:$K,H224,EmploymentResults!$L:$L,I224)</f>
        <v>9.5723247927489155</v>
      </c>
    </row>
    <row r="225" spans="1:12" x14ac:dyDescent="0.3">
      <c r="A225" t="str">
        <f t="shared" si="6"/>
        <v>CN|AccumulatedNewCapacity|RE1|PWRSOLRTP_ZNI|2054</v>
      </c>
      <c r="B225" t="s">
        <v>39</v>
      </c>
      <c r="C225" t="s">
        <v>19</v>
      </c>
      <c r="D225" t="s">
        <v>32</v>
      </c>
      <c r="E225">
        <v>2054</v>
      </c>
      <c r="F225" t="s">
        <v>18</v>
      </c>
      <c r="G225" t="s">
        <v>63</v>
      </c>
      <c r="H225" t="s">
        <v>64</v>
      </c>
      <c r="I225" t="s">
        <v>65</v>
      </c>
      <c r="J225">
        <f>SUMIFS(RawResultsLong!$P:$P,RawResultsLong!$A:$A,A225)</f>
        <v>1.414235668535486</v>
      </c>
      <c r="K225">
        <f t="shared" si="7"/>
        <v>44.814424054284416</v>
      </c>
      <c r="L225">
        <f>SUMIFS(EmploymentResults!$V:$V,EmploymentResults!$D:$D,B225,EmploymentResults!$F:$F,C225,EmploymentResults!$G:$G,D225,EmploymentResults!$H:$H,E225,EmploymentResults!$J:$J,G225,EmploymentResults!$K:$K,H225,EmploymentResults!$L:$L,I225)</f>
        <v>9.727366162352693</v>
      </c>
    </row>
    <row r="226" spans="1:12" x14ac:dyDescent="0.3">
      <c r="A226" t="str">
        <f t="shared" si="6"/>
        <v>CN|AccumulatedNewCapacity|RE1|PWRSOLRTP_ZNI|2055</v>
      </c>
      <c r="B226" t="s">
        <v>39</v>
      </c>
      <c r="C226" t="s">
        <v>19</v>
      </c>
      <c r="D226" t="s">
        <v>32</v>
      </c>
      <c r="E226">
        <v>2055</v>
      </c>
      <c r="F226" t="s">
        <v>18</v>
      </c>
      <c r="G226" t="s">
        <v>63</v>
      </c>
      <c r="H226" t="s">
        <v>64</v>
      </c>
      <c r="I226" t="s">
        <v>65</v>
      </c>
      <c r="J226">
        <f>SUMIFS(RawResultsLong!$P:$P,RawResultsLong!$A:$A,A226)</f>
        <v>1.414235668535486</v>
      </c>
      <c r="K226">
        <f t="shared" si="7"/>
        <v>44.814424054284416</v>
      </c>
      <c r="L226">
        <f>SUMIFS(EmploymentResults!$V:$V,EmploymentResults!$D:$D,B226,EmploymentResults!$F:$F,C226,EmploymentResults!$G:$G,D226,EmploymentResults!$H:$H,E226,EmploymentResults!$J:$J,G226,EmploymentResults!$K:$K,H226,EmploymentResults!$L:$L,I226)</f>
        <v>9.727366162352693</v>
      </c>
    </row>
    <row r="227" spans="1:12" x14ac:dyDescent="0.3">
      <c r="A227" t="str">
        <f t="shared" si="6"/>
        <v>CN|AccumulatedNewCapacity|RE1|PWRSOLUGE|2025</v>
      </c>
      <c r="B227" t="s">
        <v>39</v>
      </c>
      <c r="C227" t="s">
        <v>19</v>
      </c>
      <c r="D227" t="s">
        <v>33</v>
      </c>
      <c r="E227">
        <v>2025</v>
      </c>
      <c r="F227" t="s">
        <v>18</v>
      </c>
      <c r="G227" t="s">
        <v>63</v>
      </c>
      <c r="H227" t="s">
        <v>64</v>
      </c>
      <c r="I227" t="s">
        <v>65</v>
      </c>
      <c r="J227">
        <f>SUMIFS(RawResultsLong!$P:$P,RawResultsLong!$A:$A,A227)</f>
        <v>6.717168</v>
      </c>
      <c r="K227">
        <f t="shared" si="7"/>
        <v>212.85420944558521</v>
      </c>
      <c r="L227">
        <f>SUMIFS(EmploymentResults!$V:$V,EmploymentResults!$D:$D,B227,EmploymentResults!$F:$F,C227,EmploymentResults!$G:$G,D227,EmploymentResults!$H:$H,E227,EmploymentResults!$J:$J,G227,EmploymentResults!$K:$K,H227,EmploymentResults!$L:$L,I227)</f>
        <v>20.031546654450047</v>
      </c>
    </row>
    <row r="228" spans="1:12" x14ac:dyDescent="0.3">
      <c r="A228" t="str">
        <f t="shared" si="6"/>
        <v>CN|AccumulatedNewCapacity|RE1|PWRSOLUGE|2026</v>
      </c>
      <c r="B228" t="s">
        <v>39</v>
      </c>
      <c r="C228" t="s">
        <v>19</v>
      </c>
      <c r="D228" t="s">
        <v>33</v>
      </c>
      <c r="E228">
        <v>2026</v>
      </c>
      <c r="F228" t="s">
        <v>18</v>
      </c>
      <c r="G228" t="s">
        <v>63</v>
      </c>
      <c r="H228" t="s">
        <v>64</v>
      </c>
      <c r="I228" t="s">
        <v>65</v>
      </c>
      <c r="J228">
        <f>SUMIFS(RawResultsLong!$P:$P,RawResultsLong!$A:$A,A228)</f>
        <v>62.504351999999997</v>
      </c>
      <c r="K228">
        <f t="shared" si="7"/>
        <v>1980.643394934976</v>
      </c>
      <c r="L228">
        <f>SUMIFS(EmploymentResults!$V:$V,EmploymentResults!$D:$D,B228,EmploymentResults!$F:$F,C228,EmploymentResults!$G:$G,D228,EmploymentResults!$H:$H,E228,EmploymentResults!$J:$J,G228,EmploymentResults!$K:$K,H228,EmploymentResults!$L:$L,I228)</f>
        <v>181.66157876568639</v>
      </c>
    </row>
    <row r="229" spans="1:12" x14ac:dyDescent="0.3">
      <c r="A229" t="str">
        <f t="shared" si="6"/>
        <v>CN|AccumulatedNewCapacity|RE1|PWRSOLUGE|2027</v>
      </c>
      <c r="B229" t="s">
        <v>39</v>
      </c>
      <c r="C229" t="s">
        <v>19</v>
      </c>
      <c r="D229" t="s">
        <v>33</v>
      </c>
      <c r="E229">
        <v>2027</v>
      </c>
      <c r="F229" t="s">
        <v>18</v>
      </c>
      <c r="G229" t="s">
        <v>63</v>
      </c>
      <c r="H229" t="s">
        <v>64</v>
      </c>
      <c r="I229" t="s">
        <v>65</v>
      </c>
      <c r="J229">
        <f>SUMIFS(RawResultsLong!$P:$P,RawResultsLong!$A:$A,A229)</f>
        <v>135.51019199999999</v>
      </c>
      <c r="K229">
        <f t="shared" si="7"/>
        <v>4294.0588637919227</v>
      </c>
      <c r="L229">
        <f>SUMIFS(EmploymentResults!$V:$V,EmploymentResults!$D:$D,B229,EmploymentResults!$F:$F,C229,EmploymentResults!$G:$G,D229,EmploymentResults!$H:$H,E229,EmploymentResults!$J:$J,G229,EmploymentResults!$K:$K,H229,EmploymentResults!$L:$L,I229)</f>
        <v>383.57841357269865</v>
      </c>
    </row>
    <row r="230" spans="1:12" x14ac:dyDescent="0.3">
      <c r="A230" t="str">
        <f t="shared" si="6"/>
        <v>CN|AccumulatedNewCapacity|RE1|PWRSOLUGE|2028</v>
      </c>
      <c r="B230" t="s">
        <v>39</v>
      </c>
      <c r="C230" t="s">
        <v>19</v>
      </c>
      <c r="D230" t="s">
        <v>33</v>
      </c>
      <c r="E230">
        <v>2028</v>
      </c>
      <c r="F230" t="s">
        <v>18</v>
      </c>
      <c r="G230" t="s">
        <v>63</v>
      </c>
      <c r="H230" t="s">
        <v>64</v>
      </c>
      <c r="I230" t="s">
        <v>65</v>
      </c>
      <c r="J230">
        <f>SUMIFS(RawResultsLong!$P:$P,RawResultsLong!$A:$A,A230)</f>
        <v>135.51019199999999</v>
      </c>
      <c r="K230">
        <f t="shared" si="7"/>
        <v>4294.0588637919227</v>
      </c>
      <c r="L230">
        <f>SUMIFS(EmploymentResults!$V:$V,EmploymentResults!$D:$D,B230,EmploymentResults!$F:$F,C230,EmploymentResults!$G:$G,D230,EmploymentResults!$H:$H,E230,EmploymentResults!$J:$J,G230,EmploymentResults!$K:$K,H230,EmploymentResults!$L:$L,I230)</f>
        <v>373.31232464481485</v>
      </c>
    </row>
    <row r="231" spans="1:12" x14ac:dyDescent="0.3">
      <c r="A231" t="str">
        <f t="shared" si="6"/>
        <v>CN|AccumulatedNewCapacity|RE1|PWRSOLUGE|2029</v>
      </c>
      <c r="B231" t="s">
        <v>39</v>
      </c>
      <c r="C231" t="s">
        <v>19</v>
      </c>
      <c r="D231" t="s">
        <v>33</v>
      </c>
      <c r="E231">
        <v>2029</v>
      </c>
      <c r="F231" t="s">
        <v>18</v>
      </c>
      <c r="G231" t="s">
        <v>63</v>
      </c>
      <c r="H231" t="s">
        <v>64</v>
      </c>
      <c r="I231" t="s">
        <v>65</v>
      </c>
      <c r="J231">
        <f>SUMIFS(RawResultsLong!$P:$P,RawResultsLong!$A:$A,A231)</f>
        <v>135.51019199999999</v>
      </c>
      <c r="K231">
        <f t="shared" si="7"/>
        <v>4294.0588637919227</v>
      </c>
      <c r="L231">
        <f>SUMIFS(EmploymentResults!$V:$V,EmploymentResults!$D:$D,B231,EmploymentResults!$F:$F,C231,EmploymentResults!$G:$G,D231,EmploymentResults!$H:$H,E231,EmploymentResults!$J:$J,G231,EmploymentResults!$K:$K,H231,EmploymentResults!$L:$L,I231)</f>
        <v>363.0462357173605</v>
      </c>
    </row>
    <row r="232" spans="1:12" x14ac:dyDescent="0.3">
      <c r="A232" t="str">
        <f t="shared" si="6"/>
        <v>CN|AccumulatedNewCapacity|RE1|PWRSOLUGE|2030</v>
      </c>
      <c r="B232" t="s">
        <v>39</v>
      </c>
      <c r="C232" t="s">
        <v>19</v>
      </c>
      <c r="D232" t="s">
        <v>33</v>
      </c>
      <c r="E232">
        <v>2030</v>
      </c>
      <c r="F232" t="s">
        <v>18</v>
      </c>
      <c r="G232" t="s">
        <v>63</v>
      </c>
      <c r="H232" t="s">
        <v>64</v>
      </c>
      <c r="I232" t="s">
        <v>65</v>
      </c>
      <c r="J232">
        <f>SUMIFS(RawResultsLong!$P:$P,RawResultsLong!$A:$A,A232)</f>
        <v>143.394192</v>
      </c>
      <c r="K232">
        <f t="shared" si="7"/>
        <v>4543.8877481177278</v>
      </c>
      <c r="L232">
        <f>SUMIFS(EmploymentResults!$V:$V,EmploymentResults!$D:$D,B232,EmploymentResults!$F:$F,C232,EmploymentResults!$G:$G,D232,EmploymentResults!$H:$H,E232,EmploymentResults!$J:$J,G232,EmploymentResults!$K:$K,H232,EmploymentResults!$L:$L,I232)</f>
        <v>373.30494006324204</v>
      </c>
    </row>
    <row r="233" spans="1:12" x14ac:dyDescent="0.3">
      <c r="A233" t="str">
        <f t="shared" si="6"/>
        <v>CN|AccumulatedNewCapacity|RE1|PWRSOLUGE|2031</v>
      </c>
      <c r="B233" t="s">
        <v>39</v>
      </c>
      <c r="C233" t="s">
        <v>19</v>
      </c>
      <c r="D233" t="s">
        <v>33</v>
      </c>
      <c r="E233">
        <v>2031</v>
      </c>
      <c r="F233" t="s">
        <v>18</v>
      </c>
      <c r="G233" t="s">
        <v>63</v>
      </c>
      <c r="H233" t="s">
        <v>64</v>
      </c>
      <c r="I233" t="s">
        <v>65</v>
      </c>
      <c r="J233">
        <f>SUMIFS(RawResultsLong!$P:$P,RawResultsLong!$A:$A,A233)</f>
        <v>143.394192</v>
      </c>
      <c r="K233">
        <f t="shared" si="7"/>
        <v>4543.8877481177278</v>
      </c>
      <c r="L233">
        <f>SUMIFS(EmploymentResults!$V:$V,EmploymentResults!$D:$D,B233,EmploymentResults!$F:$F,C233,EmploymentResults!$G:$G,D233,EmploymentResults!$H:$H,E233,EmploymentResults!$J:$J,G233,EmploymentResults!$K:$K,H233,EmploymentResults!$L:$L,I233)</f>
        <v>370.6384762057578</v>
      </c>
    </row>
    <row r="234" spans="1:12" x14ac:dyDescent="0.3">
      <c r="A234" t="str">
        <f t="shared" si="6"/>
        <v>CN|AccumulatedNewCapacity|RE1|PWRSOLUGE|2032</v>
      </c>
      <c r="B234" t="s">
        <v>39</v>
      </c>
      <c r="C234" t="s">
        <v>19</v>
      </c>
      <c r="D234" t="s">
        <v>33</v>
      </c>
      <c r="E234">
        <v>2032</v>
      </c>
      <c r="F234" t="s">
        <v>18</v>
      </c>
      <c r="G234" t="s">
        <v>63</v>
      </c>
      <c r="H234" t="s">
        <v>64</v>
      </c>
      <c r="I234" t="s">
        <v>65</v>
      </c>
      <c r="J234">
        <f>SUMIFS(RawResultsLong!$P:$P,RawResultsLong!$A:$A,A234)</f>
        <v>143.394192</v>
      </c>
      <c r="K234">
        <f t="shared" si="7"/>
        <v>4543.8877481177278</v>
      </c>
      <c r="L234">
        <f>SUMIFS(EmploymentResults!$V:$V,EmploymentResults!$D:$D,B234,EmploymentResults!$F:$F,C234,EmploymentResults!$G:$G,D234,EmploymentResults!$H:$H,E234,EmploymentResults!$J:$J,G234,EmploymentResults!$K:$K,H234,EmploymentResults!$L:$L,I234)</f>
        <v>367.97201234827355</v>
      </c>
    </row>
    <row r="235" spans="1:12" x14ac:dyDescent="0.3">
      <c r="A235" t="str">
        <f t="shared" si="6"/>
        <v>CN|AccumulatedNewCapacity|RE1|PWRSOLUGE|2033</v>
      </c>
      <c r="B235" t="s">
        <v>39</v>
      </c>
      <c r="C235" t="s">
        <v>19</v>
      </c>
      <c r="D235" t="s">
        <v>33</v>
      </c>
      <c r="E235">
        <v>2033</v>
      </c>
      <c r="F235" t="s">
        <v>18</v>
      </c>
      <c r="G235" t="s">
        <v>63</v>
      </c>
      <c r="H235" t="s">
        <v>64</v>
      </c>
      <c r="I235" t="s">
        <v>65</v>
      </c>
      <c r="J235">
        <f>SUMIFS(RawResultsLong!$P:$P,RawResultsLong!$A:$A,A235)</f>
        <v>143.394192</v>
      </c>
      <c r="K235">
        <f t="shared" si="7"/>
        <v>4543.8877481177278</v>
      </c>
      <c r="L235">
        <f>SUMIFS(EmploymentResults!$V:$V,EmploymentResults!$D:$D,B235,EmploymentResults!$F:$F,C235,EmploymentResults!$G:$G,D235,EmploymentResults!$H:$H,E235,EmploymentResults!$J:$J,G235,EmploymentResults!$K:$K,H235,EmploymentResults!$L:$L,I235)</f>
        <v>365.3055484903349</v>
      </c>
    </row>
    <row r="236" spans="1:12" x14ac:dyDescent="0.3">
      <c r="A236" t="str">
        <f t="shared" si="6"/>
        <v>CN|AccumulatedNewCapacity|RE1|PWRSOLUGE|2034</v>
      </c>
      <c r="B236" t="s">
        <v>39</v>
      </c>
      <c r="C236" t="s">
        <v>19</v>
      </c>
      <c r="D236" t="s">
        <v>33</v>
      </c>
      <c r="E236">
        <v>2034</v>
      </c>
      <c r="F236" t="s">
        <v>18</v>
      </c>
      <c r="G236" t="s">
        <v>63</v>
      </c>
      <c r="H236" t="s">
        <v>64</v>
      </c>
      <c r="I236" t="s">
        <v>65</v>
      </c>
      <c r="J236">
        <f>SUMIFS(RawResultsLong!$P:$P,RawResultsLong!$A:$A,A236)</f>
        <v>143.394192</v>
      </c>
      <c r="K236">
        <f t="shared" si="7"/>
        <v>4543.8877481177278</v>
      </c>
      <c r="L236">
        <f>SUMIFS(EmploymentResults!$V:$V,EmploymentResults!$D:$D,B236,EmploymentResults!$F:$F,C236,EmploymentResults!$G:$G,D236,EmploymentResults!$H:$H,E236,EmploymentResults!$J:$J,G236,EmploymentResults!$K:$K,H236,EmploymentResults!$L:$L,I236)</f>
        <v>362.63908463285071</v>
      </c>
    </row>
    <row r="237" spans="1:12" x14ac:dyDescent="0.3">
      <c r="A237" t="str">
        <f t="shared" si="6"/>
        <v>CN|AccumulatedNewCapacity|RE1|PWRSOLUGE|2035</v>
      </c>
      <c r="B237" t="s">
        <v>39</v>
      </c>
      <c r="C237" t="s">
        <v>19</v>
      </c>
      <c r="D237" t="s">
        <v>33</v>
      </c>
      <c r="E237">
        <v>2035</v>
      </c>
      <c r="F237" t="s">
        <v>18</v>
      </c>
      <c r="G237" t="s">
        <v>63</v>
      </c>
      <c r="H237" t="s">
        <v>64</v>
      </c>
      <c r="I237" t="s">
        <v>65</v>
      </c>
      <c r="J237">
        <f>SUMIFS(RawResultsLong!$P:$P,RawResultsLong!$A:$A,A237)</f>
        <v>143.394192</v>
      </c>
      <c r="K237">
        <f t="shared" si="7"/>
        <v>4543.8877481177278</v>
      </c>
      <c r="L237">
        <f>SUMIFS(EmploymentResults!$V:$V,EmploymentResults!$D:$D,B237,EmploymentResults!$F:$F,C237,EmploymentResults!$G:$G,D237,EmploymentResults!$H:$H,E237,EmploymentResults!$J:$J,G237,EmploymentResults!$K:$K,H237,EmploymentResults!$L:$L,I237)</f>
        <v>359.97262077536647</v>
      </c>
    </row>
    <row r="238" spans="1:12" x14ac:dyDescent="0.3">
      <c r="A238" t="str">
        <f t="shared" si="6"/>
        <v>CN|AccumulatedNewCapacity|RE1|PWRSOLUGE|2036</v>
      </c>
      <c r="B238" t="s">
        <v>39</v>
      </c>
      <c r="C238" t="s">
        <v>19</v>
      </c>
      <c r="D238" t="s">
        <v>33</v>
      </c>
      <c r="E238">
        <v>2036</v>
      </c>
      <c r="F238" t="s">
        <v>18</v>
      </c>
      <c r="G238" t="s">
        <v>63</v>
      </c>
      <c r="H238" t="s">
        <v>64</v>
      </c>
      <c r="I238" t="s">
        <v>65</v>
      </c>
      <c r="J238">
        <f>SUMIFS(RawResultsLong!$P:$P,RawResultsLong!$A:$A,A238)</f>
        <v>143.394192</v>
      </c>
      <c r="K238">
        <f t="shared" si="7"/>
        <v>4543.8877481177278</v>
      </c>
      <c r="L238">
        <f>SUMIFS(EmploymentResults!$V:$V,EmploymentResults!$D:$D,B238,EmploymentResults!$F:$F,C238,EmploymentResults!$G:$G,D238,EmploymentResults!$H:$H,E238,EmploymentResults!$J:$J,G238,EmploymentResults!$K:$K,H238,EmploymentResults!$L:$L,I238)</f>
        <v>357.30615691788222</v>
      </c>
    </row>
    <row r="239" spans="1:12" x14ac:dyDescent="0.3">
      <c r="A239" t="str">
        <f t="shared" si="6"/>
        <v>CN|AccumulatedNewCapacity|RE1|PWRSOLUGE|2037</v>
      </c>
      <c r="B239" t="s">
        <v>39</v>
      </c>
      <c r="C239" t="s">
        <v>19</v>
      </c>
      <c r="D239" t="s">
        <v>33</v>
      </c>
      <c r="E239">
        <v>2037</v>
      </c>
      <c r="F239" t="s">
        <v>18</v>
      </c>
      <c r="G239" t="s">
        <v>63</v>
      </c>
      <c r="H239" t="s">
        <v>64</v>
      </c>
      <c r="I239" t="s">
        <v>65</v>
      </c>
      <c r="J239">
        <f>SUMIFS(RawResultsLong!$P:$P,RawResultsLong!$A:$A,A239)</f>
        <v>143.394192</v>
      </c>
      <c r="K239">
        <f t="shared" si="7"/>
        <v>4543.8877481177278</v>
      </c>
      <c r="L239">
        <f>SUMIFS(EmploymentResults!$V:$V,EmploymentResults!$D:$D,B239,EmploymentResults!$F:$F,C239,EmploymentResults!$G:$G,D239,EmploymentResults!$H:$H,E239,EmploymentResults!$J:$J,G239,EmploymentResults!$K:$K,H239,EmploymentResults!$L:$L,I239)</f>
        <v>354.63969305994362</v>
      </c>
    </row>
    <row r="240" spans="1:12" x14ac:dyDescent="0.3">
      <c r="A240" t="str">
        <f t="shared" si="6"/>
        <v>CN|AccumulatedNewCapacity|RE1|PWRSOLUGE|2038</v>
      </c>
      <c r="B240" t="s">
        <v>39</v>
      </c>
      <c r="C240" t="s">
        <v>19</v>
      </c>
      <c r="D240" t="s">
        <v>33</v>
      </c>
      <c r="E240">
        <v>2038</v>
      </c>
      <c r="F240" t="s">
        <v>18</v>
      </c>
      <c r="G240" t="s">
        <v>63</v>
      </c>
      <c r="H240" t="s">
        <v>64</v>
      </c>
      <c r="I240" t="s">
        <v>65</v>
      </c>
      <c r="J240">
        <f>SUMIFS(RawResultsLong!$P:$P,RawResultsLong!$A:$A,A240)</f>
        <v>143.394192</v>
      </c>
      <c r="K240">
        <f t="shared" si="7"/>
        <v>4543.8877481177278</v>
      </c>
      <c r="L240">
        <f>SUMIFS(EmploymentResults!$V:$V,EmploymentResults!$D:$D,B240,EmploymentResults!$F:$F,C240,EmploymentResults!$G:$G,D240,EmploymentResults!$H:$H,E240,EmploymentResults!$J:$J,G240,EmploymentResults!$K:$K,H240,EmploymentResults!$L:$L,I240)</f>
        <v>351.97322920245938</v>
      </c>
    </row>
    <row r="241" spans="1:12" x14ac:dyDescent="0.3">
      <c r="A241" t="str">
        <f t="shared" si="6"/>
        <v>CN|AccumulatedNewCapacity|RE1|PWRSOLUGE|2039</v>
      </c>
      <c r="B241" t="s">
        <v>39</v>
      </c>
      <c r="C241" t="s">
        <v>19</v>
      </c>
      <c r="D241" t="s">
        <v>33</v>
      </c>
      <c r="E241">
        <v>2039</v>
      </c>
      <c r="F241" t="s">
        <v>18</v>
      </c>
      <c r="G241" t="s">
        <v>63</v>
      </c>
      <c r="H241" t="s">
        <v>64</v>
      </c>
      <c r="I241" t="s">
        <v>65</v>
      </c>
      <c r="J241">
        <f>SUMIFS(RawResultsLong!$P:$P,RawResultsLong!$A:$A,A241)</f>
        <v>190.70419200000001</v>
      </c>
      <c r="K241">
        <f t="shared" si="7"/>
        <v>6043.0511825994372</v>
      </c>
      <c r="L241">
        <f>SUMIFS(EmploymentResults!$V:$V,EmploymentResults!$D:$D,B241,EmploymentResults!$F:$F,C241,EmploymentResults!$G:$G,D241,EmploymentResults!$H:$H,E241,EmploymentResults!$J:$J,G241,EmploymentResults!$K:$K,H241,EmploymentResults!$L:$L,I241)</f>
        <v>464.55343494837695</v>
      </c>
    </row>
    <row r="242" spans="1:12" x14ac:dyDescent="0.3">
      <c r="A242" t="str">
        <f t="shared" si="6"/>
        <v>CN|AccumulatedNewCapacity|RE1|PWRSOLUGE|2040</v>
      </c>
      <c r="B242" t="s">
        <v>39</v>
      </c>
      <c r="C242" t="s">
        <v>19</v>
      </c>
      <c r="D242" t="s">
        <v>33</v>
      </c>
      <c r="E242">
        <v>2040</v>
      </c>
      <c r="F242" t="s">
        <v>18</v>
      </c>
      <c r="G242" t="s">
        <v>63</v>
      </c>
      <c r="H242" t="s">
        <v>64</v>
      </c>
      <c r="I242" t="s">
        <v>65</v>
      </c>
      <c r="J242">
        <f>SUMIFS(RawResultsLong!$P:$P,RawResultsLong!$A:$A,A242)</f>
        <v>238.01419200000001</v>
      </c>
      <c r="K242">
        <f t="shared" si="7"/>
        <v>7542.2146170811466</v>
      </c>
      <c r="L242">
        <f>SUMIFS(EmploymentResults!$V:$V,EmploymentResults!$D:$D,B242,EmploymentResults!$F:$F,C242,EmploymentResults!$G:$G,D242,EmploymentResults!$H:$H,E242,EmploymentResults!$J:$J,G242,EmploymentResults!$K:$K,H242,EmploymentResults!$L:$L,I242)</f>
        <v>575.37414955538452</v>
      </c>
    </row>
    <row r="243" spans="1:12" x14ac:dyDescent="0.3">
      <c r="A243" t="str">
        <f t="shared" si="6"/>
        <v>CN|AccumulatedNewCapacity|RE1|PWRSOLUGE|2041</v>
      </c>
      <c r="B243" t="s">
        <v>39</v>
      </c>
      <c r="C243" t="s">
        <v>19</v>
      </c>
      <c r="D243" t="s">
        <v>33</v>
      </c>
      <c r="E243">
        <v>2041</v>
      </c>
      <c r="F243" t="s">
        <v>18</v>
      </c>
      <c r="G243" t="s">
        <v>63</v>
      </c>
      <c r="H243" t="s">
        <v>64</v>
      </c>
      <c r="I243" t="s">
        <v>65</v>
      </c>
      <c r="J243">
        <f>SUMIFS(RawResultsLong!$P:$P,RawResultsLong!$A:$A,A243)</f>
        <v>285.32419199999998</v>
      </c>
      <c r="K243">
        <f t="shared" si="7"/>
        <v>9041.378051562855</v>
      </c>
      <c r="L243">
        <f>SUMIFS(EmploymentResults!$V:$V,EmploymentResults!$D:$D,B243,EmploymentResults!$F:$F,C243,EmploymentResults!$G:$G,D243,EmploymentResults!$H:$H,E243,EmploymentResults!$J:$J,G243,EmploymentResults!$K:$K,H243,EmploymentResults!$L:$L,I243)</f>
        <v>684.43537302257801</v>
      </c>
    </row>
    <row r="244" spans="1:12" x14ac:dyDescent="0.3">
      <c r="A244" t="str">
        <f t="shared" si="6"/>
        <v>CN|AccumulatedNewCapacity|RE1|PWRSOLUGE|2042</v>
      </c>
      <c r="B244" t="s">
        <v>39</v>
      </c>
      <c r="C244" t="s">
        <v>19</v>
      </c>
      <c r="D244" t="s">
        <v>33</v>
      </c>
      <c r="E244">
        <v>2042</v>
      </c>
      <c r="F244" t="s">
        <v>18</v>
      </c>
      <c r="G244" t="s">
        <v>63</v>
      </c>
      <c r="H244" t="s">
        <v>64</v>
      </c>
      <c r="I244" t="s">
        <v>65</v>
      </c>
      <c r="J244">
        <f>SUMIFS(RawResultsLong!$P:$P,RawResultsLong!$A:$A,A244)</f>
        <v>332.63419199999998</v>
      </c>
      <c r="K244">
        <f t="shared" si="7"/>
        <v>10540.541486044565</v>
      </c>
      <c r="L244">
        <f>SUMIFS(EmploymentResults!$V:$V,EmploymentResults!$D:$D,B244,EmploymentResults!$F:$F,C244,EmploymentResults!$G:$G,D244,EmploymentResults!$H:$H,E244,EmploymentResults!$J:$J,G244,EmploymentResults!$K:$K,H244,EmploymentResults!$L:$L,I244)</f>
        <v>791.73710535161581</v>
      </c>
    </row>
    <row r="245" spans="1:12" x14ac:dyDescent="0.3">
      <c r="A245" t="str">
        <f t="shared" si="6"/>
        <v>CN|AccumulatedNewCapacity|RE1|PWRSOLUGE|2043</v>
      </c>
      <c r="B245" t="s">
        <v>39</v>
      </c>
      <c r="C245" t="s">
        <v>19</v>
      </c>
      <c r="D245" t="s">
        <v>33</v>
      </c>
      <c r="E245">
        <v>2043</v>
      </c>
      <c r="F245" t="s">
        <v>18</v>
      </c>
      <c r="G245" t="s">
        <v>63</v>
      </c>
      <c r="H245" t="s">
        <v>64</v>
      </c>
      <c r="I245" t="s">
        <v>65</v>
      </c>
      <c r="J245">
        <f>SUMIFS(RawResultsLong!$P:$P,RawResultsLong!$A:$A,A245)</f>
        <v>336.08134464124657</v>
      </c>
      <c r="K245">
        <f t="shared" si="7"/>
        <v>10649.775161648749</v>
      </c>
      <c r="L245">
        <f>SUMIFS(EmploymentResults!$V:$V,EmploymentResults!$D:$D,B245,EmploymentResults!$F:$F,C245,EmploymentResults!$G:$G,D245,EmploymentResults!$H:$H,E245,EmploymentResults!$J:$J,G245,EmploymentResults!$K:$K,H245,EmploymentResults!$L:$L,I245)</f>
        <v>793.69248340705849</v>
      </c>
    </row>
    <row r="246" spans="1:12" x14ac:dyDescent="0.3">
      <c r="A246" t="str">
        <f t="shared" si="6"/>
        <v>CN|AccumulatedNewCapacity|RE1|PWRSOLUGE|2044</v>
      </c>
      <c r="B246" t="s">
        <v>39</v>
      </c>
      <c r="C246" t="s">
        <v>19</v>
      </c>
      <c r="D246" t="s">
        <v>33</v>
      </c>
      <c r="E246">
        <v>2044</v>
      </c>
      <c r="F246" t="s">
        <v>18</v>
      </c>
      <c r="G246" t="s">
        <v>63</v>
      </c>
      <c r="H246" t="s">
        <v>64</v>
      </c>
      <c r="I246" t="s">
        <v>65</v>
      </c>
      <c r="J246">
        <f>SUMIFS(RawResultsLong!$P:$P,RawResultsLong!$A:$A,A246)</f>
        <v>343.52751834540021</v>
      </c>
      <c r="K246">
        <f t="shared" si="7"/>
        <v>10885.730167864484</v>
      </c>
      <c r="L246">
        <f>SUMIFS(EmploymentResults!$V:$V,EmploymentResults!$D:$D,B246,EmploymentResults!$F:$F,C246,EmploymentResults!$G:$G,D246,EmploymentResults!$H:$H,E246,EmploymentResults!$J:$J,G246,EmploymentResults!$K:$K,H246,EmploymentResults!$L:$L,I246)</f>
        <v>804.88941756766519</v>
      </c>
    </row>
    <row r="247" spans="1:12" x14ac:dyDescent="0.3">
      <c r="A247" t="str">
        <f t="shared" si="6"/>
        <v>CN|AccumulatedNewCapacity|RE1|PWRSOLUGE|2045</v>
      </c>
      <c r="B247" t="s">
        <v>39</v>
      </c>
      <c r="C247" t="s">
        <v>19</v>
      </c>
      <c r="D247" t="s">
        <v>33</v>
      </c>
      <c r="E247">
        <v>2045</v>
      </c>
      <c r="F247" t="s">
        <v>18</v>
      </c>
      <c r="G247" t="s">
        <v>63</v>
      </c>
      <c r="H247" t="s">
        <v>64</v>
      </c>
      <c r="I247" t="s">
        <v>65</v>
      </c>
      <c r="J247">
        <f>SUMIFS(RawResultsLong!$P:$P,RawResultsLong!$A:$A,A247)</f>
        <v>380.89204486843852</v>
      </c>
      <c r="K247">
        <f t="shared" si="7"/>
        <v>12069.740565456133</v>
      </c>
      <c r="L247">
        <f>SUMIFS(EmploymentResults!$V:$V,EmploymentResults!$D:$D,B247,EmploymentResults!$F:$F,C247,EmploymentResults!$G:$G,D247,EmploymentResults!$H:$H,E247,EmploymentResults!$J:$J,G247,EmploymentResults!$K:$K,H247,EmploymentResults!$L:$L,I247)</f>
        <v>885.35216901122112</v>
      </c>
    </row>
    <row r="248" spans="1:12" x14ac:dyDescent="0.3">
      <c r="A248" t="str">
        <f t="shared" si="6"/>
        <v>CN|AccumulatedNewCapacity|RE1|PWRSOLUGE|2046</v>
      </c>
      <c r="B248" t="s">
        <v>39</v>
      </c>
      <c r="C248" t="s">
        <v>19</v>
      </c>
      <c r="D248" t="s">
        <v>33</v>
      </c>
      <c r="E248">
        <v>2046</v>
      </c>
      <c r="F248" t="s">
        <v>18</v>
      </c>
      <c r="G248" t="s">
        <v>63</v>
      </c>
      <c r="H248" t="s">
        <v>64</v>
      </c>
      <c r="I248" t="s">
        <v>65</v>
      </c>
      <c r="J248">
        <f>SUMIFS(RawResultsLong!$P:$P,RawResultsLong!$A:$A,A248)</f>
        <v>428.20204486843852</v>
      </c>
      <c r="K248">
        <f t="shared" si="7"/>
        <v>13568.903999937844</v>
      </c>
      <c r="L248">
        <f>SUMIFS(EmploymentResults!$V:$V,EmploymentResults!$D:$D,B248,EmploymentResults!$F:$F,C248,EmploymentResults!$G:$G,D248,EmploymentResults!$H:$H,E248,EmploymentResults!$J:$J,G248,EmploymentResults!$K:$K,H248,EmploymentResults!$L:$L,I248)</f>
        <v>987.35780227633813</v>
      </c>
    </row>
    <row r="249" spans="1:12" x14ac:dyDescent="0.3">
      <c r="A249" t="str">
        <f t="shared" si="6"/>
        <v>CN|AccumulatedNewCapacity|RE1|PWRSOLUGE|2047</v>
      </c>
      <c r="B249" t="s">
        <v>39</v>
      </c>
      <c r="C249" t="s">
        <v>19</v>
      </c>
      <c r="D249" t="s">
        <v>33</v>
      </c>
      <c r="E249">
        <v>2047</v>
      </c>
      <c r="F249" t="s">
        <v>18</v>
      </c>
      <c r="G249" t="s">
        <v>63</v>
      </c>
      <c r="H249" t="s">
        <v>64</v>
      </c>
      <c r="I249" t="s">
        <v>65</v>
      </c>
      <c r="J249">
        <f>SUMIFS(RawResultsLong!$P:$P,RawResultsLong!$A:$A,A249)</f>
        <v>475.51204486843852</v>
      </c>
      <c r="K249">
        <f t="shared" si="7"/>
        <v>15068.067434419554</v>
      </c>
      <c r="L249">
        <f>SUMIFS(EmploymentResults!$V:$V,EmploymentResults!$D:$D,B249,EmploymentResults!$F:$F,C249,EmploymentResults!$G:$G,D249,EmploymentResults!$H:$H,E249,EmploymentResults!$J:$J,G249,EmploymentResults!$K:$K,H249,EmploymentResults!$L:$L,I249)</f>
        <v>1087.603944402545</v>
      </c>
    </row>
    <row r="250" spans="1:12" x14ac:dyDescent="0.3">
      <c r="A250" t="str">
        <f t="shared" si="6"/>
        <v>CN|AccumulatedNewCapacity|RE1|PWRSOLUGE|2048</v>
      </c>
      <c r="B250" t="s">
        <v>39</v>
      </c>
      <c r="C250" t="s">
        <v>19</v>
      </c>
      <c r="D250" t="s">
        <v>33</v>
      </c>
      <c r="E250">
        <v>2048</v>
      </c>
      <c r="F250" t="s">
        <v>18</v>
      </c>
      <c r="G250" t="s">
        <v>63</v>
      </c>
      <c r="H250" t="s">
        <v>64</v>
      </c>
      <c r="I250" t="s">
        <v>65</v>
      </c>
      <c r="J250">
        <f>SUMIFS(RawResultsLong!$P:$P,RawResultsLong!$A:$A,A250)</f>
        <v>522.82204486843852</v>
      </c>
      <c r="K250">
        <f t="shared" si="7"/>
        <v>16567.230868901264</v>
      </c>
      <c r="L250">
        <f>SUMIFS(EmploymentResults!$V:$V,EmploymentResults!$D:$D,B250,EmploymentResults!$F:$F,C250,EmploymentResults!$G:$G,D250,EmploymentResults!$H:$H,E250,EmploymentResults!$J:$J,G250,EmploymentResults!$K:$K,H250,EmploymentResults!$L:$L,I250)</f>
        <v>1186.0905953898423</v>
      </c>
    </row>
    <row r="251" spans="1:12" x14ac:dyDescent="0.3">
      <c r="A251" t="str">
        <f t="shared" si="6"/>
        <v>CN|AccumulatedNewCapacity|RE1|PWRSOLUGE|2049</v>
      </c>
      <c r="B251" t="s">
        <v>39</v>
      </c>
      <c r="C251" t="s">
        <v>19</v>
      </c>
      <c r="D251" t="s">
        <v>33</v>
      </c>
      <c r="E251">
        <v>2049</v>
      </c>
      <c r="F251" t="s">
        <v>18</v>
      </c>
      <c r="G251" t="s">
        <v>63</v>
      </c>
      <c r="H251" t="s">
        <v>64</v>
      </c>
      <c r="I251" t="s">
        <v>65</v>
      </c>
      <c r="J251">
        <f>SUMIFS(RawResultsLong!$P:$P,RawResultsLong!$A:$A,A251)</f>
        <v>522.82204486843852</v>
      </c>
      <c r="K251">
        <f t="shared" si="7"/>
        <v>16567.230868901264</v>
      </c>
      <c r="L251">
        <f>SUMIFS(EmploymentResults!$V:$V,EmploymentResults!$D:$D,B251,EmploymentResults!$F:$F,C251,EmploymentResults!$G:$G,D251,EmploymentResults!$H:$H,E251,EmploymentResults!$J:$J,G251,EmploymentResults!$K:$K,H251,EmploymentResults!$L:$L,I251)</f>
        <v>1176.3685413280205</v>
      </c>
    </row>
    <row r="252" spans="1:12" x14ac:dyDescent="0.3">
      <c r="A252" t="str">
        <f t="shared" si="6"/>
        <v>CN|AccumulatedNewCapacity|RE1|PWRSOLUGE|2050</v>
      </c>
      <c r="B252" t="s">
        <v>39</v>
      </c>
      <c r="C252" t="s">
        <v>19</v>
      </c>
      <c r="D252" t="s">
        <v>33</v>
      </c>
      <c r="E252">
        <v>2050</v>
      </c>
      <c r="F252" t="s">
        <v>18</v>
      </c>
      <c r="G252" t="s">
        <v>63</v>
      </c>
      <c r="H252" t="s">
        <v>64</v>
      </c>
      <c r="I252" t="s">
        <v>65</v>
      </c>
      <c r="J252">
        <f>SUMIFS(RawResultsLong!$P:$P,RawResultsLong!$A:$A,A252)</f>
        <v>516.10487686843851</v>
      </c>
      <c r="K252">
        <f t="shared" si="7"/>
        <v>16354.376659455678</v>
      </c>
      <c r="L252">
        <f>SUMIFS(EmploymentResults!$V:$V,EmploymentResults!$D:$D,B252,EmploymentResults!$F:$F,C252,EmploymentResults!$G:$G,D252,EmploymentResults!$H:$H,E252,EmploymentResults!$J:$J,G252,EmploymentResults!$K:$K,H252,EmploymentResults!$L:$L,I252)</f>
        <v>1151.65752395136</v>
      </c>
    </row>
    <row r="253" spans="1:12" x14ac:dyDescent="0.3">
      <c r="A253" t="str">
        <f t="shared" si="6"/>
        <v>CN|AccumulatedNewCapacity|RE1|PWRSOLUGE|2051</v>
      </c>
      <c r="B253" t="s">
        <v>39</v>
      </c>
      <c r="C253" t="s">
        <v>19</v>
      </c>
      <c r="D253" t="s">
        <v>33</v>
      </c>
      <c r="E253">
        <v>2051</v>
      </c>
      <c r="F253" t="s">
        <v>18</v>
      </c>
      <c r="G253" t="s">
        <v>63</v>
      </c>
      <c r="H253" t="s">
        <v>64</v>
      </c>
      <c r="I253" t="s">
        <v>65</v>
      </c>
      <c r="J253">
        <f>SUMIFS(RawResultsLong!$P:$P,RawResultsLong!$A:$A,A253)</f>
        <v>460.31769286843848</v>
      </c>
      <c r="K253">
        <f t="shared" si="7"/>
        <v>14586.587473966287</v>
      </c>
      <c r="L253">
        <f>SUMIFS(EmploymentResults!$V:$V,EmploymentResults!$D:$D,B253,EmploymentResults!$F:$F,C253,EmploymentResults!$G:$G,D253,EmploymentResults!$H:$H,E253,EmploymentResults!$J:$J,G253,EmploymentResults!$K:$K,H253,EmploymentResults!$L:$L,I253)</f>
        <v>1027.1717206326744</v>
      </c>
    </row>
    <row r="254" spans="1:12" x14ac:dyDescent="0.3">
      <c r="A254" t="str">
        <f t="shared" si="6"/>
        <v>CN|AccumulatedNewCapacity|RE1|PWRSOLUGE|2052</v>
      </c>
      <c r="B254" t="s">
        <v>39</v>
      </c>
      <c r="C254" t="s">
        <v>19</v>
      </c>
      <c r="D254" t="s">
        <v>33</v>
      </c>
      <c r="E254">
        <v>2052</v>
      </c>
      <c r="F254" t="s">
        <v>18</v>
      </c>
      <c r="G254" t="s">
        <v>63</v>
      </c>
      <c r="H254" t="s">
        <v>64</v>
      </c>
      <c r="I254" t="s">
        <v>65</v>
      </c>
      <c r="J254">
        <f>SUMIFS(RawResultsLong!$P:$P,RawResultsLong!$A:$A,A254)</f>
        <v>434.62185286843851</v>
      </c>
      <c r="K254">
        <f t="shared" si="7"/>
        <v>13772.33543959105</v>
      </c>
      <c r="L254">
        <f>SUMIFS(EmploymentResults!$V:$V,EmploymentResults!$D:$D,B254,EmploymentResults!$F:$F,C254,EmploymentResults!$G:$G,D254,EmploymentResults!$H:$H,E254,EmploymentResults!$J:$J,G254,EmploymentResults!$K:$K,H254,EmploymentResults!$L:$L,I254)</f>
        <v>969.83297264445503</v>
      </c>
    </row>
    <row r="255" spans="1:12" x14ac:dyDescent="0.3">
      <c r="A255" t="str">
        <f t="shared" si="6"/>
        <v>CN|AccumulatedNewCapacity|RE1|PWRSOLUGE|2053</v>
      </c>
      <c r="B255" t="s">
        <v>39</v>
      </c>
      <c r="C255" t="s">
        <v>19</v>
      </c>
      <c r="D255" t="s">
        <v>33</v>
      </c>
      <c r="E255">
        <v>2053</v>
      </c>
      <c r="F255" t="s">
        <v>18</v>
      </c>
      <c r="G255" t="s">
        <v>63</v>
      </c>
      <c r="H255" t="s">
        <v>64</v>
      </c>
      <c r="I255" t="s">
        <v>65</v>
      </c>
      <c r="J255">
        <f>SUMIFS(RawResultsLong!$P:$P,RawResultsLong!$A:$A,A255)</f>
        <v>479.64451378446489</v>
      </c>
      <c r="K255">
        <f t="shared" si="7"/>
        <v>15199.017472319343</v>
      </c>
      <c r="L255">
        <f>SUMIFS(EmploymentResults!$V:$V,EmploymentResults!$D:$D,B255,EmploymentResults!$F:$F,C255,EmploymentResults!$G:$G,D255,EmploymentResults!$H:$H,E255,EmploymentResults!$J:$J,G255,EmploymentResults!$K:$K,H255,EmploymentResults!$L:$L,I255)</f>
        <v>1070.2983790302001</v>
      </c>
    </row>
    <row r="256" spans="1:12" x14ac:dyDescent="0.3">
      <c r="A256" t="str">
        <f t="shared" si="6"/>
        <v>CN|AccumulatedNewCapacity|RE1|PWRSOLUGE|2054</v>
      </c>
      <c r="B256" t="s">
        <v>39</v>
      </c>
      <c r="C256" t="s">
        <v>19</v>
      </c>
      <c r="D256" t="s">
        <v>33</v>
      </c>
      <c r="E256">
        <v>2054</v>
      </c>
      <c r="F256" t="s">
        <v>18</v>
      </c>
      <c r="G256" t="s">
        <v>63</v>
      </c>
      <c r="H256" t="s">
        <v>64</v>
      </c>
      <c r="I256" t="s">
        <v>65</v>
      </c>
      <c r="J256">
        <f>SUMIFS(RawResultsLong!$P:$P,RawResultsLong!$A:$A,A256)</f>
        <v>490.03962731418341</v>
      </c>
      <c r="K256">
        <f t="shared" si="7"/>
        <v>15528.418742685863</v>
      </c>
      <c r="L256">
        <f>SUMIFS(EmploymentResults!$V:$V,EmploymentResults!$D:$D,B256,EmploymentResults!$F:$F,C256,EmploymentResults!$G:$G,D256,EmploymentResults!$H:$H,E256,EmploymentResults!$J:$J,G256,EmploymentResults!$K:$K,H256,EmploymentResults!$L:$L,I256)</f>
        <v>1093.4944603799227</v>
      </c>
    </row>
    <row r="257" spans="1:12" x14ac:dyDescent="0.3">
      <c r="A257" t="str">
        <f t="shared" si="6"/>
        <v>CN|AccumulatedNewCapacity|RE1|PWRSOLUGE|2055</v>
      </c>
      <c r="B257" t="s">
        <v>39</v>
      </c>
      <c r="C257" t="s">
        <v>19</v>
      </c>
      <c r="D257" t="s">
        <v>33</v>
      </c>
      <c r="E257">
        <v>2055</v>
      </c>
      <c r="F257" t="s">
        <v>18</v>
      </c>
      <c r="G257" t="s">
        <v>63</v>
      </c>
      <c r="H257" t="s">
        <v>64</v>
      </c>
      <c r="I257" t="s">
        <v>65</v>
      </c>
      <c r="J257">
        <f>SUMIFS(RawResultsLong!$P:$P,RawResultsLong!$A:$A,A257)</f>
        <v>482.15562731418339</v>
      </c>
      <c r="K257">
        <f t="shared" si="7"/>
        <v>15278.589858360059</v>
      </c>
      <c r="L257">
        <f>SUMIFS(EmploymentResults!$V:$V,EmploymentResults!$D:$D,B257,EmploymentResults!$F:$F,C257,EmploymentResults!$G:$G,D257,EmploymentResults!$H:$H,E257,EmploymentResults!$J:$J,G257,EmploymentResults!$K:$K,H257,EmploymentResults!$L:$L,I257)</f>
        <v>1075.9017804309847</v>
      </c>
    </row>
    <row r="258" spans="1:12" x14ac:dyDescent="0.3">
      <c r="A258" t="str">
        <f t="shared" ref="A258:A321" si="8">B258&amp;"|"&amp;F258&amp;"|"&amp;C258&amp;"|"&amp;D258&amp;"|"&amp;E258</f>
        <v>CN|AccumulatedNewCapacity|RE1|PWRSOLUGE_BAT|2047</v>
      </c>
      <c r="B258" t="s">
        <v>39</v>
      </c>
      <c r="C258" t="s">
        <v>19</v>
      </c>
      <c r="D258" t="s">
        <v>41</v>
      </c>
      <c r="E258">
        <v>2047</v>
      </c>
      <c r="F258" t="s">
        <v>18</v>
      </c>
      <c r="G258" t="s">
        <v>63</v>
      </c>
      <c r="H258" t="s">
        <v>64</v>
      </c>
      <c r="I258" t="s">
        <v>65</v>
      </c>
      <c r="J258">
        <f>SUMIFS(RawResultsLong!$P:$P,RawResultsLong!$A:$A,A258)</f>
        <v>30.670102189502511</v>
      </c>
      <c r="K258">
        <f t="shared" ref="K258:K321" si="9">J258*1000/31.5576</f>
        <v>971.87689144619719</v>
      </c>
      <c r="L258">
        <f>SUMIFS(EmploymentResults!$V:$V,EmploymentResults!$D:$D,B258,EmploymentResults!$F:$F,C258,EmploymentResults!$G:$G,D258,EmploymentResults!$H:$H,E258,EmploymentResults!$J:$J,G258,EmploymentResults!$K:$K,H258,EmploymentResults!$L:$L,I258)</f>
        <v>80.64264857893636</v>
      </c>
    </row>
    <row r="259" spans="1:12" x14ac:dyDescent="0.3">
      <c r="A259" t="str">
        <f t="shared" si="8"/>
        <v>CN|AccumulatedNewCapacity|RE1|PWRSOLUGE_BAT|2048</v>
      </c>
      <c r="B259" t="s">
        <v>39</v>
      </c>
      <c r="C259" t="s">
        <v>19</v>
      </c>
      <c r="D259" t="s">
        <v>41</v>
      </c>
      <c r="E259">
        <v>2048</v>
      </c>
      <c r="F259" t="s">
        <v>18</v>
      </c>
      <c r="G259" t="s">
        <v>63</v>
      </c>
      <c r="H259" t="s">
        <v>64</v>
      </c>
      <c r="I259" t="s">
        <v>65</v>
      </c>
      <c r="J259">
        <f>SUMIFS(RawResultsLong!$P:$P,RawResultsLong!$A:$A,A259)</f>
        <v>30.670102189502511</v>
      </c>
      <c r="K259">
        <f t="shared" si="9"/>
        <v>971.87689144619719</v>
      </c>
      <c r="L259">
        <f>SUMIFS(EmploymentResults!$V:$V,EmploymentResults!$D:$D,B259,EmploymentResults!$F:$F,C259,EmploymentResults!$G:$G,D259,EmploymentResults!$H:$H,E259,EmploymentResults!$J:$J,G259,EmploymentResults!$K:$K,H259,EmploymentResults!$L:$L,I259)</f>
        <v>79.946627296193384</v>
      </c>
    </row>
    <row r="260" spans="1:12" x14ac:dyDescent="0.3">
      <c r="A260" t="str">
        <f t="shared" si="8"/>
        <v>CN|AccumulatedNewCapacity|RE1|PWRSOLUGE_BAT|2049</v>
      </c>
      <c r="B260" t="s">
        <v>39</v>
      </c>
      <c r="C260" t="s">
        <v>19</v>
      </c>
      <c r="D260" t="s">
        <v>41</v>
      </c>
      <c r="E260">
        <v>2049</v>
      </c>
      <c r="F260" t="s">
        <v>18</v>
      </c>
      <c r="G260" t="s">
        <v>63</v>
      </c>
      <c r="H260" t="s">
        <v>64</v>
      </c>
      <c r="I260" t="s">
        <v>65</v>
      </c>
      <c r="J260">
        <f>SUMIFS(RawResultsLong!$P:$P,RawResultsLong!$A:$A,A260)</f>
        <v>30.670102189502511</v>
      </c>
      <c r="K260">
        <f t="shared" si="9"/>
        <v>971.87689144619719</v>
      </c>
      <c r="L260">
        <f>SUMIFS(EmploymentResults!$V:$V,EmploymentResults!$D:$D,B260,EmploymentResults!$F:$F,C260,EmploymentResults!$G:$G,D260,EmploymentResults!$H:$H,E260,EmploymentResults!$J:$J,G260,EmploymentResults!$K:$K,H260,EmploymentResults!$L:$L,I260)</f>
        <v>79.250606013353206</v>
      </c>
    </row>
    <row r="261" spans="1:12" x14ac:dyDescent="0.3">
      <c r="A261" t="str">
        <f t="shared" si="8"/>
        <v>CN|AccumulatedNewCapacity|RE1|PWRSOLUGE_BAT|2050</v>
      </c>
      <c r="B261" t="s">
        <v>39</v>
      </c>
      <c r="C261" t="s">
        <v>19</v>
      </c>
      <c r="D261" t="s">
        <v>41</v>
      </c>
      <c r="E261">
        <v>2050</v>
      </c>
      <c r="F261" t="s">
        <v>18</v>
      </c>
      <c r="G261" t="s">
        <v>63</v>
      </c>
      <c r="H261" t="s">
        <v>64</v>
      </c>
      <c r="I261" t="s">
        <v>65</v>
      </c>
      <c r="J261">
        <f>SUMIFS(RawResultsLong!$P:$P,RawResultsLong!$A:$A,A261)</f>
        <v>30.670102189502511</v>
      </c>
      <c r="K261">
        <f t="shared" si="9"/>
        <v>971.87689144619719</v>
      </c>
      <c r="L261">
        <f>SUMIFS(EmploymentResults!$V:$V,EmploymentResults!$D:$D,B261,EmploymentResults!$F:$F,C261,EmploymentResults!$G:$G,D261,EmploymentResults!$H:$H,E261,EmploymentResults!$J:$J,G261,EmploymentResults!$K:$K,H261,EmploymentResults!$L:$L,I261)</f>
        <v>78.554584730551895</v>
      </c>
    </row>
    <row r="262" spans="1:12" x14ac:dyDescent="0.3">
      <c r="A262" t="str">
        <f t="shared" si="8"/>
        <v>CN|AccumulatedNewCapacity|RE1|PWRSOLUGE_BAT|2051</v>
      </c>
      <c r="B262" t="s">
        <v>39</v>
      </c>
      <c r="C262" t="s">
        <v>19</v>
      </c>
      <c r="D262" t="s">
        <v>41</v>
      </c>
      <c r="E262">
        <v>2051</v>
      </c>
      <c r="F262" t="s">
        <v>18</v>
      </c>
      <c r="G262" t="s">
        <v>63</v>
      </c>
      <c r="H262" t="s">
        <v>64</v>
      </c>
      <c r="I262" t="s">
        <v>65</v>
      </c>
      <c r="J262">
        <f>SUMIFS(RawResultsLong!$P:$P,RawResultsLong!$A:$A,A262)</f>
        <v>30.670102189502511</v>
      </c>
      <c r="K262">
        <f t="shared" si="9"/>
        <v>971.87689144619719</v>
      </c>
      <c r="L262">
        <f>SUMIFS(EmploymentResults!$V:$V,EmploymentResults!$D:$D,B262,EmploymentResults!$F:$F,C262,EmploymentResults!$G:$G,D262,EmploymentResults!$H:$H,E262,EmploymentResults!$J:$J,G262,EmploymentResults!$K:$K,H262,EmploymentResults!$L:$L,I262)</f>
        <v>78.554584730551895</v>
      </c>
    </row>
    <row r="263" spans="1:12" x14ac:dyDescent="0.3">
      <c r="A263" t="str">
        <f t="shared" si="8"/>
        <v>CN|AccumulatedNewCapacity|RE1|PWRSOLUGE_BAT|2052</v>
      </c>
      <c r="B263" t="s">
        <v>39</v>
      </c>
      <c r="C263" t="s">
        <v>19</v>
      </c>
      <c r="D263" t="s">
        <v>41</v>
      </c>
      <c r="E263">
        <v>2052</v>
      </c>
      <c r="F263" t="s">
        <v>18</v>
      </c>
      <c r="G263" t="s">
        <v>63</v>
      </c>
      <c r="H263" t="s">
        <v>64</v>
      </c>
      <c r="I263" t="s">
        <v>65</v>
      </c>
      <c r="J263">
        <f>SUMIFS(RawResultsLong!$P:$P,RawResultsLong!$A:$A,A263)</f>
        <v>30.670102189502511</v>
      </c>
      <c r="K263">
        <f t="shared" si="9"/>
        <v>971.87689144619719</v>
      </c>
      <c r="L263">
        <f>SUMIFS(EmploymentResults!$V:$V,EmploymentResults!$D:$D,B263,EmploymentResults!$F:$F,C263,EmploymentResults!$G:$G,D263,EmploymentResults!$H:$H,E263,EmploymentResults!$J:$J,G263,EmploymentResults!$K:$K,H263,EmploymentResults!$L:$L,I263)</f>
        <v>78.554584730551895</v>
      </c>
    </row>
    <row r="264" spans="1:12" x14ac:dyDescent="0.3">
      <c r="A264" t="str">
        <f t="shared" si="8"/>
        <v>CN|AccumulatedNewCapacity|RE1|PWRSOLUGE_BAT|2053</v>
      </c>
      <c r="B264" t="s">
        <v>39</v>
      </c>
      <c r="C264" t="s">
        <v>19</v>
      </c>
      <c r="D264" t="s">
        <v>41</v>
      </c>
      <c r="E264">
        <v>2053</v>
      </c>
      <c r="F264" t="s">
        <v>18</v>
      </c>
      <c r="G264" t="s">
        <v>63</v>
      </c>
      <c r="H264" t="s">
        <v>64</v>
      </c>
      <c r="I264" t="s">
        <v>65</v>
      </c>
      <c r="J264">
        <f>SUMIFS(RawResultsLong!$P:$P,RawResultsLong!$A:$A,A264)</f>
        <v>30.670102189502511</v>
      </c>
      <c r="K264">
        <f t="shared" si="9"/>
        <v>971.87689144619719</v>
      </c>
      <c r="L264">
        <f>SUMIFS(EmploymentResults!$V:$V,EmploymentResults!$D:$D,B264,EmploymentResults!$F:$F,C264,EmploymentResults!$G:$G,D264,EmploymentResults!$H:$H,E264,EmploymentResults!$J:$J,G264,EmploymentResults!$K:$K,H264,EmploymentResults!$L:$L,I264)</f>
        <v>78.554584730551895</v>
      </c>
    </row>
    <row r="265" spans="1:12" x14ac:dyDescent="0.3">
      <c r="A265" t="str">
        <f t="shared" si="8"/>
        <v>CN|AccumulatedNewCapacity|RE1|PWRSOLUGE_BAT|2054</v>
      </c>
      <c r="B265" t="s">
        <v>39</v>
      </c>
      <c r="C265" t="s">
        <v>19</v>
      </c>
      <c r="D265" t="s">
        <v>41</v>
      </c>
      <c r="E265">
        <v>2054</v>
      </c>
      <c r="F265" t="s">
        <v>18</v>
      </c>
      <c r="G265" t="s">
        <v>63</v>
      </c>
      <c r="H265" t="s">
        <v>64</v>
      </c>
      <c r="I265" t="s">
        <v>65</v>
      </c>
      <c r="J265">
        <f>SUMIFS(RawResultsLong!$P:$P,RawResultsLong!$A:$A,A265)</f>
        <v>30.670102189502511</v>
      </c>
      <c r="K265">
        <f t="shared" si="9"/>
        <v>971.87689144619719</v>
      </c>
      <c r="L265">
        <f>SUMIFS(EmploymentResults!$V:$V,EmploymentResults!$D:$D,B265,EmploymentResults!$F:$F,C265,EmploymentResults!$G:$G,D265,EmploymentResults!$H:$H,E265,EmploymentResults!$J:$J,G265,EmploymentResults!$K:$K,H265,EmploymentResults!$L:$L,I265)</f>
        <v>78.554584730551895</v>
      </c>
    </row>
    <row r="266" spans="1:12" x14ac:dyDescent="0.3">
      <c r="A266" t="str">
        <f t="shared" si="8"/>
        <v>CN|AccumulatedNewCapacity|RE1|PWRSOLUGE_BAT|2055</v>
      </c>
      <c r="B266" t="s">
        <v>39</v>
      </c>
      <c r="C266" t="s">
        <v>19</v>
      </c>
      <c r="D266" t="s">
        <v>41</v>
      </c>
      <c r="E266">
        <v>2055</v>
      </c>
      <c r="F266" t="s">
        <v>18</v>
      </c>
      <c r="G266" t="s">
        <v>63</v>
      </c>
      <c r="H266" t="s">
        <v>64</v>
      </c>
      <c r="I266" t="s">
        <v>65</v>
      </c>
      <c r="J266">
        <f>SUMIFS(RawResultsLong!$P:$P,RawResultsLong!$A:$A,A266)</f>
        <v>30.670102189502511</v>
      </c>
      <c r="K266">
        <f t="shared" si="9"/>
        <v>971.87689144619719</v>
      </c>
      <c r="L266">
        <f>SUMIFS(EmploymentResults!$V:$V,EmploymentResults!$D:$D,B266,EmploymentResults!$F:$F,C266,EmploymentResults!$G:$G,D266,EmploymentResults!$H:$H,E266,EmploymentResults!$J:$J,G266,EmploymentResults!$K:$K,H266,EmploymentResults!$L:$L,I266)</f>
        <v>78.554584730551895</v>
      </c>
    </row>
    <row r="267" spans="1:12" x14ac:dyDescent="0.3">
      <c r="A267" t="str">
        <f t="shared" si="8"/>
        <v>CN|AccumulatedNewCapacity|RE1|PWRSOLUPE|2025</v>
      </c>
      <c r="B267" t="s">
        <v>39</v>
      </c>
      <c r="C267" t="s">
        <v>19</v>
      </c>
      <c r="D267" t="s">
        <v>34</v>
      </c>
      <c r="E267">
        <v>2025</v>
      </c>
      <c r="F267" t="s">
        <v>18</v>
      </c>
      <c r="G267" t="s">
        <v>63</v>
      </c>
      <c r="H267" t="s">
        <v>64</v>
      </c>
      <c r="I267" t="s">
        <v>65</v>
      </c>
      <c r="J267">
        <f>SUMIFS(RawResultsLong!$P:$P,RawResultsLong!$A:$A,A267)</f>
        <v>5.3106623999999574</v>
      </c>
      <c r="K267">
        <f t="shared" si="9"/>
        <v>168.28473648186039</v>
      </c>
      <c r="L267">
        <f>SUMIFS(EmploymentResults!$V:$V,EmploymentResults!$D:$D,B267,EmploymentResults!$F:$F,C267,EmploymentResults!$G:$G,D267,EmploymentResults!$H:$H,E267,EmploymentResults!$J:$J,G267,EmploymentResults!$K:$K,H267,EmploymentResults!$L:$L,I267)</f>
        <v>15.837147683612022</v>
      </c>
    </row>
    <row r="268" spans="1:12" x14ac:dyDescent="0.3">
      <c r="A268" t="str">
        <f t="shared" si="8"/>
        <v>CN|AccumulatedNewCapacity|RE1|PWRSOLUPE|2026</v>
      </c>
      <c r="B268" t="s">
        <v>39</v>
      </c>
      <c r="C268" t="s">
        <v>19</v>
      </c>
      <c r="D268" t="s">
        <v>34</v>
      </c>
      <c r="E268">
        <v>2026</v>
      </c>
      <c r="F268" t="s">
        <v>18</v>
      </c>
      <c r="G268" t="s">
        <v>63</v>
      </c>
      <c r="H268" t="s">
        <v>64</v>
      </c>
      <c r="I268" t="s">
        <v>65</v>
      </c>
      <c r="J268">
        <f>SUMIFS(RawResultsLong!$P:$P,RawResultsLong!$A:$A,A268)</f>
        <v>8.6752382399999313</v>
      </c>
      <c r="K268">
        <f t="shared" si="9"/>
        <v>274.90171115673979</v>
      </c>
      <c r="L268">
        <f>SUMIFS(EmploymentResults!$V:$V,EmploymentResults!$D:$D,B268,EmploymentResults!$F:$F,C268,EmploymentResults!$G:$G,D268,EmploymentResults!$H:$H,E268,EmploymentResults!$J:$J,G268,EmploymentResults!$K:$K,H268,EmploymentResults!$L:$L,I268)</f>
        <v>25.213563926666133</v>
      </c>
    </row>
    <row r="269" spans="1:12" x14ac:dyDescent="0.3">
      <c r="A269" t="str">
        <f t="shared" si="8"/>
        <v>CN|AccumulatedNewCapacity|RE1|PWRSOLUPE|2027</v>
      </c>
      <c r="B269" t="s">
        <v>39</v>
      </c>
      <c r="C269" t="s">
        <v>19</v>
      </c>
      <c r="D269" t="s">
        <v>34</v>
      </c>
      <c r="E269">
        <v>2027</v>
      </c>
      <c r="F269" t="s">
        <v>18</v>
      </c>
      <c r="G269" t="s">
        <v>63</v>
      </c>
      <c r="H269" t="s">
        <v>64</v>
      </c>
      <c r="I269" t="s">
        <v>65</v>
      </c>
      <c r="J269">
        <f>SUMIFS(RawResultsLong!$P:$P,RawResultsLong!$A:$A,A269)</f>
        <v>12.14419823999993</v>
      </c>
      <c r="K269">
        <f t="shared" si="9"/>
        <v>384.82642026009364</v>
      </c>
      <c r="L269">
        <f>SUMIFS(EmploymentResults!$V:$V,EmploymentResults!$D:$D,B269,EmploymentResults!$F:$F,C269,EmploymentResults!$G:$G,D269,EmploymentResults!$H:$H,E269,EmploymentResults!$J:$J,G269,EmploymentResults!$K:$K,H269,EmploymentResults!$L:$L,I269)</f>
        <v>34.375660061137935</v>
      </c>
    </row>
    <row r="270" spans="1:12" x14ac:dyDescent="0.3">
      <c r="A270" t="str">
        <f t="shared" si="8"/>
        <v>CN|AccumulatedNewCapacity|RE1|PWRSOLUPE|2028</v>
      </c>
      <c r="B270" t="s">
        <v>39</v>
      </c>
      <c r="C270" t="s">
        <v>19</v>
      </c>
      <c r="D270" t="s">
        <v>34</v>
      </c>
      <c r="E270">
        <v>2028</v>
      </c>
      <c r="F270" t="s">
        <v>18</v>
      </c>
      <c r="G270" t="s">
        <v>63</v>
      </c>
      <c r="H270" t="s">
        <v>64</v>
      </c>
      <c r="I270" t="s">
        <v>65</v>
      </c>
      <c r="J270">
        <f>SUMIFS(RawResultsLong!$P:$P,RawResultsLong!$A:$A,A270)</f>
        <v>12.14419823999993</v>
      </c>
      <c r="K270">
        <f t="shared" si="9"/>
        <v>384.82642026009364</v>
      </c>
      <c r="L270">
        <f>SUMIFS(EmploymentResults!$V:$V,EmploymentResults!$D:$D,B270,EmploymentResults!$F:$F,C270,EmploymentResults!$G:$G,D270,EmploymentResults!$H:$H,E270,EmploymentResults!$J:$J,G270,EmploymentResults!$K:$K,H270,EmploymentResults!$L:$L,I270)</f>
        <v>33.455630229804733</v>
      </c>
    </row>
    <row r="271" spans="1:12" x14ac:dyDescent="0.3">
      <c r="A271" t="str">
        <f t="shared" si="8"/>
        <v>CN|AccumulatedNewCapacity|RE1|PWRSOLUPE|2029</v>
      </c>
      <c r="B271" t="s">
        <v>39</v>
      </c>
      <c r="C271" t="s">
        <v>19</v>
      </c>
      <c r="D271" t="s">
        <v>34</v>
      </c>
      <c r="E271">
        <v>2029</v>
      </c>
      <c r="F271" t="s">
        <v>18</v>
      </c>
      <c r="G271" t="s">
        <v>63</v>
      </c>
      <c r="H271" t="s">
        <v>64</v>
      </c>
      <c r="I271" t="s">
        <v>65</v>
      </c>
      <c r="J271">
        <f>SUMIFS(RawResultsLong!$P:$P,RawResultsLong!$A:$A,A271)</f>
        <v>12.14419823999993</v>
      </c>
      <c r="K271">
        <f t="shared" si="9"/>
        <v>384.82642026009364</v>
      </c>
      <c r="L271">
        <f>SUMIFS(EmploymentResults!$V:$V,EmploymentResults!$D:$D,B271,EmploymentResults!$F:$F,C271,EmploymentResults!$G:$G,D271,EmploymentResults!$H:$H,E271,EmploymentResults!$J:$J,G271,EmploymentResults!$K:$K,H271,EmploymentResults!$L:$L,I271)</f>
        <v>32.535600398510027</v>
      </c>
    </row>
    <row r="272" spans="1:12" x14ac:dyDescent="0.3">
      <c r="A272" t="str">
        <f t="shared" si="8"/>
        <v>CN|AccumulatedNewCapacity|RE1|PWRSOLUPE|2030</v>
      </c>
      <c r="B272" t="s">
        <v>39</v>
      </c>
      <c r="C272" t="s">
        <v>19</v>
      </c>
      <c r="D272" t="s">
        <v>34</v>
      </c>
      <c r="E272">
        <v>2030</v>
      </c>
      <c r="F272" t="s">
        <v>18</v>
      </c>
      <c r="G272" t="s">
        <v>63</v>
      </c>
      <c r="H272" t="s">
        <v>64</v>
      </c>
      <c r="I272" t="s">
        <v>65</v>
      </c>
      <c r="J272">
        <f>SUMIFS(RawResultsLong!$P:$P,RawResultsLong!$A:$A,A272)</f>
        <v>12.14419823999993</v>
      </c>
      <c r="K272">
        <f t="shared" si="9"/>
        <v>384.82642026009364</v>
      </c>
      <c r="L272">
        <f>SUMIFS(EmploymentResults!$V:$V,EmploymentResults!$D:$D,B272,EmploymentResults!$F:$F,C272,EmploymentResults!$G:$G,D272,EmploymentResults!$H:$H,E272,EmploymentResults!$J:$J,G272,EmploymentResults!$K:$K,H272,EmploymentResults!$L:$L,I272)</f>
        <v>31.615570567176832</v>
      </c>
    </row>
    <row r="273" spans="1:12" x14ac:dyDescent="0.3">
      <c r="A273" t="str">
        <f t="shared" si="8"/>
        <v>CN|AccumulatedNewCapacity|RE1|PWRSOLUPE|2031</v>
      </c>
      <c r="B273" t="s">
        <v>39</v>
      </c>
      <c r="C273" t="s">
        <v>19</v>
      </c>
      <c r="D273" t="s">
        <v>34</v>
      </c>
      <c r="E273">
        <v>2031</v>
      </c>
      <c r="F273" t="s">
        <v>18</v>
      </c>
      <c r="G273" t="s">
        <v>63</v>
      </c>
      <c r="H273" t="s">
        <v>64</v>
      </c>
      <c r="I273" t="s">
        <v>65</v>
      </c>
      <c r="J273">
        <f>SUMIFS(RawResultsLong!$P:$P,RawResultsLong!$A:$A,A273)</f>
        <v>12.14419823999993</v>
      </c>
      <c r="K273">
        <f t="shared" si="9"/>
        <v>384.82642026009364</v>
      </c>
      <c r="L273">
        <f>SUMIFS(EmploymentResults!$V:$V,EmploymentResults!$D:$D,B273,EmploymentResults!$F:$F,C273,EmploymentResults!$G:$G,D273,EmploymentResults!$H:$H,E273,EmploymentResults!$J:$J,G273,EmploymentResults!$K:$K,H273,EmploymentResults!$L:$L,I273)</f>
        <v>31.389745063134914</v>
      </c>
    </row>
    <row r="274" spans="1:12" x14ac:dyDescent="0.3">
      <c r="A274" t="str">
        <f t="shared" si="8"/>
        <v>CN|AccumulatedNewCapacity|RE1|PWRSOLUPE|2032</v>
      </c>
      <c r="B274" t="s">
        <v>39</v>
      </c>
      <c r="C274" t="s">
        <v>19</v>
      </c>
      <c r="D274" t="s">
        <v>34</v>
      </c>
      <c r="E274">
        <v>2032</v>
      </c>
      <c r="F274" t="s">
        <v>18</v>
      </c>
      <c r="G274" t="s">
        <v>63</v>
      </c>
      <c r="H274" t="s">
        <v>64</v>
      </c>
      <c r="I274" t="s">
        <v>65</v>
      </c>
      <c r="J274">
        <f>SUMIFS(RawResultsLong!$P:$P,RawResultsLong!$A:$A,A274)</f>
        <v>12.14419823999993</v>
      </c>
      <c r="K274">
        <f t="shared" si="9"/>
        <v>384.82642026009364</v>
      </c>
      <c r="L274">
        <f>SUMIFS(EmploymentResults!$V:$V,EmploymentResults!$D:$D,B274,EmploymentResults!$F:$F,C274,EmploymentResults!$G:$G,D274,EmploymentResults!$H:$H,E274,EmploymentResults!$J:$J,G274,EmploymentResults!$K:$K,H274,EmploymentResults!$L:$L,I274)</f>
        <v>31.163919559092996</v>
      </c>
    </row>
    <row r="275" spans="1:12" x14ac:dyDescent="0.3">
      <c r="A275" t="str">
        <f t="shared" si="8"/>
        <v>CN|AccumulatedNewCapacity|RE1|PWRSOLUPE|2033</v>
      </c>
      <c r="B275" t="s">
        <v>39</v>
      </c>
      <c r="C275" t="s">
        <v>19</v>
      </c>
      <c r="D275" t="s">
        <v>34</v>
      </c>
      <c r="E275">
        <v>2033</v>
      </c>
      <c r="F275" t="s">
        <v>18</v>
      </c>
      <c r="G275" t="s">
        <v>63</v>
      </c>
      <c r="H275" t="s">
        <v>64</v>
      </c>
      <c r="I275" t="s">
        <v>65</v>
      </c>
      <c r="J275">
        <f>SUMIFS(RawResultsLong!$P:$P,RawResultsLong!$A:$A,A275)</f>
        <v>12.14419823999993</v>
      </c>
      <c r="K275">
        <f t="shared" si="9"/>
        <v>384.82642026009364</v>
      </c>
      <c r="L275">
        <f>SUMIFS(EmploymentResults!$V:$V,EmploymentResults!$D:$D,B275,EmploymentResults!$F:$F,C275,EmploymentResults!$G:$G,D275,EmploymentResults!$H:$H,E275,EmploymentResults!$J:$J,G275,EmploymentResults!$K:$K,H275,EmploymentResults!$L:$L,I275)</f>
        <v>30.938094055012591</v>
      </c>
    </row>
    <row r="276" spans="1:12" x14ac:dyDescent="0.3">
      <c r="A276" t="str">
        <f t="shared" si="8"/>
        <v>CN|AccumulatedNewCapacity|RE1|PWRSOLUPE|2034</v>
      </c>
      <c r="B276" t="s">
        <v>39</v>
      </c>
      <c r="C276" t="s">
        <v>19</v>
      </c>
      <c r="D276" t="s">
        <v>34</v>
      </c>
      <c r="E276">
        <v>2034</v>
      </c>
      <c r="F276" t="s">
        <v>18</v>
      </c>
      <c r="G276" t="s">
        <v>63</v>
      </c>
      <c r="H276" t="s">
        <v>64</v>
      </c>
      <c r="I276" t="s">
        <v>65</v>
      </c>
      <c r="J276">
        <f>SUMIFS(RawResultsLong!$P:$P,RawResultsLong!$A:$A,A276)</f>
        <v>12.14419823999993</v>
      </c>
      <c r="K276">
        <f t="shared" si="9"/>
        <v>384.82642026009364</v>
      </c>
      <c r="L276">
        <f>SUMIFS(EmploymentResults!$V:$V,EmploymentResults!$D:$D,B276,EmploymentResults!$F:$F,C276,EmploymentResults!$G:$G,D276,EmploymentResults!$H:$H,E276,EmploymentResults!$J:$J,G276,EmploymentResults!$K:$K,H276,EmploymentResults!$L:$L,I276)</f>
        <v>30.712268550970681</v>
      </c>
    </row>
    <row r="277" spans="1:12" x14ac:dyDescent="0.3">
      <c r="A277" t="str">
        <f t="shared" si="8"/>
        <v>CN|AccumulatedNewCapacity|RE1|PWRSOLUPE|2035</v>
      </c>
      <c r="B277" t="s">
        <v>39</v>
      </c>
      <c r="C277" t="s">
        <v>19</v>
      </c>
      <c r="D277" t="s">
        <v>34</v>
      </c>
      <c r="E277">
        <v>2035</v>
      </c>
      <c r="F277" t="s">
        <v>18</v>
      </c>
      <c r="G277" t="s">
        <v>63</v>
      </c>
      <c r="H277" t="s">
        <v>64</v>
      </c>
      <c r="I277" t="s">
        <v>65</v>
      </c>
      <c r="J277">
        <f>SUMIFS(RawResultsLong!$P:$P,RawResultsLong!$A:$A,A277)</f>
        <v>12.14419823999993</v>
      </c>
      <c r="K277">
        <f t="shared" si="9"/>
        <v>384.82642026009364</v>
      </c>
      <c r="L277">
        <f>SUMIFS(EmploymentResults!$V:$V,EmploymentResults!$D:$D,B277,EmploymentResults!$F:$F,C277,EmploymentResults!$G:$G,D277,EmploymentResults!$H:$H,E277,EmploymentResults!$J:$J,G277,EmploymentResults!$K:$K,H277,EmploymentResults!$L:$L,I277)</f>
        <v>30.486443046928759</v>
      </c>
    </row>
    <row r="278" spans="1:12" x14ac:dyDescent="0.3">
      <c r="A278" t="str">
        <f t="shared" si="8"/>
        <v>CN|AccumulatedNewCapacity|RE1|PWRSOLUPE|2036</v>
      </c>
      <c r="B278" t="s">
        <v>39</v>
      </c>
      <c r="C278" t="s">
        <v>19</v>
      </c>
      <c r="D278" t="s">
        <v>34</v>
      </c>
      <c r="E278">
        <v>2036</v>
      </c>
      <c r="F278" t="s">
        <v>18</v>
      </c>
      <c r="G278" t="s">
        <v>63</v>
      </c>
      <c r="H278" t="s">
        <v>64</v>
      </c>
      <c r="I278" t="s">
        <v>65</v>
      </c>
      <c r="J278">
        <f>SUMIFS(RawResultsLong!$P:$P,RawResultsLong!$A:$A,A278)</f>
        <v>12.14419823999993</v>
      </c>
      <c r="K278">
        <f t="shared" si="9"/>
        <v>384.82642026009364</v>
      </c>
      <c r="L278">
        <f>SUMIFS(EmploymentResults!$V:$V,EmploymentResults!$D:$D,B278,EmploymentResults!$F:$F,C278,EmploymentResults!$G:$G,D278,EmploymentResults!$H:$H,E278,EmploymentResults!$J:$J,G278,EmploymentResults!$K:$K,H278,EmploymentResults!$L:$L,I278)</f>
        <v>30.260617542886841</v>
      </c>
    </row>
    <row r="279" spans="1:12" x14ac:dyDescent="0.3">
      <c r="A279" t="str">
        <f t="shared" si="8"/>
        <v>CN|AccumulatedNewCapacity|RE1|PWRSOLUPE|2037</v>
      </c>
      <c r="B279" t="s">
        <v>39</v>
      </c>
      <c r="C279" t="s">
        <v>19</v>
      </c>
      <c r="D279" t="s">
        <v>34</v>
      </c>
      <c r="E279">
        <v>2037</v>
      </c>
      <c r="F279" t="s">
        <v>18</v>
      </c>
      <c r="G279" t="s">
        <v>63</v>
      </c>
      <c r="H279" t="s">
        <v>64</v>
      </c>
      <c r="I279" t="s">
        <v>65</v>
      </c>
      <c r="J279">
        <f>SUMIFS(RawResultsLong!$P:$P,RawResultsLong!$A:$A,A279)</f>
        <v>12.14419823999993</v>
      </c>
      <c r="K279">
        <f t="shared" si="9"/>
        <v>384.82642026009364</v>
      </c>
      <c r="L279">
        <f>SUMIFS(EmploymentResults!$V:$V,EmploymentResults!$D:$D,B279,EmploymentResults!$F:$F,C279,EmploymentResults!$G:$G,D279,EmploymentResults!$H:$H,E279,EmploymentResults!$J:$J,G279,EmploymentResults!$K:$K,H279,EmploymentResults!$L:$L,I279)</f>
        <v>30.034792038806444</v>
      </c>
    </row>
    <row r="280" spans="1:12" x14ac:dyDescent="0.3">
      <c r="A280" t="str">
        <f t="shared" si="8"/>
        <v>CN|AccumulatedNewCapacity|RE1|PWRSOLUPE|2038</v>
      </c>
      <c r="B280" t="s">
        <v>39</v>
      </c>
      <c r="C280" t="s">
        <v>19</v>
      </c>
      <c r="D280" t="s">
        <v>34</v>
      </c>
      <c r="E280">
        <v>2038</v>
      </c>
      <c r="F280" t="s">
        <v>18</v>
      </c>
      <c r="G280" t="s">
        <v>63</v>
      </c>
      <c r="H280" t="s">
        <v>64</v>
      </c>
      <c r="I280" t="s">
        <v>65</v>
      </c>
      <c r="J280">
        <f>SUMIFS(RawResultsLong!$P:$P,RawResultsLong!$A:$A,A280)</f>
        <v>12.14419823999993</v>
      </c>
      <c r="K280">
        <f t="shared" si="9"/>
        <v>384.82642026009364</v>
      </c>
      <c r="L280">
        <f>SUMIFS(EmploymentResults!$V:$V,EmploymentResults!$D:$D,B280,EmploymentResults!$F:$F,C280,EmploymentResults!$G:$G,D280,EmploymentResults!$H:$H,E280,EmploymentResults!$J:$J,G280,EmploymentResults!$K:$K,H280,EmploymentResults!$L:$L,I280)</f>
        <v>29.808966534764526</v>
      </c>
    </row>
    <row r="281" spans="1:12" x14ac:dyDescent="0.3">
      <c r="A281" t="str">
        <f t="shared" si="8"/>
        <v>CN|AccumulatedNewCapacity|RE1|PWRSOLUPE|2039</v>
      </c>
      <c r="B281" t="s">
        <v>39</v>
      </c>
      <c r="C281" t="s">
        <v>19</v>
      </c>
      <c r="D281" t="s">
        <v>34</v>
      </c>
      <c r="E281">
        <v>2039</v>
      </c>
      <c r="F281" t="s">
        <v>18</v>
      </c>
      <c r="G281" t="s">
        <v>63</v>
      </c>
      <c r="H281" t="s">
        <v>64</v>
      </c>
      <c r="I281" t="s">
        <v>65</v>
      </c>
      <c r="J281">
        <f>SUMIFS(RawResultsLong!$P:$P,RawResultsLong!$A:$A,A281)</f>
        <v>12.14419823999993</v>
      </c>
      <c r="K281">
        <f t="shared" si="9"/>
        <v>384.82642026009364</v>
      </c>
      <c r="L281">
        <f>SUMIFS(EmploymentResults!$V:$V,EmploymentResults!$D:$D,B281,EmploymentResults!$F:$F,C281,EmploymentResults!$G:$G,D281,EmploymentResults!$H:$H,E281,EmploymentResults!$J:$J,G281,EmploymentResults!$K:$K,H281,EmploymentResults!$L:$L,I281)</f>
        <v>29.583141030722608</v>
      </c>
    </row>
    <row r="282" spans="1:12" x14ac:dyDescent="0.3">
      <c r="A282" t="str">
        <f t="shared" si="8"/>
        <v>CN|AccumulatedNewCapacity|RE1|PWRSOLUPE|2040</v>
      </c>
      <c r="B282" t="s">
        <v>39</v>
      </c>
      <c r="C282" t="s">
        <v>19</v>
      </c>
      <c r="D282" t="s">
        <v>34</v>
      </c>
      <c r="E282">
        <v>2040</v>
      </c>
      <c r="F282" t="s">
        <v>18</v>
      </c>
      <c r="G282" t="s">
        <v>63</v>
      </c>
      <c r="H282" t="s">
        <v>64</v>
      </c>
      <c r="I282" t="s">
        <v>65</v>
      </c>
      <c r="J282">
        <f>SUMIFS(RawResultsLong!$P:$P,RawResultsLong!$A:$A,A282)</f>
        <v>12.14419823999993</v>
      </c>
      <c r="K282">
        <f t="shared" si="9"/>
        <v>384.82642026009364</v>
      </c>
      <c r="L282">
        <f>SUMIFS(EmploymentResults!$V:$V,EmploymentResults!$D:$D,B282,EmploymentResults!$F:$F,C282,EmploymentResults!$G:$G,D282,EmploymentResults!$H:$H,E282,EmploymentResults!$J:$J,G282,EmploymentResults!$K:$K,H282,EmploymentResults!$L:$L,I282)</f>
        <v>29.35731552668069</v>
      </c>
    </row>
    <row r="283" spans="1:12" x14ac:dyDescent="0.3">
      <c r="A283" t="str">
        <f t="shared" si="8"/>
        <v>CN|AccumulatedNewCapacity|RE1|PWRSOLUPE|2041</v>
      </c>
      <c r="B283" t="s">
        <v>39</v>
      </c>
      <c r="C283" t="s">
        <v>19</v>
      </c>
      <c r="D283" t="s">
        <v>34</v>
      </c>
      <c r="E283">
        <v>2041</v>
      </c>
      <c r="F283" t="s">
        <v>18</v>
      </c>
      <c r="G283" t="s">
        <v>63</v>
      </c>
      <c r="H283" t="s">
        <v>64</v>
      </c>
      <c r="I283" t="s">
        <v>65</v>
      </c>
      <c r="J283">
        <f>SUMIFS(RawResultsLong!$P:$P,RawResultsLong!$A:$A,A283)</f>
        <v>12.14419823999993</v>
      </c>
      <c r="K283">
        <f t="shared" si="9"/>
        <v>384.82642026009364</v>
      </c>
      <c r="L283">
        <f>SUMIFS(EmploymentResults!$V:$V,EmploymentResults!$D:$D,B283,EmploymentResults!$F:$F,C283,EmploymentResults!$G:$G,D283,EmploymentResults!$H:$H,E283,EmploymentResults!$J:$J,G283,EmploymentResults!$K:$K,H283,EmploymentResults!$L:$L,I283)</f>
        <v>29.131490022600293</v>
      </c>
    </row>
    <row r="284" spans="1:12" x14ac:dyDescent="0.3">
      <c r="A284" t="str">
        <f t="shared" si="8"/>
        <v>CN|AccumulatedNewCapacity|RE1|PWRSOLUPE|2042</v>
      </c>
      <c r="B284" t="s">
        <v>39</v>
      </c>
      <c r="C284" t="s">
        <v>19</v>
      </c>
      <c r="D284" t="s">
        <v>34</v>
      </c>
      <c r="E284">
        <v>2042</v>
      </c>
      <c r="F284" t="s">
        <v>18</v>
      </c>
      <c r="G284" t="s">
        <v>63</v>
      </c>
      <c r="H284" t="s">
        <v>64</v>
      </c>
      <c r="I284" t="s">
        <v>65</v>
      </c>
      <c r="J284">
        <f>SUMIFS(RawResultsLong!$P:$P,RawResultsLong!$A:$A,A284)</f>
        <v>12.14419823999993</v>
      </c>
      <c r="K284">
        <f t="shared" si="9"/>
        <v>384.82642026009364</v>
      </c>
      <c r="L284">
        <f>SUMIFS(EmploymentResults!$V:$V,EmploymentResults!$D:$D,B284,EmploymentResults!$F:$F,C284,EmploymentResults!$G:$G,D284,EmploymentResults!$H:$H,E284,EmploymentResults!$J:$J,G284,EmploymentResults!$K:$K,H284,EmploymentResults!$L:$L,I284)</f>
        <v>28.905664518558375</v>
      </c>
    </row>
    <row r="285" spans="1:12" x14ac:dyDescent="0.3">
      <c r="A285" t="str">
        <f t="shared" si="8"/>
        <v>CN|AccumulatedNewCapacity|RE1|PWRSOLUPE|2043</v>
      </c>
      <c r="B285" t="s">
        <v>39</v>
      </c>
      <c r="C285" t="s">
        <v>19</v>
      </c>
      <c r="D285" t="s">
        <v>34</v>
      </c>
      <c r="E285">
        <v>2043</v>
      </c>
      <c r="F285" t="s">
        <v>18</v>
      </c>
      <c r="G285" t="s">
        <v>63</v>
      </c>
      <c r="H285" t="s">
        <v>64</v>
      </c>
      <c r="I285" t="s">
        <v>65</v>
      </c>
      <c r="J285">
        <f>SUMIFS(RawResultsLong!$P:$P,RawResultsLong!$A:$A,A285)</f>
        <v>12.14419823999993</v>
      </c>
      <c r="K285">
        <f t="shared" si="9"/>
        <v>384.82642026009364</v>
      </c>
      <c r="L285">
        <f>SUMIFS(EmploymentResults!$V:$V,EmploymentResults!$D:$D,B285,EmploymentResults!$F:$F,C285,EmploymentResults!$G:$G,D285,EmploymentResults!$H:$H,E285,EmploymentResults!$J:$J,G285,EmploymentResults!$K:$K,H285,EmploymentResults!$L:$L,I285)</f>
        <v>28.679839014516457</v>
      </c>
    </row>
    <row r="286" spans="1:12" x14ac:dyDescent="0.3">
      <c r="A286" t="str">
        <f t="shared" si="8"/>
        <v>CN|AccumulatedNewCapacity|RE1|PWRSOLUPE|2044</v>
      </c>
      <c r="B286" t="s">
        <v>39</v>
      </c>
      <c r="C286" t="s">
        <v>19</v>
      </c>
      <c r="D286" t="s">
        <v>34</v>
      </c>
      <c r="E286">
        <v>2044</v>
      </c>
      <c r="F286" t="s">
        <v>18</v>
      </c>
      <c r="G286" t="s">
        <v>63</v>
      </c>
      <c r="H286" t="s">
        <v>64</v>
      </c>
      <c r="I286" t="s">
        <v>65</v>
      </c>
      <c r="J286">
        <f>SUMIFS(RawResultsLong!$P:$P,RawResultsLong!$A:$A,A286)</f>
        <v>12.14419823999993</v>
      </c>
      <c r="K286">
        <f t="shared" si="9"/>
        <v>384.82642026009364</v>
      </c>
      <c r="L286">
        <f>SUMIFS(EmploymentResults!$V:$V,EmploymentResults!$D:$D,B286,EmploymentResults!$F:$F,C286,EmploymentResults!$G:$G,D286,EmploymentResults!$H:$H,E286,EmploymentResults!$J:$J,G286,EmploymentResults!$K:$K,H286,EmploymentResults!$L:$L,I286)</f>
        <v>28.454013510474542</v>
      </c>
    </row>
    <row r="287" spans="1:12" x14ac:dyDescent="0.3">
      <c r="A287" t="str">
        <f t="shared" si="8"/>
        <v>CN|AccumulatedNewCapacity|RE1|PWRSOLUPE|2045</v>
      </c>
      <c r="B287" t="s">
        <v>39</v>
      </c>
      <c r="C287" t="s">
        <v>19</v>
      </c>
      <c r="D287" t="s">
        <v>34</v>
      </c>
      <c r="E287">
        <v>2045</v>
      </c>
      <c r="F287" t="s">
        <v>18</v>
      </c>
      <c r="G287" t="s">
        <v>63</v>
      </c>
      <c r="H287" t="s">
        <v>64</v>
      </c>
      <c r="I287" t="s">
        <v>65</v>
      </c>
      <c r="J287">
        <f>SUMIFS(RawResultsLong!$P:$P,RawResultsLong!$A:$A,A287)</f>
        <v>12.14419823999993</v>
      </c>
      <c r="K287">
        <f t="shared" si="9"/>
        <v>384.82642026009364</v>
      </c>
      <c r="L287">
        <f>SUMIFS(EmploymentResults!$V:$V,EmploymentResults!$D:$D,B287,EmploymentResults!$F:$F,C287,EmploymentResults!$G:$G,D287,EmploymentResults!$H:$H,E287,EmploymentResults!$J:$J,G287,EmploymentResults!$K:$K,H287,EmploymentResults!$L:$L,I287)</f>
        <v>28.228188006394138</v>
      </c>
    </row>
    <row r="288" spans="1:12" x14ac:dyDescent="0.3">
      <c r="A288" t="str">
        <f t="shared" si="8"/>
        <v>CN|AccumulatedNewCapacity|RE1|PWRSOLUPE|2046</v>
      </c>
      <c r="B288" t="s">
        <v>39</v>
      </c>
      <c r="C288" t="s">
        <v>19</v>
      </c>
      <c r="D288" t="s">
        <v>34</v>
      </c>
      <c r="E288">
        <v>2046</v>
      </c>
      <c r="F288" t="s">
        <v>18</v>
      </c>
      <c r="G288" t="s">
        <v>63</v>
      </c>
      <c r="H288" t="s">
        <v>64</v>
      </c>
      <c r="I288" t="s">
        <v>65</v>
      </c>
      <c r="J288">
        <f>SUMIFS(RawResultsLong!$P:$P,RawResultsLong!$A:$A,A288)</f>
        <v>12.14419823999993</v>
      </c>
      <c r="K288">
        <f t="shared" si="9"/>
        <v>384.82642026009364</v>
      </c>
      <c r="L288">
        <f>SUMIFS(EmploymentResults!$V:$V,EmploymentResults!$D:$D,B288,EmploymentResults!$F:$F,C288,EmploymentResults!$G:$G,D288,EmploymentResults!$H:$H,E288,EmploymentResults!$J:$J,G288,EmploymentResults!$K:$K,H288,EmploymentResults!$L:$L,I288)</f>
        <v>28.00236250235222</v>
      </c>
    </row>
    <row r="289" spans="1:12" x14ac:dyDescent="0.3">
      <c r="A289" t="str">
        <f t="shared" si="8"/>
        <v>CN|AccumulatedNewCapacity|RE1|PWRSOLUPE|2047</v>
      </c>
      <c r="B289" t="s">
        <v>39</v>
      </c>
      <c r="C289" t="s">
        <v>19</v>
      </c>
      <c r="D289" t="s">
        <v>34</v>
      </c>
      <c r="E289">
        <v>2047</v>
      </c>
      <c r="F289" t="s">
        <v>18</v>
      </c>
      <c r="G289" t="s">
        <v>63</v>
      </c>
      <c r="H289" t="s">
        <v>64</v>
      </c>
      <c r="I289" t="s">
        <v>65</v>
      </c>
      <c r="J289">
        <f>SUMIFS(RawResultsLong!$P:$P,RawResultsLong!$A:$A,A289)</f>
        <v>12.14419823999993</v>
      </c>
      <c r="K289">
        <f t="shared" si="9"/>
        <v>384.82642026009364</v>
      </c>
      <c r="L289">
        <f>SUMIFS(EmploymentResults!$V:$V,EmploymentResults!$D:$D,B289,EmploymentResults!$F:$F,C289,EmploymentResults!$G:$G,D289,EmploymentResults!$H:$H,E289,EmploymentResults!$J:$J,G289,EmploymentResults!$K:$K,H289,EmploymentResults!$L:$L,I289)</f>
        <v>27.776536998310302</v>
      </c>
    </row>
    <row r="290" spans="1:12" x14ac:dyDescent="0.3">
      <c r="A290" t="str">
        <f t="shared" si="8"/>
        <v>CN|AccumulatedNewCapacity|RE1|PWRSOLUPE|2048</v>
      </c>
      <c r="B290" t="s">
        <v>39</v>
      </c>
      <c r="C290" t="s">
        <v>19</v>
      </c>
      <c r="D290" t="s">
        <v>34</v>
      </c>
      <c r="E290">
        <v>2048</v>
      </c>
      <c r="F290" t="s">
        <v>18</v>
      </c>
      <c r="G290" t="s">
        <v>63</v>
      </c>
      <c r="H290" t="s">
        <v>64</v>
      </c>
      <c r="I290" t="s">
        <v>65</v>
      </c>
      <c r="J290">
        <f>SUMIFS(RawResultsLong!$P:$P,RawResultsLong!$A:$A,A290)</f>
        <v>12.14419823999993</v>
      </c>
      <c r="K290">
        <f t="shared" si="9"/>
        <v>384.82642026009364</v>
      </c>
      <c r="L290">
        <f>SUMIFS(EmploymentResults!$V:$V,EmploymentResults!$D:$D,B290,EmploymentResults!$F:$F,C290,EmploymentResults!$G:$G,D290,EmploymentResults!$H:$H,E290,EmploymentResults!$J:$J,G290,EmploymentResults!$K:$K,H290,EmploymentResults!$L:$L,I290)</f>
        <v>27.550711494268388</v>
      </c>
    </row>
    <row r="291" spans="1:12" x14ac:dyDescent="0.3">
      <c r="A291" t="str">
        <f t="shared" si="8"/>
        <v>CN|AccumulatedNewCapacity|RE1|PWRSOLUPE|2049</v>
      </c>
      <c r="B291" t="s">
        <v>39</v>
      </c>
      <c r="C291" t="s">
        <v>19</v>
      </c>
      <c r="D291" t="s">
        <v>34</v>
      </c>
      <c r="E291">
        <v>2049</v>
      </c>
      <c r="F291" t="s">
        <v>18</v>
      </c>
      <c r="G291" t="s">
        <v>63</v>
      </c>
      <c r="H291" t="s">
        <v>64</v>
      </c>
      <c r="I291" t="s">
        <v>65</v>
      </c>
      <c r="J291">
        <f>SUMIFS(RawResultsLong!$P:$P,RawResultsLong!$A:$A,A291)</f>
        <v>12.14419823999993</v>
      </c>
      <c r="K291">
        <f t="shared" si="9"/>
        <v>384.82642026009364</v>
      </c>
      <c r="L291">
        <f>SUMIFS(EmploymentResults!$V:$V,EmploymentResults!$D:$D,B291,EmploymentResults!$F:$F,C291,EmploymentResults!$G:$G,D291,EmploymentResults!$H:$H,E291,EmploymentResults!$J:$J,G291,EmploymentResults!$K:$K,H291,EmploymentResults!$L:$L,I291)</f>
        <v>27.324885990187987</v>
      </c>
    </row>
    <row r="292" spans="1:12" x14ac:dyDescent="0.3">
      <c r="A292" t="str">
        <f t="shared" si="8"/>
        <v>CN|AccumulatedNewCapacity|RE1|PWRSOLUPE|2050</v>
      </c>
      <c r="B292" t="s">
        <v>39</v>
      </c>
      <c r="C292" t="s">
        <v>19</v>
      </c>
      <c r="D292" t="s">
        <v>34</v>
      </c>
      <c r="E292">
        <v>2050</v>
      </c>
      <c r="F292" t="s">
        <v>18</v>
      </c>
      <c r="G292" t="s">
        <v>63</v>
      </c>
      <c r="H292" t="s">
        <v>64</v>
      </c>
      <c r="I292" t="s">
        <v>65</v>
      </c>
      <c r="J292">
        <f>SUMIFS(RawResultsLong!$P:$P,RawResultsLong!$A:$A,A292)</f>
        <v>6.833535839999973</v>
      </c>
      <c r="K292">
        <f t="shared" si="9"/>
        <v>216.54168377823322</v>
      </c>
      <c r="L292">
        <f>SUMIFS(EmploymentResults!$V:$V,EmploymentResults!$D:$D,B292,EmploymentResults!$F:$F,C292,EmploymentResults!$G:$G,D292,EmploymentResults!$H:$H,E292,EmploymentResults!$J:$J,G292,EmploymentResults!$K:$K,H292,EmploymentResults!$L:$L,I292)</f>
        <v>15.248631272541488</v>
      </c>
    </row>
    <row r="293" spans="1:12" x14ac:dyDescent="0.3">
      <c r="A293" t="str">
        <f t="shared" si="8"/>
        <v>CN|AccumulatedNewCapacity|RE1|PWRSOLUPE|2051</v>
      </c>
      <c r="B293" t="s">
        <v>39</v>
      </c>
      <c r="C293" t="s">
        <v>19</v>
      </c>
      <c r="D293" t="s">
        <v>34</v>
      </c>
      <c r="E293">
        <v>2051</v>
      </c>
      <c r="F293" t="s">
        <v>18</v>
      </c>
      <c r="G293" t="s">
        <v>63</v>
      </c>
      <c r="H293" t="s">
        <v>64</v>
      </c>
      <c r="I293" t="s">
        <v>65</v>
      </c>
      <c r="J293">
        <f>SUMIFS(RawResultsLong!$P:$P,RawResultsLong!$A:$A,A293)</f>
        <v>3.4689599999999992</v>
      </c>
      <c r="K293">
        <f t="shared" si="9"/>
        <v>109.92470910335383</v>
      </c>
      <c r="L293">
        <f>SUMIFS(EmploymentResults!$V:$V,EmploymentResults!$D:$D,B293,EmploymentResults!$F:$F,C293,EmploymentResults!$G:$G,D293,EmploymentResults!$H:$H,E293,EmploymentResults!$J:$J,G293,EmploymentResults!$K:$K,H293,EmploymentResults!$L:$L,I293)</f>
        <v>7.7407791775327421</v>
      </c>
    </row>
    <row r="294" spans="1:12" x14ac:dyDescent="0.3">
      <c r="A294" t="str">
        <f t="shared" si="8"/>
        <v>CN|AccumulatedNewCapacity|RE1|PWRWNDOFS_FIX|2036</v>
      </c>
      <c r="B294" t="s">
        <v>39</v>
      </c>
      <c r="C294" t="s">
        <v>19</v>
      </c>
      <c r="D294" t="s">
        <v>42</v>
      </c>
      <c r="E294">
        <v>2036</v>
      </c>
      <c r="F294" t="s">
        <v>18</v>
      </c>
      <c r="G294" t="s">
        <v>63</v>
      </c>
      <c r="H294" t="s">
        <v>64</v>
      </c>
      <c r="I294" t="s">
        <v>65</v>
      </c>
      <c r="J294">
        <f>SUMIFS(RawResultsLong!$P:$P,RawResultsLong!$A:$A,A294)</f>
        <v>13.05396568386857</v>
      </c>
      <c r="K294">
        <f t="shared" si="9"/>
        <v>413.6552109117477</v>
      </c>
      <c r="L294">
        <f>SUMIFS(EmploymentResults!$V:$V,EmploymentResults!$D:$D,B294,EmploymentResults!$F:$F,C294,EmploymentResults!$G:$G,D294,EmploymentResults!$H:$H,E294,EmploymentResults!$J:$J,G294,EmploymentResults!$K:$K,H294,EmploymentResults!$L:$L,I294)</f>
        <v>29.65141551663093</v>
      </c>
    </row>
    <row r="295" spans="1:12" x14ac:dyDescent="0.3">
      <c r="A295" t="str">
        <f t="shared" si="8"/>
        <v>CN|AccumulatedNewCapacity|RE1|PWRWNDOFS_FIX|2037</v>
      </c>
      <c r="B295" t="s">
        <v>39</v>
      </c>
      <c r="C295" t="s">
        <v>19</v>
      </c>
      <c r="D295" t="s">
        <v>42</v>
      </c>
      <c r="E295">
        <v>2037</v>
      </c>
      <c r="F295" t="s">
        <v>18</v>
      </c>
      <c r="G295" t="s">
        <v>63</v>
      </c>
      <c r="H295" t="s">
        <v>64</v>
      </c>
      <c r="I295" t="s">
        <v>65</v>
      </c>
      <c r="J295">
        <f>SUMIFS(RawResultsLong!$P:$P,RawResultsLong!$A:$A,A295)</f>
        <v>36.184766587762063</v>
      </c>
      <c r="K295">
        <f t="shared" si="9"/>
        <v>1146.6260611631449</v>
      </c>
      <c r="L295">
        <f>SUMIFS(EmploymentResults!$V:$V,EmploymentResults!$D:$D,B295,EmploymentResults!$F:$F,C295,EmploymentResults!$G:$G,D295,EmploymentResults!$H:$H,E295,EmploymentResults!$J:$J,G295,EmploymentResults!$K:$K,H295,EmploymentResults!$L:$L,I295)</f>
        <v>80.824772772952841</v>
      </c>
    </row>
    <row r="296" spans="1:12" x14ac:dyDescent="0.3">
      <c r="A296" t="str">
        <f t="shared" si="8"/>
        <v>CN|AccumulatedNewCapacity|RE1|PWRWNDOFS_FIX|2038</v>
      </c>
      <c r="B296" t="s">
        <v>39</v>
      </c>
      <c r="C296" t="s">
        <v>19</v>
      </c>
      <c r="D296" t="s">
        <v>42</v>
      </c>
      <c r="E296">
        <v>2038</v>
      </c>
      <c r="F296" t="s">
        <v>18</v>
      </c>
      <c r="G296" t="s">
        <v>63</v>
      </c>
      <c r="H296" t="s">
        <v>64</v>
      </c>
      <c r="I296" t="s">
        <v>65</v>
      </c>
      <c r="J296">
        <f>SUMIFS(RawResultsLong!$P:$P,RawResultsLong!$A:$A,A296)</f>
        <v>83.494766587762058</v>
      </c>
      <c r="K296">
        <f t="shared" si="9"/>
        <v>2645.7894956448545</v>
      </c>
      <c r="L296">
        <f>SUMIFS(EmploymentResults!$V:$V,EmploymentResults!$D:$D,B296,EmploymentResults!$F:$F,C296,EmploymentResults!$G:$G,D296,EmploymentResults!$H:$H,E296,EmploymentResults!$J:$J,G296,EmploymentResults!$K:$K,H296,EmploymentResults!$L:$L,I296)</f>
        <v>183.34516494637589</v>
      </c>
    </row>
    <row r="297" spans="1:12" x14ac:dyDescent="0.3">
      <c r="A297" t="str">
        <f t="shared" si="8"/>
        <v>CN|AccumulatedNewCapacity|RE1|PWRWNDOFS_FIX|2039</v>
      </c>
      <c r="B297" t="s">
        <v>39</v>
      </c>
      <c r="C297" t="s">
        <v>19</v>
      </c>
      <c r="D297" t="s">
        <v>42</v>
      </c>
      <c r="E297">
        <v>2039</v>
      </c>
      <c r="F297" t="s">
        <v>18</v>
      </c>
      <c r="G297" t="s">
        <v>63</v>
      </c>
      <c r="H297" t="s">
        <v>64</v>
      </c>
      <c r="I297" t="s">
        <v>65</v>
      </c>
      <c r="J297">
        <f>SUMIFS(RawResultsLong!$P:$P,RawResultsLong!$A:$A,A297)</f>
        <v>130.80476658776209</v>
      </c>
      <c r="K297">
        <f t="shared" si="9"/>
        <v>4144.9529301265648</v>
      </c>
      <c r="L297">
        <f>SUMIFS(EmploymentResults!$V:$V,EmploymentResults!$D:$D,B297,EmploymentResults!$F:$F,C297,EmploymentResults!$G:$G,D297,EmploymentResults!$H:$H,E297,EmploymentResults!$J:$J,G297,EmploymentResults!$K:$K,H297,EmploymentResults!$L:$L,I297)</f>
        <v>282.29077773038495</v>
      </c>
    </row>
    <row r="298" spans="1:12" x14ac:dyDescent="0.3">
      <c r="A298" t="str">
        <f t="shared" si="8"/>
        <v>CN|AccumulatedNewCapacity|RE1|PWRWNDOFS_FIX|2040</v>
      </c>
      <c r="B298" t="s">
        <v>39</v>
      </c>
      <c r="C298" t="s">
        <v>19</v>
      </c>
      <c r="D298" t="s">
        <v>42</v>
      </c>
      <c r="E298">
        <v>2040</v>
      </c>
      <c r="F298" t="s">
        <v>18</v>
      </c>
      <c r="G298" t="s">
        <v>63</v>
      </c>
      <c r="H298" t="s">
        <v>64</v>
      </c>
      <c r="I298" t="s">
        <v>65</v>
      </c>
      <c r="J298">
        <f>SUMIFS(RawResultsLong!$P:$P,RawResultsLong!$A:$A,A298)</f>
        <v>178.11476658776209</v>
      </c>
      <c r="K298">
        <f t="shared" si="9"/>
        <v>5644.116364608275</v>
      </c>
      <c r="L298">
        <f>SUMIFS(EmploymentResults!$V:$V,EmploymentResults!$D:$D,B298,EmploymentResults!$F:$F,C298,EmploymentResults!$G:$G,D298,EmploymentResults!$H:$H,E298,EmploymentResults!$J:$J,G298,EmploymentResults!$K:$K,H298,EmploymentResults!$L:$L,I298)</f>
        <v>377.66161112486532</v>
      </c>
    </row>
    <row r="299" spans="1:12" x14ac:dyDescent="0.3">
      <c r="A299" t="str">
        <f t="shared" si="8"/>
        <v>CN|AccumulatedNewCapacity|RE1|PWRWNDOFS_FIX|2041</v>
      </c>
      <c r="B299" t="s">
        <v>39</v>
      </c>
      <c r="C299" t="s">
        <v>19</v>
      </c>
      <c r="D299" t="s">
        <v>42</v>
      </c>
      <c r="E299">
        <v>2041</v>
      </c>
      <c r="F299" t="s">
        <v>18</v>
      </c>
      <c r="G299" t="s">
        <v>63</v>
      </c>
      <c r="H299" t="s">
        <v>64</v>
      </c>
      <c r="I299" t="s">
        <v>65</v>
      </c>
      <c r="J299">
        <f>SUMIFS(RawResultsLong!$P:$P,RawResultsLong!$A:$A,A299)</f>
        <v>225.42476658776209</v>
      </c>
      <c r="K299">
        <f t="shared" si="9"/>
        <v>7143.2797990899844</v>
      </c>
      <c r="L299">
        <f>SUMIFS(EmploymentResults!$V:$V,EmploymentResults!$D:$D,B299,EmploymentResults!$F:$F,C299,EmploymentResults!$G:$G,D299,EmploymentResults!$H:$H,E299,EmploymentResults!$J:$J,G299,EmploymentResults!$K:$K,H299,EmploymentResults!$L:$L,I299)</f>
        <v>469.45766512981709</v>
      </c>
    </row>
    <row r="300" spans="1:12" x14ac:dyDescent="0.3">
      <c r="A300" t="str">
        <f t="shared" si="8"/>
        <v>CN|AccumulatedNewCapacity|RE1|PWRWNDOFS_FIX|2042</v>
      </c>
      <c r="B300" t="s">
        <v>39</v>
      </c>
      <c r="C300" t="s">
        <v>19</v>
      </c>
      <c r="D300" t="s">
        <v>42</v>
      </c>
      <c r="E300">
        <v>2042</v>
      </c>
      <c r="F300" t="s">
        <v>18</v>
      </c>
      <c r="G300" t="s">
        <v>63</v>
      </c>
      <c r="H300" t="s">
        <v>64</v>
      </c>
      <c r="I300" t="s">
        <v>65</v>
      </c>
      <c r="J300">
        <f>SUMIFS(RawResultsLong!$P:$P,RawResultsLong!$A:$A,A300)</f>
        <v>272.73476658776212</v>
      </c>
      <c r="K300">
        <f t="shared" si="9"/>
        <v>8642.4432335716938</v>
      </c>
      <c r="L300">
        <f>SUMIFS(EmploymentResults!$V:$V,EmploymentResults!$D:$D,B300,EmploymentResults!$F:$F,C300,EmploymentResults!$G:$G,D300,EmploymentResults!$H:$H,E300,EmploymentResults!$J:$J,G300,EmploymentResults!$K:$K,H300,EmploymentResults!$L:$L,I300)</f>
        <v>557.67893974524009</v>
      </c>
    </row>
    <row r="301" spans="1:12" x14ac:dyDescent="0.3">
      <c r="A301" t="str">
        <f t="shared" si="8"/>
        <v>CN|AccumulatedNewCapacity|RE1|PWRWNDOFS_FIX|2043</v>
      </c>
      <c r="B301" t="s">
        <v>39</v>
      </c>
      <c r="C301" t="s">
        <v>19</v>
      </c>
      <c r="D301" t="s">
        <v>42</v>
      </c>
      <c r="E301">
        <v>2043</v>
      </c>
      <c r="F301" t="s">
        <v>18</v>
      </c>
      <c r="G301" t="s">
        <v>63</v>
      </c>
      <c r="H301" t="s">
        <v>64</v>
      </c>
      <c r="I301" t="s">
        <v>65</v>
      </c>
      <c r="J301">
        <f>SUMIFS(RawResultsLong!$P:$P,RawResultsLong!$A:$A,A301)</f>
        <v>320.04476658776213</v>
      </c>
      <c r="K301">
        <f t="shared" si="9"/>
        <v>10141.606668053404</v>
      </c>
      <c r="L301">
        <f>SUMIFS(EmploymentResults!$V:$V,EmploymentResults!$D:$D,B301,EmploymentResults!$F:$F,C301,EmploymentResults!$G:$G,D301,EmploymentResults!$H:$H,E301,EmploymentResults!$J:$J,G301,EmploymentResults!$K:$K,H301,EmploymentResults!$L:$L,I301)</f>
        <v>642.32543497113443</v>
      </c>
    </row>
    <row r="302" spans="1:12" x14ac:dyDescent="0.3">
      <c r="A302" t="str">
        <f t="shared" si="8"/>
        <v>CN|AccumulatedNewCapacity|RE1|PWRWNDOFS_FIX|2044</v>
      </c>
      <c r="B302" t="s">
        <v>39</v>
      </c>
      <c r="C302" t="s">
        <v>19</v>
      </c>
      <c r="D302" t="s">
        <v>42</v>
      </c>
      <c r="E302">
        <v>2044</v>
      </c>
      <c r="F302" t="s">
        <v>18</v>
      </c>
      <c r="G302" t="s">
        <v>63</v>
      </c>
      <c r="H302" t="s">
        <v>64</v>
      </c>
      <c r="I302" t="s">
        <v>65</v>
      </c>
      <c r="J302">
        <f>SUMIFS(RawResultsLong!$P:$P,RawResultsLong!$A:$A,A302)</f>
        <v>328.96702457715821</v>
      </c>
      <c r="K302">
        <f t="shared" si="9"/>
        <v>10424.335962720808</v>
      </c>
      <c r="L302">
        <f>SUMIFS(EmploymentResults!$V:$V,EmploymentResults!$D:$D,B302,EmploymentResults!$F:$F,C302,EmploymentResults!$G:$G,D302,EmploymentResults!$H:$H,E302,EmploymentResults!$J:$J,G302,EmploymentResults!$K:$K,H302,EmploymentResults!$L:$L,I302)</f>
        <v>647.80378514974711</v>
      </c>
    </row>
    <row r="303" spans="1:12" x14ac:dyDescent="0.3">
      <c r="A303" t="str">
        <f t="shared" si="8"/>
        <v>CN|AccumulatedNewCapacity|RE1|PWRWNDOFS_FIX|2045</v>
      </c>
      <c r="B303" t="s">
        <v>39</v>
      </c>
      <c r="C303" t="s">
        <v>19</v>
      </c>
      <c r="D303" t="s">
        <v>42</v>
      </c>
      <c r="E303">
        <v>2045</v>
      </c>
      <c r="F303" t="s">
        <v>18</v>
      </c>
      <c r="G303" t="s">
        <v>63</v>
      </c>
      <c r="H303" t="s">
        <v>64</v>
      </c>
      <c r="I303" t="s">
        <v>65</v>
      </c>
      <c r="J303">
        <f>SUMIFS(RawResultsLong!$P:$P,RawResultsLong!$A:$A,A303)</f>
        <v>376.27702457715822</v>
      </c>
      <c r="K303">
        <f t="shared" si="9"/>
        <v>11923.499397202519</v>
      </c>
      <c r="L303">
        <f>SUMIFS(EmploymentResults!$V:$V,EmploymentResults!$D:$D,B303,EmploymentResults!$F:$F,C303,EmploymentResults!$G:$G,D303,EmploymentResults!$H:$H,E303,EmploymentResults!$J:$J,G303,EmploymentResults!$K:$K,H303,EmploymentResults!$L:$L,I303)</f>
        <v>726.75102500956098</v>
      </c>
    </row>
    <row r="304" spans="1:12" x14ac:dyDescent="0.3">
      <c r="A304" t="str">
        <f t="shared" si="8"/>
        <v>CN|AccumulatedNewCapacity|RE1|PWRWNDOFS_FIX|2046</v>
      </c>
      <c r="B304" t="s">
        <v>39</v>
      </c>
      <c r="C304" t="s">
        <v>19</v>
      </c>
      <c r="D304" t="s">
        <v>42</v>
      </c>
      <c r="E304">
        <v>2046</v>
      </c>
      <c r="F304" t="s">
        <v>18</v>
      </c>
      <c r="G304" t="s">
        <v>63</v>
      </c>
      <c r="H304" t="s">
        <v>64</v>
      </c>
      <c r="I304" t="s">
        <v>65</v>
      </c>
      <c r="J304">
        <f>SUMIFS(RawResultsLong!$P:$P,RawResultsLong!$A:$A,A304)</f>
        <v>423.58702457715822</v>
      </c>
      <c r="K304">
        <f t="shared" si="9"/>
        <v>13422.662831684229</v>
      </c>
      <c r="L304">
        <f>SUMIFS(EmploymentResults!$V:$V,EmploymentResults!$D:$D,B304,EmploymentResults!$F:$F,C304,EmploymentResults!$G:$G,D304,EmploymentResults!$H:$H,E304,EmploymentResults!$J:$J,G304,EmploymentResults!$K:$K,H304,EmploymentResults!$L:$L,I304)</f>
        <v>802.12348547984618</v>
      </c>
    </row>
    <row r="305" spans="1:12" x14ac:dyDescent="0.3">
      <c r="A305" t="str">
        <f t="shared" si="8"/>
        <v>CN|AccumulatedNewCapacity|RE1|PWRWNDOFS_FIX|2047</v>
      </c>
      <c r="B305" t="s">
        <v>39</v>
      </c>
      <c r="C305" t="s">
        <v>19</v>
      </c>
      <c r="D305" t="s">
        <v>42</v>
      </c>
      <c r="E305">
        <v>2047</v>
      </c>
      <c r="F305" t="s">
        <v>18</v>
      </c>
      <c r="G305" t="s">
        <v>63</v>
      </c>
      <c r="H305" t="s">
        <v>64</v>
      </c>
      <c r="I305" t="s">
        <v>65</v>
      </c>
      <c r="J305">
        <f>SUMIFS(RawResultsLong!$P:$P,RawResultsLong!$A:$A,A305)</f>
        <v>470.89702457715822</v>
      </c>
      <c r="K305">
        <f t="shared" si="9"/>
        <v>14921.826266165937</v>
      </c>
      <c r="L305">
        <f>SUMIFS(EmploymentResults!$V:$V,EmploymentResults!$D:$D,B305,EmploymentResults!$F:$F,C305,EmploymentResults!$G:$G,D305,EmploymentResults!$H:$H,E305,EmploymentResults!$J:$J,G305,EmploymentResults!$K:$K,H305,EmploymentResults!$L:$L,I305)</f>
        <v>873.9211665606025</v>
      </c>
    </row>
    <row r="306" spans="1:12" x14ac:dyDescent="0.3">
      <c r="A306" t="str">
        <f t="shared" si="8"/>
        <v>CN|AccumulatedNewCapacity|RE1|PWRWNDOFS_FIX|2048</v>
      </c>
      <c r="B306" t="s">
        <v>39</v>
      </c>
      <c r="C306" t="s">
        <v>19</v>
      </c>
      <c r="D306" t="s">
        <v>42</v>
      </c>
      <c r="E306">
        <v>2048</v>
      </c>
      <c r="F306" t="s">
        <v>18</v>
      </c>
      <c r="G306" t="s">
        <v>63</v>
      </c>
      <c r="H306" t="s">
        <v>64</v>
      </c>
      <c r="I306" t="s">
        <v>65</v>
      </c>
      <c r="J306">
        <f>SUMIFS(RawResultsLong!$P:$P,RawResultsLong!$A:$A,A306)</f>
        <v>518.20702457715811</v>
      </c>
      <c r="K306">
        <f t="shared" si="9"/>
        <v>16420.989700647642</v>
      </c>
      <c r="L306">
        <f>SUMIFS(EmploymentResults!$V:$V,EmploymentResults!$D:$D,B306,EmploymentResults!$F:$F,C306,EmploymentResults!$G:$G,D306,EmploymentResults!$H:$H,E306,EmploymentResults!$J:$J,G306,EmploymentResults!$K:$K,H306,EmploymentResults!$L:$L,I306)</f>
        <v>942.14406825183016</v>
      </c>
    </row>
    <row r="307" spans="1:12" x14ac:dyDescent="0.3">
      <c r="A307" t="str">
        <f t="shared" si="8"/>
        <v>CN|AccumulatedNewCapacity|RE1|PWRWNDOFS_FIX|2049</v>
      </c>
      <c r="B307" t="s">
        <v>39</v>
      </c>
      <c r="C307" t="s">
        <v>19</v>
      </c>
      <c r="D307" t="s">
        <v>42</v>
      </c>
      <c r="E307">
        <v>2049</v>
      </c>
      <c r="F307" t="s">
        <v>18</v>
      </c>
      <c r="G307" t="s">
        <v>63</v>
      </c>
      <c r="H307" t="s">
        <v>64</v>
      </c>
      <c r="I307" t="s">
        <v>65</v>
      </c>
      <c r="J307">
        <f>SUMIFS(RawResultsLong!$P:$P,RawResultsLong!$A:$A,A307)</f>
        <v>553.85030883313163</v>
      </c>
      <c r="K307">
        <f t="shared" si="9"/>
        <v>17550.457222131332</v>
      </c>
      <c r="L307">
        <f>SUMIFS(EmploymentResults!$V:$V,EmploymentResults!$D:$D,B307,EmploymentResults!$F:$F,C307,EmploymentResults!$G:$G,D307,EmploymentResults!$H:$H,E307,EmploymentResults!$J:$J,G307,EmploymentResults!$K:$K,H307,EmploymentResults!$L:$L,I307)</f>
        <v>986.02189047409991</v>
      </c>
    </row>
    <row r="308" spans="1:12" x14ac:dyDescent="0.3">
      <c r="A308" t="str">
        <f t="shared" si="8"/>
        <v>CN|AccumulatedNewCapacity|RE1|PWRWNDOFS_FIX|2050</v>
      </c>
      <c r="B308" t="s">
        <v>39</v>
      </c>
      <c r="C308" t="s">
        <v>19</v>
      </c>
      <c r="D308" t="s">
        <v>42</v>
      </c>
      <c r="E308">
        <v>2050</v>
      </c>
      <c r="F308" t="s">
        <v>18</v>
      </c>
      <c r="G308" t="s">
        <v>63</v>
      </c>
      <c r="H308" t="s">
        <v>64</v>
      </c>
      <c r="I308" t="s">
        <v>65</v>
      </c>
      <c r="J308">
        <f>SUMIFS(RawResultsLong!$P:$P,RawResultsLong!$A:$A,A308)</f>
        <v>553.85030883313163</v>
      </c>
      <c r="K308">
        <f t="shared" si="9"/>
        <v>17550.457222131332</v>
      </c>
      <c r="L308">
        <f>SUMIFS(EmploymentResults!$V:$V,EmploymentResults!$D:$D,B308,EmploymentResults!$F:$F,C308,EmploymentResults!$G:$G,D308,EmploymentResults!$H:$H,E308,EmploymentResults!$J:$J,G308,EmploymentResults!$K:$K,H308,EmploymentResults!$L:$L,I308)</f>
        <v>965.09721631535149</v>
      </c>
    </row>
    <row r="309" spans="1:12" x14ac:dyDescent="0.3">
      <c r="A309" t="str">
        <f t="shared" si="8"/>
        <v>CN|AccumulatedNewCapacity|RE1|PWRWNDOFS_FIX|2051</v>
      </c>
      <c r="B309" t="s">
        <v>39</v>
      </c>
      <c r="C309" t="s">
        <v>19</v>
      </c>
      <c r="D309" t="s">
        <v>42</v>
      </c>
      <c r="E309">
        <v>2051</v>
      </c>
      <c r="F309" t="s">
        <v>18</v>
      </c>
      <c r="G309" t="s">
        <v>63</v>
      </c>
      <c r="H309" t="s">
        <v>64</v>
      </c>
      <c r="I309" t="s">
        <v>65</v>
      </c>
      <c r="J309">
        <f>SUMIFS(RawResultsLong!$P:$P,RawResultsLong!$A:$A,A309)</f>
        <v>553.85030883313163</v>
      </c>
      <c r="K309">
        <f t="shared" si="9"/>
        <v>17550.457222131332</v>
      </c>
      <c r="L309">
        <f>SUMIFS(EmploymentResults!$V:$V,EmploymentResults!$D:$D,B309,EmploymentResults!$F:$F,C309,EmploymentResults!$G:$G,D309,EmploymentResults!$H:$H,E309,EmploymentResults!$J:$J,G309,EmploymentResults!$K:$K,H309,EmploymentResults!$L:$L,I309)</f>
        <v>965.09721631535149</v>
      </c>
    </row>
    <row r="310" spans="1:12" x14ac:dyDescent="0.3">
      <c r="A310" t="str">
        <f t="shared" si="8"/>
        <v>CN|AccumulatedNewCapacity|RE1|PWRWNDOFS_FIX|2052</v>
      </c>
      <c r="B310" t="s">
        <v>39</v>
      </c>
      <c r="C310" t="s">
        <v>19</v>
      </c>
      <c r="D310" t="s">
        <v>42</v>
      </c>
      <c r="E310">
        <v>2052</v>
      </c>
      <c r="F310" t="s">
        <v>18</v>
      </c>
      <c r="G310" t="s">
        <v>63</v>
      </c>
      <c r="H310" t="s">
        <v>64</v>
      </c>
      <c r="I310" t="s">
        <v>65</v>
      </c>
      <c r="J310">
        <f>SUMIFS(RawResultsLong!$P:$P,RawResultsLong!$A:$A,A310)</f>
        <v>565.5570097473003</v>
      </c>
      <c r="K310">
        <f t="shared" si="9"/>
        <v>17921.42018871208</v>
      </c>
      <c r="L310">
        <f>SUMIFS(EmploymentResults!$V:$V,EmploymentResults!$D:$D,B310,EmploymentResults!$F:$F,C310,EmploymentResults!$G:$G,D310,EmploymentResults!$H:$H,E310,EmploymentResults!$J:$J,G310,EmploymentResults!$K:$K,H310,EmploymentResults!$L:$L,I310)</f>
        <v>985.49641856244182</v>
      </c>
    </row>
    <row r="311" spans="1:12" x14ac:dyDescent="0.3">
      <c r="A311" t="str">
        <f t="shared" si="8"/>
        <v>CN|AccumulatedNewCapacity|RE1|PWRWNDOFS_FIX|2053</v>
      </c>
      <c r="B311" t="s">
        <v>39</v>
      </c>
      <c r="C311" t="s">
        <v>19</v>
      </c>
      <c r="D311" t="s">
        <v>42</v>
      </c>
      <c r="E311">
        <v>2053</v>
      </c>
      <c r="F311" t="s">
        <v>18</v>
      </c>
      <c r="G311" t="s">
        <v>63</v>
      </c>
      <c r="H311" t="s">
        <v>64</v>
      </c>
      <c r="I311" t="s">
        <v>65</v>
      </c>
      <c r="J311">
        <f>SUMIFS(RawResultsLong!$P:$P,RawResultsLong!$A:$A,A311)</f>
        <v>587.94553340507798</v>
      </c>
      <c r="K311">
        <f t="shared" si="9"/>
        <v>18630.869692406202</v>
      </c>
      <c r="L311">
        <f>SUMIFS(EmploymentResults!$V:$V,EmploymentResults!$D:$D,B311,EmploymentResults!$F:$F,C311,EmploymentResults!$G:$G,D311,EmploymentResults!$H:$H,E311,EmploymentResults!$J:$J,G311,EmploymentResults!$K:$K,H311,EmploymentResults!$L:$L,I311)</f>
        <v>1024.508948690039</v>
      </c>
    </row>
    <row r="312" spans="1:12" x14ac:dyDescent="0.3">
      <c r="A312" t="str">
        <f t="shared" si="8"/>
        <v>CN|AccumulatedNewCapacity|RE1|PWRWNDOFS_FIX|2054</v>
      </c>
      <c r="B312" t="s">
        <v>39</v>
      </c>
      <c r="C312" t="s">
        <v>19</v>
      </c>
      <c r="D312" t="s">
        <v>42</v>
      </c>
      <c r="E312">
        <v>2054</v>
      </c>
      <c r="F312" t="s">
        <v>18</v>
      </c>
      <c r="G312" t="s">
        <v>63</v>
      </c>
      <c r="H312" t="s">
        <v>64</v>
      </c>
      <c r="I312" t="s">
        <v>65</v>
      </c>
      <c r="J312">
        <f>SUMIFS(RawResultsLong!$P:$P,RawResultsLong!$A:$A,A312)</f>
        <v>609.11674579839485</v>
      </c>
      <c r="K312">
        <f t="shared" si="9"/>
        <v>19301.744929855086</v>
      </c>
      <c r="L312">
        <f>SUMIFS(EmploymentResults!$V:$V,EmploymentResults!$D:$D,B312,EmploymentResults!$F:$F,C312,EmploymentResults!$G:$G,D312,EmploymentResults!$H:$H,E312,EmploymentResults!$J:$J,G312,EmploymentResults!$K:$K,H312,EmploymentResults!$L:$L,I312)</f>
        <v>1061.4002852496567</v>
      </c>
    </row>
    <row r="313" spans="1:12" x14ac:dyDescent="0.3">
      <c r="A313" t="str">
        <f t="shared" si="8"/>
        <v>CN|AccumulatedNewCapacity|RE1|PWRWNDOFS_FIX|2055</v>
      </c>
      <c r="B313" t="s">
        <v>39</v>
      </c>
      <c r="C313" t="s">
        <v>19</v>
      </c>
      <c r="D313" t="s">
        <v>42</v>
      </c>
      <c r="E313">
        <v>2055</v>
      </c>
      <c r="F313" t="s">
        <v>18</v>
      </c>
      <c r="G313" t="s">
        <v>63</v>
      </c>
      <c r="H313" t="s">
        <v>64</v>
      </c>
      <c r="I313" t="s">
        <v>65</v>
      </c>
      <c r="J313">
        <f>SUMIFS(RawResultsLong!$P:$P,RawResultsLong!$A:$A,A313)</f>
        <v>609.11674579839485</v>
      </c>
      <c r="K313">
        <f t="shared" si="9"/>
        <v>19301.744929855086</v>
      </c>
      <c r="L313">
        <f>SUMIFS(EmploymentResults!$V:$V,EmploymentResults!$D:$D,B313,EmploymentResults!$F:$F,C313,EmploymentResults!$G:$G,D313,EmploymentResults!$H:$H,E313,EmploymentResults!$J:$J,G313,EmploymentResults!$K:$K,H313,EmploymentResults!$L:$L,I313)</f>
        <v>1061.4002852496567</v>
      </c>
    </row>
    <row r="314" spans="1:12" x14ac:dyDescent="0.3">
      <c r="A314" t="str">
        <f t="shared" si="8"/>
        <v>CN|AccumulatedNewCapacity|RE1|PWRWNDOFS_FLO|2047</v>
      </c>
      <c r="B314" t="s">
        <v>39</v>
      </c>
      <c r="C314" t="s">
        <v>19</v>
      </c>
      <c r="D314" t="s">
        <v>43</v>
      </c>
      <c r="E314">
        <v>2047</v>
      </c>
      <c r="F314" t="s">
        <v>18</v>
      </c>
      <c r="G314" t="s">
        <v>63</v>
      </c>
      <c r="H314" t="s">
        <v>64</v>
      </c>
      <c r="I314" t="s">
        <v>65</v>
      </c>
      <c r="J314">
        <f>SUMIFS(RawResultsLong!$P:$P,RawResultsLong!$A:$A,A314)</f>
        <v>2.3209769134012128</v>
      </c>
      <c r="K314">
        <f t="shared" si="9"/>
        <v>73.547320246191489</v>
      </c>
      <c r="L314">
        <f>SUMIFS(EmploymentResults!$V:$V,EmploymentResults!$D:$D,B314,EmploymentResults!$F:$F,C314,EmploymentResults!$G:$G,D314,EmploymentResults!$H:$H,E314,EmploymentResults!$J:$J,G314,EmploymentResults!$K:$K,H314,EmploymentResults!$L:$L,I314)</f>
        <v>10.530403634562026</v>
      </c>
    </row>
    <row r="315" spans="1:12" x14ac:dyDescent="0.3">
      <c r="A315" t="str">
        <f t="shared" si="8"/>
        <v>CN|AccumulatedNewCapacity|RE1|PWRWNDOFS_FLO|2048</v>
      </c>
      <c r="B315" t="s">
        <v>39</v>
      </c>
      <c r="C315" t="s">
        <v>19</v>
      </c>
      <c r="D315" t="s">
        <v>43</v>
      </c>
      <c r="E315">
        <v>2048</v>
      </c>
      <c r="F315" t="s">
        <v>18</v>
      </c>
      <c r="G315" t="s">
        <v>63</v>
      </c>
      <c r="H315" t="s">
        <v>64</v>
      </c>
      <c r="I315" t="s">
        <v>65</v>
      </c>
      <c r="J315">
        <f>SUMIFS(RawResultsLong!$P:$P,RawResultsLong!$A:$A,A315)</f>
        <v>7.2734896835090179</v>
      </c>
      <c r="K315">
        <f t="shared" si="9"/>
        <v>230.48297980546738</v>
      </c>
      <c r="L315">
        <f>SUMIFS(EmploymentResults!$V:$V,EmploymentResults!$D:$D,B315,EmploymentResults!$F:$F,C315,EmploymentResults!$G:$G,D315,EmploymentResults!$H:$H,E315,EmploymentResults!$J:$J,G315,EmploymentResults!$K:$K,H315,EmploymentResults!$L:$L,I315)</f>
        <v>31.665854790107637</v>
      </c>
    </row>
    <row r="316" spans="1:12" x14ac:dyDescent="0.3">
      <c r="A316" t="str">
        <f t="shared" si="8"/>
        <v>CN|AccumulatedNewCapacity|RE1|PWRWNDOFS_FLO|2049</v>
      </c>
      <c r="B316" t="s">
        <v>39</v>
      </c>
      <c r="C316" t="s">
        <v>19</v>
      </c>
      <c r="D316" t="s">
        <v>43</v>
      </c>
      <c r="E316">
        <v>2049</v>
      </c>
      <c r="F316" t="s">
        <v>18</v>
      </c>
      <c r="G316" t="s">
        <v>63</v>
      </c>
      <c r="H316" t="s">
        <v>64</v>
      </c>
      <c r="I316" t="s">
        <v>65</v>
      </c>
      <c r="J316">
        <f>SUMIFS(RawResultsLong!$P:$P,RawResultsLong!$A:$A,A316)</f>
        <v>7.2734896835090179</v>
      </c>
      <c r="K316">
        <f t="shared" si="9"/>
        <v>230.48297980546738</v>
      </c>
      <c r="L316">
        <f>SUMIFS(EmploymentResults!$V:$V,EmploymentResults!$D:$D,B316,EmploymentResults!$F:$F,C316,EmploymentResults!$G:$G,D316,EmploymentResults!$H:$H,E316,EmploymentResults!$J:$J,G316,EmploymentResults!$K:$K,H316,EmploymentResults!$L:$L,I316)</f>
        <v>30.331475171622241</v>
      </c>
    </row>
    <row r="317" spans="1:12" x14ac:dyDescent="0.3">
      <c r="A317" t="str">
        <f t="shared" si="8"/>
        <v>CN|AccumulatedNewCapacity|RE1|PWRWNDOFS_FLO|2050</v>
      </c>
      <c r="B317" t="s">
        <v>39</v>
      </c>
      <c r="C317" t="s">
        <v>19</v>
      </c>
      <c r="D317" t="s">
        <v>43</v>
      </c>
      <c r="E317">
        <v>2050</v>
      </c>
      <c r="F317" t="s">
        <v>18</v>
      </c>
      <c r="G317" t="s">
        <v>63</v>
      </c>
      <c r="H317" t="s">
        <v>64</v>
      </c>
      <c r="I317" t="s">
        <v>65</v>
      </c>
      <c r="J317">
        <f>SUMIFS(RawResultsLong!$P:$P,RawResultsLong!$A:$A,A317)</f>
        <v>7.2734896835090179</v>
      </c>
      <c r="K317">
        <f t="shared" si="9"/>
        <v>230.48297980546738</v>
      </c>
      <c r="L317">
        <f>SUMIFS(EmploymentResults!$V:$V,EmploymentResults!$D:$D,B317,EmploymentResults!$F:$F,C317,EmploymentResults!$G:$G,D317,EmploymentResults!$H:$H,E317,EmploymentResults!$J:$J,G317,EmploymentResults!$K:$K,H317,EmploymentResults!$L:$L,I317)</f>
        <v>28.997095553367327</v>
      </c>
    </row>
    <row r="318" spans="1:12" x14ac:dyDescent="0.3">
      <c r="A318" t="str">
        <f t="shared" si="8"/>
        <v>CN|AccumulatedNewCapacity|RE1|PWRWNDOFS_FLO|2051</v>
      </c>
      <c r="B318" t="s">
        <v>39</v>
      </c>
      <c r="C318" t="s">
        <v>19</v>
      </c>
      <c r="D318" t="s">
        <v>43</v>
      </c>
      <c r="E318">
        <v>2051</v>
      </c>
      <c r="F318" t="s">
        <v>18</v>
      </c>
      <c r="G318" t="s">
        <v>63</v>
      </c>
      <c r="H318" t="s">
        <v>64</v>
      </c>
      <c r="I318" t="s">
        <v>65</v>
      </c>
      <c r="J318">
        <f>SUMIFS(RawResultsLong!$P:$P,RawResultsLong!$A:$A,A318)</f>
        <v>7.2734896835090179</v>
      </c>
      <c r="K318">
        <f t="shared" si="9"/>
        <v>230.48297980546738</v>
      </c>
      <c r="L318">
        <f>SUMIFS(EmploymentResults!$V:$V,EmploymentResults!$D:$D,B318,EmploymentResults!$F:$F,C318,EmploymentResults!$G:$G,D318,EmploymentResults!$H:$H,E318,EmploymentResults!$J:$J,G318,EmploymentResults!$K:$K,H318,EmploymentResults!$L:$L,I318)</f>
        <v>28.997095553367327</v>
      </c>
    </row>
    <row r="319" spans="1:12" x14ac:dyDescent="0.3">
      <c r="A319" t="str">
        <f t="shared" si="8"/>
        <v>CN|AccumulatedNewCapacity|RE1|PWRWNDOFS_FLO|2052</v>
      </c>
      <c r="B319" t="s">
        <v>39</v>
      </c>
      <c r="C319" t="s">
        <v>19</v>
      </c>
      <c r="D319" t="s">
        <v>43</v>
      </c>
      <c r="E319">
        <v>2052</v>
      </c>
      <c r="F319" t="s">
        <v>18</v>
      </c>
      <c r="G319" t="s">
        <v>63</v>
      </c>
      <c r="H319" t="s">
        <v>64</v>
      </c>
      <c r="I319" t="s">
        <v>65</v>
      </c>
      <c r="J319">
        <f>SUMIFS(RawResultsLong!$P:$P,RawResultsLong!$A:$A,A319)</f>
        <v>7.2734896835090179</v>
      </c>
      <c r="K319">
        <f t="shared" si="9"/>
        <v>230.48297980546738</v>
      </c>
      <c r="L319">
        <f>SUMIFS(EmploymentResults!$V:$V,EmploymentResults!$D:$D,B319,EmploymentResults!$F:$F,C319,EmploymentResults!$G:$G,D319,EmploymentResults!$H:$H,E319,EmploymentResults!$J:$J,G319,EmploymentResults!$K:$K,H319,EmploymentResults!$L:$L,I319)</f>
        <v>28.997095553367327</v>
      </c>
    </row>
    <row r="320" spans="1:12" x14ac:dyDescent="0.3">
      <c r="A320" t="str">
        <f t="shared" si="8"/>
        <v>CN|AccumulatedNewCapacity|RE1|PWRWNDOFS_FLO|2053</v>
      </c>
      <c r="B320" t="s">
        <v>39</v>
      </c>
      <c r="C320" t="s">
        <v>19</v>
      </c>
      <c r="D320" t="s">
        <v>43</v>
      </c>
      <c r="E320">
        <v>2053</v>
      </c>
      <c r="F320" t="s">
        <v>18</v>
      </c>
      <c r="G320" t="s">
        <v>63</v>
      </c>
      <c r="H320" t="s">
        <v>64</v>
      </c>
      <c r="I320" t="s">
        <v>65</v>
      </c>
      <c r="J320">
        <f>SUMIFS(RawResultsLong!$P:$P,RawResultsLong!$A:$A,A320)</f>
        <v>7.2734896835090179</v>
      </c>
      <c r="K320">
        <f t="shared" si="9"/>
        <v>230.48297980546738</v>
      </c>
      <c r="L320">
        <f>SUMIFS(EmploymentResults!$V:$V,EmploymentResults!$D:$D,B320,EmploymentResults!$F:$F,C320,EmploymentResults!$G:$G,D320,EmploymentResults!$H:$H,E320,EmploymentResults!$J:$J,G320,EmploymentResults!$K:$K,H320,EmploymentResults!$L:$L,I320)</f>
        <v>28.997095553367327</v>
      </c>
    </row>
    <row r="321" spans="1:12" x14ac:dyDescent="0.3">
      <c r="A321" t="str">
        <f t="shared" si="8"/>
        <v>CN|AccumulatedNewCapacity|RE1|PWRWNDOFS_FLO|2054</v>
      </c>
      <c r="B321" t="s">
        <v>39</v>
      </c>
      <c r="C321" t="s">
        <v>19</v>
      </c>
      <c r="D321" t="s">
        <v>43</v>
      </c>
      <c r="E321">
        <v>2054</v>
      </c>
      <c r="F321" t="s">
        <v>18</v>
      </c>
      <c r="G321" t="s">
        <v>63</v>
      </c>
      <c r="H321" t="s">
        <v>64</v>
      </c>
      <c r="I321" t="s">
        <v>65</v>
      </c>
      <c r="J321">
        <f>SUMIFS(RawResultsLong!$P:$P,RawResultsLong!$A:$A,A321)</f>
        <v>7.2734896835090179</v>
      </c>
      <c r="K321">
        <f t="shared" si="9"/>
        <v>230.48297980546738</v>
      </c>
      <c r="L321">
        <f>SUMIFS(EmploymentResults!$V:$V,EmploymentResults!$D:$D,B321,EmploymentResults!$F:$F,C321,EmploymentResults!$G:$G,D321,EmploymentResults!$H:$H,E321,EmploymentResults!$J:$J,G321,EmploymentResults!$K:$K,H321,EmploymentResults!$L:$L,I321)</f>
        <v>28.997095553367327</v>
      </c>
    </row>
    <row r="322" spans="1:12" x14ac:dyDescent="0.3">
      <c r="A322" t="str">
        <f t="shared" ref="A322:A385" si="10">B322&amp;"|"&amp;F322&amp;"|"&amp;C322&amp;"|"&amp;D322&amp;"|"&amp;E322</f>
        <v>CN|AccumulatedNewCapacity|RE1|PWRWNDOFS_FLO|2055</v>
      </c>
      <c r="B322" t="s">
        <v>39</v>
      </c>
      <c r="C322" t="s">
        <v>19</v>
      </c>
      <c r="D322" t="s">
        <v>43</v>
      </c>
      <c r="E322">
        <v>2055</v>
      </c>
      <c r="F322" t="s">
        <v>18</v>
      </c>
      <c r="G322" t="s">
        <v>63</v>
      </c>
      <c r="H322" t="s">
        <v>64</v>
      </c>
      <c r="I322" t="s">
        <v>65</v>
      </c>
      <c r="J322">
        <f>SUMIFS(RawResultsLong!$P:$P,RawResultsLong!$A:$A,A322)</f>
        <v>7.2734896835090179</v>
      </c>
      <c r="K322">
        <f t="shared" ref="K322:K385" si="11">J322*1000/31.5576</f>
        <v>230.48297980546738</v>
      </c>
      <c r="L322">
        <f>SUMIFS(EmploymentResults!$V:$V,EmploymentResults!$D:$D,B322,EmploymentResults!$F:$F,C322,EmploymentResults!$G:$G,D322,EmploymentResults!$H:$H,E322,EmploymentResults!$J:$J,G322,EmploymentResults!$K:$K,H322,EmploymentResults!$L:$L,I322)</f>
        <v>28.997095553367327</v>
      </c>
    </row>
    <row r="323" spans="1:12" x14ac:dyDescent="0.3">
      <c r="A323" t="str">
        <f t="shared" si="10"/>
        <v>CN|AccumulatedNewCapacity|RE1|PWRWNDONS|2025</v>
      </c>
      <c r="B323" t="s">
        <v>39</v>
      </c>
      <c r="C323" t="s">
        <v>19</v>
      </c>
      <c r="D323" t="s">
        <v>36</v>
      </c>
      <c r="E323">
        <v>2025</v>
      </c>
      <c r="F323" t="s">
        <v>18</v>
      </c>
      <c r="G323" t="s">
        <v>63</v>
      </c>
      <c r="H323" t="s">
        <v>64</v>
      </c>
      <c r="I323" t="s">
        <v>65</v>
      </c>
      <c r="J323">
        <f>SUMIFS(RawResultsLong!$P:$P,RawResultsLong!$A:$A,A323)</f>
        <v>0.15362331428571441</v>
      </c>
      <c r="K323">
        <f t="shared" si="11"/>
        <v>4.8680290733678859</v>
      </c>
      <c r="L323">
        <f>SUMIFS(EmploymentResults!$V:$V,EmploymentResults!$D:$D,B323,EmploymentResults!$F:$F,C323,EmploymentResults!$G:$G,D323,EmploymentResults!$H:$H,E323,EmploymentResults!$J:$J,G323,EmploymentResults!$K:$K,H323,EmploymentResults!$L:$L,I323)</f>
        <v>0.14479721513827704</v>
      </c>
    </row>
    <row r="324" spans="1:12" x14ac:dyDescent="0.3">
      <c r="A324" t="str">
        <f t="shared" si="10"/>
        <v>CN|AccumulatedNewCapacity|RE1|PWRWNDONS|2026</v>
      </c>
      <c r="B324" t="s">
        <v>39</v>
      </c>
      <c r="C324" t="s">
        <v>19</v>
      </c>
      <c r="D324" t="s">
        <v>36</v>
      </c>
      <c r="E324">
        <v>2026</v>
      </c>
      <c r="F324" t="s">
        <v>18</v>
      </c>
      <c r="G324" t="s">
        <v>63</v>
      </c>
      <c r="H324" t="s">
        <v>64</v>
      </c>
      <c r="I324" t="s">
        <v>65</v>
      </c>
      <c r="J324">
        <f>SUMIFS(RawResultsLong!$P:$P,RawResultsLong!$A:$A,A324)</f>
        <v>14.28944648443558</v>
      </c>
      <c r="K324">
        <f t="shared" si="11"/>
        <v>452.80523501266185</v>
      </c>
      <c r="L324">
        <f>SUMIFS(EmploymentResults!$V:$V,EmploymentResults!$D:$D,B324,EmploymentResults!$F:$F,C324,EmploymentResults!$G:$G,D324,EmploymentResults!$H:$H,E324,EmploymentResults!$J:$J,G324,EmploymentResults!$K:$K,H324,EmploymentResults!$L:$L,I324)</f>
        <v>13.352796711326588</v>
      </c>
    </row>
    <row r="325" spans="1:12" x14ac:dyDescent="0.3">
      <c r="A325" t="str">
        <f t="shared" si="10"/>
        <v>CN|AccumulatedNewCapacity|RE1|PWRWNDONS|2027</v>
      </c>
      <c r="B325" t="s">
        <v>39</v>
      </c>
      <c r="C325" t="s">
        <v>19</v>
      </c>
      <c r="D325" t="s">
        <v>36</v>
      </c>
      <c r="E325">
        <v>2027</v>
      </c>
      <c r="F325" t="s">
        <v>18</v>
      </c>
      <c r="G325" t="s">
        <v>63</v>
      </c>
      <c r="H325" t="s">
        <v>64</v>
      </c>
      <c r="I325" t="s">
        <v>65</v>
      </c>
      <c r="J325">
        <f>SUMIFS(RawResultsLong!$P:$P,RawResultsLong!$A:$A,A325)</f>
        <v>31.689446484435582</v>
      </c>
      <c r="K325">
        <f t="shared" si="11"/>
        <v>1004.1779629767657</v>
      </c>
      <c r="L325">
        <f>SUMIFS(EmploymentResults!$V:$V,EmploymentResults!$D:$D,B325,EmploymentResults!$F:$F,C325,EmploymentResults!$G:$G,D325,EmploymentResults!$H:$H,E325,EmploymentResults!$J:$J,G325,EmploymentResults!$K:$K,H325,EmploymentResults!$L:$L,I325)</f>
        <v>29.35571344318997</v>
      </c>
    </row>
    <row r="326" spans="1:12" x14ac:dyDescent="0.3">
      <c r="A326" t="str">
        <f t="shared" si="10"/>
        <v>CN|AccumulatedNewCapacity|RE1|PWRWNDONS|2028</v>
      </c>
      <c r="B326" t="s">
        <v>39</v>
      </c>
      <c r="C326" t="s">
        <v>19</v>
      </c>
      <c r="D326" t="s">
        <v>36</v>
      </c>
      <c r="E326">
        <v>2028</v>
      </c>
      <c r="F326" t="s">
        <v>18</v>
      </c>
      <c r="G326" t="s">
        <v>63</v>
      </c>
      <c r="H326" t="s">
        <v>64</v>
      </c>
      <c r="I326" t="s">
        <v>65</v>
      </c>
      <c r="J326">
        <f>SUMIFS(RawResultsLong!$P:$P,RawResultsLong!$A:$A,A326)</f>
        <v>38.089446484435577</v>
      </c>
      <c r="K326">
        <f t="shared" si="11"/>
        <v>1206.9817249865507</v>
      </c>
      <c r="L326">
        <f>SUMIFS(EmploymentResults!$V:$V,EmploymentResults!$D:$D,B326,EmploymentResults!$F:$F,C326,EmploymentResults!$G:$G,D326,EmploymentResults!$H:$H,E326,EmploymentResults!$J:$J,G326,EmploymentResults!$K:$K,H326,EmploymentResults!$L:$L,I326)</f>
        <v>34.976039767881346</v>
      </c>
    </row>
    <row r="327" spans="1:12" x14ac:dyDescent="0.3">
      <c r="A327" t="str">
        <f t="shared" si="10"/>
        <v>CN|AccumulatedNewCapacity|RE1|PWRWNDONS|2029</v>
      </c>
      <c r="B327" t="s">
        <v>39</v>
      </c>
      <c r="C327" t="s">
        <v>19</v>
      </c>
      <c r="D327" t="s">
        <v>36</v>
      </c>
      <c r="E327">
        <v>2029</v>
      </c>
      <c r="F327" t="s">
        <v>18</v>
      </c>
      <c r="G327" t="s">
        <v>63</v>
      </c>
      <c r="H327" t="s">
        <v>64</v>
      </c>
      <c r="I327" t="s">
        <v>65</v>
      </c>
      <c r="J327">
        <f>SUMIFS(RawResultsLong!$P:$P,RawResultsLong!$A:$A,A327)</f>
        <v>47.589446484435577</v>
      </c>
      <c r="K327">
        <f t="shared" si="11"/>
        <v>1508.0185592198259</v>
      </c>
      <c r="L327">
        <f>SUMIFS(EmploymentResults!$V:$V,EmploymentResults!$D:$D,B327,EmploymentResults!$F:$F,C327,EmploymentResults!$G:$G,D327,EmploymentResults!$H:$H,E327,EmploymentResults!$J:$J,G327,EmploymentResults!$K:$K,H327,EmploymentResults!$L:$L,I327)</f>
        <v>43.314255697259753</v>
      </c>
    </row>
    <row r="328" spans="1:12" x14ac:dyDescent="0.3">
      <c r="A328" t="str">
        <f t="shared" si="10"/>
        <v>CN|AccumulatedNewCapacity|RE1|PWRWNDONS|2030</v>
      </c>
      <c r="B328" t="s">
        <v>39</v>
      </c>
      <c r="C328" t="s">
        <v>19</v>
      </c>
      <c r="D328" t="s">
        <v>36</v>
      </c>
      <c r="E328">
        <v>2030</v>
      </c>
      <c r="F328" t="s">
        <v>18</v>
      </c>
      <c r="G328" t="s">
        <v>63</v>
      </c>
      <c r="H328" t="s">
        <v>64</v>
      </c>
      <c r="I328" t="s">
        <v>65</v>
      </c>
      <c r="J328">
        <f>SUMIFS(RawResultsLong!$P:$P,RawResultsLong!$A:$A,A328)</f>
        <v>56.989446484435582</v>
      </c>
      <c r="K328">
        <f t="shared" si="11"/>
        <v>1805.8865846716981</v>
      </c>
      <c r="L328">
        <f>SUMIFS(EmploymentResults!$V:$V,EmploymentResults!$D:$D,B328,EmploymentResults!$F:$F,C328,EmploymentResults!$G:$G,D328,EmploymentResults!$H:$H,E328,EmploymentResults!$J:$J,G328,EmploymentResults!$K:$K,H328,EmploymentResults!$L:$L,I328)</f>
        <v>51.408450220632595</v>
      </c>
    </row>
    <row r="329" spans="1:12" x14ac:dyDescent="0.3">
      <c r="A329" t="str">
        <f t="shared" si="10"/>
        <v>CN|AccumulatedNewCapacity|RE1|PWRWNDONS|2031</v>
      </c>
      <c r="B329" t="s">
        <v>39</v>
      </c>
      <c r="C329" t="s">
        <v>19</v>
      </c>
      <c r="D329" t="s">
        <v>36</v>
      </c>
      <c r="E329">
        <v>2031</v>
      </c>
      <c r="F329" t="s">
        <v>18</v>
      </c>
      <c r="G329" t="s">
        <v>63</v>
      </c>
      <c r="H329" t="s">
        <v>64</v>
      </c>
      <c r="I329" t="s">
        <v>65</v>
      </c>
      <c r="J329">
        <f>SUMIFS(RawResultsLong!$P:$P,RawResultsLong!$A:$A,A329)</f>
        <v>66.389446484435581</v>
      </c>
      <c r="K329">
        <f t="shared" si="11"/>
        <v>2103.7546101235703</v>
      </c>
      <c r="L329">
        <f>SUMIFS(EmploymentResults!$V:$V,EmploymentResults!$D:$D,B329,EmploymentResults!$F:$F,C329,EmploymentResults!$G:$G,D329,EmploymentResults!$H:$H,E329,EmploymentResults!$J:$J,G329,EmploymentResults!$K:$K,H329,EmploymentResults!$L:$L,I329)</f>
        <v>59.726668292512073</v>
      </c>
    </row>
    <row r="330" spans="1:12" x14ac:dyDescent="0.3">
      <c r="A330" t="str">
        <f t="shared" si="10"/>
        <v>CN|AccumulatedNewCapacity|RE1|PWRWNDONS|2032</v>
      </c>
      <c r="B330" t="s">
        <v>39</v>
      </c>
      <c r="C330" t="s">
        <v>19</v>
      </c>
      <c r="D330" t="s">
        <v>36</v>
      </c>
      <c r="E330">
        <v>2032</v>
      </c>
      <c r="F330" t="s">
        <v>18</v>
      </c>
      <c r="G330" t="s">
        <v>63</v>
      </c>
      <c r="H330" t="s">
        <v>64</v>
      </c>
      <c r="I330" t="s">
        <v>65</v>
      </c>
      <c r="J330">
        <f>SUMIFS(RawResultsLong!$P:$P,RawResultsLong!$A:$A,A330)</f>
        <v>75.789446484435587</v>
      </c>
      <c r="K330">
        <f t="shared" si="11"/>
        <v>2401.6226355754425</v>
      </c>
      <c r="L330">
        <f>SUMIFS(EmploymentResults!$V:$V,EmploymentResults!$D:$D,B330,EmploymentResults!$F:$F,C330,EmploymentResults!$G:$G,D330,EmploymentResults!$H:$H,E330,EmploymentResults!$J:$J,G330,EmploymentResults!$K:$K,H330,EmploymentResults!$L:$L,I330)</f>
        <v>67.999227761930015</v>
      </c>
    </row>
    <row r="331" spans="1:12" x14ac:dyDescent="0.3">
      <c r="A331" t="str">
        <f t="shared" si="10"/>
        <v>CN|AccumulatedNewCapacity|RE1|PWRWNDONS|2033</v>
      </c>
      <c r="B331" t="s">
        <v>39</v>
      </c>
      <c r="C331" t="s">
        <v>19</v>
      </c>
      <c r="D331" t="s">
        <v>36</v>
      </c>
      <c r="E331">
        <v>2033</v>
      </c>
      <c r="F331" t="s">
        <v>18</v>
      </c>
      <c r="G331" t="s">
        <v>63</v>
      </c>
      <c r="H331" t="s">
        <v>64</v>
      </c>
      <c r="I331" t="s">
        <v>65</v>
      </c>
      <c r="J331">
        <f>SUMIFS(RawResultsLong!$P:$P,RawResultsLong!$A:$A,A331)</f>
        <v>85.189446484435592</v>
      </c>
      <c r="K331">
        <f t="shared" si="11"/>
        <v>2699.4906610273151</v>
      </c>
      <c r="L331">
        <f>SUMIFS(EmploymentResults!$V:$V,EmploymentResults!$D:$D,B331,EmploymentResults!$F:$F,C331,EmploymentResults!$G:$G,D331,EmploymentResults!$H:$H,E331,EmploymentResults!$J:$J,G331,EmploymentResults!$K:$K,H331,EmploymentResults!$L:$L,I331)</f>
        <v>76.226128629156392</v>
      </c>
    </row>
    <row r="332" spans="1:12" x14ac:dyDescent="0.3">
      <c r="A332" t="str">
        <f t="shared" si="10"/>
        <v>CN|AccumulatedNewCapacity|RE1|PWRWNDONS|2034</v>
      </c>
      <c r="B332" t="s">
        <v>39</v>
      </c>
      <c r="C332" t="s">
        <v>19</v>
      </c>
      <c r="D332" t="s">
        <v>36</v>
      </c>
      <c r="E332">
        <v>2034</v>
      </c>
      <c r="F332" t="s">
        <v>18</v>
      </c>
      <c r="G332" t="s">
        <v>63</v>
      </c>
      <c r="H332" t="s">
        <v>64</v>
      </c>
      <c r="I332" t="s">
        <v>65</v>
      </c>
      <c r="J332">
        <f>SUMIFS(RawResultsLong!$P:$P,RawResultsLong!$A:$A,A332)</f>
        <v>94.589446484435598</v>
      </c>
      <c r="K332">
        <f t="shared" si="11"/>
        <v>2997.3586864791869</v>
      </c>
      <c r="L332">
        <f>SUMIFS(EmploymentResults!$V:$V,EmploymentResults!$D:$D,B332,EmploymentResults!$F:$F,C332,EmploymentResults!$G:$G,D332,EmploymentResults!$H:$H,E332,EmploymentResults!$J:$J,G332,EmploymentResults!$K:$K,H332,EmploymentResults!$L:$L,I332)</f>
        <v>84.407370893681062</v>
      </c>
    </row>
    <row r="333" spans="1:12" x14ac:dyDescent="0.3">
      <c r="A333" t="str">
        <f t="shared" si="10"/>
        <v>CN|AccumulatedNewCapacity|RE1|PWRWNDONS|2035</v>
      </c>
      <c r="B333" t="s">
        <v>39</v>
      </c>
      <c r="C333" t="s">
        <v>19</v>
      </c>
      <c r="D333" t="s">
        <v>36</v>
      </c>
      <c r="E333">
        <v>2035</v>
      </c>
      <c r="F333" t="s">
        <v>18</v>
      </c>
      <c r="G333" t="s">
        <v>63</v>
      </c>
      <c r="H333" t="s">
        <v>64</v>
      </c>
      <c r="I333" t="s">
        <v>65</v>
      </c>
      <c r="J333">
        <f>SUMIFS(RawResultsLong!$P:$P,RawResultsLong!$A:$A,A333)</f>
        <v>141.8994464844356</v>
      </c>
      <c r="K333">
        <f t="shared" si="11"/>
        <v>4496.5221209608972</v>
      </c>
      <c r="L333">
        <f>SUMIFS(EmploymentResults!$V:$V,EmploymentResults!$D:$D,B333,EmploymentResults!$F:$F,C333,EmploymentResults!$G:$G,D333,EmploymentResults!$H:$H,E333,EmploymentResults!$J:$J,G333,EmploymentResults!$K:$K,H333,EmploymentResults!$L:$L,I333)</f>
        <v>126.28006467425381</v>
      </c>
    </row>
    <row r="334" spans="1:12" x14ac:dyDescent="0.3">
      <c r="A334" t="str">
        <f t="shared" si="10"/>
        <v>CN|AccumulatedNewCapacity|RE1|PWRWNDONS|2036</v>
      </c>
      <c r="B334" t="s">
        <v>39</v>
      </c>
      <c r="C334" t="s">
        <v>19</v>
      </c>
      <c r="D334" t="s">
        <v>36</v>
      </c>
      <c r="E334">
        <v>2036</v>
      </c>
      <c r="F334" t="s">
        <v>18</v>
      </c>
      <c r="G334" t="s">
        <v>63</v>
      </c>
      <c r="H334" t="s">
        <v>64</v>
      </c>
      <c r="I334" t="s">
        <v>65</v>
      </c>
      <c r="J334">
        <f>SUMIFS(RawResultsLong!$P:$P,RawResultsLong!$A:$A,A334)</f>
        <v>189.2094464844356</v>
      </c>
      <c r="K334">
        <f t="shared" si="11"/>
        <v>5995.6855554426065</v>
      </c>
      <c r="L334">
        <f>SUMIFS(EmploymentResults!$V:$V,EmploymentResults!$D:$D,B334,EmploymentResults!$F:$F,C334,EmploymentResults!$G:$G,D334,EmploymentResults!$H:$H,E334,EmploymentResults!$J:$J,G334,EmploymentResults!$K:$K,H334,EmploymentResults!$L:$L,I334)</f>
        <v>167.92295968069683</v>
      </c>
    </row>
    <row r="335" spans="1:12" x14ac:dyDescent="0.3">
      <c r="A335" t="str">
        <f t="shared" si="10"/>
        <v>CN|AccumulatedNewCapacity|RE1|PWRWNDONS|2037</v>
      </c>
      <c r="B335" t="s">
        <v>39</v>
      </c>
      <c r="C335" t="s">
        <v>19</v>
      </c>
      <c r="D335" t="s">
        <v>36</v>
      </c>
      <c r="E335">
        <v>2037</v>
      </c>
      <c r="F335" t="s">
        <v>18</v>
      </c>
      <c r="G335" t="s">
        <v>63</v>
      </c>
      <c r="H335" t="s">
        <v>64</v>
      </c>
      <c r="I335" t="s">
        <v>65</v>
      </c>
      <c r="J335">
        <f>SUMIFS(RawResultsLong!$P:$P,RawResultsLong!$A:$A,A335)</f>
        <v>236.5194464844356</v>
      </c>
      <c r="K335">
        <f t="shared" si="11"/>
        <v>7494.8489899243168</v>
      </c>
      <c r="L335">
        <f>SUMIFS(EmploymentResults!$V:$V,EmploymentResults!$D:$D,B335,EmploymentResults!$F:$F,C335,EmploymentResults!$G:$G,D335,EmploymentResults!$H:$H,E335,EmploymentResults!$J:$J,G335,EmploymentResults!$K:$K,H335,EmploymentResults!$L:$L,I335)</f>
        <v>209.33605591196098</v>
      </c>
    </row>
    <row r="336" spans="1:12" x14ac:dyDescent="0.3">
      <c r="A336" t="str">
        <f t="shared" si="10"/>
        <v>CN|AccumulatedNewCapacity|RE1|PWRWNDONS|2038</v>
      </c>
      <c r="B336" t="s">
        <v>39</v>
      </c>
      <c r="C336" t="s">
        <v>19</v>
      </c>
      <c r="D336" t="s">
        <v>36</v>
      </c>
      <c r="E336">
        <v>2038</v>
      </c>
      <c r="F336" t="s">
        <v>18</v>
      </c>
      <c r="G336" t="s">
        <v>63</v>
      </c>
      <c r="H336" t="s">
        <v>64</v>
      </c>
      <c r="I336" t="s">
        <v>65</v>
      </c>
      <c r="J336">
        <f>SUMIFS(RawResultsLong!$P:$P,RawResultsLong!$A:$A,A336)</f>
        <v>283.82944648443561</v>
      </c>
      <c r="K336">
        <f t="shared" si="11"/>
        <v>8994.0124244060244</v>
      </c>
      <c r="L336">
        <f>SUMIFS(EmploymentResults!$V:$V,EmploymentResults!$D:$D,B336,EmploymentResults!$F:$F,C336,EmploymentResults!$G:$G,D336,EmploymentResults!$H:$H,E336,EmploymentResults!$J:$J,G336,EmploymentResults!$K:$K,H336,EmploymentResults!$L:$L,I336)</f>
        <v>250.51935336849579</v>
      </c>
    </row>
    <row r="337" spans="1:12" x14ac:dyDescent="0.3">
      <c r="A337" t="str">
        <f t="shared" si="10"/>
        <v>CN|AccumulatedNewCapacity|RE1|PWRWNDONS|2039</v>
      </c>
      <c r="B337" t="s">
        <v>39</v>
      </c>
      <c r="C337" t="s">
        <v>19</v>
      </c>
      <c r="D337" t="s">
        <v>36</v>
      </c>
      <c r="E337">
        <v>2039</v>
      </c>
      <c r="F337" t="s">
        <v>18</v>
      </c>
      <c r="G337" t="s">
        <v>63</v>
      </c>
      <c r="H337" t="s">
        <v>64</v>
      </c>
      <c r="I337" t="s">
        <v>65</v>
      </c>
      <c r="J337">
        <f>SUMIFS(RawResultsLong!$P:$P,RawResultsLong!$A:$A,A337)</f>
        <v>331.13944648443561</v>
      </c>
      <c r="K337">
        <f t="shared" si="11"/>
        <v>10493.175858887735</v>
      </c>
      <c r="L337">
        <f>SUMIFS(EmploymentResults!$V:$V,EmploymentResults!$D:$D,B337,EmploymentResults!$F:$F,C337,EmploymentResults!$G:$G,D337,EmploymentResults!$H:$H,E337,EmploymentResults!$J:$J,G337,EmploymentResults!$K:$K,H337,EmploymentResults!$L:$L,I337)</f>
        <v>291.47285205135069</v>
      </c>
    </row>
    <row r="338" spans="1:12" x14ac:dyDescent="0.3">
      <c r="A338" t="str">
        <f t="shared" si="10"/>
        <v>CN|AccumulatedNewCapacity|RE1|PWRWNDONS|2040</v>
      </c>
      <c r="B338" t="s">
        <v>39</v>
      </c>
      <c r="C338" t="s">
        <v>19</v>
      </c>
      <c r="D338" t="s">
        <v>36</v>
      </c>
      <c r="E338">
        <v>2040</v>
      </c>
      <c r="F338" t="s">
        <v>18</v>
      </c>
      <c r="G338" t="s">
        <v>63</v>
      </c>
      <c r="H338" t="s">
        <v>64</v>
      </c>
      <c r="I338" t="s">
        <v>65</v>
      </c>
      <c r="J338">
        <f>SUMIFS(RawResultsLong!$P:$P,RawResultsLong!$A:$A,A338)</f>
        <v>378.44944648443561</v>
      </c>
      <c r="K338">
        <f t="shared" si="11"/>
        <v>11992.339293369445</v>
      </c>
      <c r="L338">
        <f>SUMIFS(EmploymentResults!$V:$V,EmploymentResults!$D:$D,B338,EmploymentResults!$F:$F,C338,EmploymentResults!$G:$G,D338,EmploymentResults!$H:$H,E338,EmploymentResults!$J:$J,G338,EmploymentResults!$K:$K,H338,EmploymentResults!$L:$L,I338)</f>
        <v>332.19655195857706</v>
      </c>
    </row>
    <row r="339" spans="1:12" x14ac:dyDescent="0.3">
      <c r="A339" t="str">
        <f t="shared" si="10"/>
        <v>CN|AccumulatedNewCapacity|RE1|PWRWNDONS|2041</v>
      </c>
      <c r="B339" t="s">
        <v>39</v>
      </c>
      <c r="C339" t="s">
        <v>19</v>
      </c>
      <c r="D339" t="s">
        <v>36</v>
      </c>
      <c r="E339">
        <v>2041</v>
      </c>
      <c r="F339" t="s">
        <v>18</v>
      </c>
      <c r="G339" t="s">
        <v>63</v>
      </c>
      <c r="H339" t="s">
        <v>64</v>
      </c>
      <c r="I339" t="s">
        <v>65</v>
      </c>
      <c r="J339">
        <f>SUMIFS(RawResultsLong!$P:$P,RawResultsLong!$A:$A,A339)</f>
        <v>425.75944648443561</v>
      </c>
      <c r="K339">
        <f t="shared" si="11"/>
        <v>13491.502727851155</v>
      </c>
      <c r="L339">
        <f>SUMIFS(EmploymentResults!$V:$V,EmploymentResults!$D:$D,B339,EmploymentResults!$F:$F,C339,EmploymentResults!$G:$G,D339,EmploymentResults!$H:$H,E339,EmploymentResults!$J:$J,G339,EmploymentResults!$K:$K,H339,EmploymentResults!$L:$L,I339)</f>
        <v>372.69045309107406</v>
      </c>
    </row>
    <row r="340" spans="1:12" x14ac:dyDescent="0.3">
      <c r="A340" t="str">
        <f t="shared" si="10"/>
        <v>CN|AccumulatedNewCapacity|RE1|PWRWNDONS|2042</v>
      </c>
      <c r="B340" t="s">
        <v>39</v>
      </c>
      <c r="C340" t="s">
        <v>19</v>
      </c>
      <c r="D340" t="s">
        <v>36</v>
      </c>
      <c r="E340">
        <v>2042</v>
      </c>
      <c r="F340" t="s">
        <v>18</v>
      </c>
      <c r="G340" t="s">
        <v>63</v>
      </c>
      <c r="H340" t="s">
        <v>64</v>
      </c>
      <c r="I340" t="s">
        <v>65</v>
      </c>
      <c r="J340">
        <f>SUMIFS(RawResultsLong!$P:$P,RawResultsLong!$A:$A,A340)</f>
        <v>473.06944648443562</v>
      </c>
      <c r="K340">
        <f t="shared" si="11"/>
        <v>14990.666162332865</v>
      </c>
      <c r="L340">
        <f>SUMIFS(EmploymentResults!$V:$V,EmploymentResults!$D:$D,B340,EmploymentResults!$F:$F,C340,EmploymentResults!$G:$G,D340,EmploymentResults!$H:$H,E340,EmploymentResults!$J:$J,G340,EmploymentResults!$K:$K,H340,EmploymentResults!$L:$L,I340)</f>
        <v>412.95455545034088</v>
      </c>
    </row>
    <row r="341" spans="1:12" x14ac:dyDescent="0.3">
      <c r="A341" t="str">
        <f t="shared" si="10"/>
        <v>CN|AccumulatedNewCapacity|RE1|PWRWNDONS|2043</v>
      </c>
      <c r="B341" t="s">
        <v>39</v>
      </c>
      <c r="C341" t="s">
        <v>19</v>
      </c>
      <c r="D341" t="s">
        <v>36</v>
      </c>
      <c r="E341">
        <v>2043</v>
      </c>
      <c r="F341" t="s">
        <v>18</v>
      </c>
      <c r="G341" t="s">
        <v>63</v>
      </c>
      <c r="H341" t="s">
        <v>64</v>
      </c>
      <c r="I341" t="s">
        <v>65</v>
      </c>
      <c r="J341">
        <f>SUMIFS(RawResultsLong!$P:$P,RawResultsLong!$A:$A,A341)</f>
        <v>520.37944648443568</v>
      </c>
      <c r="K341">
        <f t="shared" si="11"/>
        <v>16489.829596814576</v>
      </c>
      <c r="L341">
        <f>SUMIFS(EmploymentResults!$V:$V,EmploymentResults!$D:$D,B341,EmploymentResults!$F:$F,C341,EmploymentResults!$G:$G,D341,EmploymentResults!$H:$H,E341,EmploymentResults!$J:$J,G341,EmploymentResults!$K:$K,H341,EmploymentResults!$L:$L,I341)</f>
        <v>452.98885903352931</v>
      </c>
    </row>
    <row r="342" spans="1:12" x14ac:dyDescent="0.3">
      <c r="A342" t="str">
        <f t="shared" si="10"/>
        <v>CN|AccumulatedNewCapacity|RE1|PWRWNDONS|2044</v>
      </c>
      <c r="B342" t="s">
        <v>39</v>
      </c>
      <c r="C342" t="s">
        <v>19</v>
      </c>
      <c r="D342" t="s">
        <v>36</v>
      </c>
      <c r="E342">
        <v>2044</v>
      </c>
      <c r="F342" t="s">
        <v>18</v>
      </c>
      <c r="G342" t="s">
        <v>63</v>
      </c>
      <c r="H342" t="s">
        <v>64</v>
      </c>
      <c r="I342" t="s">
        <v>65</v>
      </c>
      <c r="J342">
        <f>SUMIFS(RawResultsLong!$P:$P,RawResultsLong!$A:$A,A342)</f>
        <v>567.68944648443562</v>
      </c>
      <c r="K342">
        <f t="shared" si="11"/>
        <v>17988.993031296282</v>
      </c>
      <c r="L342">
        <f>SUMIFS(EmploymentResults!$V:$V,EmploymentResults!$D:$D,B342,EmploymentResults!$F:$F,C342,EmploymentResults!$G:$G,D342,EmploymentResults!$H:$H,E342,EmploymentResults!$J:$J,G342,EmploymentResults!$K:$K,H342,EmploymentResults!$L:$L,I342)</f>
        <v>492.79336384198837</v>
      </c>
    </row>
    <row r="343" spans="1:12" x14ac:dyDescent="0.3">
      <c r="A343" t="str">
        <f t="shared" si="10"/>
        <v>CN|AccumulatedNewCapacity|RE1|PWRWNDONS|2045</v>
      </c>
      <c r="B343" t="s">
        <v>39</v>
      </c>
      <c r="C343" t="s">
        <v>19</v>
      </c>
      <c r="D343" t="s">
        <v>36</v>
      </c>
      <c r="E343">
        <v>2045</v>
      </c>
      <c r="F343" t="s">
        <v>18</v>
      </c>
      <c r="G343" t="s">
        <v>63</v>
      </c>
      <c r="H343" t="s">
        <v>64</v>
      </c>
      <c r="I343" t="s">
        <v>65</v>
      </c>
      <c r="J343">
        <f>SUMIFS(RawResultsLong!$P:$P,RawResultsLong!$A:$A,A343)</f>
        <v>614.99944648443557</v>
      </c>
      <c r="K343">
        <f t="shared" si="11"/>
        <v>19488.156465777993</v>
      </c>
      <c r="L343">
        <f>SUMIFS(EmploymentResults!$V:$V,EmploymentResults!$D:$D,B343,EmploymentResults!$F:$F,C343,EmploymentResults!$G:$G,D343,EmploymentResults!$H:$H,E343,EmploymentResults!$J:$J,G343,EmploymentResults!$K:$K,H343,EmploymentResults!$L:$L,I343)</f>
        <v>532.36806987766715</v>
      </c>
    </row>
    <row r="344" spans="1:12" x14ac:dyDescent="0.3">
      <c r="A344" t="str">
        <f t="shared" si="10"/>
        <v>CN|AccumulatedNewCapacity|RE1|PWRWNDONS|2046</v>
      </c>
      <c r="B344" t="s">
        <v>39</v>
      </c>
      <c r="C344" t="s">
        <v>19</v>
      </c>
      <c r="D344" t="s">
        <v>36</v>
      </c>
      <c r="E344">
        <v>2046</v>
      </c>
      <c r="F344" t="s">
        <v>18</v>
      </c>
      <c r="G344" t="s">
        <v>63</v>
      </c>
      <c r="H344" t="s">
        <v>64</v>
      </c>
      <c r="I344" t="s">
        <v>65</v>
      </c>
      <c r="J344">
        <f>SUMIFS(RawResultsLong!$P:$P,RawResultsLong!$A:$A,A344)</f>
        <v>662.30944648443551</v>
      </c>
      <c r="K344">
        <f t="shared" si="11"/>
        <v>20987.319900259699</v>
      </c>
      <c r="L344">
        <f>SUMIFS(EmploymentResults!$V:$V,EmploymentResults!$D:$D,B344,EmploymentResults!$F:$F,C344,EmploymentResults!$G:$G,D344,EmploymentResults!$H:$H,E344,EmploymentResults!$J:$J,G344,EmploymentResults!$K:$K,H344,EmploymentResults!$L:$L,I344)</f>
        <v>571.71297713681759</v>
      </c>
    </row>
    <row r="345" spans="1:12" x14ac:dyDescent="0.3">
      <c r="A345" t="str">
        <f t="shared" si="10"/>
        <v>CN|AccumulatedNewCapacity|RE1|PWRWNDONS|2047</v>
      </c>
      <c r="B345" t="s">
        <v>39</v>
      </c>
      <c r="C345" t="s">
        <v>19</v>
      </c>
      <c r="D345" t="s">
        <v>36</v>
      </c>
      <c r="E345">
        <v>2047</v>
      </c>
      <c r="F345" t="s">
        <v>18</v>
      </c>
      <c r="G345" t="s">
        <v>63</v>
      </c>
      <c r="H345" t="s">
        <v>64</v>
      </c>
      <c r="I345" t="s">
        <v>65</v>
      </c>
      <c r="J345">
        <f>SUMIFS(RawResultsLong!$P:$P,RawResultsLong!$A:$A,A345)</f>
        <v>709.61944648443546</v>
      </c>
      <c r="K345">
        <f t="shared" si="11"/>
        <v>22486.483334741406</v>
      </c>
      <c r="L345">
        <f>SUMIFS(EmploymentResults!$V:$V,EmploymentResults!$D:$D,B345,EmploymentResults!$F:$F,C345,EmploymentResults!$G:$G,D345,EmploymentResults!$H:$H,E345,EmploymentResults!$J:$J,G345,EmploymentResults!$K:$K,H345,EmploymentResults!$L:$L,I345)</f>
        <v>610.82808562123887</v>
      </c>
    </row>
    <row r="346" spans="1:12" x14ac:dyDescent="0.3">
      <c r="A346" t="str">
        <f t="shared" si="10"/>
        <v>CN|AccumulatedNewCapacity|RE1|PWRWNDONS|2048</v>
      </c>
      <c r="B346" t="s">
        <v>39</v>
      </c>
      <c r="C346" t="s">
        <v>19</v>
      </c>
      <c r="D346" t="s">
        <v>36</v>
      </c>
      <c r="E346">
        <v>2048</v>
      </c>
      <c r="F346" t="s">
        <v>18</v>
      </c>
      <c r="G346" t="s">
        <v>63</v>
      </c>
      <c r="H346" t="s">
        <v>64</v>
      </c>
      <c r="I346" t="s">
        <v>65</v>
      </c>
      <c r="J346">
        <f>SUMIFS(RawResultsLong!$P:$P,RawResultsLong!$A:$A,A346)</f>
        <v>756.9294464844354</v>
      </c>
      <c r="K346">
        <f t="shared" si="11"/>
        <v>23985.646769223113</v>
      </c>
      <c r="L346">
        <f>SUMIFS(EmploymentResults!$V:$V,EmploymentResults!$D:$D,B346,EmploymentResults!$F:$F,C346,EmploymentResults!$G:$G,D346,EmploymentResults!$H:$H,E346,EmploymentResults!$J:$J,G346,EmploymentResults!$K:$K,H346,EmploymentResults!$L:$L,I346)</f>
        <v>649.71339533332934</v>
      </c>
    </row>
    <row r="347" spans="1:12" x14ac:dyDescent="0.3">
      <c r="A347" t="str">
        <f t="shared" si="10"/>
        <v>CN|AccumulatedNewCapacity|RE1|PWRWNDONS|2049</v>
      </c>
      <c r="B347" t="s">
        <v>39</v>
      </c>
      <c r="C347" t="s">
        <v>19</v>
      </c>
      <c r="D347" t="s">
        <v>36</v>
      </c>
      <c r="E347">
        <v>2049</v>
      </c>
      <c r="F347" t="s">
        <v>18</v>
      </c>
      <c r="G347" t="s">
        <v>63</v>
      </c>
      <c r="H347" t="s">
        <v>64</v>
      </c>
      <c r="I347" t="s">
        <v>65</v>
      </c>
      <c r="J347">
        <f>SUMIFS(RawResultsLong!$P:$P,RawResultsLong!$A:$A,A347)</f>
        <v>804.23944648443535</v>
      </c>
      <c r="K347">
        <f t="shared" si="11"/>
        <v>25484.810203704823</v>
      </c>
      <c r="L347">
        <f>SUMIFS(EmploymentResults!$V:$V,EmploymentResults!$D:$D,B347,EmploymentResults!$F:$F,C347,EmploymentResults!$G:$G,D347,EmploymentResults!$H:$H,E347,EmploymentResults!$J:$J,G347,EmploymentResults!$K:$K,H347,EmploymentResults!$L:$L,I347)</f>
        <v>688.36890626844206</v>
      </c>
    </row>
    <row r="348" spans="1:12" x14ac:dyDescent="0.3">
      <c r="A348" t="str">
        <f t="shared" si="10"/>
        <v>CN|AccumulatedNewCapacity|RE1|PWRWNDONS|2050</v>
      </c>
      <c r="B348" t="s">
        <v>39</v>
      </c>
      <c r="C348" t="s">
        <v>19</v>
      </c>
      <c r="D348" t="s">
        <v>36</v>
      </c>
      <c r="E348">
        <v>2050</v>
      </c>
      <c r="F348" t="s">
        <v>18</v>
      </c>
      <c r="G348" t="s">
        <v>63</v>
      </c>
      <c r="H348" t="s">
        <v>64</v>
      </c>
      <c r="I348" t="s">
        <v>65</v>
      </c>
      <c r="J348">
        <f>SUMIFS(RawResultsLong!$P:$P,RawResultsLong!$A:$A,A348)</f>
        <v>804.23944648443535</v>
      </c>
      <c r="K348">
        <f t="shared" si="11"/>
        <v>25484.810203704823</v>
      </c>
      <c r="L348">
        <f>SUMIFS(EmploymentResults!$V:$V,EmploymentResults!$D:$D,B348,EmploymentResults!$F:$F,C348,EmploymentResults!$G:$G,D348,EmploymentResults!$H:$H,E348,EmploymentResults!$J:$J,G348,EmploymentResults!$K:$K,H348,EmploymentResults!$L:$L,I348)</f>
        <v>686.41569088701056</v>
      </c>
    </row>
    <row r="349" spans="1:12" x14ac:dyDescent="0.3">
      <c r="A349" t="str">
        <f t="shared" si="10"/>
        <v>CN|AccumulatedNewCapacity|RE1|PWRWNDONS|2051</v>
      </c>
      <c r="B349" t="s">
        <v>39</v>
      </c>
      <c r="C349" t="s">
        <v>19</v>
      </c>
      <c r="D349" t="s">
        <v>36</v>
      </c>
      <c r="E349">
        <v>2051</v>
      </c>
      <c r="F349" t="s">
        <v>18</v>
      </c>
      <c r="G349" t="s">
        <v>63</v>
      </c>
      <c r="H349" t="s">
        <v>64</v>
      </c>
      <c r="I349" t="s">
        <v>65</v>
      </c>
      <c r="J349">
        <f>SUMIFS(RawResultsLong!$P:$P,RawResultsLong!$A:$A,A349)</f>
        <v>851.54944648443529</v>
      </c>
      <c r="K349">
        <f t="shared" si="11"/>
        <v>26983.973638186533</v>
      </c>
      <c r="L349">
        <f>SUMIFS(EmploymentResults!$V:$V,EmploymentResults!$D:$D,B349,EmploymentResults!$F:$F,C349,EmploymentResults!$G:$G,D349,EmploymentResults!$H:$H,E349,EmploymentResults!$J:$J,G349,EmploymentResults!$K:$K,H349,EmploymentResults!$L:$L,I349)</f>
        <v>726.79461842882563</v>
      </c>
    </row>
    <row r="350" spans="1:12" x14ac:dyDescent="0.3">
      <c r="A350" t="str">
        <f t="shared" si="10"/>
        <v>CN|AccumulatedNewCapacity|RE1|PWRWNDONS|2052</v>
      </c>
      <c r="B350" t="s">
        <v>39</v>
      </c>
      <c r="C350" t="s">
        <v>19</v>
      </c>
      <c r="D350" t="s">
        <v>36</v>
      </c>
      <c r="E350">
        <v>2052</v>
      </c>
      <c r="F350" t="s">
        <v>18</v>
      </c>
      <c r="G350" t="s">
        <v>63</v>
      </c>
      <c r="H350" t="s">
        <v>64</v>
      </c>
      <c r="I350" t="s">
        <v>65</v>
      </c>
      <c r="J350">
        <f>SUMIFS(RawResultsLong!$P:$P,RawResultsLong!$A:$A,A350)</f>
        <v>898.85944648443524</v>
      </c>
      <c r="K350">
        <f t="shared" si="11"/>
        <v>28483.13707266824</v>
      </c>
      <c r="L350">
        <f>SUMIFS(EmploymentResults!$V:$V,EmploymentResults!$D:$D,B350,EmploymentResults!$F:$F,C350,EmploymentResults!$G:$G,D350,EmploymentResults!$H:$H,E350,EmploymentResults!$J:$J,G350,EmploymentResults!$K:$K,H350,EmploymentResults!$L:$L,I350)</f>
        <v>767.17354597064059</v>
      </c>
    </row>
    <row r="351" spans="1:12" x14ac:dyDescent="0.3">
      <c r="A351" t="str">
        <f t="shared" si="10"/>
        <v>CN|AccumulatedNewCapacity|RE1|PWRWNDONS|2053</v>
      </c>
      <c r="B351" t="s">
        <v>39</v>
      </c>
      <c r="C351" t="s">
        <v>19</v>
      </c>
      <c r="D351" t="s">
        <v>36</v>
      </c>
      <c r="E351">
        <v>2053</v>
      </c>
      <c r="F351" t="s">
        <v>18</v>
      </c>
      <c r="G351" t="s">
        <v>63</v>
      </c>
      <c r="H351" t="s">
        <v>64</v>
      </c>
      <c r="I351" t="s">
        <v>65</v>
      </c>
      <c r="J351">
        <f>SUMIFS(RawResultsLong!$P:$P,RawResultsLong!$A:$A,A351)</f>
        <v>946.16944648443518</v>
      </c>
      <c r="K351">
        <f t="shared" si="11"/>
        <v>29982.30050714995</v>
      </c>
      <c r="L351">
        <f>SUMIFS(EmploymentResults!$V:$V,EmploymentResults!$D:$D,B351,EmploymentResults!$F:$F,C351,EmploymentResults!$G:$G,D351,EmploymentResults!$H:$H,E351,EmploymentResults!$J:$J,G351,EmploymentResults!$K:$K,H351,EmploymentResults!$L:$L,I351)</f>
        <v>807.55247351245566</v>
      </c>
    </row>
    <row r="352" spans="1:12" x14ac:dyDescent="0.3">
      <c r="A352" t="str">
        <f t="shared" si="10"/>
        <v>CN|AccumulatedNewCapacity|RE1|PWRWNDONS|2054</v>
      </c>
      <c r="B352" t="s">
        <v>39</v>
      </c>
      <c r="C352" t="s">
        <v>19</v>
      </c>
      <c r="D352" t="s">
        <v>36</v>
      </c>
      <c r="E352">
        <v>2054</v>
      </c>
      <c r="F352" t="s">
        <v>18</v>
      </c>
      <c r="G352" t="s">
        <v>63</v>
      </c>
      <c r="H352" t="s">
        <v>64</v>
      </c>
      <c r="I352" t="s">
        <v>65</v>
      </c>
      <c r="J352">
        <f>SUMIFS(RawResultsLong!$P:$P,RawResultsLong!$A:$A,A352)</f>
        <v>993.47944648443513</v>
      </c>
      <c r="K352">
        <f t="shared" si="11"/>
        <v>31481.463941631653</v>
      </c>
      <c r="L352">
        <f>SUMIFS(EmploymentResults!$V:$V,EmploymentResults!$D:$D,B352,EmploymentResults!$F:$F,C352,EmploymentResults!$G:$G,D352,EmploymentResults!$H:$H,E352,EmploymentResults!$J:$J,G352,EmploymentResults!$K:$K,H352,EmploymentResults!$L:$L,I352)</f>
        <v>847.93140105427051</v>
      </c>
    </row>
    <row r="353" spans="1:12" x14ac:dyDescent="0.3">
      <c r="A353" t="str">
        <f t="shared" si="10"/>
        <v>CN|AccumulatedNewCapacity|RE1|PWRWNDONS|2055</v>
      </c>
      <c r="B353" t="s">
        <v>39</v>
      </c>
      <c r="C353" t="s">
        <v>19</v>
      </c>
      <c r="D353" t="s">
        <v>36</v>
      </c>
      <c r="E353">
        <v>2055</v>
      </c>
      <c r="F353" t="s">
        <v>18</v>
      </c>
      <c r="G353" t="s">
        <v>63</v>
      </c>
      <c r="H353" t="s">
        <v>64</v>
      </c>
      <c r="I353" t="s">
        <v>65</v>
      </c>
      <c r="J353">
        <f>SUMIFS(RawResultsLong!$P:$P,RawResultsLong!$A:$A,A353)</f>
        <v>1004.764977546814</v>
      </c>
      <c r="K353">
        <f t="shared" si="11"/>
        <v>31839.080840964263</v>
      </c>
      <c r="L353">
        <f>SUMIFS(EmploymentResults!$V:$V,EmploymentResults!$D:$D,B353,EmploymentResults!$F:$F,C353,EmploymentResults!$G:$G,D353,EmploymentResults!$H:$H,E353,EmploymentResults!$J:$J,G353,EmploymentResults!$K:$K,H353,EmploymentResults!$L:$L,I353)</f>
        <v>857.56356425525757</v>
      </c>
    </row>
    <row r="354" spans="1:12" x14ac:dyDescent="0.3">
      <c r="A354" t="str">
        <f t="shared" si="10"/>
        <v>PA|NewCapacity|RE1|PWRGEO|2040</v>
      </c>
      <c r="B354" t="s">
        <v>44</v>
      </c>
      <c r="C354" t="s">
        <v>19</v>
      </c>
      <c r="D354" t="s">
        <v>46</v>
      </c>
      <c r="E354">
        <v>2040</v>
      </c>
      <c r="F354" t="s">
        <v>37</v>
      </c>
      <c r="G354" t="s">
        <v>69</v>
      </c>
      <c r="H354" t="s">
        <v>70</v>
      </c>
      <c r="I354" t="s">
        <v>65</v>
      </c>
      <c r="J354">
        <f>SUMIFS(RawResultsLong!$P:$P,RawResultsLong!$A:$A,A354)</f>
        <v>3.1539999999999999</v>
      </c>
      <c r="K354">
        <f t="shared" si="11"/>
        <v>99.944228965447309</v>
      </c>
      <c r="L354">
        <f>SUMIFS(EmploymentResults!$V:$V,EmploymentResults!$D:$D,B354,EmploymentResults!$F:$F,C354,EmploymentResults!$G:$G,D354,EmploymentResults!$H:$H,E354,EmploymentResults!$J:$J,G354,EmploymentResults!$K:$K,H354,EmploymentResults!$L:$L,I354)</f>
        <v>460.46292640352118</v>
      </c>
    </row>
    <row r="355" spans="1:12" x14ac:dyDescent="0.3">
      <c r="A355" t="str">
        <f t="shared" si="10"/>
        <v>PA|NewCapacity|RE1|PWRGEO|2041</v>
      </c>
      <c r="B355" t="s">
        <v>44</v>
      </c>
      <c r="C355" t="s">
        <v>19</v>
      </c>
      <c r="D355" t="s">
        <v>46</v>
      </c>
      <c r="E355">
        <v>2041</v>
      </c>
      <c r="F355" t="s">
        <v>37</v>
      </c>
      <c r="G355" t="s">
        <v>69</v>
      </c>
      <c r="H355" t="s">
        <v>70</v>
      </c>
      <c r="I355" t="s">
        <v>65</v>
      </c>
      <c r="J355">
        <f>SUMIFS(RawResultsLong!$P:$P,RawResultsLong!$A:$A,A355)</f>
        <v>3.1539999999999999</v>
      </c>
      <c r="K355">
        <f t="shared" si="11"/>
        <v>99.944228965447309</v>
      </c>
      <c r="L355">
        <f>SUMIFS(EmploymentResults!$V:$V,EmploymentResults!$D:$D,B355,EmploymentResults!$F:$F,C355,EmploymentResults!$G:$G,D355,EmploymentResults!$H:$H,E355,EmploymentResults!$J:$J,G355,EmploymentResults!$K:$K,H355,EmploymentResults!$L:$L,I355)</f>
        <v>458.61728384286198</v>
      </c>
    </row>
    <row r="356" spans="1:12" x14ac:dyDescent="0.3">
      <c r="A356" t="str">
        <f t="shared" si="10"/>
        <v>PA|NewCapacity|RE1|PWRGEO|2042</v>
      </c>
      <c r="B356" t="s">
        <v>44</v>
      </c>
      <c r="C356" t="s">
        <v>19</v>
      </c>
      <c r="D356" t="s">
        <v>46</v>
      </c>
      <c r="E356">
        <v>2042</v>
      </c>
      <c r="F356" t="s">
        <v>37</v>
      </c>
      <c r="G356" t="s">
        <v>69</v>
      </c>
      <c r="H356" t="s">
        <v>70</v>
      </c>
      <c r="I356" t="s">
        <v>65</v>
      </c>
      <c r="J356">
        <f>SUMIFS(RawResultsLong!$P:$P,RawResultsLong!$A:$A,A356)</f>
        <v>3.1539999999999999</v>
      </c>
      <c r="K356">
        <f t="shared" si="11"/>
        <v>99.944228965447309</v>
      </c>
      <c r="L356">
        <f>SUMIFS(EmploymentResults!$V:$V,EmploymentResults!$D:$D,B356,EmploymentResults!$F:$F,C356,EmploymentResults!$G:$G,D356,EmploymentResults!$H:$H,E356,EmploymentResults!$J:$J,G356,EmploymentResults!$K:$K,H356,EmploymentResults!$L:$L,I356)</f>
        <v>456.77164128220267</v>
      </c>
    </row>
    <row r="357" spans="1:12" x14ac:dyDescent="0.3">
      <c r="A357" t="str">
        <f t="shared" si="10"/>
        <v>PA|NewCapacity|RE1|PWRGEO|2043</v>
      </c>
      <c r="B357" t="s">
        <v>44</v>
      </c>
      <c r="C357" t="s">
        <v>19</v>
      </c>
      <c r="D357" t="s">
        <v>46</v>
      </c>
      <c r="E357">
        <v>2043</v>
      </c>
      <c r="F357" t="s">
        <v>37</v>
      </c>
      <c r="G357" t="s">
        <v>69</v>
      </c>
      <c r="H357" t="s">
        <v>70</v>
      </c>
      <c r="I357" t="s">
        <v>65</v>
      </c>
      <c r="J357">
        <f>SUMIFS(RawResultsLong!$P:$P,RawResultsLong!$A:$A,A357)</f>
        <v>3.1539999999999999</v>
      </c>
      <c r="K357">
        <f t="shared" si="11"/>
        <v>99.944228965447309</v>
      </c>
      <c r="L357">
        <f>SUMIFS(EmploymentResults!$V:$V,EmploymentResults!$D:$D,B357,EmploymentResults!$F:$F,C357,EmploymentResults!$G:$G,D357,EmploymentResults!$H:$H,E357,EmploymentResults!$J:$J,G357,EmploymentResults!$K:$K,H357,EmploymentResults!$L:$L,I357)</f>
        <v>454.92599872154346</v>
      </c>
    </row>
    <row r="358" spans="1:12" x14ac:dyDescent="0.3">
      <c r="A358" t="str">
        <f t="shared" si="10"/>
        <v>PA|NewCapacity|RE1|PWRGEO|2044</v>
      </c>
      <c r="B358" t="s">
        <v>44</v>
      </c>
      <c r="C358" t="s">
        <v>19</v>
      </c>
      <c r="D358" t="s">
        <v>46</v>
      </c>
      <c r="E358">
        <v>2044</v>
      </c>
      <c r="F358" t="s">
        <v>37</v>
      </c>
      <c r="G358" t="s">
        <v>69</v>
      </c>
      <c r="H358" t="s">
        <v>70</v>
      </c>
      <c r="I358" t="s">
        <v>65</v>
      </c>
      <c r="J358">
        <f>SUMIFS(RawResultsLong!$P:$P,RawResultsLong!$A:$A,A358)</f>
        <v>3.1539999999999999</v>
      </c>
      <c r="K358">
        <f t="shared" si="11"/>
        <v>99.944228965447309</v>
      </c>
      <c r="L358">
        <f>SUMIFS(EmploymentResults!$V:$V,EmploymentResults!$D:$D,B358,EmploymentResults!$F:$F,C358,EmploymentResults!$G:$G,D358,EmploymentResults!$H:$H,E358,EmploymentResults!$J:$J,G358,EmploymentResults!$K:$K,H358,EmploymentResults!$L:$L,I358)</f>
        <v>453.08035616088426</v>
      </c>
    </row>
    <row r="359" spans="1:12" x14ac:dyDescent="0.3">
      <c r="A359" t="str">
        <f t="shared" si="10"/>
        <v>PA|NewCapacity|RE1|PWRGEO|2045</v>
      </c>
      <c r="B359" t="s">
        <v>44</v>
      </c>
      <c r="C359" t="s">
        <v>19</v>
      </c>
      <c r="D359" t="s">
        <v>46</v>
      </c>
      <c r="E359">
        <v>2045</v>
      </c>
      <c r="F359" t="s">
        <v>37</v>
      </c>
      <c r="G359" t="s">
        <v>69</v>
      </c>
      <c r="H359" t="s">
        <v>70</v>
      </c>
      <c r="I359" t="s">
        <v>65</v>
      </c>
      <c r="J359">
        <f>SUMIFS(RawResultsLong!$P:$P,RawResultsLong!$A:$A,A359)</f>
        <v>3.1539999999999999</v>
      </c>
      <c r="K359">
        <f t="shared" si="11"/>
        <v>99.944228965447309</v>
      </c>
      <c r="L359">
        <f>SUMIFS(EmploymentResults!$V:$V,EmploymentResults!$D:$D,B359,EmploymentResults!$F:$F,C359,EmploymentResults!$G:$G,D359,EmploymentResults!$H:$H,E359,EmploymentResults!$J:$J,G359,EmploymentResults!$K:$K,H359,EmploymentResults!$L:$L,I359)</f>
        <v>451.23471360022495</v>
      </c>
    </row>
    <row r="360" spans="1:12" x14ac:dyDescent="0.3">
      <c r="A360" t="str">
        <f t="shared" si="10"/>
        <v>PA|NewCapacity|RE1|PWRGEO|2046</v>
      </c>
      <c r="B360" t="s">
        <v>44</v>
      </c>
      <c r="C360" t="s">
        <v>19</v>
      </c>
      <c r="D360" t="s">
        <v>46</v>
      </c>
      <c r="E360">
        <v>2046</v>
      </c>
      <c r="F360" t="s">
        <v>37</v>
      </c>
      <c r="G360" t="s">
        <v>69</v>
      </c>
      <c r="H360" t="s">
        <v>70</v>
      </c>
      <c r="I360" t="s">
        <v>65</v>
      </c>
      <c r="J360">
        <f>SUMIFS(RawResultsLong!$P:$P,RawResultsLong!$A:$A,A360)</f>
        <v>3.1539999999999999</v>
      </c>
      <c r="K360">
        <f t="shared" si="11"/>
        <v>99.944228965447309</v>
      </c>
      <c r="L360">
        <f>SUMIFS(EmploymentResults!$V:$V,EmploymentResults!$D:$D,B360,EmploymentResults!$F:$F,C360,EmploymentResults!$G:$G,D360,EmploymentResults!$H:$H,E360,EmploymentResults!$J:$J,G360,EmploymentResults!$K:$K,H360,EmploymentResults!$L:$L,I360)</f>
        <v>449.38907103956575</v>
      </c>
    </row>
    <row r="361" spans="1:12" x14ac:dyDescent="0.3">
      <c r="A361" t="str">
        <f t="shared" si="10"/>
        <v>PA|NewCapacity|RE1|PWRGEO|2047</v>
      </c>
      <c r="B361" t="s">
        <v>44</v>
      </c>
      <c r="C361" t="s">
        <v>19</v>
      </c>
      <c r="D361" t="s">
        <v>46</v>
      </c>
      <c r="E361">
        <v>2047</v>
      </c>
      <c r="F361" t="s">
        <v>37</v>
      </c>
      <c r="G361" t="s">
        <v>69</v>
      </c>
      <c r="H361" t="s">
        <v>70</v>
      </c>
      <c r="I361" t="s">
        <v>65</v>
      </c>
      <c r="J361">
        <f>SUMIFS(RawResultsLong!$P:$P,RawResultsLong!$A:$A,A361)</f>
        <v>3.1539999999999999</v>
      </c>
      <c r="K361">
        <f t="shared" si="11"/>
        <v>99.944228965447309</v>
      </c>
      <c r="L361">
        <f>SUMIFS(EmploymentResults!$V:$V,EmploymentResults!$D:$D,B361,EmploymentResults!$F:$F,C361,EmploymentResults!$G:$G,D361,EmploymentResults!$H:$H,E361,EmploymentResults!$J:$J,G361,EmploymentResults!$K:$K,H361,EmploymentResults!$L:$L,I361)</f>
        <v>447.54342847890649</v>
      </c>
    </row>
    <row r="362" spans="1:12" x14ac:dyDescent="0.3">
      <c r="A362" t="str">
        <f t="shared" si="10"/>
        <v>PA|NewCapacity|RE1|PWRGEO|2048</v>
      </c>
      <c r="B362" t="s">
        <v>44</v>
      </c>
      <c r="C362" t="s">
        <v>19</v>
      </c>
      <c r="D362" t="s">
        <v>46</v>
      </c>
      <c r="E362">
        <v>2048</v>
      </c>
      <c r="F362" t="s">
        <v>37</v>
      </c>
      <c r="G362" t="s">
        <v>69</v>
      </c>
      <c r="H362" t="s">
        <v>70</v>
      </c>
      <c r="I362" t="s">
        <v>65</v>
      </c>
      <c r="J362">
        <f>SUMIFS(RawResultsLong!$P:$P,RawResultsLong!$A:$A,A362)</f>
        <v>3.1539999999999999</v>
      </c>
      <c r="K362">
        <f t="shared" si="11"/>
        <v>99.944228965447309</v>
      </c>
      <c r="L362">
        <f>SUMIFS(EmploymentResults!$V:$V,EmploymentResults!$D:$D,B362,EmploymentResults!$F:$F,C362,EmploymentResults!$G:$G,D362,EmploymentResults!$H:$H,E362,EmploymentResults!$J:$J,G362,EmploymentResults!$K:$K,H362,EmploymentResults!$L:$L,I362)</f>
        <v>445.69778591824729</v>
      </c>
    </row>
    <row r="363" spans="1:12" x14ac:dyDescent="0.3">
      <c r="A363" t="str">
        <f t="shared" si="10"/>
        <v>PA|NewCapacity|RE1|PWRGEO|2049</v>
      </c>
      <c r="B363" t="s">
        <v>44</v>
      </c>
      <c r="C363" t="s">
        <v>19</v>
      </c>
      <c r="D363" t="s">
        <v>46</v>
      </c>
      <c r="E363">
        <v>2049</v>
      </c>
      <c r="F363" t="s">
        <v>37</v>
      </c>
      <c r="G363" t="s">
        <v>69</v>
      </c>
      <c r="H363" t="s">
        <v>70</v>
      </c>
      <c r="I363" t="s">
        <v>65</v>
      </c>
      <c r="J363">
        <f>SUMIFS(RawResultsLong!$P:$P,RawResultsLong!$A:$A,A363)</f>
        <v>3.1539999999999999</v>
      </c>
      <c r="K363">
        <f t="shared" si="11"/>
        <v>99.944228965447309</v>
      </c>
      <c r="L363">
        <f>SUMIFS(EmploymentResults!$V:$V,EmploymentResults!$D:$D,B363,EmploymentResults!$F:$F,C363,EmploymentResults!$G:$G,D363,EmploymentResults!$H:$H,E363,EmploymentResults!$J:$J,G363,EmploymentResults!$K:$K,H363,EmploymentResults!$L:$L,I363)</f>
        <v>443.85214335758809</v>
      </c>
    </row>
    <row r="364" spans="1:12" x14ac:dyDescent="0.3">
      <c r="A364" t="str">
        <f t="shared" si="10"/>
        <v>PA|NewCapacity|RE1|PWRHYDDAM|2028</v>
      </c>
      <c r="B364" t="s">
        <v>44</v>
      </c>
      <c r="C364" t="s">
        <v>19</v>
      </c>
      <c r="D364" t="s">
        <v>24</v>
      </c>
      <c r="E364">
        <v>2028</v>
      </c>
      <c r="F364" t="s">
        <v>37</v>
      </c>
      <c r="G364" t="s">
        <v>69</v>
      </c>
      <c r="H364" t="s">
        <v>70</v>
      </c>
      <c r="I364" t="s">
        <v>65</v>
      </c>
      <c r="J364">
        <f>SUMIFS(RawResultsLong!$P:$P,RawResultsLong!$A:$A,A364)</f>
        <v>37.840000000000003</v>
      </c>
      <c r="K364">
        <f t="shared" si="11"/>
        <v>1199.0772428828554</v>
      </c>
      <c r="L364">
        <f>SUMIFS(EmploymentResults!$V:$V,EmploymentResults!$D:$D,B364,EmploymentResults!$F:$F,C364,EmploymentResults!$G:$G,D364,EmploymentResults!$H:$H,E364,EmploymentResults!$J:$J,G364,EmploymentResults!$K:$K,H364,EmploymentResults!$L:$L,I364)</f>
        <v>13862.851758940096</v>
      </c>
    </row>
    <row r="365" spans="1:12" x14ac:dyDescent="0.3">
      <c r="A365" t="str">
        <f t="shared" si="10"/>
        <v>PA|NewCapacity|RE1|PWRNUC|2038</v>
      </c>
      <c r="B365" t="s">
        <v>44</v>
      </c>
      <c r="C365" t="s">
        <v>19</v>
      </c>
      <c r="D365" t="s">
        <v>47</v>
      </c>
      <c r="E365">
        <v>2038</v>
      </c>
      <c r="F365" t="s">
        <v>37</v>
      </c>
      <c r="G365" t="s">
        <v>69</v>
      </c>
      <c r="H365" t="s">
        <v>70</v>
      </c>
      <c r="I365" t="s">
        <v>65</v>
      </c>
      <c r="J365">
        <f>SUMIFS(RawResultsLong!$P:$P,RawResultsLong!$A:$A,A365)</f>
        <v>9.5120000000000005</v>
      </c>
      <c r="K365">
        <f t="shared" si="11"/>
        <v>301.41709128704338</v>
      </c>
      <c r="L365">
        <f>SUMIFS(EmploymentResults!$V:$V,EmploymentResults!$D:$D,B365,EmploymentResults!$F:$F,C365,EmploymentResults!$G:$G,D365,EmploymentResults!$H:$H,E365,EmploymentResults!$J:$J,G365,EmploymentResults!$K:$K,H365,EmploymentResults!$L:$L,I365)</f>
        <v>5948.7524520196475</v>
      </c>
    </row>
    <row r="366" spans="1:12" x14ac:dyDescent="0.3">
      <c r="A366" t="str">
        <f t="shared" si="10"/>
        <v>PA|NewCapacity|RE1|PWRSOLRTP|2026</v>
      </c>
      <c r="B366" t="s">
        <v>44</v>
      </c>
      <c r="C366" t="s">
        <v>19</v>
      </c>
      <c r="D366" t="s">
        <v>31</v>
      </c>
      <c r="E366">
        <v>2026</v>
      </c>
      <c r="F366" t="s">
        <v>37</v>
      </c>
      <c r="G366" t="s">
        <v>69</v>
      </c>
      <c r="H366" t="s">
        <v>70</v>
      </c>
      <c r="I366" t="s">
        <v>65</v>
      </c>
      <c r="J366">
        <f>SUMIFS(RawResultsLong!$P:$P,RawResultsLong!$A:$A,A366)</f>
        <v>8.889961953075499</v>
      </c>
      <c r="K366">
        <f t="shared" si="11"/>
        <v>281.70589503243269</v>
      </c>
      <c r="L366">
        <f>SUMIFS(EmploymentResults!$V:$V,EmploymentResults!$D:$D,B366,EmploymentResults!$F:$F,C366,EmploymentResults!$G:$G,D366,EmploymentResults!$H:$H,E366,EmploymentResults!$J:$J,G366,EmploymentResults!$K:$K,H366,EmploymentResults!$L:$L,I366)</f>
        <v>2356.0209677182679</v>
      </c>
    </row>
    <row r="367" spans="1:12" x14ac:dyDescent="0.3">
      <c r="A367" t="str">
        <f t="shared" si="10"/>
        <v>PA|NewCapacity|RE1|PWRSOLRTP|2027</v>
      </c>
      <c r="B367" t="s">
        <v>44</v>
      </c>
      <c r="C367" t="s">
        <v>19</v>
      </c>
      <c r="D367" t="s">
        <v>31</v>
      </c>
      <c r="E367">
        <v>2027</v>
      </c>
      <c r="F367" t="s">
        <v>37</v>
      </c>
      <c r="G367" t="s">
        <v>69</v>
      </c>
      <c r="H367" t="s">
        <v>70</v>
      </c>
      <c r="I367" t="s">
        <v>65</v>
      </c>
      <c r="J367">
        <f>SUMIFS(RawResultsLong!$P:$P,RawResultsLong!$A:$A,A367)</f>
        <v>12.523779327837669</v>
      </c>
      <c r="K367">
        <f t="shared" si="11"/>
        <v>396.85461910404047</v>
      </c>
      <c r="L367">
        <f>SUMIFS(EmploymentResults!$V:$V,EmploymentResults!$D:$D,B367,EmploymentResults!$F:$F,C367,EmploymentResults!$G:$G,D367,EmploymentResults!$H:$H,E367,EmploymentResults!$J:$J,G367,EmploymentResults!$K:$K,H367,EmploymentResults!$L:$L,I367)</f>
        <v>3127.6549223110169</v>
      </c>
    </row>
    <row r="368" spans="1:12" x14ac:dyDescent="0.3">
      <c r="A368" t="str">
        <f t="shared" si="10"/>
        <v>PA|NewCapacity|RE1|PWRSOLRTP|2028</v>
      </c>
      <c r="B368" t="s">
        <v>44</v>
      </c>
      <c r="C368" t="s">
        <v>19</v>
      </c>
      <c r="D368" t="s">
        <v>31</v>
      </c>
      <c r="E368">
        <v>2028</v>
      </c>
      <c r="F368" t="s">
        <v>37</v>
      </c>
      <c r="G368" t="s">
        <v>69</v>
      </c>
      <c r="H368" t="s">
        <v>70</v>
      </c>
      <c r="I368" t="s">
        <v>65</v>
      </c>
      <c r="J368">
        <f>SUMIFS(RawResultsLong!$P:$P,RawResultsLong!$A:$A,A368)</f>
        <v>13.79201014584654</v>
      </c>
      <c r="K368">
        <f t="shared" si="11"/>
        <v>437.04242863356336</v>
      </c>
      <c r="L368">
        <f>SUMIFS(EmploymentResults!$V:$V,EmploymentResults!$D:$D,B368,EmploymentResults!$F:$F,C368,EmploymentResults!$G:$G,D368,EmploymentResults!$H:$H,E368,EmploymentResults!$J:$J,G368,EmploymentResults!$K:$K,H368,EmploymentResults!$L:$L,I368)</f>
        <v>3233.5953704416524</v>
      </c>
    </row>
    <row r="369" spans="1:12" x14ac:dyDescent="0.3">
      <c r="A369" t="str">
        <f t="shared" si="10"/>
        <v>PA|NewCapacity|RE1|PWRSOLRTP|2029</v>
      </c>
      <c r="B369" t="s">
        <v>44</v>
      </c>
      <c r="C369" t="s">
        <v>19</v>
      </c>
      <c r="D369" t="s">
        <v>31</v>
      </c>
      <c r="E369">
        <v>2029</v>
      </c>
      <c r="F369" t="s">
        <v>37</v>
      </c>
      <c r="G369" t="s">
        <v>69</v>
      </c>
      <c r="H369" t="s">
        <v>70</v>
      </c>
      <c r="I369" t="s">
        <v>65</v>
      </c>
      <c r="J369">
        <f>SUMIFS(RawResultsLong!$P:$P,RawResultsLong!$A:$A,A369)</f>
        <v>14.267596702599869</v>
      </c>
      <c r="K369">
        <f t="shared" si="11"/>
        <v>452.11285720713454</v>
      </c>
      <c r="L369">
        <f>SUMIFS(EmploymentResults!$V:$V,EmploymentResults!$D:$D,B369,EmploymentResults!$F:$F,C369,EmploymentResults!$G:$G,D369,EmploymentResults!$H:$H,E369,EmploymentResults!$J:$J,G369,EmploymentResults!$K:$K,H369,EmploymentResults!$L:$L,I369)</f>
        <v>3127.0461408387964</v>
      </c>
    </row>
    <row r="370" spans="1:12" x14ac:dyDescent="0.3">
      <c r="A370" t="str">
        <f t="shared" si="10"/>
        <v>PA|NewCapacity|RE1|PWRSOLRTP|2030</v>
      </c>
      <c r="B370" t="s">
        <v>44</v>
      </c>
      <c r="C370" t="s">
        <v>19</v>
      </c>
      <c r="D370" t="s">
        <v>31</v>
      </c>
      <c r="E370">
        <v>2030</v>
      </c>
      <c r="F370" t="s">
        <v>37</v>
      </c>
      <c r="G370" t="s">
        <v>69</v>
      </c>
      <c r="H370" t="s">
        <v>70</v>
      </c>
      <c r="I370" t="s">
        <v>65</v>
      </c>
      <c r="J370">
        <f>SUMIFS(RawResultsLong!$P:$P,RawResultsLong!$A:$A,A370)</f>
        <v>13.950538998097651</v>
      </c>
      <c r="K370">
        <f t="shared" si="11"/>
        <v>442.06590482475377</v>
      </c>
      <c r="L370">
        <f>SUMIFS(EmploymentResults!$V:$V,EmploymentResults!$D:$D,B370,EmploymentResults!$F:$F,C370,EmploymentResults!$G:$G,D370,EmploymentResults!$H:$H,E370,EmploymentResults!$J:$J,G370,EmploymentResults!$K:$K,H370,EmploymentResults!$L:$L,I370)</f>
        <v>2844.3493198755764</v>
      </c>
    </row>
    <row r="371" spans="1:12" x14ac:dyDescent="0.3">
      <c r="A371" t="str">
        <f t="shared" si="10"/>
        <v>PA|NewCapacity|RE1|PWRSOLRTP|2031</v>
      </c>
      <c r="B371" t="s">
        <v>44</v>
      </c>
      <c r="C371" t="s">
        <v>19</v>
      </c>
      <c r="D371" t="s">
        <v>31</v>
      </c>
      <c r="E371">
        <v>2031</v>
      </c>
      <c r="F371" t="s">
        <v>37</v>
      </c>
      <c r="G371" t="s">
        <v>69</v>
      </c>
      <c r="H371" t="s">
        <v>70</v>
      </c>
      <c r="I371" t="s">
        <v>65</v>
      </c>
      <c r="J371">
        <f>SUMIFS(RawResultsLong!$P:$P,RawResultsLong!$A:$A,A371)</f>
        <v>12.999365884591001</v>
      </c>
      <c r="K371">
        <f t="shared" si="11"/>
        <v>411.92504767761176</v>
      </c>
      <c r="L371">
        <f>SUMIFS(EmploymentResults!$V:$V,EmploymentResults!$D:$D,B371,EmploymentResults!$F:$F,C371,EmploymentResults!$G:$G,D371,EmploymentResults!$H:$H,E371,EmploymentResults!$J:$J,G371,EmploymentResults!$K:$K,H371,EmploymentResults!$L:$L,I371)</f>
        <v>2606.882957163481</v>
      </c>
    </row>
    <row r="372" spans="1:12" x14ac:dyDescent="0.3">
      <c r="A372" t="str">
        <f t="shared" si="10"/>
        <v>PA|NewCapacity|RE1|PWRSOLRTP|2032</v>
      </c>
      <c r="B372" t="s">
        <v>44</v>
      </c>
      <c r="C372" t="s">
        <v>19</v>
      </c>
      <c r="D372" t="s">
        <v>31</v>
      </c>
      <c r="E372">
        <v>2032</v>
      </c>
      <c r="F372" t="s">
        <v>37</v>
      </c>
      <c r="G372" t="s">
        <v>69</v>
      </c>
      <c r="H372" t="s">
        <v>70</v>
      </c>
      <c r="I372" t="s">
        <v>65</v>
      </c>
      <c r="J372">
        <f>SUMIFS(RawResultsLong!$P:$P,RawResultsLong!$A:$A,A372)</f>
        <v>11.57260621433101</v>
      </c>
      <c r="K372">
        <f t="shared" si="11"/>
        <v>366.71376195689817</v>
      </c>
      <c r="L372">
        <f>SUMIFS(EmploymentResults!$V:$V,EmploymentResults!$D:$D,B372,EmploymentResults!$F:$F,C372,EmploymentResults!$G:$G,D372,EmploymentResults!$H:$H,E372,EmploymentResults!$J:$J,G372,EmploymentResults!$K:$K,H372,EmploymentResults!$L:$L,I372)</f>
        <v>2282.0062645280946</v>
      </c>
    </row>
    <row r="373" spans="1:12" x14ac:dyDescent="0.3">
      <c r="A373" t="str">
        <f t="shared" si="10"/>
        <v>PA|NewCapacity|RE1|PWRSOLRTP|2033</v>
      </c>
      <c r="B373" t="s">
        <v>44</v>
      </c>
      <c r="C373" t="s">
        <v>19</v>
      </c>
      <c r="D373" t="s">
        <v>31</v>
      </c>
      <c r="E373">
        <v>2033</v>
      </c>
      <c r="F373" t="s">
        <v>37</v>
      </c>
      <c r="G373" t="s">
        <v>69</v>
      </c>
      <c r="H373" t="s">
        <v>70</v>
      </c>
      <c r="I373" t="s">
        <v>65</v>
      </c>
      <c r="J373">
        <f>SUMIFS(RawResultsLong!$P:$P,RawResultsLong!$A:$A,A373)</f>
        <v>10.14584654407102</v>
      </c>
      <c r="K373">
        <f t="shared" si="11"/>
        <v>321.50247623618463</v>
      </c>
      <c r="L373">
        <f>SUMIFS(EmploymentResults!$V:$V,EmploymentResults!$D:$D,B373,EmploymentResults!$F:$F,C373,EmploymentResults!$G:$G,D373,EmploymentResults!$H:$H,E373,EmploymentResults!$J:$J,G373,EmploymentResults!$K:$K,H373,EmploymentResults!$L:$L,I373)</f>
        <v>1966.6856960606574</v>
      </c>
    </row>
    <row r="374" spans="1:12" x14ac:dyDescent="0.3">
      <c r="A374" t="str">
        <f t="shared" si="10"/>
        <v>PA|NewCapacity|RE1|PWRSOLRTP|2034</v>
      </c>
      <c r="B374" t="s">
        <v>44</v>
      </c>
      <c r="C374" t="s">
        <v>19</v>
      </c>
      <c r="D374" t="s">
        <v>31</v>
      </c>
      <c r="E374">
        <v>2034</v>
      </c>
      <c r="F374" t="s">
        <v>37</v>
      </c>
      <c r="G374" t="s">
        <v>69</v>
      </c>
      <c r="H374" t="s">
        <v>70</v>
      </c>
      <c r="I374" t="s">
        <v>65</v>
      </c>
      <c r="J374">
        <f>SUMIFS(RawResultsLong!$P:$P,RawResultsLong!$A:$A,A374)</f>
        <v>8.8776157260621442</v>
      </c>
      <c r="K374">
        <f t="shared" si="11"/>
        <v>281.31466670666157</v>
      </c>
      <c r="L374">
        <f>SUMIFS(EmploymentResults!$V:$V,EmploymentResults!$D:$D,B374,EmploymentResults!$F:$F,C374,EmploymentResults!$G:$G,D374,EmploymentResults!$H:$H,E374,EmploymentResults!$J:$J,G374,EmploymentResults!$K:$K,H374,EmploymentResults!$L:$L,I374)</f>
        <v>1691.1198199750099</v>
      </c>
    </row>
    <row r="375" spans="1:12" x14ac:dyDescent="0.3">
      <c r="A375" t="str">
        <f t="shared" si="10"/>
        <v>PA|NewCapacity|RE1|PWRSOLRTP|2035</v>
      </c>
      <c r="B375" t="s">
        <v>44</v>
      </c>
      <c r="C375" t="s">
        <v>19</v>
      </c>
      <c r="D375" t="s">
        <v>31</v>
      </c>
      <c r="E375">
        <v>2035</v>
      </c>
      <c r="F375" t="s">
        <v>37</v>
      </c>
      <c r="G375" t="s">
        <v>69</v>
      </c>
      <c r="H375" t="s">
        <v>70</v>
      </c>
      <c r="I375" t="s">
        <v>65</v>
      </c>
      <c r="J375">
        <f>SUMIFS(RawResultsLong!$P:$P,RawResultsLong!$A:$A,A375)</f>
        <v>7.4508560558021566</v>
      </c>
      <c r="K375">
        <f t="shared" si="11"/>
        <v>236.10338098594812</v>
      </c>
      <c r="L375">
        <f>SUMIFS(EmploymentResults!$V:$V,EmploymentResults!$D:$D,B375,EmploymentResults!$F:$F,C375,EmploymentResults!$G:$G,D375,EmploymentResults!$H:$H,E375,EmploymentResults!$J:$J,G375,EmploymentResults!$K:$K,H375,EmploymentResults!$L:$L,I375)</f>
        <v>1394.3806040563643</v>
      </c>
    </row>
    <row r="376" spans="1:12" x14ac:dyDescent="0.3">
      <c r="A376" t="str">
        <f t="shared" si="10"/>
        <v>PA|NewCapacity|RE1|PWRSOLRTP|2036</v>
      </c>
      <c r="B376" t="s">
        <v>44</v>
      </c>
      <c r="C376" t="s">
        <v>19</v>
      </c>
      <c r="D376" t="s">
        <v>31</v>
      </c>
      <c r="E376">
        <v>2036</v>
      </c>
      <c r="F376" t="s">
        <v>37</v>
      </c>
      <c r="G376" t="s">
        <v>69</v>
      </c>
      <c r="H376" t="s">
        <v>70</v>
      </c>
      <c r="I376" t="s">
        <v>65</v>
      </c>
      <c r="J376">
        <f>SUMIFS(RawResultsLong!$P:$P,RawResultsLong!$A:$A,A376)</f>
        <v>6.1826252377932782</v>
      </c>
      <c r="K376">
        <f t="shared" si="11"/>
        <v>195.915571456425</v>
      </c>
      <c r="L376">
        <f>SUMIFS(EmploymentResults!$V:$V,EmploymentResults!$D:$D,B376,EmploymentResults!$F:$F,C376,EmploymentResults!$G:$G,D376,EmploymentResults!$H:$H,E376,EmploymentResults!$J:$J,G376,EmploymentResults!$K:$K,H376,EmploymentResults!$L:$L,I376)</f>
        <v>1136.3342889452906</v>
      </c>
    </row>
    <row r="377" spans="1:12" x14ac:dyDescent="0.3">
      <c r="A377" t="str">
        <f t="shared" si="10"/>
        <v>PA|NewCapacity|RE1|PWRSOLRTP|2037</v>
      </c>
      <c r="B377" t="s">
        <v>44</v>
      </c>
      <c r="C377" t="s">
        <v>19</v>
      </c>
      <c r="D377" t="s">
        <v>31</v>
      </c>
      <c r="E377">
        <v>2037</v>
      </c>
      <c r="F377" t="s">
        <v>37</v>
      </c>
      <c r="G377" t="s">
        <v>69</v>
      </c>
      <c r="H377" t="s">
        <v>70</v>
      </c>
      <c r="I377" t="s">
        <v>65</v>
      </c>
      <c r="J377">
        <f>SUMIFS(RawResultsLong!$P:$P,RawResultsLong!$A:$A,A377)</f>
        <v>5.0729232720355109</v>
      </c>
      <c r="K377">
        <f t="shared" si="11"/>
        <v>160.75123811809235</v>
      </c>
      <c r="L377">
        <f>SUMIFS(EmploymentResults!$V:$V,EmploymentResults!$D:$D,B377,EmploymentResults!$F:$F,C377,EmploymentResults!$G:$G,D377,EmploymentResults!$H:$H,E377,EmploymentResults!$J:$J,G377,EmploymentResults!$K:$K,H377,EmploymentResults!$L:$L,I377)</f>
        <v>915.38818728046522</v>
      </c>
    </row>
    <row r="378" spans="1:12" x14ac:dyDescent="0.3">
      <c r="A378" t="str">
        <f t="shared" si="10"/>
        <v>PA|NewCapacity|RE1|PWRSOLRTP|2038</v>
      </c>
      <c r="B378" t="s">
        <v>44</v>
      </c>
      <c r="C378" t="s">
        <v>19</v>
      </c>
      <c r="D378" t="s">
        <v>31</v>
      </c>
      <c r="E378">
        <v>2038</v>
      </c>
      <c r="F378" t="s">
        <v>37</v>
      </c>
      <c r="G378" t="s">
        <v>69</v>
      </c>
      <c r="H378" t="s">
        <v>70</v>
      </c>
      <c r="I378" t="s">
        <v>65</v>
      </c>
      <c r="J378">
        <f>SUMIFS(RawResultsLong!$P:$P,RawResultsLong!$A:$A,A378)</f>
        <v>4.1217501585288527</v>
      </c>
      <c r="K378">
        <f t="shared" si="11"/>
        <v>130.61038097095002</v>
      </c>
      <c r="L378">
        <f>SUMIFS(EmploymentResults!$V:$V,EmploymentResults!$D:$D,B378,EmploymentResults!$F:$F,C378,EmploymentResults!$G:$G,D378,EmploymentResults!$H:$H,E378,EmploymentResults!$J:$J,G378,EmploymentResults!$K:$K,H378,EmploymentResults!$L:$L,I378)</f>
        <v>729.94961170186787</v>
      </c>
    </row>
    <row r="379" spans="1:12" x14ac:dyDescent="0.3">
      <c r="A379" t="str">
        <f t="shared" si="10"/>
        <v>PA|NewCapacity|RE1|PWRSOLRTP|2039</v>
      </c>
      <c r="B379" t="s">
        <v>44</v>
      </c>
      <c r="C379" t="s">
        <v>19</v>
      </c>
      <c r="D379" t="s">
        <v>31</v>
      </c>
      <c r="E379">
        <v>2039</v>
      </c>
      <c r="F379" t="s">
        <v>37</v>
      </c>
      <c r="G379" t="s">
        <v>69</v>
      </c>
      <c r="H379" t="s">
        <v>70</v>
      </c>
      <c r="I379" t="s">
        <v>65</v>
      </c>
      <c r="J379">
        <f>SUMIFS(RawResultsLong!$P:$P,RawResultsLong!$A:$A,A379)</f>
        <v>3.487634749524414</v>
      </c>
      <c r="K379">
        <f t="shared" si="11"/>
        <v>110.51647620618849</v>
      </c>
      <c r="L379">
        <f>SUMIFS(EmploymentResults!$V:$V,EmploymentResults!$D:$D,B379,EmploymentResults!$F:$F,C379,EmploymentResults!$G:$G,D379,EmploymentResults!$H:$H,E379,EmploymentResults!$J:$J,G379,EmploymentResults!$K:$K,H379,EmploymentResults!$L:$L,I379)</f>
        <v>605.96996412365934</v>
      </c>
    </row>
    <row r="380" spans="1:12" x14ac:dyDescent="0.3">
      <c r="A380" t="str">
        <f t="shared" si="10"/>
        <v>PA|NewCapacity|RE1|PWRSOLRTP|2040</v>
      </c>
      <c r="B380" t="s">
        <v>44</v>
      </c>
      <c r="C380" t="s">
        <v>19</v>
      </c>
      <c r="D380" t="s">
        <v>31</v>
      </c>
      <c r="E380">
        <v>2040</v>
      </c>
      <c r="F380" t="s">
        <v>37</v>
      </c>
      <c r="G380" t="s">
        <v>69</v>
      </c>
      <c r="H380" t="s">
        <v>70</v>
      </c>
      <c r="I380" t="s">
        <v>65</v>
      </c>
      <c r="J380">
        <f>SUMIFS(RawResultsLong!$P:$P,RawResultsLong!$A:$A,A380)</f>
        <v>3.012048192771084</v>
      </c>
      <c r="K380">
        <f t="shared" si="11"/>
        <v>95.446047632617308</v>
      </c>
      <c r="L380">
        <f>SUMIFS(EmploymentResults!$V:$V,EmploymentResults!$D:$D,B380,EmploymentResults!$F:$F,C380,EmploymentResults!$G:$G,D380,EmploymentResults!$H:$H,E380,EmploymentResults!$J:$J,G380,EmploymentResults!$K:$K,H380,EmploymentResults!$L:$L,I380)</f>
        <v>513.25067633355684</v>
      </c>
    </row>
    <row r="381" spans="1:12" x14ac:dyDescent="0.3">
      <c r="A381" t="str">
        <f t="shared" si="10"/>
        <v>PA|NewCapacity|RE1|PWRSOLRTP|2041</v>
      </c>
      <c r="B381" t="s">
        <v>44</v>
      </c>
      <c r="C381" t="s">
        <v>19</v>
      </c>
      <c r="D381" t="s">
        <v>31</v>
      </c>
      <c r="E381">
        <v>2041</v>
      </c>
      <c r="F381" t="s">
        <v>37</v>
      </c>
      <c r="G381" t="s">
        <v>69</v>
      </c>
      <c r="H381" t="s">
        <v>70</v>
      </c>
      <c r="I381" t="s">
        <v>65</v>
      </c>
      <c r="J381">
        <f>SUMIFS(RawResultsLong!$P:$P,RawResultsLong!$A:$A,A381)</f>
        <v>2.5998731769181989</v>
      </c>
      <c r="K381">
        <f t="shared" si="11"/>
        <v>82.385009535522315</v>
      </c>
      <c r="L381">
        <f>SUMIFS(EmploymentResults!$V:$V,EmploymentResults!$D:$D,B381,EmploymentResults!$F:$F,C381,EmploymentResults!$G:$G,D381,EmploymentResults!$H:$H,E381,EmploymentResults!$J:$J,G381,EmploymentResults!$K:$K,H381,EmploymentResults!$L:$L,I381)</f>
        <v>434.30968234775702</v>
      </c>
    </row>
    <row r="382" spans="1:12" x14ac:dyDescent="0.3">
      <c r="A382" t="str">
        <f t="shared" si="10"/>
        <v>PA|NewCapacity|RE1|PWRSOLRTP|2042</v>
      </c>
      <c r="B382" t="s">
        <v>44</v>
      </c>
      <c r="C382" t="s">
        <v>19</v>
      </c>
      <c r="D382" t="s">
        <v>31</v>
      </c>
      <c r="E382">
        <v>2042</v>
      </c>
      <c r="F382" t="s">
        <v>37</v>
      </c>
      <c r="G382" t="s">
        <v>69</v>
      </c>
      <c r="H382" t="s">
        <v>70</v>
      </c>
      <c r="I382" t="s">
        <v>65</v>
      </c>
      <c r="J382">
        <f>SUMIFS(RawResultsLong!$P:$P,RawResultsLong!$A:$A,A382)</f>
        <v>2.2828154724159799</v>
      </c>
      <c r="K382">
        <f t="shared" si="11"/>
        <v>72.338057153141548</v>
      </c>
      <c r="L382">
        <f>SUMIFS(EmploymentResults!$V:$V,EmploymentResults!$D:$D,B382,EmploymentResults!$F:$F,C382,EmploymentResults!$G:$G,D382,EmploymentResults!$H:$H,E382,EmploymentResults!$J:$J,G382,EmploymentResults!$K:$K,H382,EmploymentResults!$L:$L,I382)</f>
        <v>373.70018760513437</v>
      </c>
    </row>
    <row r="383" spans="1:12" x14ac:dyDescent="0.3">
      <c r="A383" t="str">
        <f t="shared" si="10"/>
        <v>PA|NewCapacity|RE1|PWRSOLRTP|2043</v>
      </c>
      <c r="B383" t="s">
        <v>44</v>
      </c>
      <c r="C383" t="s">
        <v>19</v>
      </c>
      <c r="D383" t="s">
        <v>31</v>
      </c>
      <c r="E383">
        <v>2043</v>
      </c>
      <c r="F383" t="s">
        <v>37</v>
      </c>
      <c r="G383" t="s">
        <v>69</v>
      </c>
      <c r="H383" t="s">
        <v>70</v>
      </c>
      <c r="I383" t="s">
        <v>65</v>
      </c>
      <c r="J383">
        <f>SUMIFS(RawResultsLong!$P:$P,RawResultsLong!$A:$A,A383)</f>
        <v>2.0925808497146479</v>
      </c>
      <c r="K383">
        <f t="shared" si="11"/>
        <v>66.309885723713066</v>
      </c>
      <c r="L383">
        <f>SUMIFS(EmploymentResults!$V:$V,EmploymentResults!$D:$D,B383,EmploymentResults!$F:$F,C383,EmploymentResults!$G:$G,D383,EmploymentResults!$H:$H,E383,EmploymentResults!$J:$J,G383,EmploymentResults!$K:$K,H383,EmploymentResults!$L:$L,I383)</f>
        <v>335.55068091487669</v>
      </c>
    </row>
    <row r="384" spans="1:12" x14ac:dyDescent="0.3">
      <c r="A384" t="str">
        <f t="shared" si="10"/>
        <v>PA|NewCapacity|RE1|PWRSOLRTP|2044</v>
      </c>
      <c r="B384" t="s">
        <v>44</v>
      </c>
      <c r="C384" t="s">
        <v>19</v>
      </c>
      <c r="D384" t="s">
        <v>31</v>
      </c>
      <c r="E384">
        <v>2044</v>
      </c>
      <c r="F384" t="s">
        <v>37</v>
      </c>
      <c r="G384" t="s">
        <v>69</v>
      </c>
      <c r="H384" t="s">
        <v>70</v>
      </c>
      <c r="I384" t="s">
        <v>65</v>
      </c>
      <c r="J384">
        <f>SUMIFS(RawResultsLong!$P:$P,RawResultsLong!$A:$A,A384)</f>
        <v>1.9657577679137599</v>
      </c>
      <c r="K384">
        <f t="shared" si="11"/>
        <v>62.291104770760761</v>
      </c>
      <c r="L384">
        <f>SUMIFS(EmploymentResults!$V:$V,EmploymentResults!$D:$D,B384,EmploymentResults!$F:$F,C384,EmploymentResults!$G:$G,D384,EmploymentResults!$H:$H,E384,EmploymentResults!$J:$J,G384,EmploymentResults!$K:$K,H384,EmploymentResults!$L:$L,I384)</f>
        <v>308.63116825142458</v>
      </c>
    </row>
    <row r="385" spans="1:12" x14ac:dyDescent="0.3">
      <c r="A385" t="str">
        <f t="shared" si="10"/>
        <v>PA|NewCapacity|RE1|PWRSOLRTP|2045</v>
      </c>
      <c r="B385" t="s">
        <v>44</v>
      </c>
      <c r="C385" t="s">
        <v>19</v>
      </c>
      <c r="D385" t="s">
        <v>31</v>
      </c>
      <c r="E385">
        <v>2045</v>
      </c>
      <c r="F385" t="s">
        <v>37</v>
      </c>
      <c r="G385" t="s">
        <v>69</v>
      </c>
      <c r="H385" t="s">
        <v>70</v>
      </c>
      <c r="I385" t="s">
        <v>65</v>
      </c>
      <c r="J385">
        <f>SUMIFS(RawResultsLong!$P:$P,RawResultsLong!$A:$A,A385)</f>
        <v>1.902346227013316</v>
      </c>
      <c r="K385">
        <f t="shared" si="11"/>
        <v>60.281714294284605</v>
      </c>
      <c r="L385">
        <f>SUMIFS(EmploymentResults!$V:$V,EmploymentResults!$D:$D,B385,EmploymentResults!$F:$F,C385,EmploymentResults!$G:$G,D385,EmploymentResults!$H:$H,E385,EmploymentResults!$J:$J,G385,EmploymentResults!$K:$K,H385,EmploymentResults!$L:$L,I385)</f>
        <v>292.30457466898218</v>
      </c>
    </row>
    <row r="386" spans="1:12" x14ac:dyDescent="0.3">
      <c r="A386" t="str">
        <f t="shared" ref="A386:A449" si="12">B386&amp;"|"&amp;F386&amp;"|"&amp;C386&amp;"|"&amp;D386&amp;"|"&amp;E386</f>
        <v>PA|NewCapacity|RE1|PWRSOLRTP|2046</v>
      </c>
      <c r="B386" t="s">
        <v>44</v>
      </c>
      <c r="C386" t="s">
        <v>19</v>
      </c>
      <c r="D386" t="s">
        <v>31</v>
      </c>
      <c r="E386">
        <v>2046</v>
      </c>
      <c r="F386" t="s">
        <v>37</v>
      </c>
      <c r="G386" t="s">
        <v>69</v>
      </c>
      <c r="H386" t="s">
        <v>70</v>
      </c>
      <c r="I386" t="s">
        <v>65</v>
      </c>
      <c r="J386">
        <f>SUMIFS(RawResultsLong!$P:$P,RawResultsLong!$A:$A,A386)</f>
        <v>1.902346227013316</v>
      </c>
      <c r="K386">
        <f t="shared" ref="K386:K449" si="13">J386*1000/31.5576</f>
        <v>60.281714294284605</v>
      </c>
      <c r="L386">
        <f>SUMIFS(EmploymentResults!$V:$V,EmploymentResults!$D:$D,B386,EmploymentResults!$F:$F,C386,EmploymentResults!$G:$G,D386,EmploymentResults!$H:$H,E386,EmploymentResults!$J:$J,G386,EmploymentResults!$K:$K,H386,EmploymentResults!$L:$L,I386)</f>
        <v>285.93382522368245</v>
      </c>
    </row>
    <row r="387" spans="1:12" x14ac:dyDescent="0.3">
      <c r="A387" t="str">
        <f t="shared" si="12"/>
        <v>PA|NewCapacity|RE1|PWRSOLRTP|2047</v>
      </c>
      <c r="B387" t="s">
        <v>44</v>
      </c>
      <c r="C387" t="s">
        <v>19</v>
      </c>
      <c r="D387" t="s">
        <v>31</v>
      </c>
      <c r="E387">
        <v>2047</v>
      </c>
      <c r="F387" t="s">
        <v>37</v>
      </c>
      <c r="G387" t="s">
        <v>69</v>
      </c>
      <c r="H387" t="s">
        <v>70</v>
      </c>
      <c r="I387" t="s">
        <v>65</v>
      </c>
      <c r="J387">
        <f>SUMIFS(RawResultsLong!$P:$P,RawResultsLong!$A:$A,A387)</f>
        <v>1.902346227013316</v>
      </c>
      <c r="K387">
        <f t="shared" si="13"/>
        <v>60.281714294284605</v>
      </c>
      <c r="L387">
        <f>SUMIFS(EmploymentResults!$V:$V,EmploymentResults!$D:$D,B387,EmploymentResults!$F:$F,C387,EmploymentResults!$G:$G,D387,EmploymentResults!$H:$H,E387,EmploymentResults!$J:$J,G387,EmploymentResults!$K:$K,H387,EmploymentResults!$L:$L,I387)</f>
        <v>279.56307577838277</v>
      </c>
    </row>
    <row r="388" spans="1:12" x14ac:dyDescent="0.3">
      <c r="A388" t="str">
        <f t="shared" si="12"/>
        <v>PA|NewCapacity|RE1|PWRSOLRTP|2048</v>
      </c>
      <c r="B388" t="s">
        <v>44</v>
      </c>
      <c r="C388" t="s">
        <v>19</v>
      </c>
      <c r="D388" t="s">
        <v>31</v>
      </c>
      <c r="E388">
        <v>2048</v>
      </c>
      <c r="F388" t="s">
        <v>37</v>
      </c>
      <c r="G388" t="s">
        <v>69</v>
      </c>
      <c r="H388" t="s">
        <v>70</v>
      </c>
      <c r="I388" t="s">
        <v>65</v>
      </c>
      <c r="J388">
        <f>SUMIFS(RawResultsLong!$P:$P,RawResultsLong!$A:$A,A388)</f>
        <v>1.902346227013316</v>
      </c>
      <c r="K388">
        <f t="shared" si="13"/>
        <v>60.281714294284605</v>
      </c>
      <c r="L388">
        <f>SUMIFS(EmploymentResults!$V:$V,EmploymentResults!$D:$D,B388,EmploymentResults!$F:$F,C388,EmploymentResults!$G:$G,D388,EmploymentResults!$H:$H,E388,EmploymentResults!$J:$J,G388,EmploymentResults!$K:$K,H388,EmploymentResults!$L:$L,I388)</f>
        <v>273.19232633308303</v>
      </c>
    </row>
    <row r="389" spans="1:12" x14ac:dyDescent="0.3">
      <c r="A389" t="str">
        <f t="shared" si="12"/>
        <v>PA|NewCapacity|RE1|PWRSOLRTP|2049</v>
      </c>
      <c r="B389" t="s">
        <v>44</v>
      </c>
      <c r="C389" t="s">
        <v>19</v>
      </c>
      <c r="D389" t="s">
        <v>31</v>
      </c>
      <c r="E389">
        <v>2049</v>
      </c>
      <c r="F389" t="s">
        <v>37</v>
      </c>
      <c r="G389" t="s">
        <v>69</v>
      </c>
      <c r="H389" t="s">
        <v>70</v>
      </c>
      <c r="I389" t="s">
        <v>65</v>
      </c>
      <c r="J389">
        <f>SUMIFS(RawResultsLong!$P:$P,RawResultsLong!$A:$A,A389)</f>
        <v>1.902346227013316</v>
      </c>
      <c r="K389">
        <f t="shared" si="13"/>
        <v>60.281714294284605</v>
      </c>
      <c r="L389">
        <f>SUMIFS(EmploymentResults!$V:$V,EmploymentResults!$D:$D,B389,EmploymentResults!$F:$F,C389,EmploymentResults!$G:$G,D389,EmploymentResults!$H:$H,E389,EmploymentResults!$J:$J,G389,EmploymentResults!$K:$K,H389,EmploymentResults!$L:$L,I389)</f>
        <v>266.82157688778329</v>
      </c>
    </row>
    <row r="390" spans="1:12" x14ac:dyDescent="0.3">
      <c r="A390" t="str">
        <f t="shared" si="12"/>
        <v>PA|NewCapacity|RE1|PWRSOLRTP|2050</v>
      </c>
      <c r="B390" t="s">
        <v>44</v>
      </c>
      <c r="C390" t="s">
        <v>19</v>
      </c>
      <c r="D390" t="s">
        <v>31</v>
      </c>
      <c r="E390">
        <v>2050</v>
      </c>
      <c r="F390" t="s">
        <v>37</v>
      </c>
      <c r="G390" t="s">
        <v>69</v>
      </c>
      <c r="H390" t="s">
        <v>70</v>
      </c>
      <c r="I390" t="s">
        <v>65</v>
      </c>
      <c r="J390">
        <f>SUMIFS(RawResultsLong!$P:$P,RawResultsLong!$A:$A,A390)</f>
        <v>1.902346227013316</v>
      </c>
      <c r="K390">
        <f t="shared" si="13"/>
        <v>60.281714294284605</v>
      </c>
      <c r="L390">
        <f>SUMIFS(EmploymentResults!$V:$V,EmploymentResults!$D:$D,B390,EmploymentResults!$F:$F,C390,EmploymentResults!$G:$G,D390,EmploymentResults!$H:$H,E390,EmploymentResults!$J:$J,G390,EmploymentResults!$K:$K,H390,EmploymentResults!$L:$L,I390)</f>
        <v>260.45082744248356</v>
      </c>
    </row>
    <row r="391" spans="1:12" x14ac:dyDescent="0.3">
      <c r="A391" t="str">
        <f t="shared" si="12"/>
        <v>PA|NewCapacity|RE1|PWRSOLRTP|2051</v>
      </c>
      <c r="B391" t="s">
        <v>44</v>
      </c>
      <c r="C391" t="s">
        <v>19</v>
      </c>
      <c r="D391" t="s">
        <v>31</v>
      </c>
      <c r="E391">
        <v>2051</v>
      </c>
      <c r="F391" t="s">
        <v>37</v>
      </c>
      <c r="G391" t="s">
        <v>69</v>
      </c>
      <c r="H391" t="s">
        <v>70</v>
      </c>
      <c r="I391" t="s">
        <v>65</v>
      </c>
      <c r="J391">
        <f>SUMIFS(RawResultsLong!$P:$P,RawResultsLong!$A:$A,A391)</f>
        <v>1.902346227013316</v>
      </c>
      <c r="K391">
        <f t="shared" si="13"/>
        <v>60.281714294284605</v>
      </c>
      <c r="L391">
        <f>SUMIFS(EmploymentResults!$V:$V,EmploymentResults!$D:$D,B391,EmploymentResults!$F:$F,C391,EmploymentResults!$G:$G,D391,EmploymentResults!$H:$H,E391,EmploymentResults!$J:$J,G391,EmploymentResults!$K:$K,H391,EmploymentResults!$L:$L,I391)</f>
        <v>260.45082744248356</v>
      </c>
    </row>
    <row r="392" spans="1:12" x14ac:dyDescent="0.3">
      <c r="A392" t="str">
        <f t="shared" si="12"/>
        <v>PA|NewCapacity|RE1|PWRSOLRTP|2052</v>
      </c>
      <c r="B392" t="s">
        <v>44</v>
      </c>
      <c r="C392" t="s">
        <v>19</v>
      </c>
      <c r="D392" t="s">
        <v>31</v>
      </c>
      <c r="E392">
        <v>2052</v>
      </c>
      <c r="F392" t="s">
        <v>37</v>
      </c>
      <c r="G392" t="s">
        <v>69</v>
      </c>
      <c r="H392" t="s">
        <v>70</v>
      </c>
      <c r="I392" t="s">
        <v>65</v>
      </c>
      <c r="J392">
        <f>SUMIFS(RawResultsLong!$P:$P,RawResultsLong!$A:$A,A392)</f>
        <v>1.902346227013316</v>
      </c>
      <c r="K392">
        <f t="shared" si="13"/>
        <v>60.281714294284605</v>
      </c>
      <c r="L392">
        <f>SUMIFS(EmploymentResults!$V:$V,EmploymentResults!$D:$D,B392,EmploymentResults!$F:$F,C392,EmploymentResults!$G:$G,D392,EmploymentResults!$H:$H,E392,EmploymentResults!$J:$J,G392,EmploymentResults!$K:$K,H392,EmploymentResults!$L:$L,I392)</f>
        <v>260.45082744248356</v>
      </c>
    </row>
    <row r="393" spans="1:12" x14ac:dyDescent="0.3">
      <c r="A393" t="str">
        <f t="shared" si="12"/>
        <v>PA|NewCapacity|RE1|PWRSOLRTP|2053</v>
      </c>
      <c r="B393" t="s">
        <v>44</v>
      </c>
      <c r="C393" t="s">
        <v>19</v>
      </c>
      <c r="D393" t="s">
        <v>31</v>
      </c>
      <c r="E393">
        <v>2053</v>
      </c>
      <c r="F393" t="s">
        <v>37</v>
      </c>
      <c r="G393" t="s">
        <v>69</v>
      </c>
      <c r="H393" t="s">
        <v>70</v>
      </c>
      <c r="I393" t="s">
        <v>65</v>
      </c>
      <c r="J393">
        <f>SUMIFS(RawResultsLong!$P:$P,RawResultsLong!$A:$A,A393)</f>
        <v>1.902346227013316</v>
      </c>
      <c r="K393">
        <f t="shared" si="13"/>
        <v>60.281714294284605</v>
      </c>
      <c r="L393">
        <f>SUMIFS(EmploymentResults!$V:$V,EmploymentResults!$D:$D,B393,EmploymentResults!$F:$F,C393,EmploymentResults!$G:$G,D393,EmploymentResults!$H:$H,E393,EmploymentResults!$J:$J,G393,EmploymentResults!$K:$K,H393,EmploymentResults!$L:$L,I393)</f>
        <v>260.45082744248356</v>
      </c>
    </row>
    <row r="394" spans="1:12" x14ac:dyDescent="0.3">
      <c r="A394" t="str">
        <f t="shared" si="12"/>
        <v>PA|NewCapacity|RE1|PWRSOLRTP|2054</v>
      </c>
      <c r="B394" t="s">
        <v>44</v>
      </c>
      <c r="C394" t="s">
        <v>19</v>
      </c>
      <c r="D394" t="s">
        <v>31</v>
      </c>
      <c r="E394">
        <v>2054</v>
      </c>
      <c r="F394" t="s">
        <v>37</v>
      </c>
      <c r="G394" t="s">
        <v>69</v>
      </c>
      <c r="H394" t="s">
        <v>70</v>
      </c>
      <c r="I394" t="s">
        <v>65</v>
      </c>
      <c r="J394">
        <f>SUMIFS(RawResultsLong!$P:$P,RawResultsLong!$A:$A,A394)</f>
        <v>1.902346227013316</v>
      </c>
      <c r="K394">
        <f t="shared" si="13"/>
        <v>60.281714294284605</v>
      </c>
      <c r="L394">
        <f>SUMIFS(EmploymentResults!$V:$V,EmploymentResults!$D:$D,B394,EmploymentResults!$F:$F,C394,EmploymentResults!$G:$G,D394,EmploymentResults!$H:$H,E394,EmploymentResults!$J:$J,G394,EmploymentResults!$K:$K,H394,EmploymentResults!$L:$L,I394)</f>
        <v>260.45082744248356</v>
      </c>
    </row>
    <row r="395" spans="1:12" x14ac:dyDescent="0.3">
      <c r="A395" t="str">
        <f t="shared" si="12"/>
        <v>PA|NewCapacity|RE1|PWRSOLRTP|2055</v>
      </c>
      <c r="B395" t="s">
        <v>44</v>
      </c>
      <c r="C395" t="s">
        <v>19</v>
      </c>
      <c r="D395" t="s">
        <v>31</v>
      </c>
      <c r="E395">
        <v>2055</v>
      </c>
      <c r="F395" t="s">
        <v>37</v>
      </c>
      <c r="G395" t="s">
        <v>69</v>
      </c>
      <c r="H395" t="s">
        <v>70</v>
      </c>
      <c r="I395" t="s">
        <v>65</v>
      </c>
      <c r="J395">
        <f>SUMIFS(RawResultsLong!$P:$P,RawResultsLong!$A:$A,A395)</f>
        <v>1.902346227013316</v>
      </c>
      <c r="K395">
        <f t="shared" si="13"/>
        <v>60.281714294284605</v>
      </c>
      <c r="L395">
        <f>SUMIFS(EmploymentResults!$V:$V,EmploymentResults!$D:$D,B395,EmploymentResults!$F:$F,C395,EmploymentResults!$G:$G,D395,EmploymentResults!$H:$H,E395,EmploymentResults!$J:$J,G395,EmploymentResults!$K:$K,H395,EmploymentResults!$L:$L,I395)</f>
        <v>260.45082744248356</v>
      </c>
    </row>
    <row r="396" spans="1:12" x14ac:dyDescent="0.3">
      <c r="A396" t="str">
        <f t="shared" si="12"/>
        <v>PA|NewCapacity|RE1|PWRSOLUGE|2025</v>
      </c>
      <c r="B396" t="s">
        <v>44</v>
      </c>
      <c r="C396" t="s">
        <v>19</v>
      </c>
      <c r="D396" t="s">
        <v>33</v>
      </c>
      <c r="E396">
        <v>2025</v>
      </c>
      <c r="F396" t="s">
        <v>37</v>
      </c>
      <c r="G396" t="s">
        <v>69</v>
      </c>
      <c r="H396" t="s">
        <v>70</v>
      </c>
      <c r="I396" t="s">
        <v>65</v>
      </c>
      <c r="J396">
        <f>SUMIFS(RawResultsLong!$P:$P,RawResultsLong!$A:$A,A396)</f>
        <v>6.717168</v>
      </c>
      <c r="K396">
        <f t="shared" si="13"/>
        <v>212.85420944558521</v>
      </c>
      <c r="L396">
        <f>SUMIFS(EmploymentResults!$V:$V,EmploymentResults!$D:$D,B396,EmploymentResults!$F:$F,C396,EmploymentResults!$G:$G,D396,EmploymentResults!$H:$H,E396,EmploymentResults!$J:$J,G396,EmploymentResults!$K:$K,H396,EmploymentResults!$L:$L,I396)</f>
        <v>2012.5687818907716</v>
      </c>
    </row>
    <row r="397" spans="1:12" x14ac:dyDescent="0.3">
      <c r="A397" t="str">
        <f t="shared" si="12"/>
        <v>PA|NewCapacity|RE1|PWRSOLUGE|2026</v>
      </c>
      <c r="B397" t="s">
        <v>44</v>
      </c>
      <c r="C397" t="s">
        <v>19</v>
      </c>
      <c r="D397" t="s">
        <v>33</v>
      </c>
      <c r="E397">
        <v>2026</v>
      </c>
      <c r="F397" t="s">
        <v>37</v>
      </c>
      <c r="G397" t="s">
        <v>69</v>
      </c>
      <c r="H397" t="s">
        <v>70</v>
      </c>
      <c r="I397" t="s">
        <v>65</v>
      </c>
      <c r="J397">
        <f>SUMIFS(RawResultsLong!$P:$P,RawResultsLong!$A:$A,A397)</f>
        <v>55.787184000000003</v>
      </c>
      <c r="K397">
        <f t="shared" si="13"/>
        <v>1767.7891854893908</v>
      </c>
      <c r="L397">
        <f>SUMIFS(EmploymentResults!$V:$V,EmploymentResults!$D:$D,B397,EmploymentResults!$F:$F,C397,EmploymentResults!$G:$G,D397,EmploymentResults!$H:$H,E397,EmploymentResults!$J:$J,G397,EmploymentResults!$K:$K,H397,EmploymentResults!$L:$L,I397)</f>
        <v>15804.570695439714</v>
      </c>
    </row>
    <row r="398" spans="1:12" x14ac:dyDescent="0.3">
      <c r="A398" t="str">
        <f t="shared" si="12"/>
        <v>PA|NewCapacity|RE1|PWRSOLUGE|2027</v>
      </c>
      <c r="B398" t="s">
        <v>44</v>
      </c>
      <c r="C398" t="s">
        <v>19</v>
      </c>
      <c r="D398" t="s">
        <v>33</v>
      </c>
      <c r="E398">
        <v>2027</v>
      </c>
      <c r="F398" t="s">
        <v>37</v>
      </c>
      <c r="G398" t="s">
        <v>69</v>
      </c>
      <c r="H398" t="s">
        <v>70</v>
      </c>
      <c r="I398" t="s">
        <v>65</v>
      </c>
      <c r="J398">
        <f>SUMIFS(RawResultsLong!$P:$P,RawResultsLong!$A:$A,A398)</f>
        <v>73.005840000000006</v>
      </c>
      <c r="K398">
        <f t="shared" si="13"/>
        <v>2313.4154688569474</v>
      </c>
      <c r="L398">
        <f>SUMIFS(EmploymentResults!$V:$V,EmploymentResults!$D:$D,B398,EmploymentResults!$F:$F,C398,EmploymentResults!$G:$G,D398,EmploymentResults!$H:$H,E398,EmploymentResults!$J:$J,G398,EmploymentResults!$K:$K,H398,EmploymentResults!$L:$L,I398)</f>
        <v>19491.576256281118</v>
      </c>
    </row>
    <row r="399" spans="1:12" x14ac:dyDescent="0.3">
      <c r="A399" t="str">
        <f t="shared" si="12"/>
        <v>PA|NewCapacity|RE1|PWRSOLUGE|2030</v>
      </c>
      <c r="B399" t="s">
        <v>44</v>
      </c>
      <c r="C399" t="s">
        <v>19</v>
      </c>
      <c r="D399" t="s">
        <v>33</v>
      </c>
      <c r="E399">
        <v>2030</v>
      </c>
      <c r="F399" t="s">
        <v>37</v>
      </c>
      <c r="G399" t="s">
        <v>69</v>
      </c>
      <c r="H399" t="s">
        <v>70</v>
      </c>
      <c r="I399" t="s">
        <v>65</v>
      </c>
      <c r="J399">
        <f>SUMIFS(RawResultsLong!$P:$P,RawResultsLong!$A:$A,A399)</f>
        <v>7.8840000000000003</v>
      </c>
      <c r="K399">
        <f t="shared" si="13"/>
        <v>249.82888432580424</v>
      </c>
      <c r="L399">
        <f>SUMIFS(EmploymentResults!$V:$V,EmploymentResults!$D:$D,B399,EmploymentResults!$F:$F,C399,EmploymentResults!$G:$G,D399,EmploymentResults!$H:$H,E399,EmploymentResults!$J:$J,G399,EmploymentResults!$K:$K,H399,EmploymentResults!$L:$L,I399)</f>
        <v>1719.0497071337441</v>
      </c>
    </row>
    <row r="400" spans="1:12" x14ac:dyDescent="0.3">
      <c r="A400" t="str">
        <f t="shared" si="12"/>
        <v>PA|NewCapacity|RE1|PWRSOLUPE|2025</v>
      </c>
      <c r="B400" t="s">
        <v>44</v>
      </c>
      <c r="C400" t="s">
        <v>19</v>
      </c>
      <c r="D400" t="s">
        <v>34</v>
      </c>
      <c r="E400">
        <v>2025</v>
      </c>
      <c r="F400" t="s">
        <v>37</v>
      </c>
      <c r="G400" t="s">
        <v>69</v>
      </c>
      <c r="H400" t="s">
        <v>70</v>
      </c>
      <c r="I400" t="s">
        <v>65</v>
      </c>
      <c r="J400">
        <f>SUMIFS(RawResultsLong!$P:$P,RawResultsLong!$A:$A,A400)</f>
        <v>5.3106623999999574</v>
      </c>
      <c r="K400">
        <f t="shared" si="13"/>
        <v>168.28473648186039</v>
      </c>
      <c r="L400">
        <f>SUMIFS(EmploymentResults!$V:$V,EmploymentResults!$D:$D,B400,EmploymentResults!$F:$F,C400,EmploymentResults!$G:$G,D400,EmploymentResults!$H:$H,E400,EmploymentResults!$J:$J,G400,EmploymentResults!$K:$K,H400,EmploymentResults!$L:$L,I400)</f>
        <v>1591.1576660582311</v>
      </c>
    </row>
    <row r="401" spans="1:12" x14ac:dyDescent="0.3">
      <c r="A401" t="str">
        <f t="shared" si="12"/>
        <v>PA|NewCapacity|RE1|PWRSOLUPE|2026</v>
      </c>
      <c r="B401" t="s">
        <v>44</v>
      </c>
      <c r="C401" t="s">
        <v>19</v>
      </c>
      <c r="D401" t="s">
        <v>34</v>
      </c>
      <c r="E401">
        <v>2026</v>
      </c>
      <c r="F401" t="s">
        <v>37</v>
      </c>
      <c r="G401" t="s">
        <v>69</v>
      </c>
      <c r="H401" t="s">
        <v>70</v>
      </c>
      <c r="I401" t="s">
        <v>65</v>
      </c>
      <c r="J401">
        <f>SUMIFS(RawResultsLong!$P:$P,RawResultsLong!$A:$A,A401)</f>
        <v>3.364575839999973</v>
      </c>
      <c r="K401">
        <f t="shared" si="13"/>
        <v>106.61697467487936</v>
      </c>
      <c r="L401">
        <f>SUMIFS(EmploymentResults!$V:$V,EmploymentResults!$D:$D,B401,EmploymentResults!$F:$F,C401,EmploymentResults!$G:$G,D401,EmploymentResults!$H:$H,E401,EmploymentResults!$J:$J,G401,EmploymentResults!$K:$K,H401,EmploymentResults!$L:$L,I401)</f>
        <v>953.18804267747294</v>
      </c>
    </row>
    <row r="402" spans="1:12" x14ac:dyDescent="0.3">
      <c r="A402" t="str">
        <f t="shared" si="12"/>
        <v>PA|NewCapacity|RE1|PWRSOLUPE|2027</v>
      </c>
      <c r="B402" t="s">
        <v>44</v>
      </c>
      <c r="C402" t="s">
        <v>19</v>
      </c>
      <c r="D402" t="s">
        <v>34</v>
      </c>
      <c r="E402">
        <v>2027</v>
      </c>
      <c r="F402" t="s">
        <v>37</v>
      </c>
      <c r="G402" t="s">
        <v>69</v>
      </c>
      <c r="H402" t="s">
        <v>70</v>
      </c>
      <c r="I402" t="s">
        <v>65</v>
      </c>
      <c r="J402">
        <f>SUMIFS(RawResultsLong!$P:$P,RawResultsLong!$A:$A,A402)</f>
        <v>3.46896</v>
      </c>
      <c r="K402">
        <f t="shared" si="13"/>
        <v>109.92470910335386</v>
      </c>
      <c r="L402">
        <f>SUMIFS(EmploymentResults!$V:$V,EmploymentResults!$D:$D,B402,EmploymentResults!$F:$F,C402,EmploymentResults!$G:$G,D402,EmploymentResults!$H:$H,E402,EmploymentResults!$J:$J,G402,EmploymentResults!$K:$K,H402,EmploymentResults!$L:$L,I402)</f>
        <v>926.16561044964271</v>
      </c>
    </row>
    <row r="403" spans="1:12" x14ac:dyDescent="0.3">
      <c r="A403" t="str">
        <f t="shared" si="12"/>
        <v>PA|NewCapacity|RE1|PWRWNDOFS_FIX|2032</v>
      </c>
      <c r="B403" t="s">
        <v>44</v>
      </c>
      <c r="C403" t="s">
        <v>19</v>
      </c>
      <c r="D403" t="s">
        <v>42</v>
      </c>
      <c r="E403">
        <v>2032</v>
      </c>
      <c r="F403" t="s">
        <v>37</v>
      </c>
      <c r="G403" t="s">
        <v>69</v>
      </c>
      <c r="H403" t="s">
        <v>70</v>
      </c>
      <c r="I403" t="s">
        <v>65</v>
      </c>
      <c r="J403">
        <f>SUMIFS(RawResultsLong!$P:$P,RawResultsLong!$A:$A,A403)</f>
        <v>1.752</v>
      </c>
      <c r="K403">
        <f t="shared" si="13"/>
        <v>55.517529850178718</v>
      </c>
      <c r="L403">
        <f>SUMIFS(EmploymentResults!$V:$V,EmploymentResults!$D:$D,B403,EmploymentResults!$F:$F,C403,EmploymentResults!$G:$G,D403,EmploymentResults!$H:$H,E403,EmploymentResults!$J:$J,G403,EmploymentResults!$K:$K,H403,EmploymentResults!$L:$L,I403)</f>
        <v>257.34509223985856</v>
      </c>
    </row>
    <row r="404" spans="1:12" x14ac:dyDescent="0.3">
      <c r="A404" t="str">
        <f t="shared" si="12"/>
        <v>PA|NewCapacity|RE1|PWRWNDOFS_FIX|2033</v>
      </c>
      <c r="B404" t="s">
        <v>44</v>
      </c>
      <c r="C404" t="s">
        <v>19</v>
      </c>
      <c r="D404" t="s">
        <v>42</v>
      </c>
      <c r="E404">
        <v>2033</v>
      </c>
      <c r="F404" t="s">
        <v>37</v>
      </c>
      <c r="G404" t="s">
        <v>69</v>
      </c>
      <c r="H404" t="s">
        <v>70</v>
      </c>
      <c r="I404" t="s">
        <v>65</v>
      </c>
      <c r="J404">
        <f>SUMIFS(RawResultsLong!$P:$P,RawResultsLong!$A:$A,A404)</f>
        <v>1.752</v>
      </c>
      <c r="K404">
        <f t="shared" si="13"/>
        <v>55.517529850178718</v>
      </c>
      <c r="L404">
        <f>SUMIFS(EmploymentResults!$V:$V,EmploymentResults!$D:$D,B404,EmploymentResults!$F:$F,C404,EmploymentResults!$G:$G,D404,EmploymentResults!$H:$H,E404,EmploymentResults!$J:$J,G404,EmploymentResults!$K:$K,H404,EmploymentResults!$L:$L,I404)</f>
        <v>253.37298166964786</v>
      </c>
    </row>
    <row r="405" spans="1:12" x14ac:dyDescent="0.3">
      <c r="A405" t="str">
        <f t="shared" si="12"/>
        <v>PA|NewCapacity|RE1|PWRWNDOFS_FIX|2034</v>
      </c>
      <c r="B405" t="s">
        <v>44</v>
      </c>
      <c r="C405" t="s">
        <v>19</v>
      </c>
      <c r="D405" t="s">
        <v>42</v>
      </c>
      <c r="E405">
        <v>2034</v>
      </c>
      <c r="F405" t="s">
        <v>37</v>
      </c>
      <c r="G405" t="s">
        <v>69</v>
      </c>
      <c r="H405" t="s">
        <v>70</v>
      </c>
      <c r="I405" t="s">
        <v>65</v>
      </c>
      <c r="J405">
        <f>SUMIFS(RawResultsLong!$P:$P,RawResultsLong!$A:$A,A405)</f>
        <v>1.752</v>
      </c>
      <c r="K405">
        <f t="shared" si="13"/>
        <v>55.517529850178718</v>
      </c>
      <c r="L405">
        <f>SUMIFS(EmploymentResults!$V:$V,EmploymentResults!$D:$D,B405,EmploymentResults!$F:$F,C405,EmploymentResults!$G:$G,D405,EmploymentResults!$H:$H,E405,EmploymentResults!$J:$J,G405,EmploymentResults!$K:$K,H405,EmploymentResults!$L:$L,I405)</f>
        <v>249.40087109943721</v>
      </c>
    </row>
    <row r="406" spans="1:12" x14ac:dyDescent="0.3">
      <c r="A406" t="str">
        <f t="shared" si="12"/>
        <v>PA|NewCapacity|RE1|PWRWNDOFS_FIX|2035</v>
      </c>
      <c r="B406" t="s">
        <v>44</v>
      </c>
      <c r="C406" t="s">
        <v>19</v>
      </c>
      <c r="D406" t="s">
        <v>42</v>
      </c>
      <c r="E406">
        <v>2035</v>
      </c>
      <c r="F406" t="s">
        <v>37</v>
      </c>
      <c r="G406" t="s">
        <v>69</v>
      </c>
      <c r="H406" t="s">
        <v>70</v>
      </c>
      <c r="I406" t="s">
        <v>65</v>
      </c>
      <c r="J406">
        <f>SUMIFS(RawResultsLong!$P:$P,RawResultsLong!$A:$A,A406)</f>
        <v>1.752</v>
      </c>
      <c r="K406">
        <f t="shared" si="13"/>
        <v>55.517529850178718</v>
      </c>
      <c r="L406">
        <f>SUMIFS(EmploymentResults!$V:$V,EmploymentResults!$D:$D,B406,EmploymentResults!$F:$F,C406,EmploymentResults!$G:$G,D406,EmploymentResults!$H:$H,E406,EmploymentResults!$J:$J,G406,EmploymentResults!$K:$K,H406,EmploymentResults!$L:$L,I406)</f>
        <v>245.42876052922654</v>
      </c>
    </row>
    <row r="407" spans="1:12" x14ac:dyDescent="0.3">
      <c r="A407" t="str">
        <f t="shared" si="12"/>
        <v>PA|NewCapacity|RE1|PWRWNDOFS_FIX|2036</v>
      </c>
      <c r="B407" t="s">
        <v>44</v>
      </c>
      <c r="C407" t="s">
        <v>19</v>
      </c>
      <c r="D407" t="s">
        <v>42</v>
      </c>
      <c r="E407">
        <v>2036</v>
      </c>
      <c r="F407" t="s">
        <v>37</v>
      </c>
      <c r="G407" t="s">
        <v>69</v>
      </c>
      <c r="H407" t="s">
        <v>70</v>
      </c>
      <c r="I407" t="s">
        <v>65</v>
      </c>
      <c r="J407">
        <f>SUMIFS(RawResultsLong!$P:$P,RawResultsLong!$A:$A,A407)</f>
        <v>1.752</v>
      </c>
      <c r="K407">
        <f t="shared" si="13"/>
        <v>55.517529850178718</v>
      </c>
      <c r="L407">
        <f>SUMIFS(EmploymentResults!$V:$V,EmploymentResults!$D:$D,B407,EmploymentResults!$F:$F,C407,EmploymentResults!$G:$G,D407,EmploymentResults!$H:$H,E407,EmploymentResults!$J:$J,G407,EmploymentResults!$K:$K,H407,EmploymentResults!$L:$L,I407)</f>
        <v>241.45664995901589</v>
      </c>
    </row>
    <row r="408" spans="1:12" x14ac:dyDescent="0.3">
      <c r="A408" t="str">
        <f t="shared" si="12"/>
        <v>PA|NewCapacity|RE1|PWRWNDOFS_FIX|2037</v>
      </c>
      <c r="B408" t="s">
        <v>44</v>
      </c>
      <c r="C408" t="s">
        <v>19</v>
      </c>
      <c r="D408" t="s">
        <v>42</v>
      </c>
      <c r="E408">
        <v>2037</v>
      </c>
      <c r="F408" t="s">
        <v>37</v>
      </c>
      <c r="G408" t="s">
        <v>69</v>
      </c>
      <c r="H408" t="s">
        <v>70</v>
      </c>
      <c r="I408" t="s">
        <v>65</v>
      </c>
      <c r="J408">
        <f>SUMIFS(RawResultsLong!$P:$P,RawResultsLong!$A:$A,A408)</f>
        <v>1.752</v>
      </c>
      <c r="K408">
        <f t="shared" si="13"/>
        <v>55.517529850178718</v>
      </c>
      <c r="L408">
        <f>SUMIFS(EmploymentResults!$V:$V,EmploymentResults!$D:$D,B408,EmploymentResults!$F:$F,C408,EmploymentResults!$G:$G,D408,EmploymentResults!$H:$H,E408,EmploymentResults!$J:$J,G408,EmploymentResults!$K:$K,H408,EmploymentResults!$L:$L,I408)</f>
        <v>237.48453938825006</v>
      </c>
    </row>
    <row r="409" spans="1:12" x14ac:dyDescent="0.3">
      <c r="A409" t="str">
        <f t="shared" si="12"/>
        <v>PA|NewCapacity|RE1|PWRWNDOFS_FIX|2038</v>
      </c>
      <c r="B409" t="s">
        <v>44</v>
      </c>
      <c r="C409" t="s">
        <v>19</v>
      </c>
      <c r="D409" t="s">
        <v>42</v>
      </c>
      <c r="E409">
        <v>2038</v>
      </c>
      <c r="F409" t="s">
        <v>37</v>
      </c>
      <c r="G409" t="s">
        <v>69</v>
      </c>
      <c r="H409" t="s">
        <v>70</v>
      </c>
      <c r="I409" t="s">
        <v>65</v>
      </c>
      <c r="J409">
        <f>SUMIFS(RawResultsLong!$P:$P,RawResultsLong!$A:$A,A409)</f>
        <v>1.752</v>
      </c>
      <c r="K409">
        <f t="shared" si="13"/>
        <v>55.517529850178718</v>
      </c>
      <c r="L409">
        <f>SUMIFS(EmploymentResults!$V:$V,EmploymentResults!$D:$D,B409,EmploymentResults!$F:$F,C409,EmploymentResults!$G:$G,D409,EmploymentResults!$H:$H,E409,EmploymentResults!$J:$J,G409,EmploymentResults!$K:$K,H409,EmploymentResults!$L:$L,I409)</f>
        <v>233.51242881803938</v>
      </c>
    </row>
    <row r="410" spans="1:12" x14ac:dyDescent="0.3">
      <c r="A410" t="str">
        <f t="shared" si="12"/>
        <v>PA|NewCapacity|RE1|PWRWNDOFS_FIX|2039</v>
      </c>
      <c r="B410" t="s">
        <v>44</v>
      </c>
      <c r="C410" t="s">
        <v>19</v>
      </c>
      <c r="D410" t="s">
        <v>42</v>
      </c>
      <c r="E410">
        <v>2039</v>
      </c>
      <c r="F410" t="s">
        <v>37</v>
      </c>
      <c r="G410" t="s">
        <v>69</v>
      </c>
      <c r="H410" t="s">
        <v>70</v>
      </c>
      <c r="I410" t="s">
        <v>65</v>
      </c>
      <c r="J410">
        <f>SUMIFS(RawResultsLong!$P:$P,RawResultsLong!$A:$A,A410)</f>
        <v>1.752</v>
      </c>
      <c r="K410">
        <f t="shared" si="13"/>
        <v>55.517529850178718</v>
      </c>
      <c r="L410">
        <f>SUMIFS(EmploymentResults!$V:$V,EmploymentResults!$D:$D,B410,EmploymentResults!$F:$F,C410,EmploymentResults!$G:$G,D410,EmploymentResults!$H:$H,E410,EmploymentResults!$J:$J,G410,EmploymentResults!$K:$K,H410,EmploymentResults!$L:$L,I410)</f>
        <v>229.54031824782871</v>
      </c>
    </row>
    <row r="411" spans="1:12" x14ac:dyDescent="0.3">
      <c r="A411" t="str">
        <f t="shared" si="12"/>
        <v>PA|NewCapacity|RE1|PWRWNDOFS_FIX|2040</v>
      </c>
      <c r="B411" t="s">
        <v>44</v>
      </c>
      <c r="C411" t="s">
        <v>19</v>
      </c>
      <c r="D411" t="s">
        <v>42</v>
      </c>
      <c r="E411">
        <v>2040</v>
      </c>
      <c r="F411" t="s">
        <v>37</v>
      </c>
      <c r="G411" t="s">
        <v>69</v>
      </c>
      <c r="H411" t="s">
        <v>70</v>
      </c>
      <c r="I411" t="s">
        <v>65</v>
      </c>
      <c r="J411">
        <f>SUMIFS(RawResultsLong!$P:$P,RawResultsLong!$A:$A,A411)</f>
        <v>1.752</v>
      </c>
      <c r="K411">
        <f t="shared" si="13"/>
        <v>55.517529850178718</v>
      </c>
      <c r="L411">
        <f>SUMIFS(EmploymentResults!$V:$V,EmploymentResults!$D:$D,B411,EmploymentResults!$F:$F,C411,EmploymentResults!$G:$G,D411,EmploymentResults!$H:$H,E411,EmploymentResults!$J:$J,G411,EmploymentResults!$K:$K,H411,EmploymentResults!$L:$L,I411)</f>
        <v>225.56820767761803</v>
      </c>
    </row>
    <row r="412" spans="1:12" x14ac:dyDescent="0.3">
      <c r="A412" t="str">
        <f t="shared" si="12"/>
        <v>PA|NewCapacity|RE1|PWRWNDOFS_FIX|2041</v>
      </c>
      <c r="B412" t="s">
        <v>44</v>
      </c>
      <c r="C412" t="s">
        <v>19</v>
      </c>
      <c r="D412" t="s">
        <v>42</v>
      </c>
      <c r="E412">
        <v>2041</v>
      </c>
      <c r="F412" t="s">
        <v>37</v>
      </c>
      <c r="G412" t="s">
        <v>69</v>
      </c>
      <c r="H412" t="s">
        <v>70</v>
      </c>
      <c r="I412" t="s">
        <v>65</v>
      </c>
      <c r="J412">
        <f>SUMIFS(RawResultsLong!$P:$P,RawResultsLong!$A:$A,A412)</f>
        <v>3.1536</v>
      </c>
      <c r="K412">
        <f t="shared" si="13"/>
        <v>99.931553730321696</v>
      </c>
      <c r="L412">
        <f>SUMIFS(EmploymentResults!$V:$V,EmploymentResults!$D:$D,B412,EmploymentResults!$F:$F,C412,EmploymentResults!$G:$G,D412,EmploymentResults!$H:$H,E412,EmploymentResults!$J:$J,G412,EmploymentResults!$K:$K,H412,EmploymentResults!$L:$L,I412)</f>
        <v>398.8729747933333</v>
      </c>
    </row>
    <row r="413" spans="1:12" x14ac:dyDescent="0.3">
      <c r="A413" t="str">
        <f t="shared" si="12"/>
        <v>PA|NewCapacity|RE1|PWRWNDOFS_FIX|2042</v>
      </c>
      <c r="B413" t="s">
        <v>44</v>
      </c>
      <c r="C413" t="s">
        <v>19</v>
      </c>
      <c r="D413" t="s">
        <v>42</v>
      </c>
      <c r="E413">
        <v>2042</v>
      </c>
      <c r="F413" t="s">
        <v>37</v>
      </c>
      <c r="G413" t="s">
        <v>69</v>
      </c>
      <c r="H413" t="s">
        <v>70</v>
      </c>
      <c r="I413" t="s">
        <v>65</v>
      </c>
      <c r="J413">
        <f>SUMIFS(RawResultsLong!$P:$P,RawResultsLong!$A:$A,A413)</f>
        <v>3.1536</v>
      </c>
      <c r="K413">
        <f t="shared" si="13"/>
        <v>99.931553730321696</v>
      </c>
      <c r="L413">
        <f>SUMIFS(EmploymentResults!$V:$V,EmploymentResults!$D:$D,B413,EmploymentResults!$F:$F,C413,EmploymentResults!$G:$G,D413,EmploymentResults!$H:$H,E413,EmploymentResults!$J:$J,G413,EmploymentResults!$K:$K,H413,EmploymentResults!$L:$L,I413)</f>
        <v>391.72317576695411</v>
      </c>
    </row>
    <row r="414" spans="1:12" x14ac:dyDescent="0.3">
      <c r="A414" t="str">
        <f t="shared" si="12"/>
        <v>PA|NewCapacity|RE1|PWRWNDOFS_FIX|2043</v>
      </c>
      <c r="B414" t="s">
        <v>44</v>
      </c>
      <c r="C414" t="s">
        <v>19</v>
      </c>
      <c r="D414" t="s">
        <v>42</v>
      </c>
      <c r="E414">
        <v>2043</v>
      </c>
      <c r="F414" t="s">
        <v>37</v>
      </c>
      <c r="G414" t="s">
        <v>69</v>
      </c>
      <c r="H414" t="s">
        <v>70</v>
      </c>
      <c r="I414" t="s">
        <v>65</v>
      </c>
      <c r="J414">
        <f>SUMIFS(RawResultsLong!$P:$P,RawResultsLong!$A:$A,A414)</f>
        <v>3.1536</v>
      </c>
      <c r="K414">
        <f t="shared" si="13"/>
        <v>99.931553730321696</v>
      </c>
      <c r="L414">
        <f>SUMIFS(EmploymentResults!$V:$V,EmploymentResults!$D:$D,B414,EmploymentResults!$F:$F,C414,EmploymentResults!$G:$G,D414,EmploymentResults!$H:$H,E414,EmploymentResults!$J:$J,G414,EmploymentResults!$K:$K,H414,EmploymentResults!$L:$L,I414)</f>
        <v>384.57337673957562</v>
      </c>
    </row>
    <row r="415" spans="1:12" x14ac:dyDescent="0.3">
      <c r="A415" t="str">
        <f t="shared" si="12"/>
        <v>PA|NewCapacity|RE1|PWRWNDOFS_FIX|2044</v>
      </c>
      <c r="B415" t="s">
        <v>44</v>
      </c>
      <c r="C415" t="s">
        <v>19</v>
      </c>
      <c r="D415" t="s">
        <v>42</v>
      </c>
      <c r="E415">
        <v>2044</v>
      </c>
      <c r="F415" t="s">
        <v>37</v>
      </c>
      <c r="G415" t="s">
        <v>69</v>
      </c>
      <c r="H415" t="s">
        <v>70</v>
      </c>
      <c r="I415" t="s">
        <v>65</v>
      </c>
      <c r="J415">
        <f>SUMIFS(RawResultsLong!$P:$P,RawResultsLong!$A:$A,A415)</f>
        <v>3.1536</v>
      </c>
      <c r="K415">
        <f t="shared" si="13"/>
        <v>99.931553730321696</v>
      </c>
      <c r="L415">
        <f>SUMIFS(EmploymentResults!$V:$V,EmploymentResults!$D:$D,B415,EmploymentResults!$F:$F,C415,EmploymentResults!$G:$G,D415,EmploymentResults!$H:$H,E415,EmploymentResults!$J:$J,G415,EmploymentResults!$K:$K,H415,EmploymentResults!$L:$L,I415)</f>
        <v>377.42357771319644</v>
      </c>
    </row>
    <row r="416" spans="1:12" x14ac:dyDescent="0.3">
      <c r="A416" t="str">
        <f t="shared" si="12"/>
        <v>PA|NewCapacity|RE1|PWRWNDOFS_FIX|2045</v>
      </c>
      <c r="B416" t="s">
        <v>44</v>
      </c>
      <c r="C416" t="s">
        <v>19</v>
      </c>
      <c r="D416" t="s">
        <v>42</v>
      </c>
      <c r="E416">
        <v>2045</v>
      </c>
      <c r="F416" t="s">
        <v>37</v>
      </c>
      <c r="G416" t="s">
        <v>69</v>
      </c>
      <c r="H416" t="s">
        <v>70</v>
      </c>
      <c r="I416" t="s">
        <v>65</v>
      </c>
      <c r="J416">
        <f>SUMIFS(RawResultsLong!$P:$P,RawResultsLong!$A:$A,A416)</f>
        <v>3.1536</v>
      </c>
      <c r="K416">
        <f t="shared" si="13"/>
        <v>99.931553730321696</v>
      </c>
      <c r="L416">
        <f>SUMIFS(EmploymentResults!$V:$V,EmploymentResults!$D:$D,B416,EmploymentResults!$F:$F,C416,EmploymentResults!$G:$G,D416,EmploymentResults!$H:$H,E416,EmploymentResults!$J:$J,G416,EmploymentResults!$K:$K,H416,EmploymentResults!$L:$L,I416)</f>
        <v>370.27377868681725</v>
      </c>
    </row>
    <row r="417" spans="1:12" x14ac:dyDescent="0.3">
      <c r="A417" t="str">
        <f t="shared" si="12"/>
        <v>PA|NewCapacity|RE1|PWRWNDOFS_FIX|2046</v>
      </c>
      <c r="B417" t="s">
        <v>44</v>
      </c>
      <c r="C417" t="s">
        <v>19</v>
      </c>
      <c r="D417" t="s">
        <v>42</v>
      </c>
      <c r="E417">
        <v>2046</v>
      </c>
      <c r="F417" t="s">
        <v>37</v>
      </c>
      <c r="G417" t="s">
        <v>69</v>
      </c>
      <c r="H417" t="s">
        <v>70</v>
      </c>
      <c r="I417" t="s">
        <v>65</v>
      </c>
      <c r="J417">
        <f>SUMIFS(RawResultsLong!$P:$P,RawResultsLong!$A:$A,A417)</f>
        <v>3.1536</v>
      </c>
      <c r="K417">
        <f t="shared" si="13"/>
        <v>99.931553730321696</v>
      </c>
      <c r="L417">
        <f>SUMIFS(EmploymentResults!$V:$V,EmploymentResults!$D:$D,B417,EmploymentResults!$F:$F,C417,EmploymentResults!$G:$G,D417,EmploymentResults!$H:$H,E417,EmploymentResults!$J:$J,G417,EmploymentResults!$K:$K,H417,EmploymentResults!$L:$L,I417)</f>
        <v>363.12397966043807</v>
      </c>
    </row>
    <row r="418" spans="1:12" x14ac:dyDescent="0.3">
      <c r="A418" t="str">
        <f t="shared" si="12"/>
        <v>PA|NewCapacity|RE1|PWRWNDOFS_FIX|2047</v>
      </c>
      <c r="B418" t="s">
        <v>44</v>
      </c>
      <c r="C418" t="s">
        <v>19</v>
      </c>
      <c r="D418" t="s">
        <v>42</v>
      </c>
      <c r="E418">
        <v>2047</v>
      </c>
      <c r="F418" t="s">
        <v>37</v>
      </c>
      <c r="G418" t="s">
        <v>69</v>
      </c>
      <c r="H418" t="s">
        <v>70</v>
      </c>
      <c r="I418" t="s">
        <v>65</v>
      </c>
      <c r="J418">
        <f>SUMIFS(RawResultsLong!$P:$P,RawResultsLong!$A:$A,A418)</f>
        <v>3.1536</v>
      </c>
      <c r="K418">
        <f t="shared" si="13"/>
        <v>99.931553730321696</v>
      </c>
      <c r="L418">
        <f>SUMIFS(EmploymentResults!$V:$V,EmploymentResults!$D:$D,B418,EmploymentResults!$F:$F,C418,EmploymentResults!$G:$G,D418,EmploymentResults!$H:$H,E418,EmploymentResults!$J:$J,G418,EmploymentResults!$K:$K,H418,EmploymentResults!$L:$L,I418)</f>
        <v>355.97418063405883</v>
      </c>
    </row>
    <row r="419" spans="1:12" x14ac:dyDescent="0.3">
      <c r="A419" t="str">
        <f t="shared" si="12"/>
        <v>PA|NewCapacity|RE1|PWRWNDOFS_FIX|2048</v>
      </c>
      <c r="B419" t="s">
        <v>44</v>
      </c>
      <c r="C419" t="s">
        <v>19</v>
      </c>
      <c r="D419" t="s">
        <v>42</v>
      </c>
      <c r="E419">
        <v>2048</v>
      </c>
      <c r="F419" t="s">
        <v>37</v>
      </c>
      <c r="G419" t="s">
        <v>69</v>
      </c>
      <c r="H419" t="s">
        <v>70</v>
      </c>
      <c r="I419" t="s">
        <v>65</v>
      </c>
      <c r="J419">
        <f>SUMIFS(RawResultsLong!$P:$P,RawResultsLong!$A:$A,A419)</f>
        <v>3.1536</v>
      </c>
      <c r="K419">
        <f t="shared" si="13"/>
        <v>99.931553730321696</v>
      </c>
      <c r="L419">
        <f>SUMIFS(EmploymentResults!$V:$V,EmploymentResults!$D:$D,B419,EmploymentResults!$F:$F,C419,EmploymentResults!$G:$G,D419,EmploymentResults!$H:$H,E419,EmploymentResults!$J:$J,G419,EmploymentResults!$K:$K,H419,EmploymentResults!$L:$L,I419)</f>
        <v>348.8243816076797</v>
      </c>
    </row>
    <row r="420" spans="1:12" x14ac:dyDescent="0.3">
      <c r="A420" t="str">
        <f t="shared" si="12"/>
        <v>PA|NewCapacity|RE1|PWRWNDOFS_FIX|2049</v>
      </c>
      <c r="B420" t="s">
        <v>44</v>
      </c>
      <c r="C420" t="s">
        <v>19</v>
      </c>
      <c r="D420" t="s">
        <v>42</v>
      </c>
      <c r="E420">
        <v>2049</v>
      </c>
      <c r="F420" t="s">
        <v>37</v>
      </c>
      <c r="G420" t="s">
        <v>69</v>
      </c>
      <c r="H420" t="s">
        <v>70</v>
      </c>
      <c r="I420" t="s">
        <v>65</v>
      </c>
      <c r="J420">
        <f>SUMIFS(RawResultsLong!$P:$P,RawResultsLong!$A:$A,A420)</f>
        <v>3.1536</v>
      </c>
      <c r="K420">
        <f t="shared" si="13"/>
        <v>99.931553730321696</v>
      </c>
      <c r="L420">
        <f>SUMIFS(EmploymentResults!$V:$V,EmploymentResults!$D:$D,B420,EmploymentResults!$F:$F,C420,EmploymentResults!$G:$G,D420,EmploymentResults!$H:$H,E420,EmploymentResults!$J:$J,G420,EmploymentResults!$K:$K,H420,EmploymentResults!$L:$L,I420)</f>
        <v>341.67458258030115</v>
      </c>
    </row>
    <row r="421" spans="1:12" x14ac:dyDescent="0.3">
      <c r="A421" t="str">
        <f t="shared" si="12"/>
        <v>PA|NewCapacity|RE1|PWRWNDOFS_FIX|2050</v>
      </c>
      <c r="B421" t="s">
        <v>44</v>
      </c>
      <c r="C421" t="s">
        <v>19</v>
      </c>
      <c r="D421" t="s">
        <v>42</v>
      </c>
      <c r="E421">
        <v>2050</v>
      </c>
      <c r="F421" t="s">
        <v>37</v>
      </c>
      <c r="G421" t="s">
        <v>69</v>
      </c>
      <c r="H421" t="s">
        <v>70</v>
      </c>
      <c r="I421" t="s">
        <v>65</v>
      </c>
      <c r="J421">
        <f>SUMIFS(RawResultsLong!$P:$P,RawResultsLong!$A:$A,A421)</f>
        <v>3.1536</v>
      </c>
      <c r="K421">
        <f t="shared" si="13"/>
        <v>99.931553730321696</v>
      </c>
      <c r="L421">
        <f>SUMIFS(EmploymentResults!$V:$V,EmploymentResults!$D:$D,B421,EmploymentResults!$F:$F,C421,EmploymentResults!$G:$G,D421,EmploymentResults!$H:$H,E421,EmploymentResults!$J:$J,G421,EmploymentResults!$K:$K,H421,EmploymentResults!$L:$L,I421)</f>
        <v>334.52478355392196</v>
      </c>
    </row>
    <row r="422" spans="1:12" x14ac:dyDescent="0.3">
      <c r="A422" t="str">
        <f t="shared" si="12"/>
        <v>PA|NewCapacity|RE1|PWRWNDONS|2025</v>
      </c>
      <c r="B422" t="s">
        <v>44</v>
      </c>
      <c r="C422" t="s">
        <v>19</v>
      </c>
      <c r="D422" t="s">
        <v>36</v>
      </c>
      <c r="E422">
        <v>2025</v>
      </c>
      <c r="F422" t="s">
        <v>37</v>
      </c>
      <c r="G422" t="s">
        <v>69</v>
      </c>
      <c r="H422" t="s">
        <v>70</v>
      </c>
      <c r="I422" t="s">
        <v>65</v>
      </c>
      <c r="J422">
        <f>SUMIFS(RawResultsLong!$P:$P,RawResultsLong!$A:$A,A422)</f>
        <v>0.15362331428571441</v>
      </c>
      <c r="K422">
        <f t="shared" si="13"/>
        <v>4.8680290733678859</v>
      </c>
      <c r="L422">
        <f>SUMIFS(EmploymentResults!$V:$V,EmploymentResults!$D:$D,B422,EmploymentResults!$F:$F,C422,EmploymentResults!$G:$G,D422,EmploymentResults!$H:$H,E422,EmploymentResults!$J:$J,G422,EmploymentResults!$K:$K,H422,EmploymentResults!$L:$L,I422)</f>
        <v>34.978894298950074</v>
      </c>
    </row>
    <row r="423" spans="1:12" x14ac:dyDescent="0.3">
      <c r="A423" t="str">
        <f t="shared" si="12"/>
        <v>PA|NewCapacity|RE1|PWRWNDONS|2027</v>
      </c>
      <c r="B423" t="s">
        <v>44</v>
      </c>
      <c r="C423" t="s">
        <v>19</v>
      </c>
      <c r="D423" t="s">
        <v>36</v>
      </c>
      <c r="E423">
        <v>2027</v>
      </c>
      <c r="F423" t="s">
        <v>37</v>
      </c>
      <c r="G423" t="s">
        <v>69</v>
      </c>
      <c r="H423" t="s">
        <v>70</v>
      </c>
      <c r="I423" t="s">
        <v>65</v>
      </c>
      <c r="J423">
        <f>SUMIFS(RawResultsLong!$P:$P,RawResultsLong!$A:$A,A423)</f>
        <v>17.313264</v>
      </c>
      <c r="K423">
        <f t="shared" si="13"/>
        <v>548.62422997946612</v>
      </c>
      <c r="L423">
        <f>SUMIFS(EmploymentResults!$V:$V,EmploymentResults!$D:$D,B423,EmploymentResults!$F:$F,C423,EmploymentResults!$G:$G,D423,EmploymentResults!$H:$H,E423,EmploymentResults!$J:$J,G423,EmploymentResults!$K:$K,H423,EmploymentResults!$L:$L,I423)</f>
        <v>3874.5475224962674</v>
      </c>
    </row>
    <row r="424" spans="1:12" x14ac:dyDescent="0.3">
      <c r="A424" t="str">
        <f t="shared" si="12"/>
        <v>PA|NewCapacity|RE1|PWRWNDONS|2028</v>
      </c>
      <c r="B424" t="s">
        <v>44</v>
      </c>
      <c r="C424" t="s">
        <v>19</v>
      </c>
      <c r="D424" t="s">
        <v>36</v>
      </c>
      <c r="E424">
        <v>2028</v>
      </c>
      <c r="F424" t="s">
        <v>37</v>
      </c>
      <c r="G424" t="s">
        <v>69</v>
      </c>
      <c r="H424" t="s">
        <v>70</v>
      </c>
      <c r="I424" t="s">
        <v>65</v>
      </c>
      <c r="J424">
        <f>SUMIFS(RawResultsLong!$P:$P,RawResultsLong!$A:$A,A424)</f>
        <v>6.3387359999999999</v>
      </c>
      <c r="K424">
        <f t="shared" si="13"/>
        <v>200.8624229979466</v>
      </c>
      <c r="L424">
        <f>SUMIFS(EmploymentResults!$V:$V,EmploymentResults!$D:$D,B424,EmploymentResults!$F:$F,C424,EmploymentResults!$G:$G,D424,EmploymentResults!$H:$H,E424,EmploymentResults!$J:$J,G424,EmploymentResults!$K:$K,H424,EmploymentResults!$L:$L,I424)</f>
        <v>1406.1835879552548</v>
      </c>
    </row>
    <row r="425" spans="1:12" x14ac:dyDescent="0.3">
      <c r="A425" t="str">
        <f t="shared" si="12"/>
        <v>PA|NewCapacity|RE1|PWRWNDONS|2029</v>
      </c>
      <c r="B425" t="s">
        <v>44</v>
      </c>
      <c r="C425" t="s">
        <v>19</v>
      </c>
      <c r="D425" t="s">
        <v>36</v>
      </c>
      <c r="E425">
        <v>2029</v>
      </c>
      <c r="F425" t="s">
        <v>37</v>
      </c>
      <c r="G425" t="s">
        <v>69</v>
      </c>
      <c r="H425" t="s">
        <v>70</v>
      </c>
      <c r="I425" t="s">
        <v>65</v>
      </c>
      <c r="J425">
        <f>SUMIFS(RawResultsLong!$P:$P,RawResultsLong!$A:$A,A425)</f>
        <v>9.4608000000000008</v>
      </c>
      <c r="K425">
        <f t="shared" si="13"/>
        <v>299.79466119096514</v>
      </c>
      <c r="L425">
        <f>SUMIFS(EmploymentResults!$V:$V,EmploymentResults!$D:$D,B425,EmploymentResults!$F:$F,C425,EmploymentResults!$G:$G,D425,EmploymentResults!$H:$H,E425,EmploymentResults!$J:$J,G425,EmploymentResults!$K:$K,H425,EmploymentResults!$L:$L,I425)</f>
        <v>2080.3238657858728</v>
      </c>
    </row>
    <row r="426" spans="1:12" x14ac:dyDescent="0.3">
      <c r="A426" t="str">
        <f t="shared" si="12"/>
        <v>PA|NewCapacity|RE1|PWRWNDONS|2034</v>
      </c>
      <c r="B426" t="s">
        <v>44</v>
      </c>
      <c r="C426" t="s">
        <v>19</v>
      </c>
      <c r="D426" t="s">
        <v>36</v>
      </c>
      <c r="E426">
        <v>2034</v>
      </c>
      <c r="F426" t="s">
        <v>37</v>
      </c>
      <c r="G426" t="s">
        <v>69</v>
      </c>
      <c r="H426" t="s">
        <v>70</v>
      </c>
      <c r="I426" t="s">
        <v>65</v>
      </c>
      <c r="J426">
        <f>SUMIFS(RawResultsLong!$P:$P,RawResultsLong!$A:$A,A426)</f>
        <v>31.270503081500099</v>
      </c>
      <c r="K426">
        <f t="shared" si="13"/>
        <v>990.90244763543797</v>
      </c>
      <c r="L426">
        <f>SUMIFS(EmploymentResults!$V:$V,EmploymentResults!$D:$D,B426,EmploymentResults!$F:$F,C426,EmploymentResults!$G:$G,D426,EmploymentResults!$H:$H,E426,EmploymentResults!$J:$J,G426,EmploymentResults!$K:$K,H426,EmploymentResults!$L:$L,I426)</f>
        <v>6742.7225283398075</v>
      </c>
    </row>
    <row r="427" spans="1:12" x14ac:dyDescent="0.3">
      <c r="A427" t="str">
        <f t="shared" si="12"/>
        <v>PA|NewCapacity|RE1|PWRWNDONS|2035</v>
      </c>
      <c r="B427" t="s">
        <v>44</v>
      </c>
      <c r="C427" t="s">
        <v>19</v>
      </c>
      <c r="D427" t="s">
        <v>36</v>
      </c>
      <c r="E427">
        <v>2035</v>
      </c>
      <c r="F427" t="s">
        <v>37</v>
      </c>
      <c r="G427" t="s">
        <v>69</v>
      </c>
      <c r="H427" t="s">
        <v>70</v>
      </c>
      <c r="I427" t="s">
        <v>65</v>
      </c>
      <c r="J427">
        <f>SUMIFS(RawResultsLong!$P:$P,RawResultsLong!$A:$A,A427)</f>
        <v>47.31</v>
      </c>
      <c r="K427">
        <f t="shared" si="13"/>
        <v>1499.1634344817096</v>
      </c>
      <c r="L427">
        <f>SUMIFS(EmploymentResults!$V:$V,EmploymentResults!$D:$D,B427,EmploymentResults!$F:$F,C427,EmploymentResults!$G:$G,D427,EmploymentResults!$H:$H,E427,EmploymentResults!$J:$J,G427,EmploymentResults!$K:$K,H427,EmploymentResults!$L:$L,I427)</f>
        <v>10173.902102648166</v>
      </c>
    </row>
    <row r="428" spans="1:12" x14ac:dyDescent="0.3">
      <c r="A428" t="str">
        <f t="shared" si="12"/>
        <v>PA|NewCapacity|RE1|PWRWNDONS|2036</v>
      </c>
      <c r="B428" t="s">
        <v>44</v>
      </c>
      <c r="C428" t="s">
        <v>19</v>
      </c>
      <c r="D428" t="s">
        <v>36</v>
      </c>
      <c r="E428">
        <v>2036</v>
      </c>
      <c r="F428" t="s">
        <v>37</v>
      </c>
      <c r="G428" t="s">
        <v>69</v>
      </c>
      <c r="H428" t="s">
        <v>70</v>
      </c>
      <c r="I428" t="s">
        <v>65</v>
      </c>
      <c r="J428">
        <f>SUMIFS(RawResultsLong!$P:$P,RawResultsLong!$A:$A,A428)</f>
        <v>47.31</v>
      </c>
      <c r="K428">
        <f t="shared" si="13"/>
        <v>1499.1634344817096</v>
      </c>
      <c r="L428">
        <f>SUMIFS(EmploymentResults!$V:$V,EmploymentResults!$D:$D,B428,EmploymentResults!$F:$F,C428,EmploymentResults!$G:$G,D428,EmploymentResults!$H:$H,E428,EmploymentResults!$J:$J,G428,EmploymentResults!$K:$K,H428,EmploymentResults!$L:$L,I428)</f>
        <v>10146.554740765705</v>
      </c>
    </row>
    <row r="429" spans="1:12" x14ac:dyDescent="0.3">
      <c r="A429" t="str">
        <f t="shared" si="12"/>
        <v>PA|NewCapacity|RE1|PWRWNDONS|2037</v>
      </c>
      <c r="B429" t="s">
        <v>44</v>
      </c>
      <c r="C429" t="s">
        <v>19</v>
      </c>
      <c r="D429" t="s">
        <v>36</v>
      </c>
      <c r="E429">
        <v>2037</v>
      </c>
      <c r="F429" t="s">
        <v>37</v>
      </c>
      <c r="G429" t="s">
        <v>69</v>
      </c>
      <c r="H429" t="s">
        <v>70</v>
      </c>
      <c r="I429" t="s">
        <v>65</v>
      </c>
      <c r="J429">
        <f>SUMIFS(RawResultsLong!$P:$P,RawResultsLong!$A:$A,A429)</f>
        <v>1.431102115049619</v>
      </c>
      <c r="K429">
        <f t="shared" si="13"/>
        <v>45.348889492534887</v>
      </c>
      <c r="L429">
        <f>SUMIFS(EmploymentResults!$V:$V,EmploymentResults!$D:$D,B429,EmploymentResults!$F:$F,C429,EmploymentResults!$G:$G,D429,EmploymentResults!$H:$H,E429,EmploymentResults!$J:$J,G429,EmploymentResults!$K:$K,H429,EmploymentResults!$L:$L,I429)</f>
        <v>306.10059358582788</v>
      </c>
    </row>
    <row r="430" spans="1:12" x14ac:dyDescent="0.3">
      <c r="A430" t="str">
        <f t="shared" si="12"/>
        <v>PA|NewCapacity|RE1|PWRWNDONS|2039</v>
      </c>
      <c r="B430" t="s">
        <v>44</v>
      </c>
      <c r="C430" t="s">
        <v>19</v>
      </c>
      <c r="D430" t="s">
        <v>36</v>
      </c>
      <c r="E430">
        <v>2039</v>
      </c>
      <c r="F430" t="s">
        <v>37</v>
      </c>
      <c r="G430" t="s">
        <v>69</v>
      </c>
      <c r="H430" t="s">
        <v>70</v>
      </c>
      <c r="I430" t="s">
        <v>65</v>
      </c>
      <c r="J430">
        <f>SUMIFS(RawResultsLong!$P:$P,RawResultsLong!$A:$A,A430)</f>
        <v>25.69823582779421</v>
      </c>
      <c r="K430">
        <f t="shared" si="13"/>
        <v>814.32795357676787</v>
      </c>
      <c r="L430">
        <f>SUMIFS(EmploymentResults!$V:$V,EmploymentResults!$D:$D,B430,EmploymentResults!$F:$F,C430,EmploymentResults!$G:$G,D430,EmploymentResults!$H:$H,E430,EmploymentResults!$J:$J,G430,EmploymentResults!$K:$K,H430,EmploymentResults!$L:$L,I430)</f>
        <v>5466.9249567332436</v>
      </c>
    </row>
    <row r="431" spans="1:12" x14ac:dyDescent="0.3">
      <c r="A431" t="str">
        <f t="shared" si="12"/>
        <v>PA|NewCapacity|RE1|PWRWNDONS|2040</v>
      </c>
      <c r="B431" t="s">
        <v>44</v>
      </c>
      <c r="C431" t="s">
        <v>19</v>
      </c>
      <c r="D431" t="s">
        <v>36</v>
      </c>
      <c r="E431">
        <v>2040</v>
      </c>
      <c r="F431" t="s">
        <v>37</v>
      </c>
      <c r="G431" t="s">
        <v>69</v>
      </c>
      <c r="H431" t="s">
        <v>70</v>
      </c>
      <c r="I431" t="s">
        <v>65</v>
      </c>
      <c r="J431">
        <f>SUMIFS(RawResultsLong!$P:$P,RawResultsLong!$A:$A,A431)</f>
        <v>47.31</v>
      </c>
      <c r="K431">
        <f t="shared" si="13"/>
        <v>1499.1634344817096</v>
      </c>
      <c r="L431">
        <f>SUMIFS(EmploymentResults!$V:$V,EmploymentResults!$D:$D,B431,EmploymentResults!$F:$F,C431,EmploymentResults!$G:$G,D431,EmploymentResults!$H:$H,E431,EmploymentResults!$J:$J,G431,EmploymentResults!$K:$K,H431,EmploymentResults!$L:$L,I431)</f>
        <v>10037.165293235854</v>
      </c>
    </row>
    <row r="432" spans="1:12" x14ac:dyDescent="0.3">
      <c r="A432" t="str">
        <f t="shared" si="12"/>
        <v>PA|NewCapacity|RE1|PWRWNDONS|2041</v>
      </c>
      <c r="B432" t="s">
        <v>44</v>
      </c>
      <c r="C432" t="s">
        <v>19</v>
      </c>
      <c r="D432" t="s">
        <v>36</v>
      </c>
      <c r="E432">
        <v>2041</v>
      </c>
      <c r="F432" t="s">
        <v>37</v>
      </c>
      <c r="G432" t="s">
        <v>69</v>
      </c>
      <c r="H432" t="s">
        <v>70</v>
      </c>
      <c r="I432" t="s">
        <v>65</v>
      </c>
      <c r="J432">
        <f>SUMIFS(RawResultsLong!$P:$P,RawResultsLong!$A:$A,A432)</f>
        <v>47.31</v>
      </c>
      <c r="K432">
        <f t="shared" si="13"/>
        <v>1499.1634344817096</v>
      </c>
      <c r="L432">
        <f>SUMIFS(EmploymentResults!$V:$V,EmploymentResults!$D:$D,B432,EmploymentResults!$F:$F,C432,EmploymentResults!$G:$G,D432,EmploymentResults!$H:$H,E432,EmploymentResults!$J:$J,G432,EmploymentResults!$K:$K,H432,EmploymentResults!$L:$L,I432)</f>
        <v>10009.817931353393</v>
      </c>
    </row>
    <row r="433" spans="1:12" x14ac:dyDescent="0.3">
      <c r="A433" t="str">
        <f t="shared" si="12"/>
        <v>PA|NewCapacity|RE1|PWRWNDONS|2042</v>
      </c>
      <c r="B433" t="s">
        <v>44</v>
      </c>
      <c r="C433" t="s">
        <v>19</v>
      </c>
      <c r="D433" t="s">
        <v>36</v>
      </c>
      <c r="E433">
        <v>2042</v>
      </c>
      <c r="F433" t="s">
        <v>37</v>
      </c>
      <c r="G433" t="s">
        <v>69</v>
      </c>
      <c r="H433" t="s">
        <v>70</v>
      </c>
      <c r="I433" t="s">
        <v>65</v>
      </c>
      <c r="J433">
        <f>SUMIFS(RawResultsLong!$P:$P,RawResultsLong!$A:$A,A433)</f>
        <v>47.31</v>
      </c>
      <c r="K433">
        <f t="shared" si="13"/>
        <v>1499.1634344817096</v>
      </c>
      <c r="L433">
        <f>SUMIFS(EmploymentResults!$V:$V,EmploymentResults!$D:$D,B433,EmploymentResults!$F:$F,C433,EmploymentResults!$G:$G,D433,EmploymentResults!$H:$H,E433,EmploymentResults!$J:$J,G433,EmploymentResults!$K:$K,H433,EmploymentResults!$L:$L,I433)</f>
        <v>9982.4705694709282</v>
      </c>
    </row>
    <row r="434" spans="1:12" x14ac:dyDescent="0.3">
      <c r="A434" t="str">
        <f t="shared" si="12"/>
        <v>PA|NewCapacity|RE1|PWRWNDONS|2043</v>
      </c>
      <c r="B434" t="s">
        <v>44</v>
      </c>
      <c r="C434" t="s">
        <v>19</v>
      </c>
      <c r="D434" t="s">
        <v>36</v>
      </c>
      <c r="E434">
        <v>2043</v>
      </c>
      <c r="F434" t="s">
        <v>37</v>
      </c>
      <c r="G434" t="s">
        <v>69</v>
      </c>
      <c r="H434" t="s">
        <v>70</v>
      </c>
      <c r="I434" t="s">
        <v>65</v>
      </c>
      <c r="J434">
        <f>SUMIFS(RawResultsLong!$P:$P,RawResultsLong!$A:$A,A434)</f>
        <v>26.15649035076515</v>
      </c>
      <c r="K434">
        <f t="shared" si="13"/>
        <v>828.84916314184693</v>
      </c>
      <c r="L434">
        <f>SUMIFS(EmploymentResults!$V:$V,EmploymentResults!$D:$D,B434,EmploymentResults!$F:$F,C434,EmploymentResults!$G:$G,D434,EmploymentResults!$H:$H,E434,EmploymentResults!$J:$J,G434,EmploymentResults!$K:$K,H434,EmploymentResults!$L:$L,I434)</f>
        <v>5503.9332935947141</v>
      </c>
    </row>
    <row r="435" spans="1:12" x14ac:dyDescent="0.3">
      <c r="A435" t="str">
        <f t="shared" si="12"/>
        <v>PA|NewCapacity|RE1|PWRWNDONS|2046</v>
      </c>
      <c r="B435" t="s">
        <v>44</v>
      </c>
      <c r="C435" t="s">
        <v>19</v>
      </c>
      <c r="D435" t="s">
        <v>36</v>
      </c>
      <c r="E435">
        <v>2046</v>
      </c>
      <c r="F435" t="s">
        <v>37</v>
      </c>
      <c r="G435" t="s">
        <v>69</v>
      </c>
      <c r="H435" t="s">
        <v>70</v>
      </c>
      <c r="I435" t="s">
        <v>65</v>
      </c>
      <c r="J435">
        <f>SUMIFS(RawResultsLong!$P:$P,RawResultsLong!$A:$A,A435)</f>
        <v>47.31</v>
      </c>
      <c r="K435">
        <f t="shared" si="13"/>
        <v>1499.1634344817096</v>
      </c>
      <c r="L435">
        <f>SUMIFS(EmploymentResults!$V:$V,EmploymentResults!$D:$D,B435,EmploymentResults!$F:$F,C435,EmploymentResults!$G:$G,D435,EmploymentResults!$H:$H,E435,EmploymentResults!$J:$J,G435,EmploymentResults!$K:$K,H435,EmploymentResults!$L:$L,I435)</f>
        <v>9873.0811219410789</v>
      </c>
    </row>
    <row r="436" spans="1:12" x14ac:dyDescent="0.3">
      <c r="A436" t="str">
        <f t="shared" si="12"/>
        <v>PA|NewCapacity|RE1|PWRWNDONS|2047</v>
      </c>
      <c r="B436" t="s">
        <v>44</v>
      </c>
      <c r="C436" t="s">
        <v>19</v>
      </c>
      <c r="D436" t="s">
        <v>36</v>
      </c>
      <c r="E436">
        <v>2047</v>
      </c>
      <c r="F436" t="s">
        <v>37</v>
      </c>
      <c r="G436" t="s">
        <v>69</v>
      </c>
      <c r="H436" t="s">
        <v>70</v>
      </c>
      <c r="I436" t="s">
        <v>65</v>
      </c>
      <c r="J436">
        <f>SUMIFS(RawResultsLong!$P:$P,RawResultsLong!$A:$A,A436)</f>
        <v>47.31</v>
      </c>
      <c r="K436">
        <f t="shared" si="13"/>
        <v>1499.1634344817096</v>
      </c>
      <c r="L436">
        <f>SUMIFS(EmploymentResults!$V:$V,EmploymentResults!$D:$D,B436,EmploymentResults!$F:$F,C436,EmploymentResults!$G:$G,D436,EmploymentResults!$H:$H,E436,EmploymentResults!$J:$J,G436,EmploymentResults!$K:$K,H436,EmploymentResults!$L:$L,I436)</f>
        <v>9845.7337600586161</v>
      </c>
    </row>
    <row r="437" spans="1:12" x14ac:dyDescent="0.3">
      <c r="A437" t="str">
        <f t="shared" si="12"/>
        <v>PA|NewCapacity|RE1|PWRWNDONS|2048</v>
      </c>
      <c r="B437" t="s">
        <v>44</v>
      </c>
      <c r="C437" t="s">
        <v>19</v>
      </c>
      <c r="D437" t="s">
        <v>36</v>
      </c>
      <c r="E437">
        <v>2048</v>
      </c>
      <c r="F437" t="s">
        <v>37</v>
      </c>
      <c r="G437" t="s">
        <v>69</v>
      </c>
      <c r="H437" t="s">
        <v>70</v>
      </c>
      <c r="I437" t="s">
        <v>65</v>
      </c>
      <c r="J437">
        <f>SUMIFS(RawResultsLong!$P:$P,RawResultsLong!$A:$A,A437)</f>
        <v>41.493865567783779</v>
      </c>
      <c r="K437">
        <f t="shared" si="13"/>
        <v>1314.8612558554446</v>
      </c>
      <c r="L437">
        <f>SUMIFS(EmploymentResults!$V:$V,EmploymentResults!$D:$D,B437,EmploymentResults!$F:$F,C437,EmploymentResults!$G:$G,D437,EmploymentResults!$H:$H,E437,EmploymentResults!$J:$J,G437,EmploymentResults!$K:$K,H437,EmploymentResults!$L:$L,I437)</f>
        <v>8611.3465503800071</v>
      </c>
    </row>
    <row r="438" spans="1:12" x14ac:dyDescent="0.3">
      <c r="A438" t="str">
        <f t="shared" si="12"/>
        <v>PA|NewCapacity|RE1|PWRWNDONS|2052</v>
      </c>
      <c r="B438" t="s">
        <v>44</v>
      </c>
      <c r="C438" t="s">
        <v>19</v>
      </c>
      <c r="D438" t="s">
        <v>36</v>
      </c>
      <c r="E438">
        <v>2052</v>
      </c>
      <c r="F438" t="s">
        <v>37</v>
      </c>
      <c r="G438" t="s">
        <v>69</v>
      </c>
      <c r="H438" t="s">
        <v>70</v>
      </c>
      <c r="I438" t="s">
        <v>65</v>
      </c>
      <c r="J438">
        <f>SUMIFS(RawResultsLong!$P:$P,RawResultsLong!$A:$A,A438)</f>
        <v>47.31</v>
      </c>
      <c r="K438">
        <f t="shared" si="13"/>
        <v>1499.1634344817096</v>
      </c>
      <c r="L438">
        <f>SUMIFS(EmploymentResults!$V:$V,EmploymentResults!$D:$D,B438,EmploymentResults!$F:$F,C438,EmploymentResults!$G:$G,D438,EmploymentResults!$H:$H,E438,EmploymentResults!$J:$J,G438,EmploymentResults!$K:$K,H438,EmploymentResults!$L:$L,I438)</f>
        <v>9763.6916744112277</v>
      </c>
    </row>
    <row r="439" spans="1:12" x14ac:dyDescent="0.3">
      <c r="A439" t="str">
        <f t="shared" si="12"/>
        <v>PA|NewCapacity|RE1|PWRWNDONS|2053</v>
      </c>
      <c r="B439" t="s">
        <v>44</v>
      </c>
      <c r="C439" t="s">
        <v>19</v>
      </c>
      <c r="D439" t="s">
        <v>36</v>
      </c>
      <c r="E439">
        <v>2053</v>
      </c>
      <c r="F439" t="s">
        <v>37</v>
      </c>
      <c r="G439" t="s">
        <v>69</v>
      </c>
      <c r="H439" t="s">
        <v>70</v>
      </c>
      <c r="I439" t="s">
        <v>65</v>
      </c>
      <c r="J439">
        <f>SUMIFS(RawResultsLong!$P:$P,RawResultsLong!$A:$A,A439)</f>
        <v>47.31</v>
      </c>
      <c r="K439">
        <f t="shared" si="13"/>
        <v>1499.1634344817096</v>
      </c>
      <c r="L439">
        <f>SUMIFS(EmploymentResults!$V:$V,EmploymentResults!$D:$D,B439,EmploymentResults!$F:$F,C439,EmploymentResults!$G:$G,D439,EmploymentResults!$H:$H,E439,EmploymentResults!$J:$J,G439,EmploymentResults!$K:$K,H439,EmploymentResults!$L:$L,I439)</f>
        <v>9763.6916744112277</v>
      </c>
    </row>
    <row r="440" spans="1:12" x14ac:dyDescent="0.3">
      <c r="A440" t="str">
        <f t="shared" si="12"/>
        <v>PA|NewCapacity|RE1|PWRWNDONS|2054</v>
      </c>
      <c r="B440" t="s">
        <v>44</v>
      </c>
      <c r="C440" t="s">
        <v>19</v>
      </c>
      <c r="D440" t="s">
        <v>36</v>
      </c>
      <c r="E440">
        <v>2054</v>
      </c>
      <c r="F440" t="s">
        <v>37</v>
      </c>
      <c r="G440" t="s">
        <v>69</v>
      </c>
      <c r="H440" t="s">
        <v>70</v>
      </c>
      <c r="I440" t="s">
        <v>65</v>
      </c>
      <c r="J440">
        <f>SUMIFS(RawResultsLong!$P:$P,RawResultsLong!$A:$A,A440)</f>
        <v>47.31</v>
      </c>
      <c r="K440">
        <f t="shared" si="13"/>
        <v>1499.1634344817096</v>
      </c>
      <c r="L440">
        <f>SUMIFS(EmploymentResults!$V:$V,EmploymentResults!$D:$D,B440,EmploymentResults!$F:$F,C440,EmploymentResults!$G:$G,D440,EmploymentResults!$H:$H,E440,EmploymentResults!$J:$J,G440,EmploymentResults!$K:$K,H440,EmploymentResults!$L:$L,I440)</f>
        <v>9763.6916744112277</v>
      </c>
    </row>
    <row r="441" spans="1:12" x14ac:dyDescent="0.3">
      <c r="A441" t="str">
        <f t="shared" si="12"/>
        <v>PA|NewCapacity|RE1|PWRWNDONS|2055</v>
      </c>
      <c r="B441" t="s">
        <v>44</v>
      </c>
      <c r="C441" t="s">
        <v>19</v>
      </c>
      <c r="D441" t="s">
        <v>36</v>
      </c>
      <c r="E441">
        <v>2055</v>
      </c>
      <c r="F441" t="s">
        <v>37</v>
      </c>
      <c r="G441" t="s">
        <v>69</v>
      </c>
      <c r="H441" t="s">
        <v>70</v>
      </c>
      <c r="I441" t="s">
        <v>65</v>
      </c>
      <c r="J441">
        <f>SUMIFS(RawResultsLong!$P:$P,RawResultsLong!$A:$A,A441)</f>
        <v>24.299832752398249</v>
      </c>
      <c r="K441">
        <f t="shared" si="13"/>
        <v>770.0152341242125</v>
      </c>
      <c r="L441">
        <f>SUMIFS(EmploymentResults!$V:$V,EmploymentResults!$D:$D,B441,EmploymentResults!$F:$F,C441,EmploymentResults!$G:$G,D441,EmploymentResults!$H:$H,E441,EmploymentResults!$J:$J,G441,EmploymentResults!$K:$K,H441,EmploymentResults!$L:$L,I441)</f>
        <v>5014.9244289616581</v>
      </c>
    </row>
    <row r="442" spans="1:12" x14ac:dyDescent="0.3">
      <c r="A442" t="str">
        <f t="shared" si="12"/>
        <v>PA|AccumulatedNewCapacity|RE1|PWRGEO|2040</v>
      </c>
      <c r="B442" t="s">
        <v>44</v>
      </c>
      <c r="C442" t="s">
        <v>19</v>
      </c>
      <c r="D442" t="s">
        <v>46</v>
      </c>
      <c r="E442">
        <v>2040</v>
      </c>
      <c r="F442" t="s">
        <v>18</v>
      </c>
      <c r="G442" t="s">
        <v>63</v>
      </c>
      <c r="H442" t="s">
        <v>64</v>
      </c>
      <c r="I442" t="s">
        <v>65</v>
      </c>
      <c r="J442">
        <f>SUMIFS(RawResultsLong!$P:$P,RawResultsLong!$A:$A,A442)</f>
        <v>3.1539999999999999</v>
      </c>
      <c r="K442">
        <f t="shared" si="13"/>
        <v>99.944228965447309</v>
      </c>
      <c r="L442">
        <f>SUMIFS(EmploymentResults!$V:$V,EmploymentResults!$D:$D,B442,EmploymentResults!$F:$F,C442,EmploymentResults!$G:$G,D442,EmploymentResults!$H:$H,E442,EmploymentResults!$J:$J,G442,EmploymentResults!$K:$K,H442,EmploymentResults!$L:$L,I442)</f>
        <v>0.72431741882706602</v>
      </c>
    </row>
    <row r="443" spans="1:12" x14ac:dyDescent="0.3">
      <c r="A443" t="str">
        <f t="shared" si="12"/>
        <v>PA|AccumulatedNewCapacity|RE1|PWRGEO|2041</v>
      </c>
      <c r="B443" t="s">
        <v>44</v>
      </c>
      <c r="C443" t="s">
        <v>19</v>
      </c>
      <c r="D443" t="s">
        <v>46</v>
      </c>
      <c r="E443">
        <v>2041</v>
      </c>
      <c r="F443" t="s">
        <v>18</v>
      </c>
      <c r="G443" t="s">
        <v>63</v>
      </c>
      <c r="H443" t="s">
        <v>64</v>
      </c>
      <c r="I443" t="s">
        <v>65</v>
      </c>
      <c r="J443">
        <f>SUMIFS(RawResultsLong!$P:$P,RawResultsLong!$A:$A,A443)</f>
        <v>6.3079999999999998</v>
      </c>
      <c r="K443">
        <f t="shared" si="13"/>
        <v>199.88845793089462</v>
      </c>
      <c r="L443">
        <f>SUMIFS(EmploymentResults!$V:$V,EmploymentResults!$D:$D,B443,EmploymentResults!$F:$F,C443,EmploymentResults!$G:$G,D443,EmploymentResults!$H:$H,E443,EmploymentResults!$J:$J,G443,EmploymentResults!$K:$K,H443,EmploymentResults!$L:$L,I443)</f>
        <v>1.4428474212792455</v>
      </c>
    </row>
    <row r="444" spans="1:12" x14ac:dyDescent="0.3">
      <c r="A444" t="str">
        <f t="shared" si="12"/>
        <v>PA|AccumulatedNewCapacity|RE1|PWRGEO|2042</v>
      </c>
      <c r="B444" t="s">
        <v>44</v>
      </c>
      <c r="C444" t="s">
        <v>19</v>
      </c>
      <c r="D444" t="s">
        <v>46</v>
      </c>
      <c r="E444">
        <v>2042</v>
      </c>
      <c r="F444" t="s">
        <v>18</v>
      </c>
      <c r="G444" t="s">
        <v>63</v>
      </c>
      <c r="H444" t="s">
        <v>64</v>
      </c>
      <c r="I444" t="s">
        <v>65</v>
      </c>
      <c r="J444">
        <f>SUMIFS(RawResultsLong!$P:$P,RawResultsLong!$A:$A,A444)</f>
        <v>9.4619999999999997</v>
      </c>
      <c r="K444">
        <f t="shared" si="13"/>
        <v>299.8326868963419</v>
      </c>
      <c r="L444">
        <f>SUMIFS(EmploymentResults!$V:$V,EmploymentResults!$D:$D,B444,EmploymentResults!$F:$F,C444,EmploymentResults!$G:$G,D444,EmploymentResults!$H:$H,E444,EmploymentResults!$J:$J,G444,EmploymentResults!$K:$K,H444,EmploymentResults!$L:$L,I444)</f>
        <v>2.1555900073535401</v>
      </c>
    </row>
    <row r="445" spans="1:12" x14ac:dyDescent="0.3">
      <c r="A445" t="str">
        <f t="shared" si="12"/>
        <v>PA|AccumulatedNewCapacity|RE1|PWRGEO|2043</v>
      </c>
      <c r="B445" t="s">
        <v>44</v>
      </c>
      <c r="C445" t="s">
        <v>19</v>
      </c>
      <c r="D445" t="s">
        <v>46</v>
      </c>
      <c r="E445">
        <v>2043</v>
      </c>
      <c r="F445" t="s">
        <v>18</v>
      </c>
      <c r="G445" t="s">
        <v>63</v>
      </c>
      <c r="H445" t="s">
        <v>64</v>
      </c>
      <c r="I445" t="s">
        <v>65</v>
      </c>
      <c r="J445">
        <f>SUMIFS(RawResultsLong!$P:$P,RawResultsLong!$A:$A,A445)</f>
        <v>12.616</v>
      </c>
      <c r="K445">
        <f t="shared" si="13"/>
        <v>399.77691586178923</v>
      </c>
      <c r="L445">
        <f>SUMIFS(EmploymentResults!$V:$V,EmploymentResults!$D:$D,B445,EmploymentResults!$F:$F,C445,EmploymentResults!$G:$G,D445,EmploymentResults!$H:$H,E445,EmploymentResults!$J:$J,G445,EmploymentResults!$K:$K,H445,EmploymentResults!$L:$L,I445)</f>
        <v>2.8625451770509494</v>
      </c>
    </row>
    <row r="446" spans="1:12" x14ac:dyDescent="0.3">
      <c r="A446" t="str">
        <f t="shared" si="12"/>
        <v>PA|AccumulatedNewCapacity|RE1|PWRGEO|2044</v>
      </c>
      <c r="B446" t="s">
        <v>44</v>
      </c>
      <c r="C446" t="s">
        <v>19</v>
      </c>
      <c r="D446" t="s">
        <v>46</v>
      </c>
      <c r="E446">
        <v>2044</v>
      </c>
      <c r="F446" t="s">
        <v>18</v>
      </c>
      <c r="G446" t="s">
        <v>63</v>
      </c>
      <c r="H446" t="s">
        <v>64</v>
      </c>
      <c r="I446" t="s">
        <v>65</v>
      </c>
      <c r="J446">
        <f>SUMIFS(RawResultsLong!$P:$P,RawResultsLong!$A:$A,A446)</f>
        <v>15.77</v>
      </c>
      <c r="K446">
        <f t="shared" si="13"/>
        <v>499.72114482723651</v>
      </c>
      <c r="L446">
        <f>SUMIFS(EmploymentResults!$V:$V,EmploymentResults!$D:$D,B446,EmploymentResults!$F:$F,C446,EmploymentResults!$G:$G,D446,EmploymentResults!$H:$H,E446,EmploymentResults!$J:$J,G446,EmploymentResults!$K:$K,H446,EmploymentResults!$L:$L,I446)</f>
        <v>3.563712930371473</v>
      </c>
    </row>
    <row r="447" spans="1:12" x14ac:dyDescent="0.3">
      <c r="A447" t="str">
        <f t="shared" si="12"/>
        <v>PA|AccumulatedNewCapacity|RE1|PWRGEO|2045</v>
      </c>
      <c r="B447" t="s">
        <v>44</v>
      </c>
      <c r="C447" t="s">
        <v>19</v>
      </c>
      <c r="D447" t="s">
        <v>46</v>
      </c>
      <c r="E447">
        <v>2045</v>
      </c>
      <c r="F447" t="s">
        <v>18</v>
      </c>
      <c r="G447" t="s">
        <v>63</v>
      </c>
      <c r="H447" t="s">
        <v>64</v>
      </c>
      <c r="I447" t="s">
        <v>65</v>
      </c>
      <c r="J447">
        <f>SUMIFS(RawResultsLong!$P:$P,RawResultsLong!$A:$A,A447)</f>
        <v>18.923999999999999</v>
      </c>
      <c r="K447">
        <f t="shared" si="13"/>
        <v>599.66537379268379</v>
      </c>
      <c r="L447">
        <f>SUMIFS(EmploymentResults!$V:$V,EmploymentResults!$D:$D,B447,EmploymentResults!$F:$F,C447,EmploymentResults!$G:$G,D447,EmploymentResults!$H:$H,E447,EmploymentResults!$J:$J,G447,EmploymentResults!$K:$K,H447,EmploymentResults!$L:$L,I447)</f>
        <v>4.2590932673151114</v>
      </c>
    </row>
    <row r="448" spans="1:12" x14ac:dyDescent="0.3">
      <c r="A448" t="str">
        <f t="shared" si="12"/>
        <v>PA|AccumulatedNewCapacity|RE1|PWRGEO|2046</v>
      </c>
      <c r="B448" t="s">
        <v>44</v>
      </c>
      <c r="C448" t="s">
        <v>19</v>
      </c>
      <c r="D448" t="s">
        <v>46</v>
      </c>
      <c r="E448">
        <v>2046</v>
      </c>
      <c r="F448" t="s">
        <v>18</v>
      </c>
      <c r="G448" t="s">
        <v>63</v>
      </c>
      <c r="H448" t="s">
        <v>64</v>
      </c>
      <c r="I448" t="s">
        <v>65</v>
      </c>
      <c r="J448">
        <f>SUMIFS(RawResultsLong!$P:$P,RawResultsLong!$A:$A,A448)</f>
        <v>22.077999999999999</v>
      </c>
      <c r="K448">
        <f t="shared" si="13"/>
        <v>699.60960275813113</v>
      </c>
      <c r="L448">
        <f>SUMIFS(EmploymentResults!$V:$V,EmploymentResults!$D:$D,B448,EmploymentResults!$F:$F,C448,EmploymentResults!$G:$G,D448,EmploymentResults!$H:$H,E448,EmploymentResults!$J:$J,G448,EmploymentResults!$K:$K,H448,EmploymentResults!$L:$L,I448)</f>
        <v>4.9486861878818642</v>
      </c>
    </row>
    <row r="449" spans="1:12" x14ac:dyDescent="0.3">
      <c r="A449" t="str">
        <f t="shared" si="12"/>
        <v>PA|AccumulatedNewCapacity|RE1|PWRGEO|2047</v>
      </c>
      <c r="B449" t="s">
        <v>44</v>
      </c>
      <c r="C449" t="s">
        <v>19</v>
      </c>
      <c r="D449" t="s">
        <v>46</v>
      </c>
      <c r="E449">
        <v>2047</v>
      </c>
      <c r="F449" t="s">
        <v>18</v>
      </c>
      <c r="G449" t="s">
        <v>63</v>
      </c>
      <c r="H449" t="s">
        <v>64</v>
      </c>
      <c r="I449" t="s">
        <v>65</v>
      </c>
      <c r="J449">
        <f>SUMIFS(RawResultsLong!$P:$P,RawResultsLong!$A:$A,A449)</f>
        <v>25.231999999999999</v>
      </c>
      <c r="K449">
        <f t="shared" si="13"/>
        <v>799.55383172357847</v>
      </c>
      <c r="L449">
        <f>SUMIFS(EmploymentResults!$V:$V,EmploymentResults!$D:$D,B449,EmploymentResults!$F:$F,C449,EmploymentResults!$G:$G,D449,EmploymentResults!$H:$H,E449,EmploymentResults!$J:$J,G449,EmploymentResults!$K:$K,H449,EmploymentResults!$L:$L,I449)</f>
        <v>5.6324916920717314</v>
      </c>
    </row>
    <row r="450" spans="1:12" x14ac:dyDescent="0.3">
      <c r="A450" t="str">
        <f t="shared" ref="A450:A513" si="14">B450&amp;"|"&amp;F450&amp;"|"&amp;C450&amp;"|"&amp;D450&amp;"|"&amp;E450</f>
        <v>PA|AccumulatedNewCapacity|RE1|PWRGEO|2048</v>
      </c>
      <c r="B450" t="s">
        <v>44</v>
      </c>
      <c r="C450" t="s">
        <v>19</v>
      </c>
      <c r="D450" t="s">
        <v>46</v>
      </c>
      <c r="E450">
        <v>2048</v>
      </c>
      <c r="F450" t="s">
        <v>18</v>
      </c>
      <c r="G450" t="s">
        <v>63</v>
      </c>
      <c r="H450" t="s">
        <v>64</v>
      </c>
      <c r="I450" t="s">
        <v>65</v>
      </c>
      <c r="J450">
        <f>SUMIFS(RawResultsLong!$P:$P,RawResultsLong!$A:$A,A450)</f>
        <v>28.385999999999999</v>
      </c>
      <c r="K450">
        <f t="shared" ref="K450:K513" si="15">J450*1000/31.5576</f>
        <v>899.49806068902581</v>
      </c>
      <c r="L450">
        <f>SUMIFS(EmploymentResults!$V:$V,EmploymentResults!$D:$D,B450,EmploymentResults!$F:$F,C450,EmploymentResults!$G:$G,D450,EmploymentResults!$H:$H,E450,EmploymentResults!$J:$J,G450,EmploymentResults!$K:$K,H450,EmploymentResults!$L:$L,I450)</f>
        <v>6.3105097798937084</v>
      </c>
    </row>
    <row r="451" spans="1:12" x14ac:dyDescent="0.3">
      <c r="A451" t="str">
        <f t="shared" si="14"/>
        <v>PA|AccumulatedNewCapacity|RE1|PWRGEO|2049</v>
      </c>
      <c r="B451" t="s">
        <v>44</v>
      </c>
      <c r="C451" t="s">
        <v>19</v>
      </c>
      <c r="D451" t="s">
        <v>46</v>
      </c>
      <c r="E451">
        <v>2049</v>
      </c>
      <c r="F451" t="s">
        <v>18</v>
      </c>
      <c r="G451" t="s">
        <v>63</v>
      </c>
      <c r="H451" t="s">
        <v>64</v>
      </c>
      <c r="I451" t="s">
        <v>65</v>
      </c>
      <c r="J451">
        <f>SUMIFS(RawResultsLong!$P:$P,RawResultsLong!$A:$A,A451)</f>
        <v>31.54</v>
      </c>
      <c r="K451">
        <f t="shared" si="15"/>
        <v>999.44228965447303</v>
      </c>
      <c r="L451">
        <f>SUMIFS(EmploymentResults!$V:$V,EmploymentResults!$D:$D,B451,EmploymentResults!$F:$F,C451,EmploymentResults!$G:$G,D451,EmploymentResults!$H:$H,E451,EmploymentResults!$J:$J,G451,EmploymentResults!$K:$K,H451,EmploymentResults!$L:$L,I451)</f>
        <v>6.9827404513308045</v>
      </c>
    </row>
    <row r="452" spans="1:12" x14ac:dyDescent="0.3">
      <c r="A452" t="str">
        <f t="shared" si="14"/>
        <v>PA|AccumulatedNewCapacity|RE1|PWRGEO|2050</v>
      </c>
      <c r="B452" t="s">
        <v>44</v>
      </c>
      <c r="C452" t="s">
        <v>19</v>
      </c>
      <c r="D452" t="s">
        <v>46</v>
      </c>
      <c r="E452">
        <v>2050</v>
      </c>
      <c r="F452" t="s">
        <v>18</v>
      </c>
      <c r="G452" t="s">
        <v>63</v>
      </c>
      <c r="H452" t="s">
        <v>64</v>
      </c>
      <c r="I452" t="s">
        <v>65</v>
      </c>
      <c r="J452">
        <f>SUMIFS(RawResultsLong!$P:$P,RawResultsLong!$A:$A,A452)</f>
        <v>31.54</v>
      </c>
      <c r="K452">
        <f t="shared" si="15"/>
        <v>999.44228965447303</v>
      </c>
      <c r="L452">
        <f>SUMIFS(EmploymentResults!$V:$V,EmploymentResults!$D:$D,B452,EmploymentResults!$F:$F,C452,EmploymentResults!$G:$G,D452,EmploymentResults!$H:$H,E452,EmploymentResults!$J:$J,G452,EmploymentResults!$K:$K,H452,EmploymentResults!$L:$L,I452)</f>
        <v>6.9538033694463772</v>
      </c>
    </row>
    <row r="453" spans="1:12" x14ac:dyDescent="0.3">
      <c r="A453" t="str">
        <f t="shared" si="14"/>
        <v>PA|AccumulatedNewCapacity|RE1|PWRGEO|2051</v>
      </c>
      <c r="B453" t="s">
        <v>44</v>
      </c>
      <c r="C453" t="s">
        <v>19</v>
      </c>
      <c r="D453" t="s">
        <v>46</v>
      </c>
      <c r="E453">
        <v>2051</v>
      </c>
      <c r="F453" t="s">
        <v>18</v>
      </c>
      <c r="G453" t="s">
        <v>63</v>
      </c>
      <c r="H453" t="s">
        <v>64</v>
      </c>
      <c r="I453" t="s">
        <v>65</v>
      </c>
      <c r="J453">
        <f>SUMIFS(RawResultsLong!$P:$P,RawResultsLong!$A:$A,A453)</f>
        <v>31.54</v>
      </c>
      <c r="K453">
        <f t="shared" si="15"/>
        <v>999.44228965447303</v>
      </c>
      <c r="L453">
        <f>SUMIFS(EmploymentResults!$V:$V,EmploymentResults!$D:$D,B453,EmploymentResults!$F:$F,C453,EmploymentResults!$G:$G,D453,EmploymentResults!$H:$H,E453,EmploymentResults!$J:$J,G453,EmploymentResults!$K:$K,H453,EmploymentResults!$L:$L,I453)</f>
        <v>6.9538033694463772</v>
      </c>
    </row>
    <row r="454" spans="1:12" x14ac:dyDescent="0.3">
      <c r="A454" t="str">
        <f t="shared" si="14"/>
        <v>PA|AccumulatedNewCapacity|RE1|PWRGEO|2052</v>
      </c>
      <c r="B454" t="s">
        <v>44</v>
      </c>
      <c r="C454" t="s">
        <v>19</v>
      </c>
      <c r="D454" t="s">
        <v>46</v>
      </c>
      <c r="E454">
        <v>2052</v>
      </c>
      <c r="F454" t="s">
        <v>18</v>
      </c>
      <c r="G454" t="s">
        <v>63</v>
      </c>
      <c r="H454" t="s">
        <v>64</v>
      </c>
      <c r="I454" t="s">
        <v>65</v>
      </c>
      <c r="J454">
        <f>SUMIFS(RawResultsLong!$P:$P,RawResultsLong!$A:$A,A454)</f>
        <v>31.54</v>
      </c>
      <c r="K454">
        <f t="shared" si="15"/>
        <v>999.44228965447303</v>
      </c>
      <c r="L454">
        <f>SUMIFS(EmploymentResults!$V:$V,EmploymentResults!$D:$D,B454,EmploymentResults!$F:$F,C454,EmploymentResults!$G:$G,D454,EmploymentResults!$H:$H,E454,EmploymentResults!$J:$J,G454,EmploymentResults!$K:$K,H454,EmploymentResults!$L:$L,I454)</f>
        <v>6.9538033694463772</v>
      </c>
    </row>
    <row r="455" spans="1:12" x14ac:dyDescent="0.3">
      <c r="A455" t="str">
        <f t="shared" si="14"/>
        <v>PA|AccumulatedNewCapacity|RE1|PWRGEO|2053</v>
      </c>
      <c r="B455" t="s">
        <v>44</v>
      </c>
      <c r="C455" t="s">
        <v>19</v>
      </c>
      <c r="D455" t="s">
        <v>46</v>
      </c>
      <c r="E455">
        <v>2053</v>
      </c>
      <c r="F455" t="s">
        <v>18</v>
      </c>
      <c r="G455" t="s">
        <v>63</v>
      </c>
      <c r="H455" t="s">
        <v>64</v>
      </c>
      <c r="I455" t="s">
        <v>65</v>
      </c>
      <c r="J455">
        <f>SUMIFS(RawResultsLong!$P:$P,RawResultsLong!$A:$A,A455)</f>
        <v>31.54</v>
      </c>
      <c r="K455">
        <f t="shared" si="15"/>
        <v>999.44228965447303</v>
      </c>
      <c r="L455">
        <f>SUMIFS(EmploymentResults!$V:$V,EmploymentResults!$D:$D,B455,EmploymentResults!$F:$F,C455,EmploymentResults!$G:$G,D455,EmploymentResults!$H:$H,E455,EmploymentResults!$J:$J,G455,EmploymentResults!$K:$K,H455,EmploymentResults!$L:$L,I455)</f>
        <v>6.9538033694463772</v>
      </c>
    </row>
    <row r="456" spans="1:12" x14ac:dyDescent="0.3">
      <c r="A456" t="str">
        <f t="shared" si="14"/>
        <v>PA|AccumulatedNewCapacity|RE1|PWRGEO|2054</v>
      </c>
      <c r="B456" t="s">
        <v>44</v>
      </c>
      <c r="C456" t="s">
        <v>19</v>
      </c>
      <c r="D456" t="s">
        <v>46</v>
      </c>
      <c r="E456">
        <v>2054</v>
      </c>
      <c r="F456" t="s">
        <v>18</v>
      </c>
      <c r="G456" t="s">
        <v>63</v>
      </c>
      <c r="H456" t="s">
        <v>64</v>
      </c>
      <c r="I456" t="s">
        <v>65</v>
      </c>
      <c r="J456">
        <f>SUMIFS(RawResultsLong!$P:$P,RawResultsLong!$A:$A,A456)</f>
        <v>31.54</v>
      </c>
      <c r="K456">
        <f t="shared" si="15"/>
        <v>999.44228965447303</v>
      </c>
      <c r="L456">
        <f>SUMIFS(EmploymentResults!$V:$V,EmploymentResults!$D:$D,B456,EmploymentResults!$F:$F,C456,EmploymentResults!$G:$G,D456,EmploymentResults!$H:$H,E456,EmploymentResults!$J:$J,G456,EmploymentResults!$K:$K,H456,EmploymentResults!$L:$L,I456)</f>
        <v>6.9538033694463772</v>
      </c>
    </row>
    <row r="457" spans="1:12" x14ac:dyDescent="0.3">
      <c r="A457" t="str">
        <f t="shared" si="14"/>
        <v>PA|AccumulatedNewCapacity|RE1|PWRGEO|2055</v>
      </c>
      <c r="B457" t="s">
        <v>44</v>
      </c>
      <c r="C457" t="s">
        <v>19</v>
      </c>
      <c r="D457" t="s">
        <v>46</v>
      </c>
      <c r="E457">
        <v>2055</v>
      </c>
      <c r="F457" t="s">
        <v>18</v>
      </c>
      <c r="G457" t="s">
        <v>63</v>
      </c>
      <c r="H457" t="s">
        <v>64</v>
      </c>
      <c r="I457" t="s">
        <v>65</v>
      </c>
      <c r="J457">
        <f>SUMIFS(RawResultsLong!$P:$P,RawResultsLong!$A:$A,A457)</f>
        <v>31.54</v>
      </c>
      <c r="K457">
        <f t="shared" si="15"/>
        <v>999.44228965447303</v>
      </c>
      <c r="L457">
        <f>SUMIFS(EmploymentResults!$V:$V,EmploymentResults!$D:$D,B457,EmploymentResults!$F:$F,C457,EmploymentResults!$G:$G,D457,EmploymentResults!$H:$H,E457,EmploymentResults!$J:$J,G457,EmploymentResults!$K:$K,H457,EmploymentResults!$L:$L,I457)</f>
        <v>6.9538033694463772</v>
      </c>
    </row>
    <row r="458" spans="1:12" x14ac:dyDescent="0.3">
      <c r="A458" t="str">
        <f t="shared" si="14"/>
        <v>PA|AccumulatedNewCapacity|RE1|PWRHYDDAM|2028</v>
      </c>
      <c r="B458" t="s">
        <v>44</v>
      </c>
      <c r="C458" t="s">
        <v>19</v>
      </c>
      <c r="D458" t="s">
        <v>24</v>
      </c>
      <c r="E458">
        <v>2028</v>
      </c>
      <c r="F458" t="s">
        <v>18</v>
      </c>
      <c r="G458" t="s">
        <v>63</v>
      </c>
      <c r="H458" t="s">
        <v>64</v>
      </c>
      <c r="I458" t="s">
        <v>65</v>
      </c>
      <c r="J458">
        <f>SUMIFS(RawResultsLong!$P:$P,RawResultsLong!$A:$A,A458)</f>
        <v>37.840000000000003</v>
      </c>
      <c r="K458">
        <f t="shared" si="15"/>
        <v>1199.0772428828554</v>
      </c>
      <c r="L458">
        <f>SUMIFS(EmploymentResults!$V:$V,EmploymentResults!$D:$D,B458,EmploymentResults!$F:$F,C458,EmploymentResults!$G:$G,D458,EmploymentResults!$H:$H,E458,EmploymentResults!$J:$J,G458,EmploymentResults!$K:$K,H458,EmploymentResults!$L:$L,I458)</f>
        <v>763.09275737064911</v>
      </c>
    </row>
    <row r="459" spans="1:12" x14ac:dyDescent="0.3">
      <c r="A459" t="str">
        <f t="shared" si="14"/>
        <v>PA|AccumulatedNewCapacity|RE1|PWRHYDDAM|2029</v>
      </c>
      <c r="B459" t="s">
        <v>44</v>
      </c>
      <c r="C459" t="s">
        <v>19</v>
      </c>
      <c r="D459" t="s">
        <v>24</v>
      </c>
      <c r="E459">
        <v>2029</v>
      </c>
      <c r="F459" t="s">
        <v>18</v>
      </c>
      <c r="G459" t="s">
        <v>63</v>
      </c>
      <c r="H459" t="s">
        <v>64</v>
      </c>
      <c r="I459" t="s">
        <v>65</v>
      </c>
      <c r="J459">
        <f>SUMIFS(RawResultsLong!$P:$P,RawResultsLong!$A:$A,A459)</f>
        <v>37.840000000000003</v>
      </c>
      <c r="K459">
        <f t="shared" si="15"/>
        <v>1199.0772428828554</v>
      </c>
      <c r="L459">
        <f>SUMIFS(EmploymentResults!$V:$V,EmploymentResults!$D:$D,B459,EmploymentResults!$F:$F,C459,EmploymentResults!$G:$G,D459,EmploymentResults!$H:$H,E459,EmploymentResults!$J:$J,G459,EmploymentResults!$K:$K,H459,EmploymentResults!$L:$L,I459)</f>
        <v>766.45017365072124</v>
      </c>
    </row>
    <row r="460" spans="1:12" x14ac:dyDescent="0.3">
      <c r="A460" t="str">
        <f t="shared" si="14"/>
        <v>PA|AccumulatedNewCapacity|RE1|PWRHYDDAM|2030</v>
      </c>
      <c r="B460" t="s">
        <v>44</v>
      </c>
      <c r="C460" t="s">
        <v>19</v>
      </c>
      <c r="D460" t="s">
        <v>24</v>
      </c>
      <c r="E460">
        <v>2030</v>
      </c>
      <c r="F460" t="s">
        <v>18</v>
      </c>
      <c r="G460" t="s">
        <v>63</v>
      </c>
      <c r="H460" t="s">
        <v>64</v>
      </c>
      <c r="I460" t="s">
        <v>65</v>
      </c>
      <c r="J460">
        <f>SUMIFS(RawResultsLong!$P:$P,RawResultsLong!$A:$A,A460)</f>
        <v>37.840000000000003</v>
      </c>
      <c r="K460">
        <f t="shared" si="15"/>
        <v>1199.0772428828554</v>
      </c>
      <c r="L460">
        <f>SUMIFS(EmploymentResults!$V:$V,EmploymentResults!$D:$D,B460,EmploymentResults!$F:$F,C460,EmploymentResults!$G:$G,D460,EmploymentResults!$H:$H,E460,EmploymentResults!$J:$J,G460,EmploymentResults!$K:$K,H460,EmploymentResults!$L:$L,I460)</f>
        <v>769.80758993079326</v>
      </c>
    </row>
    <row r="461" spans="1:12" x14ac:dyDescent="0.3">
      <c r="A461" t="str">
        <f t="shared" si="14"/>
        <v>PA|AccumulatedNewCapacity|RE1|PWRHYDDAM|2031</v>
      </c>
      <c r="B461" t="s">
        <v>44</v>
      </c>
      <c r="C461" t="s">
        <v>19</v>
      </c>
      <c r="D461" t="s">
        <v>24</v>
      </c>
      <c r="E461">
        <v>2031</v>
      </c>
      <c r="F461" t="s">
        <v>18</v>
      </c>
      <c r="G461" t="s">
        <v>63</v>
      </c>
      <c r="H461" t="s">
        <v>64</v>
      </c>
      <c r="I461" t="s">
        <v>65</v>
      </c>
      <c r="J461">
        <f>SUMIFS(RawResultsLong!$P:$P,RawResultsLong!$A:$A,A461)</f>
        <v>37.840000000000003</v>
      </c>
      <c r="K461">
        <f t="shared" si="15"/>
        <v>1199.0772428828554</v>
      </c>
      <c r="L461">
        <f>SUMIFS(EmploymentResults!$V:$V,EmploymentResults!$D:$D,B461,EmploymentResults!$F:$F,C461,EmploymentResults!$G:$G,D461,EmploymentResults!$H:$H,E461,EmploymentResults!$J:$J,G461,EmploymentResults!$K:$K,H461,EmploymentResults!$L:$L,I461)</f>
        <v>769.59725998826775</v>
      </c>
    </row>
    <row r="462" spans="1:12" x14ac:dyDescent="0.3">
      <c r="A462" t="str">
        <f t="shared" si="14"/>
        <v>PA|AccumulatedNewCapacity|RE1|PWRHYDDAM|2032</v>
      </c>
      <c r="B462" t="s">
        <v>44</v>
      </c>
      <c r="C462" t="s">
        <v>19</v>
      </c>
      <c r="D462" t="s">
        <v>24</v>
      </c>
      <c r="E462">
        <v>2032</v>
      </c>
      <c r="F462" t="s">
        <v>18</v>
      </c>
      <c r="G462" t="s">
        <v>63</v>
      </c>
      <c r="H462" t="s">
        <v>64</v>
      </c>
      <c r="I462" t="s">
        <v>65</v>
      </c>
      <c r="J462">
        <f>SUMIFS(RawResultsLong!$P:$P,RawResultsLong!$A:$A,A462)</f>
        <v>37.840000000000003</v>
      </c>
      <c r="K462">
        <f t="shared" si="15"/>
        <v>1199.0772428828554</v>
      </c>
      <c r="L462">
        <f>SUMIFS(EmploymentResults!$V:$V,EmploymentResults!$D:$D,B462,EmploymentResults!$F:$F,C462,EmploymentResults!$G:$G,D462,EmploymentResults!$H:$H,E462,EmploymentResults!$J:$J,G462,EmploymentResults!$K:$K,H462,EmploymentResults!$L:$L,I462)</f>
        <v>769.38693004574236</v>
      </c>
    </row>
    <row r="463" spans="1:12" x14ac:dyDescent="0.3">
      <c r="A463" t="str">
        <f t="shared" si="14"/>
        <v>PA|AccumulatedNewCapacity|RE1|PWRHYDDAM|2033</v>
      </c>
      <c r="B463" t="s">
        <v>44</v>
      </c>
      <c r="C463" t="s">
        <v>19</v>
      </c>
      <c r="D463" t="s">
        <v>24</v>
      </c>
      <c r="E463">
        <v>2033</v>
      </c>
      <c r="F463" t="s">
        <v>18</v>
      </c>
      <c r="G463" t="s">
        <v>63</v>
      </c>
      <c r="H463" t="s">
        <v>64</v>
      </c>
      <c r="I463" t="s">
        <v>65</v>
      </c>
      <c r="J463">
        <f>SUMIFS(RawResultsLong!$P:$P,RawResultsLong!$A:$A,A463)</f>
        <v>37.840000000000003</v>
      </c>
      <c r="K463">
        <f t="shared" si="15"/>
        <v>1199.0772428828554</v>
      </c>
      <c r="L463">
        <f>SUMIFS(EmploymentResults!$V:$V,EmploymentResults!$D:$D,B463,EmploymentResults!$F:$F,C463,EmploymentResults!$G:$G,D463,EmploymentResults!$H:$H,E463,EmploymentResults!$J:$J,G463,EmploymentResults!$K:$K,H463,EmploymentResults!$L:$L,I463)</f>
        <v>769.17660010321697</v>
      </c>
    </row>
    <row r="464" spans="1:12" x14ac:dyDescent="0.3">
      <c r="A464" t="str">
        <f t="shared" si="14"/>
        <v>PA|AccumulatedNewCapacity|RE1|PWRHYDDAM|2034</v>
      </c>
      <c r="B464" t="s">
        <v>44</v>
      </c>
      <c r="C464" t="s">
        <v>19</v>
      </c>
      <c r="D464" t="s">
        <v>24</v>
      </c>
      <c r="E464">
        <v>2034</v>
      </c>
      <c r="F464" t="s">
        <v>18</v>
      </c>
      <c r="G464" t="s">
        <v>63</v>
      </c>
      <c r="H464" t="s">
        <v>64</v>
      </c>
      <c r="I464" t="s">
        <v>65</v>
      </c>
      <c r="J464">
        <f>SUMIFS(RawResultsLong!$P:$P,RawResultsLong!$A:$A,A464)</f>
        <v>37.840000000000003</v>
      </c>
      <c r="K464">
        <f t="shared" si="15"/>
        <v>1199.0772428828554</v>
      </c>
      <c r="L464">
        <f>SUMIFS(EmploymentResults!$V:$V,EmploymentResults!$D:$D,B464,EmploymentResults!$F:$F,C464,EmploymentResults!$G:$G,D464,EmploymentResults!$H:$H,E464,EmploymentResults!$J:$J,G464,EmploymentResults!$K:$K,H464,EmploymentResults!$L:$L,I464)</f>
        <v>768.96627016069158</v>
      </c>
    </row>
    <row r="465" spans="1:12" x14ac:dyDescent="0.3">
      <c r="A465" t="str">
        <f t="shared" si="14"/>
        <v>PA|AccumulatedNewCapacity|RE1|PWRHYDDAM|2035</v>
      </c>
      <c r="B465" t="s">
        <v>44</v>
      </c>
      <c r="C465" t="s">
        <v>19</v>
      </c>
      <c r="D465" t="s">
        <v>24</v>
      </c>
      <c r="E465">
        <v>2035</v>
      </c>
      <c r="F465" t="s">
        <v>18</v>
      </c>
      <c r="G465" t="s">
        <v>63</v>
      </c>
      <c r="H465" t="s">
        <v>64</v>
      </c>
      <c r="I465" t="s">
        <v>65</v>
      </c>
      <c r="J465">
        <f>SUMIFS(RawResultsLong!$P:$P,RawResultsLong!$A:$A,A465)</f>
        <v>37.840000000000003</v>
      </c>
      <c r="K465">
        <f t="shared" si="15"/>
        <v>1199.0772428828554</v>
      </c>
      <c r="L465">
        <f>SUMIFS(EmploymentResults!$V:$V,EmploymentResults!$D:$D,B465,EmploymentResults!$F:$F,C465,EmploymentResults!$G:$G,D465,EmploymentResults!$H:$H,E465,EmploymentResults!$J:$J,G465,EmploymentResults!$K:$K,H465,EmploymentResults!$L:$L,I465)</f>
        <v>768.75594021816619</v>
      </c>
    </row>
    <row r="466" spans="1:12" x14ac:dyDescent="0.3">
      <c r="A466" t="str">
        <f t="shared" si="14"/>
        <v>PA|AccumulatedNewCapacity|RE1|PWRHYDDAM|2036</v>
      </c>
      <c r="B466" t="s">
        <v>44</v>
      </c>
      <c r="C466" t="s">
        <v>19</v>
      </c>
      <c r="D466" t="s">
        <v>24</v>
      </c>
      <c r="E466">
        <v>2036</v>
      </c>
      <c r="F466" t="s">
        <v>18</v>
      </c>
      <c r="G466" t="s">
        <v>63</v>
      </c>
      <c r="H466" t="s">
        <v>64</v>
      </c>
      <c r="I466" t="s">
        <v>65</v>
      </c>
      <c r="J466">
        <f>SUMIFS(RawResultsLong!$P:$P,RawResultsLong!$A:$A,A466)</f>
        <v>37.840000000000003</v>
      </c>
      <c r="K466">
        <f t="shared" si="15"/>
        <v>1199.0772428828554</v>
      </c>
      <c r="L466">
        <f>SUMIFS(EmploymentResults!$V:$V,EmploymentResults!$D:$D,B466,EmploymentResults!$F:$F,C466,EmploymentResults!$G:$G,D466,EmploymentResults!$H:$H,E466,EmploymentResults!$J:$J,G466,EmploymentResults!$K:$K,H466,EmploymentResults!$L:$L,I466)</f>
        <v>768.54561027564068</v>
      </c>
    </row>
    <row r="467" spans="1:12" x14ac:dyDescent="0.3">
      <c r="A467" t="str">
        <f t="shared" si="14"/>
        <v>PA|AccumulatedNewCapacity|RE1|PWRHYDDAM|2037</v>
      </c>
      <c r="B467" t="s">
        <v>44</v>
      </c>
      <c r="C467" t="s">
        <v>19</v>
      </c>
      <c r="D467" t="s">
        <v>24</v>
      </c>
      <c r="E467">
        <v>2037</v>
      </c>
      <c r="F467" t="s">
        <v>18</v>
      </c>
      <c r="G467" t="s">
        <v>63</v>
      </c>
      <c r="H467" t="s">
        <v>64</v>
      </c>
      <c r="I467" t="s">
        <v>65</v>
      </c>
      <c r="J467">
        <f>SUMIFS(RawResultsLong!$P:$P,RawResultsLong!$A:$A,A467)</f>
        <v>37.840000000000003</v>
      </c>
      <c r="K467">
        <f t="shared" si="15"/>
        <v>1199.0772428828554</v>
      </c>
      <c r="L467">
        <f>SUMIFS(EmploymentResults!$V:$V,EmploymentResults!$D:$D,B467,EmploymentResults!$F:$F,C467,EmploymentResults!$G:$G,D467,EmploymentResults!$H:$H,E467,EmploymentResults!$J:$J,G467,EmploymentResults!$K:$K,H467,EmploymentResults!$L:$L,I467)</f>
        <v>768.33528033311529</v>
      </c>
    </row>
    <row r="468" spans="1:12" x14ac:dyDescent="0.3">
      <c r="A468" t="str">
        <f t="shared" si="14"/>
        <v>PA|AccumulatedNewCapacity|RE1|PWRHYDDAM|2038</v>
      </c>
      <c r="B468" t="s">
        <v>44</v>
      </c>
      <c r="C468" t="s">
        <v>19</v>
      </c>
      <c r="D468" t="s">
        <v>24</v>
      </c>
      <c r="E468">
        <v>2038</v>
      </c>
      <c r="F468" t="s">
        <v>18</v>
      </c>
      <c r="G468" t="s">
        <v>63</v>
      </c>
      <c r="H468" t="s">
        <v>64</v>
      </c>
      <c r="I468" t="s">
        <v>65</v>
      </c>
      <c r="J468">
        <f>SUMIFS(RawResultsLong!$P:$P,RawResultsLong!$A:$A,A468)</f>
        <v>37.840000000000003</v>
      </c>
      <c r="K468">
        <f t="shared" si="15"/>
        <v>1199.0772428828554</v>
      </c>
      <c r="L468">
        <f>SUMIFS(EmploymentResults!$V:$V,EmploymentResults!$D:$D,B468,EmploymentResults!$F:$F,C468,EmploymentResults!$G:$G,D468,EmploymentResults!$H:$H,E468,EmploymentResults!$J:$J,G468,EmploymentResults!$K:$K,H468,EmploymentResults!$L:$L,I468)</f>
        <v>768.12495038939073</v>
      </c>
    </row>
    <row r="469" spans="1:12" x14ac:dyDescent="0.3">
      <c r="A469" t="str">
        <f t="shared" si="14"/>
        <v>PA|AccumulatedNewCapacity|RE1|PWRHYDDAM|2039</v>
      </c>
      <c r="B469" t="s">
        <v>44</v>
      </c>
      <c r="C469" t="s">
        <v>19</v>
      </c>
      <c r="D469" t="s">
        <v>24</v>
      </c>
      <c r="E469">
        <v>2039</v>
      </c>
      <c r="F469" t="s">
        <v>18</v>
      </c>
      <c r="G469" t="s">
        <v>63</v>
      </c>
      <c r="H469" t="s">
        <v>64</v>
      </c>
      <c r="I469" t="s">
        <v>65</v>
      </c>
      <c r="J469">
        <f>SUMIFS(RawResultsLong!$P:$P,RawResultsLong!$A:$A,A469)</f>
        <v>37.840000000000003</v>
      </c>
      <c r="K469">
        <f t="shared" si="15"/>
        <v>1199.0772428828554</v>
      </c>
      <c r="L469">
        <f>SUMIFS(EmploymentResults!$V:$V,EmploymentResults!$D:$D,B469,EmploymentResults!$F:$F,C469,EmploymentResults!$G:$G,D469,EmploymentResults!$H:$H,E469,EmploymentResults!$J:$J,G469,EmploymentResults!$K:$K,H469,EmploymentResults!$L:$L,I469)</f>
        <v>767.91462044686546</v>
      </c>
    </row>
    <row r="470" spans="1:12" x14ac:dyDescent="0.3">
      <c r="A470" t="str">
        <f t="shared" si="14"/>
        <v>PA|AccumulatedNewCapacity|RE1|PWRHYDDAM|2040</v>
      </c>
      <c r="B470" t="s">
        <v>44</v>
      </c>
      <c r="C470" t="s">
        <v>19</v>
      </c>
      <c r="D470" t="s">
        <v>24</v>
      </c>
      <c r="E470">
        <v>2040</v>
      </c>
      <c r="F470" t="s">
        <v>18</v>
      </c>
      <c r="G470" t="s">
        <v>63</v>
      </c>
      <c r="H470" t="s">
        <v>64</v>
      </c>
      <c r="I470" t="s">
        <v>65</v>
      </c>
      <c r="J470">
        <f>SUMIFS(RawResultsLong!$P:$P,RawResultsLong!$A:$A,A470)</f>
        <v>37.840000000000003</v>
      </c>
      <c r="K470">
        <f t="shared" si="15"/>
        <v>1199.0772428828554</v>
      </c>
      <c r="L470">
        <f>SUMIFS(EmploymentResults!$V:$V,EmploymentResults!$D:$D,B470,EmploymentResults!$F:$F,C470,EmploymentResults!$G:$G,D470,EmploymentResults!$H:$H,E470,EmploymentResults!$J:$J,G470,EmploymentResults!$K:$K,H470,EmploymentResults!$L:$L,I470)</f>
        <v>767.70429050433995</v>
      </c>
    </row>
    <row r="471" spans="1:12" x14ac:dyDescent="0.3">
      <c r="A471" t="str">
        <f t="shared" si="14"/>
        <v>PA|AccumulatedNewCapacity|RE1|PWRHYDDAM|2041</v>
      </c>
      <c r="B471" t="s">
        <v>44</v>
      </c>
      <c r="C471" t="s">
        <v>19</v>
      </c>
      <c r="D471" t="s">
        <v>24</v>
      </c>
      <c r="E471">
        <v>2041</v>
      </c>
      <c r="F471" t="s">
        <v>18</v>
      </c>
      <c r="G471" t="s">
        <v>63</v>
      </c>
      <c r="H471" t="s">
        <v>64</v>
      </c>
      <c r="I471" t="s">
        <v>65</v>
      </c>
      <c r="J471">
        <f>SUMIFS(RawResultsLong!$P:$P,RawResultsLong!$A:$A,A471)</f>
        <v>37.840000000000003</v>
      </c>
      <c r="K471">
        <f t="shared" si="15"/>
        <v>1199.0772428828554</v>
      </c>
      <c r="L471">
        <f>SUMIFS(EmploymentResults!$V:$V,EmploymentResults!$D:$D,B471,EmploymentResults!$F:$F,C471,EmploymentResults!$G:$G,D471,EmploymentResults!$H:$H,E471,EmploymentResults!$J:$J,G471,EmploymentResults!$K:$K,H471,EmploymentResults!$L:$L,I471)</f>
        <v>767.49396056181456</v>
      </c>
    </row>
    <row r="472" spans="1:12" x14ac:dyDescent="0.3">
      <c r="A472" t="str">
        <f t="shared" si="14"/>
        <v>PA|AccumulatedNewCapacity|RE1|PWRHYDDAM|2042</v>
      </c>
      <c r="B472" t="s">
        <v>44</v>
      </c>
      <c r="C472" t="s">
        <v>19</v>
      </c>
      <c r="D472" t="s">
        <v>24</v>
      </c>
      <c r="E472">
        <v>2042</v>
      </c>
      <c r="F472" t="s">
        <v>18</v>
      </c>
      <c r="G472" t="s">
        <v>63</v>
      </c>
      <c r="H472" t="s">
        <v>64</v>
      </c>
      <c r="I472" t="s">
        <v>65</v>
      </c>
      <c r="J472">
        <f>SUMIFS(RawResultsLong!$P:$P,RawResultsLong!$A:$A,A472)</f>
        <v>37.840000000000003</v>
      </c>
      <c r="K472">
        <f t="shared" si="15"/>
        <v>1199.0772428828554</v>
      </c>
      <c r="L472">
        <f>SUMIFS(EmploymentResults!$V:$V,EmploymentResults!$D:$D,B472,EmploymentResults!$F:$F,C472,EmploymentResults!$G:$G,D472,EmploymentResults!$H:$H,E472,EmploymentResults!$J:$J,G472,EmploymentResults!$K:$K,H472,EmploymentResults!$L:$L,I472)</f>
        <v>767.28363061928906</v>
      </c>
    </row>
    <row r="473" spans="1:12" x14ac:dyDescent="0.3">
      <c r="A473" t="str">
        <f t="shared" si="14"/>
        <v>PA|AccumulatedNewCapacity|RE1|PWRHYDDAM|2043</v>
      </c>
      <c r="B473" t="s">
        <v>44</v>
      </c>
      <c r="C473" t="s">
        <v>19</v>
      </c>
      <c r="D473" t="s">
        <v>24</v>
      </c>
      <c r="E473">
        <v>2043</v>
      </c>
      <c r="F473" t="s">
        <v>18</v>
      </c>
      <c r="G473" t="s">
        <v>63</v>
      </c>
      <c r="H473" t="s">
        <v>64</v>
      </c>
      <c r="I473" t="s">
        <v>65</v>
      </c>
      <c r="J473">
        <f>SUMIFS(RawResultsLong!$P:$P,RawResultsLong!$A:$A,A473)</f>
        <v>37.840000000000003</v>
      </c>
      <c r="K473">
        <f t="shared" si="15"/>
        <v>1199.0772428828554</v>
      </c>
      <c r="L473">
        <f>SUMIFS(EmploymentResults!$V:$V,EmploymentResults!$D:$D,B473,EmploymentResults!$F:$F,C473,EmploymentResults!$G:$G,D473,EmploymentResults!$H:$H,E473,EmploymentResults!$J:$J,G473,EmploymentResults!$K:$K,H473,EmploymentResults!$L:$L,I473)</f>
        <v>767.07330067676378</v>
      </c>
    </row>
    <row r="474" spans="1:12" x14ac:dyDescent="0.3">
      <c r="A474" t="str">
        <f t="shared" si="14"/>
        <v>PA|AccumulatedNewCapacity|RE1|PWRHYDDAM|2044</v>
      </c>
      <c r="B474" t="s">
        <v>44</v>
      </c>
      <c r="C474" t="s">
        <v>19</v>
      </c>
      <c r="D474" t="s">
        <v>24</v>
      </c>
      <c r="E474">
        <v>2044</v>
      </c>
      <c r="F474" t="s">
        <v>18</v>
      </c>
      <c r="G474" t="s">
        <v>63</v>
      </c>
      <c r="H474" t="s">
        <v>64</v>
      </c>
      <c r="I474" t="s">
        <v>65</v>
      </c>
      <c r="J474">
        <f>SUMIFS(RawResultsLong!$P:$P,RawResultsLong!$A:$A,A474)</f>
        <v>37.840000000000003</v>
      </c>
      <c r="K474">
        <f t="shared" si="15"/>
        <v>1199.0772428828554</v>
      </c>
      <c r="L474">
        <f>SUMIFS(EmploymentResults!$V:$V,EmploymentResults!$D:$D,B474,EmploymentResults!$F:$F,C474,EmploymentResults!$G:$G,D474,EmploymentResults!$H:$H,E474,EmploymentResults!$J:$J,G474,EmploymentResults!$K:$K,H474,EmploymentResults!$L:$L,I474)</f>
        <v>766.86297073423839</v>
      </c>
    </row>
    <row r="475" spans="1:12" x14ac:dyDescent="0.3">
      <c r="A475" t="str">
        <f t="shared" si="14"/>
        <v>PA|AccumulatedNewCapacity|RE1|PWRHYDDAM|2045</v>
      </c>
      <c r="B475" t="s">
        <v>44</v>
      </c>
      <c r="C475" t="s">
        <v>19</v>
      </c>
      <c r="D475" t="s">
        <v>24</v>
      </c>
      <c r="E475">
        <v>2045</v>
      </c>
      <c r="F475" t="s">
        <v>18</v>
      </c>
      <c r="G475" t="s">
        <v>63</v>
      </c>
      <c r="H475" t="s">
        <v>64</v>
      </c>
      <c r="I475" t="s">
        <v>65</v>
      </c>
      <c r="J475">
        <f>SUMIFS(RawResultsLong!$P:$P,RawResultsLong!$A:$A,A475)</f>
        <v>37.840000000000003</v>
      </c>
      <c r="K475">
        <f t="shared" si="15"/>
        <v>1199.0772428828554</v>
      </c>
      <c r="L475">
        <f>SUMIFS(EmploymentResults!$V:$V,EmploymentResults!$D:$D,B475,EmploymentResults!$F:$F,C475,EmploymentResults!$G:$G,D475,EmploymentResults!$H:$H,E475,EmploymentResults!$J:$J,G475,EmploymentResults!$K:$K,H475,EmploymentResults!$L:$L,I475)</f>
        <v>766.65264079171288</v>
      </c>
    </row>
    <row r="476" spans="1:12" x14ac:dyDescent="0.3">
      <c r="A476" t="str">
        <f t="shared" si="14"/>
        <v>PA|AccumulatedNewCapacity|RE1|PWRHYDDAM|2046</v>
      </c>
      <c r="B476" t="s">
        <v>44</v>
      </c>
      <c r="C476" t="s">
        <v>19</v>
      </c>
      <c r="D476" t="s">
        <v>24</v>
      </c>
      <c r="E476">
        <v>2046</v>
      </c>
      <c r="F476" t="s">
        <v>18</v>
      </c>
      <c r="G476" t="s">
        <v>63</v>
      </c>
      <c r="H476" t="s">
        <v>64</v>
      </c>
      <c r="I476" t="s">
        <v>65</v>
      </c>
      <c r="J476">
        <f>SUMIFS(RawResultsLong!$P:$P,RawResultsLong!$A:$A,A476)</f>
        <v>37.840000000000003</v>
      </c>
      <c r="K476">
        <f t="shared" si="15"/>
        <v>1199.0772428828554</v>
      </c>
      <c r="L476">
        <f>SUMIFS(EmploymentResults!$V:$V,EmploymentResults!$D:$D,B476,EmploymentResults!$F:$F,C476,EmploymentResults!$G:$G,D476,EmploymentResults!$H:$H,E476,EmploymentResults!$J:$J,G476,EmploymentResults!$K:$K,H476,EmploymentResults!$L:$L,I476)</f>
        <v>766.44231084918749</v>
      </c>
    </row>
    <row r="477" spans="1:12" x14ac:dyDescent="0.3">
      <c r="A477" t="str">
        <f t="shared" si="14"/>
        <v>PA|AccumulatedNewCapacity|RE1|PWRHYDDAM|2047</v>
      </c>
      <c r="B477" t="s">
        <v>44</v>
      </c>
      <c r="C477" t="s">
        <v>19</v>
      </c>
      <c r="D477" t="s">
        <v>24</v>
      </c>
      <c r="E477">
        <v>2047</v>
      </c>
      <c r="F477" t="s">
        <v>18</v>
      </c>
      <c r="G477" t="s">
        <v>63</v>
      </c>
      <c r="H477" t="s">
        <v>64</v>
      </c>
      <c r="I477" t="s">
        <v>65</v>
      </c>
      <c r="J477">
        <f>SUMIFS(RawResultsLong!$P:$P,RawResultsLong!$A:$A,A477)</f>
        <v>37.840000000000003</v>
      </c>
      <c r="K477">
        <f t="shared" si="15"/>
        <v>1199.0772428828554</v>
      </c>
      <c r="L477">
        <f>SUMIFS(EmploymentResults!$V:$V,EmploymentResults!$D:$D,B477,EmploymentResults!$F:$F,C477,EmploymentResults!$G:$G,D477,EmploymentResults!$H:$H,E477,EmploymentResults!$J:$J,G477,EmploymentResults!$K:$K,H477,EmploymentResults!$L:$L,I477)</f>
        <v>766.2319809066621</v>
      </c>
    </row>
    <row r="478" spans="1:12" x14ac:dyDescent="0.3">
      <c r="A478" t="str">
        <f t="shared" si="14"/>
        <v>PA|AccumulatedNewCapacity|RE1|PWRHYDDAM|2048</v>
      </c>
      <c r="B478" t="s">
        <v>44</v>
      </c>
      <c r="C478" t="s">
        <v>19</v>
      </c>
      <c r="D478" t="s">
        <v>24</v>
      </c>
      <c r="E478">
        <v>2048</v>
      </c>
      <c r="F478" t="s">
        <v>18</v>
      </c>
      <c r="G478" t="s">
        <v>63</v>
      </c>
      <c r="H478" t="s">
        <v>64</v>
      </c>
      <c r="I478" t="s">
        <v>65</v>
      </c>
      <c r="J478">
        <f>SUMIFS(RawResultsLong!$P:$P,RawResultsLong!$A:$A,A478)</f>
        <v>37.840000000000003</v>
      </c>
      <c r="K478">
        <f t="shared" si="15"/>
        <v>1199.0772428828554</v>
      </c>
      <c r="L478">
        <f>SUMIFS(EmploymentResults!$V:$V,EmploymentResults!$D:$D,B478,EmploymentResults!$F:$F,C478,EmploymentResults!$G:$G,D478,EmploymentResults!$H:$H,E478,EmploymentResults!$J:$J,G478,EmploymentResults!$K:$K,H478,EmploymentResults!$L:$L,I478)</f>
        <v>766.02165096413671</v>
      </c>
    </row>
    <row r="479" spans="1:12" x14ac:dyDescent="0.3">
      <c r="A479" t="str">
        <f t="shared" si="14"/>
        <v>PA|AccumulatedNewCapacity|RE1|PWRHYDDAM|2049</v>
      </c>
      <c r="B479" t="s">
        <v>44</v>
      </c>
      <c r="C479" t="s">
        <v>19</v>
      </c>
      <c r="D479" t="s">
        <v>24</v>
      </c>
      <c r="E479">
        <v>2049</v>
      </c>
      <c r="F479" t="s">
        <v>18</v>
      </c>
      <c r="G479" t="s">
        <v>63</v>
      </c>
      <c r="H479" t="s">
        <v>64</v>
      </c>
      <c r="I479" t="s">
        <v>65</v>
      </c>
      <c r="J479">
        <f>SUMIFS(RawResultsLong!$P:$P,RawResultsLong!$A:$A,A479)</f>
        <v>37.840000000000003</v>
      </c>
      <c r="K479">
        <f t="shared" si="15"/>
        <v>1199.0772428828554</v>
      </c>
      <c r="L479">
        <f>SUMIFS(EmploymentResults!$V:$V,EmploymentResults!$D:$D,B479,EmploymentResults!$F:$F,C479,EmploymentResults!$G:$G,D479,EmploymentResults!$H:$H,E479,EmploymentResults!$J:$J,G479,EmploymentResults!$K:$K,H479,EmploymentResults!$L:$L,I479)</f>
        <v>765.81132102161121</v>
      </c>
    </row>
    <row r="480" spans="1:12" x14ac:dyDescent="0.3">
      <c r="A480" t="str">
        <f t="shared" si="14"/>
        <v>PA|AccumulatedNewCapacity|RE1|PWRHYDDAM|2050</v>
      </c>
      <c r="B480" t="s">
        <v>44</v>
      </c>
      <c r="C480" t="s">
        <v>19</v>
      </c>
      <c r="D480" t="s">
        <v>24</v>
      </c>
      <c r="E480">
        <v>2050</v>
      </c>
      <c r="F480" t="s">
        <v>18</v>
      </c>
      <c r="G480" t="s">
        <v>63</v>
      </c>
      <c r="H480" t="s">
        <v>64</v>
      </c>
      <c r="I480" t="s">
        <v>65</v>
      </c>
      <c r="J480">
        <f>SUMIFS(RawResultsLong!$P:$P,RawResultsLong!$A:$A,A480)</f>
        <v>37.840000000000003</v>
      </c>
      <c r="K480">
        <f t="shared" si="15"/>
        <v>1199.0772428828554</v>
      </c>
      <c r="L480">
        <f>SUMIFS(EmploymentResults!$V:$V,EmploymentResults!$D:$D,B480,EmploymentResults!$F:$F,C480,EmploymentResults!$G:$G,D480,EmploymentResults!$H:$H,E480,EmploymentResults!$J:$J,G480,EmploymentResults!$K:$K,H480,EmploymentResults!$L:$L,I480)</f>
        <v>765.60099107908582</v>
      </c>
    </row>
    <row r="481" spans="1:12" x14ac:dyDescent="0.3">
      <c r="A481" t="str">
        <f t="shared" si="14"/>
        <v>PA|AccumulatedNewCapacity|RE1|PWRHYDDAM|2051</v>
      </c>
      <c r="B481" t="s">
        <v>44</v>
      </c>
      <c r="C481" t="s">
        <v>19</v>
      </c>
      <c r="D481" t="s">
        <v>24</v>
      </c>
      <c r="E481">
        <v>2051</v>
      </c>
      <c r="F481" t="s">
        <v>18</v>
      </c>
      <c r="G481" t="s">
        <v>63</v>
      </c>
      <c r="H481" t="s">
        <v>64</v>
      </c>
      <c r="I481" t="s">
        <v>65</v>
      </c>
      <c r="J481">
        <f>SUMIFS(RawResultsLong!$P:$P,RawResultsLong!$A:$A,A481)</f>
        <v>37.840000000000003</v>
      </c>
      <c r="K481">
        <f t="shared" si="15"/>
        <v>1199.0772428828554</v>
      </c>
      <c r="L481">
        <f>SUMIFS(EmploymentResults!$V:$V,EmploymentResults!$D:$D,B481,EmploymentResults!$F:$F,C481,EmploymentResults!$G:$G,D481,EmploymentResults!$H:$H,E481,EmploymentResults!$J:$J,G481,EmploymentResults!$K:$K,H481,EmploymentResults!$L:$L,I481)</f>
        <v>765.60099107908582</v>
      </c>
    </row>
    <row r="482" spans="1:12" x14ac:dyDescent="0.3">
      <c r="A482" t="str">
        <f t="shared" si="14"/>
        <v>PA|AccumulatedNewCapacity|RE1|PWRHYDDAM|2052</v>
      </c>
      <c r="B482" t="s">
        <v>44</v>
      </c>
      <c r="C482" t="s">
        <v>19</v>
      </c>
      <c r="D482" t="s">
        <v>24</v>
      </c>
      <c r="E482">
        <v>2052</v>
      </c>
      <c r="F482" t="s">
        <v>18</v>
      </c>
      <c r="G482" t="s">
        <v>63</v>
      </c>
      <c r="H482" t="s">
        <v>64</v>
      </c>
      <c r="I482" t="s">
        <v>65</v>
      </c>
      <c r="J482">
        <f>SUMIFS(RawResultsLong!$P:$P,RawResultsLong!$A:$A,A482)</f>
        <v>37.840000000000003</v>
      </c>
      <c r="K482">
        <f t="shared" si="15"/>
        <v>1199.0772428828554</v>
      </c>
      <c r="L482">
        <f>SUMIFS(EmploymentResults!$V:$V,EmploymentResults!$D:$D,B482,EmploymentResults!$F:$F,C482,EmploymentResults!$G:$G,D482,EmploymentResults!$H:$H,E482,EmploymentResults!$J:$J,G482,EmploymentResults!$K:$K,H482,EmploymentResults!$L:$L,I482)</f>
        <v>765.60099107908582</v>
      </c>
    </row>
    <row r="483" spans="1:12" x14ac:dyDescent="0.3">
      <c r="A483" t="str">
        <f t="shared" si="14"/>
        <v>PA|AccumulatedNewCapacity|RE1|PWRHYDDAM|2053</v>
      </c>
      <c r="B483" t="s">
        <v>44</v>
      </c>
      <c r="C483" t="s">
        <v>19</v>
      </c>
      <c r="D483" t="s">
        <v>24</v>
      </c>
      <c r="E483">
        <v>2053</v>
      </c>
      <c r="F483" t="s">
        <v>18</v>
      </c>
      <c r="G483" t="s">
        <v>63</v>
      </c>
      <c r="H483" t="s">
        <v>64</v>
      </c>
      <c r="I483" t="s">
        <v>65</v>
      </c>
      <c r="J483">
        <f>SUMIFS(RawResultsLong!$P:$P,RawResultsLong!$A:$A,A483)</f>
        <v>37.840000000000003</v>
      </c>
      <c r="K483">
        <f t="shared" si="15"/>
        <v>1199.0772428828554</v>
      </c>
      <c r="L483">
        <f>SUMIFS(EmploymentResults!$V:$V,EmploymentResults!$D:$D,B483,EmploymentResults!$F:$F,C483,EmploymentResults!$G:$G,D483,EmploymentResults!$H:$H,E483,EmploymentResults!$J:$J,G483,EmploymentResults!$K:$K,H483,EmploymentResults!$L:$L,I483)</f>
        <v>765.60099107908582</v>
      </c>
    </row>
    <row r="484" spans="1:12" x14ac:dyDescent="0.3">
      <c r="A484" t="str">
        <f t="shared" si="14"/>
        <v>PA|AccumulatedNewCapacity|RE1|PWRHYDDAM|2054</v>
      </c>
      <c r="B484" t="s">
        <v>44</v>
      </c>
      <c r="C484" t="s">
        <v>19</v>
      </c>
      <c r="D484" t="s">
        <v>24</v>
      </c>
      <c r="E484">
        <v>2054</v>
      </c>
      <c r="F484" t="s">
        <v>18</v>
      </c>
      <c r="G484" t="s">
        <v>63</v>
      </c>
      <c r="H484" t="s">
        <v>64</v>
      </c>
      <c r="I484" t="s">
        <v>65</v>
      </c>
      <c r="J484">
        <f>SUMIFS(RawResultsLong!$P:$P,RawResultsLong!$A:$A,A484)</f>
        <v>37.840000000000003</v>
      </c>
      <c r="K484">
        <f t="shared" si="15"/>
        <v>1199.0772428828554</v>
      </c>
      <c r="L484">
        <f>SUMIFS(EmploymentResults!$V:$V,EmploymentResults!$D:$D,B484,EmploymentResults!$F:$F,C484,EmploymentResults!$G:$G,D484,EmploymentResults!$H:$H,E484,EmploymentResults!$J:$J,G484,EmploymentResults!$K:$K,H484,EmploymentResults!$L:$L,I484)</f>
        <v>765.60099107908582</v>
      </c>
    </row>
    <row r="485" spans="1:12" x14ac:dyDescent="0.3">
      <c r="A485" t="str">
        <f t="shared" si="14"/>
        <v>PA|AccumulatedNewCapacity|RE1|PWRHYDDAM|2055</v>
      </c>
      <c r="B485" t="s">
        <v>44</v>
      </c>
      <c r="C485" t="s">
        <v>19</v>
      </c>
      <c r="D485" t="s">
        <v>24</v>
      </c>
      <c r="E485">
        <v>2055</v>
      </c>
      <c r="F485" t="s">
        <v>18</v>
      </c>
      <c r="G485" t="s">
        <v>63</v>
      </c>
      <c r="H485" t="s">
        <v>64</v>
      </c>
      <c r="I485" t="s">
        <v>65</v>
      </c>
      <c r="J485">
        <f>SUMIFS(RawResultsLong!$P:$P,RawResultsLong!$A:$A,A485)</f>
        <v>37.840000000000003</v>
      </c>
      <c r="K485">
        <f t="shared" si="15"/>
        <v>1199.0772428828554</v>
      </c>
      <c r="L485">
        <f>SUMIFS(EmploymentResults!$V:$V,EmploymentResults!$D:$D,B485,EmploymentResults!$F:$F,C485,EmploymentResults!$G:$G,D485,EmploymentResults!$H:$H,E485,EmploymentResults!$J:$J,G485,EmploymentResults!$K:$K,H485,EmploymentResults!$L:$L,I485)</f>
        <v>765.60099107908582</v>
      </c>
    </row>
    <row r="486" spans="1:12" x14ac:dyDescent="0.3">
      <c r="A486" t="str">
        <f t="shared" si="14"/>
        <v>PA|AccumulatedNewCapacity|RE1|PWRNUC|2038</v>
      </c>
      <c r="B486" t="s">
        <v>44</v>
      </c>
      <c r="C486" t="s">
        <v>19</v>
      </c>
      <c r="D486" t="s">
        <v>47</v>
      </c>
      <c r="E486">
        <v>2038</v>
      </c>
      <c r="F486" t="s">
        <v>18</v>
      </c>
      <c r="G486" t="s">
        <v>63</v>
      </c>
      <c r="H486" t="s">
        <v>64</v>
      </c>
      <c r="I486" t="s">
        <v>65</v>
      </c>
      <c r="J486">
        <f>SUMIFS(RawResultsLong!$P:$P,RawResultsLong!$A:$A,A486)</f>
        <v>9.5120000000000005</v>
      </c>
      <c r="K486">
        <f t="shared" si="15"/>
        <v>301.41709128704338</v>
      </c>
      <c r="L486">
        <f>SUMIFS(EmploymentResults!$V:$V,EmploymentResults!$D:$D,B486,EmploymentResults!$F:$F,C486,EmploymentResults!$G:$G,D486,EmploymentResults!$H:$H,E486,EmploymentResults!$J:$J,G486,EmploymentResults!$K:$K,H486,EmploymentResults!$L:$L,I486)</f>
        <v>338.54162969823562</v>
      </c>
    </row>
    <row r="487" spans="1:12" x14ac:dyDescent="0.3">
      <c r="A487" t="str">
        <f t="shared" si="14"/>
        <v>PA|AccumulatedNewCapacity|RE1|PWRNUC|2039</v>
      </c>
      <c r="B487" t="s">
        <v>44</v>
      </c>
      <c r="C487" t="s">
        <v>19</v>
      </c>
      <c r="D487" t="s">
        <v>47</v>
      </c>
      <c r="E487">
        <v>2039</v>
      </c>
      <c r="F487" t="s">
        <v>18</v>
      </c>
      <c r="G487" t="s">
        <v>63</v>
      </c>
      <c r="H487" t="s">
        <v>64</v>
      </c>
      <c r="I487" t="s">
        <v>65</v>
      </c>
      <c r="J487">
        <f>SUMIFS(RawResultsLong!$P:$P,RawResultsLong!$A:$A,A487)</f>
        <v>9.5120000000000005</v>
      </c>
      <c r="K487">
        <f t="shared" si="15"/>
        <v>301.41709128704338</v>
      </c>
      <c r="L487">
        <f>SUMIFS(EmploymentResults!$V:$V,EmploymentResults!$D:$D,B487,EmploymentResults!$F:$F,C487,EmploymentResults!$G:$G,D487,EmploymentResults!$H:$H,E487,EmploymentResults!$J:$J,G487,EmploymentResults!$K:$K,H487,EmploymentResults!$L:$L,I487)</f>
        <v>337.53062653687232</v>
      </c>
    </row>
    <row r="488" spans="1:12" x14ac:dyDescent="0.3">
      <c r="A488" t="str">
        <f t="shared" si="14"/>
        <v>PA|AccumulatedNewCapacity|RE1|PWRNUC|2040</v>
      </c>
      <c r="B488" t="s">
        <v>44</v>
      </c>
      <c r="C488" t="s">
        <v>19</v>
      </c>
      <c r="D488" t="s">
        <v>47</v>
      </c>
      <c r="E488">
        <v>2040</v>
      </c>
      <c r="F488" t="s">
        <v>18</v>
      </c>
      <c r="G488" t="s">
        <v>63</v>
      </c>
      <c r="H488" t="s">
        <v>64</v>
      </c>
      <c r="I488" t="s">
        <v>65</v>
      </c>
      <c r="J488">
        <f>SUMIFS(RawResultsLong!$P:$P,RawResultsLong!$A:$A,A488)</f>
        <v>9.5120000000000005</v>
      </c>
      <c r="K488">
        <f t="shared" si="15"/>
        <v>301.41709128704338</v>
      </c>
      <c r="L488">
        <f>SUMIFS(EmploymentResults!$V:$V,EmploymentResults!$D:$D,B488,EmploymentResults!$F:$F,C488,EmploymentResults!$G:$G,D488,EmploymentResults!$H:$H,E488,EmploymentResults!$J:$J,G488,EmploymentResults!$K:$K,H488,EmploymentResults!$L:$L,I488)</f>
        <v>336.5196233755089</v>
      </c>
    </row>
    <row r="489" spans="1:12" x14ac:dyDescent="0.3">
      <c r="A489" t="str">
        <f t="shared" si="14"/>
        <v>PA|AccumulatedNewCapacity|RE1|PWRNUC|2041</v>
      </c>
      <c r="B489" t="s">
        <v>44</v>
      </c>
      <c r="C489" t="s">
        <v>19</v>
      </c>
      <c r="D489" t="s">
        <v>47</v>
      </c>
      <c r="E489">
        <v>2041</v>
      </c>
      <c r="F489" t="s">
        <v>18</v>
      </c>
      <c r="G489" t="s">
        <v>63</v>
      </c>
      <c r="H489" t="s">
        <v>64</v>
      </c>
      <c r="I489" t="s">
        <v>65</v>
      </c>
      <c r="J489">
        <f>SUMIFS(RawResultsLong!$P:$P,RawResultsLong!$A:$A,A489)</f>
        <v>9.5120000000000005</v>
      </c>
      <c r="K489">
        <f t="shared" si="15"/>
        <v>301.41709128704338</v>
      </c>
      <c r="L489">
        <f>SUMIFS(EmploymentResults!$V:$V,EmploymentResults!$D:$D,B489,EmploymentResults!$F:$F,C489,EmploymentResults!$G:$G,D489,EmploymentResults!$H:$H,E489,EmploymentResults!$J:$J,G489,EmploymentResults!$K:$K,H489,EmploymentResults!$L:$L,I489)</f>
        <v>335.50862021715972</v>
      </c>
    </row>
    <row r="490" spans="1:12" x14ac:dyDescent="0.3">
      <c r="A490" t="str">
        <f t="shared" si="14"/>
        <v>PA|AccumulatedNewCapacity|RE1|PWRNUC|2042</v>
      </c>
      <c r="B490" t="s">
        <v>44</v>
      </c>
      <c r="C490" t="s">
        <v>19</v>
      </c>
      <c r="D490" t="s">
        <v>47</v>
      </c>
      <c r="E490">
        <v>2042</v>
      </c>
      <c r="F490" t="s">
        <v>18</v>
      </c>
      <c r="G490" t="s">
        <v>63</v>
      </c>
      <c r="H490" t="s">
        <v>64</v>
      </c>
      <c r="I490" t="s">
        <v>65</v>
      </c>
      <c r="J490">
        <f>SUMIFS(RawResultsLong!$P:$P,RawResultsLong!$A:$A,A490)</f>
        <v>9.5120000000000005</v>
      </c>
      <c r="K490">
        <f t="shared" si="15"/>
        <v>301.41709128704338</v>
      </c>
      <c r="L490">
        <f>SUMIFS(EmploymentResults!$V:$V,EmploymentResults!$D:$D,B490,EmploymentResults!$F:$F,C490,EmploymentResults!$G:$G,D490,EmploymentResults!$H:$H,E490,EmploymentResults!$J:$J,G490,EmploymentResults!$K:$K,H490,EmploymentResults!$L:$L,I490)</f>
        <v>334.49761705579641</v>
      </c>
    </row>
    <row r="491" spans="1:12" x14ac:dyDescent="0.3">
      <c r="A491" t="str">
        <f t="shared" si="14"/>
        <v>PA|AccumulatedNewCapacity|RE1|PWRNUC|2043</v>
      </c>
      <c r="B491" t="s">
        <v>44</v>
      </c>
      <c r="C491" t="s">
        <v>19</v>
      </c>
      <c r="D491" t="s">
        <v>47</v>
      </c>
      <c r="E491">
        <v>2043</v>
      </c>
      <c r="F491" t="s">
        <v>18</v>
      </c>
      <c r="G491" t="s">
        <v>63</v>
      </c>
      <c r="H491" t="s">
        <v>64</v>
      </c>
      <c r="I491" t="s">
        <v>65</v>
      </c>
      <c r="J491">
        <f>SUMIFS(RawResultsLong!$P:$P,RawResultsLong!$A:$A,A491)</f>
        <v>9.5120000000000005</v>
      </c>
      <c r="K491">
        <f t="shared" si="15"/>
        <v>301.41709128704338</v>
      </c>
      <c r="L491">
        <f>SUMIFS(EmploymentResults!$V:$V,EmploymentResults!$D:$D,B491,EmploymentResults!$F:$F,C491,EmploymentResults!$G:$G,D491,EmploymentResults!$H:$H,E491,EmploymentResults!$J:$J,G491,EmploymentResults!$K:$K,H491,EmploymentResults!$L:$L,I491)</f>
        <v>333.48661389443299</v>
      </c>
    </row>
    <row r="492" spans="1:12" x14ac:dyDescent="0.3">
      <c r="A492" t="str">
        <f t="shared" si="14"/>
        <v>PA|AccumulatedNewCapacity|RE1|PWRNUC|2044</v>
      </c>
      <c r="B492" t="s">
        <v>44</v>
      </c>
      <c r="C492" t="s">
        <v>19</v>
      </c>
      <c r="D492" t="s">
        <v>47</v>
      </c>
      <c r="E492">
        <v>2044</v>
      </c>
      <c r="F492" t="s">
        <v>18</v>
      </c>
      <c r="G492" t="s">
        <v>63</v>
      </c>
      <c r="H492" t="s">
        <v>64</v>
      </c>
      <c r="I492" t="s">
        <v>65</v>
      </c>
      <c r="J492">
        <f>SUMIFS(RawResultsLong!$P:$P,RawResultsLong!$A:$A,A492)</f>
        <v>9.5120000000000005</v>
      </c>
      <c r="K492">
        <f t="shared" si="15"/>
        <v>301.41709128704338</v>
      </c>
      <c r="L492">
        <f>SUMIFS(EmploymentResults!$V:$V,EmploymentResults!$D:$D,B492,EmploymentResults!$F:$F,C492,EmploymentResults!$G:$G,D492,EmploymentResults!$H:$H,E492,EmploymentResults!$J:$J,G492,EmploymentResults!$K:$K,H492,EmploymentResults!$L:$L,I492)</f>
        <v>332.47561073608387</v>
      </c>
    </row>
    <row r="493" spans="1:12" x14ac:dyDescent="0.3">
      <c r="A493" t="str">
        <f t="shared" si="14"/>
        <v>PA|AccumulatedNewCapacity|RE1|PWRNUC|2045</v>
      </c>
      <c r="B493" t="s">
        <v>44</v>
      </c>
      <c r="C493" t="s">
        <v>19</v>
      </c>
      <c r="D493" t="s">
        <v>47</v>
      </c>
      <c r="E493">
        <v>2045</v>
      </c>
      <c r="F493" t="s">
        <v>18</v>
      </c>
      <c r="G493" t="s">
        <v>63</v>
      </c>
      <c r="H493" t="s">
        <v>64</v>
      </c>
      <c r="I493" t="s">
        <v>65</v>
      </c>
      <c r="J493">
        <f>SUMIFS(RawResultsLong!$P:$P,RawResultsLong!$A:$A,A493)</f>
        <v>9.5120000000000005</v>
      </c>
      <c r="K493">
        <f t="shared" si="15"/>
        <v>301.41709128704338</v>
      </c>
      <c r="L493">
        <f>SUMIFS(EmploymentResults!$V:$V,EmploymentResults!$D:$D,B493,EmploymentResults!$F:$F,C493,EmploymentResults!$G:$G,D493,EmploymentResults!$H:$H,E493,EmploymentResults!$J:$J,G493,EmploymentResults!$K:$K,H493,EmploymentResults!$L:$L,I493)</f>
        <v>331.4646075747205</v>
      </c>
    </row>
    <row r="494" spans="1:12" x14ac:dyDescent="0.3">
      <c r="A494" t="str">
        <f t="shared" si="14"/>
        <v>PA|AccumulatedNewCapacity|RE1|PWRNUC|2046</v>
      </c>
      <c r="B494" t="s">
        <v>44</v>
      </c>
      <c r="C494" t="s">
        <v>19</v>
      </c>
      <c r="D494" t="s">
        <v>47</v>
      </c>
      <c r="E494">
        <v>2046</v>
      </c>
      <c r="F494" t="s">
        <v>18</v>
      </c>
      <c r="G494" t="s">
        <v>63</v>
      </c>
      <c r="H494" t="s">
        <v>64</v>
      </c>
      <c r="I494" t="s">
        <v>65</v>
      </c>
      <c r="J494">
        <f>SUMIFS(RawResultsLong!$P:$P,RawResultsLong!$A:$A,A494)</f>
        <v>9.5120000000000005</v>
      </c>
      <c r="K494">
        <f t="shared" si="15"/>
        <v>301.41709128704338</v>
      </c>
      <c r="L494">
        <f>SUMIFS(EmploymentResults!$V:$V,EmploymentResults!$D:$D,B494,EmploymentResults!$F:$F,C494,EmploymentResults!$G:$G,D494,EmploymentResults!$H:$H,E494,EmploymentResults!$J:$J,G494,EmploymentResults!$K:$K,H494,EmploymentResults!$L:$L,I494)</f>
        <v>330.4536044133572</v>
      </c>
    </row>
    <row r="495" spans="1:12" x14ac:dyDescent="0.3">
      <c r="A495" t="str">
        <f t="shared" si="14"/>
        <v>PA|AccumulatedNewCapacity|RE1|PWRNUC|2047</v>
      </c>
      <c r="B495" t="s">
        <v>44</v>
      </c>
      <c r="C495" t="s">
        <v>19</v>
      </c>
      <c r="D495" t="s">
        <v>47</v>
      </c>
      <c r="E495">
        <v>2047</v>
      </c>
      <c r="F495" t="s">
        <v>18</v>
      </c>
      <c r="G495" t="s">
        <v>63</v>
      </c>
      <c r="H495" t="s">
        <v>64</v>
      </c>
      <c r="I495" t="s">
        <v>65</v>
      </c>
      <c r="J495">
        <f>SUMIFS(RawResultsLong!$P:$P,RawResultsLong!$A:$A,A495)</f>
        <v>9.5120000000000005</v>
      </c>
      <c r="K495">
        <f t="shared" si="15"/>
        <v>301.41709128704338</v>
      </c>
      <c r="L495">
        <f>SUMIFS(EmploymentResults!$V:$V,EmploymentResults!$D:$D,B495,EmploymentResults!$F:$F,C495,EmploymentResults!$G:$G,D495,EmploymentResults!$H:$H,E495,EmploymentResults!$J:$J,G495,EmploymentResults!$K:$K,H495,EmploymentResults!$L:$L,I495)</f>
        <v>329.44260125500796</v>
      </c>
    </row>
    <row r="496" spans="1:12" x14ac:dyDescent="0.3">
      <c r="A496" t="str">
        <f t="shared" si="14"/>
        <v>PA|AccumulatedNewCapacity|RE1|PWRNUC|2048</v>
      </c>
      <c r="B496" t="s">
        <v>44</v>
      </c>
      <c r="C496" t="s">
        <v>19</v>
      </c>
      <c r="D496" t="s">
        <v>47</v>
      </c>
      <c r="E496">
        <v>2048</v>
      </c>
      <c r="F496" t="s">
        <v>18</v>
      </c>
      <c r="G496" t="s">
        <v>63</v>
      </c>
      <c r="H496" t="s">
        <v>64</v>
      </c>
      <c r="I496" t="s">
        <v>65</v>
      </c>
      <c r="J496">
        <f>SUMIFS(RawResultsLong!$P:$P,RawResultsLong!$A:$A,A496)</f>
        <v>9.5120000000000005</v>
      </c>
      <c r="K496">
        <f t="shared" si="15"/>
        <v>301.41709128704338</v>
      </c>
      <c r="L496">
        <f>SUMIFS(EmploymentResults!$V:$V,EmploymentResults!$D:$D,B496,EmploymentResults!$F:$F,C496,EmploymentResults!$G:$G,D496,EmploymentResults!$H:$H,E496,EmploymentResults!$J:$J,G496,EmploymentResults!$K:$K,H496,EmploymentResults!$L:$L,I496)</f>
        <v>328.43159809364465</v>
      </c>
    </row>
    <row r="497" spans="1:12" x14ac:dyDescent="0.3">
      <c r="A497" t="str">
        <f t="shared" si="14"/>
        <v>PA|AccumulatedNewCapacity|RE1|PWRNUC|2049</v>
      </c>
      <c r="B497" t="s">
        <v>44</v>
      </c>
      <c r="C497" t="s">
        <v>19</v>
      </c>
      <c r="D497" t="s">
        <v>47</v>
      </c>
      <c r="E497">
        <v>2049</v>
      </c>
      <c r="F497" t="s">
        <v>18</v>
      </c>
      <c r="G497" t="s">
        <v>63</v>
      </c>
      <c r="H497" t="s">
        <v>64</v>
      </c>
      <c r="I497" t="s">
        <v>65</v>
      </c>
      <c r="J497">
        <f>SUMIFS(RawResultsLong!$P:$P,RawResultsLong!$A:$A,A497)</f>
        <v>9.5120000000000005</v>
      </c>
      <c r="K497">
        <f t="shared" si="15"/>
        <v>301.41709128704338</v>
      </c>
      <c r="L497">
        <f>SUMIFS(EmploymentResults!$V:$V,EmploymentResults!$D:$D,B497,EmploymentResults!$F:$F,C497,EmploymentResults!$G:$G,D497,EmploymentResults!$H:$H,E497,EmploymentResults!$J:$J,G497,EmploymentResults!$K:$K,H497,EmploymentResults!$L:$L,I497)</f>
        <v>327.42059493228129</v>
      </c>
    </row>
    <row r="498" spans="1:12" x14ac:dyDescent="0.3">
      <c r="A498" t="str">
        <f t="shared" si="14"/>
        <v>PA|AccumulatedNewCapacity|RE1|PWRNUC|2050</v>
      </c>
      <c r="B498" t="s">
        <v>44</v>
      </c>
      <c r="C498" t="s">
        <v>19</v>
      </c>
      <c r="D498" t="s">
        <v>47</v>
      </c>
      <c r="E498">
        <v>2050</v>
      </c>
      <c r="F498" t="s">
        <v>18</v>
      </c>
      <c r="G498" t="s">
        <v>63</v>
      </c>
      <c r="H498" t="s">
        <v>64</v>
      </c>
      <c r="I498" t="s">
        <v>65</v>
      </c>
      <c r="J498">
        <f>SUMIFS(RawResultsLong!$P:$P,RawResultsLong!$A:$A,A498)</f>
        <v>9.5120000000000005</v>
      </c>
      <c r="K498">
        <f t="shared" si="15"/>
        <v>301.41709128704338</v>
      </c>
      <c r="L498">
        <f>SUMIFS(EmploymentResults!$V:$V,EmploymentResults!$D:$D,B498,EmploymentResults!$F:$F,C498,EmploymentResults!$G:$G,D498,EmploymentResults!$H:$H,E498,EmploymentResults!$J:$J,G498,EmploymentResults!$K:$K,H498,EmploymentResults!$L:$L,I498)</f>
        <v>326.40959177393216</v>
      </c>
    </row>
    <row r="499" spans="1:12" x14ac:dyDescent="0.3">
      <c r="A499" t="str">
        <f t="shared" si="14"/>
        <v>PA|AccumulatedNewCapacity|RE1|PWRNUC|2051</v>
      </c>
      <c r="B499" t="s">
        <v>44</v>
      </c>
      <c r="C499" t="s">
        <v>19</v>
      </c>
      <c r="D499" t="s">
        <v>47</v>
      </c>
      <c r="E499">
        <v>2051</v>
      </c>
      <c r="F499" t="s">
        <v>18</v>
      </c>
      <c r="G499" t="s">
        <v>63</v>
      </c>
      <c r="H499" t="s">
        <v>64</v>
      </c>
      <c r="I499" t="s">
        <v>65</v>
      </c>
      <c r="J499">
        <f>SUMIFS(RawResultsLong!$P:$P,RawResultsLong!$A:$A,A499)</f>
        <v>9.5120000000000005</v>
      </c>
      <c r="K499">
        <f t="shared" si="15"/>
        <v>301.41709128704338</v>
      </c>
      <c r="L499">
        <f>SUMIFS(EmploymentResults!$V:$V,EmploymentResults!$D:$D,B499,EmploymentResults!$F:$F,C499,EmploymentResults!$G:$G,D499,EmploymentResults!$H:$H,E499,EmploymentResults!$J:$J,G499,EmploymentResults!$K:$K,H499,EmploymentResults!$L:$L,I499)</f>
        <v>326.40959177393216</v>
      </c>
    </row>
    <row r="500" spans="1:12" x14ac:dyDescent="0.3">
      <c r="A500" t="str">
        <f t="shared" si="14"/>
        <v>PA|AccumulatedNewCapacity|RE1|PWRNUC|2052</v>
      </c>
      <c r="B500" t="s">
        <v>44</v>
      </c>
      <c r="C500" t="s">
        <v>19</v>
      </c>
      <c r="D500" t="s">
        <v>47</v>
      </c>
      <c r="E500">
        <v>2052</v>
      </c>
      <c r="F500" t="s">
        <v>18</v>
      </c>
      <c r="G500" t="s">
        <v>63</v>
      </c>
      <c r="H500" t="s">
        <v>64</v>
      </c>
      <c r="I500" t="s">
        <v>65</v>
      </c>
      <c r="J500">
        <f>SUMIFS(RawResultsLong!$P:$P,RawResultsLong!$A:$A,A500)</f>
        <v>9.5120000000000005</v>
      </c>
      <c r="K500">
        <f t="shared" si="15"/>
        <v>301.41709128704338</v>
      </c>
      <c r="L500">
        <f>SUMIFS(EmploymentResults!$V:$V,EmploymentResults!$D:$D,B500,EmploymentResults!$F:$F,C500,EmploymentResults!$G:$G,D500,EmploymentResults!$H:$H,E500,EmploymentResults!$J:$J,G500,EmploymentResults!$K:$K,H500,EmploymentResults!$L:$L,I500)</f>
        <v>326.40959177393216</v>
      </c>
    </row>
    <row r="501" spans="1:12" x14ac:dyDescent="0.3">
      <c r="A501" t="str">
        <f t="shared" si="14"/>
        <v>PA|AccumulatedNewCapacity|RE1|PWRNUC|2053</v>
      </c>
      <c r="B501" t="s">
        <v>44</v>
      </c>
      <c r="C501" t="s">
        <v>19</v>
      </c>
      <c r="D501" t="s">
        <v>47</v>
      </c>
      <c r="E501">
        <v>2053</v>
      </c>
      <c r="F501" t="s">
        <v>18</v>
      </c>
      <c r="G501" t="s">
        <v>63</v>
      </c>
      <c r="H501" t="s">
        <v>64</v>
      </c>
      <c r="I501" t="s">
        <v>65</v>
      </c>
      <c r="J501">
        <f>SUMIFS(RawResultsLong!$P:$P,RawResultsLong!$A:$A,A501)</f>
        <v>9.5120000000000005</v>
      </c>
      <c r="K501">
        <f t="shared" si="15"/>
        <v>301.41709128704338</v>
      </c>
      <c r="L501">
        <f>SUMIFS(EmploymentResults!$V:$V,EmploymentResults!$D:$D,B501,EmploymentResults!$F:$F,C501,EmploymentResults!$G:$G,D501,EmploymentResults!$H:$H,E501,EmploymentResults!$J:$J,G501,EmploymentResults!$K:$K,H501,EmploymentResults!$L:$L,I501)</f>
        <v>326.40959177393216</v>
      </c>
    </row>
    <row r="502" spans="1:12" x14ac:dyDescent="0.3">
      <c r="A502" t="str">
        <f t="shared" si="14"/>
        <v>PA|AccumulatedNewCapacity|RE1|PWRNUC|2054</v>
      </c>
      <c r="B502" t="s">
        <v>44</v>
      </c>
      <c r="C502" t="s">
        <v>19</v>
      </c>
      <c r="D502" t="s">
        <v>47</v>
      </c>
      <c r="E502">
        <v>2054</v>
      </c>
      <c r="F502" t="s">
        <v>18</v>
      </c>
      <c r="G502" t="s">
        <v>63</v>
      </c>
      <c r="H502" t="s">
        <v>64</v>
      </c>
      <c r="I502" t="s">
        <v>65</v>
      </c>
      <c r="J502">
        <f>SUMIFS(RawResultsLong!$P:$P,RawResultsLong!$A:$A,A502)</f>
        <v>9.5120000000000005</v>
      </c>
      <c r="K502">
        <f t="shared" si="15"/>
        <v>301.41709128704338</v>
      </c>
      <c r="L502">
        <f>SUMIFS(EmploymentResults!$V:$V,EmploymentResults!$D:$D,B502,EmploymentResults!$F:$F,C502,EmploymentResults!$G:$G,D502,EmploymentResults!$H:$H,E502,EmploymentResults!$J:$J,G502,EmploymentResults!$K:$K,H502,EmploymentResults!$L:$L,I502)</f>
        <v>326.40959177393216</v>
      </c>
    </row>
    <row r="503" spans="1:12" x14ac:dyDescent="0.3">
      <c r="A503" t="str">
        <f t="shared" si="14"/>
        <v>PA|AccumulatedNewCapacity|RE1|PWRNUC|2055</v>
      </c>
      <c r="B503" t="s">
        <v>44</v>
      </c>
      <c r="C503" t="s">
        <v>19</v>
      </c>
      <c r="D503" t="s">
        <v>47</v>
      </c>
      <c r="E503">
        <v>2055</v>
      </c>
      <c r="F503" t="s">
        <v>18</v>
      </c>
      <c r="G503" t="s">
        <v>63</v>
      </c>
      <c r="H503" t="s">
        <v>64</v>
      </c>
      <c r="I503" t="s">
        <v>65</v>
      </c>
      <c r="J503">
        <f>SUMIFS(RawResultsLong!$P:$P,RawResultsLong!$A:$A,A503)</f>
        <v>9.5120000000000005</v>
      </c>
      <c r="K503">
        <f t="shared" si="15"/>
        <v>301.41709128704338</v>
      </c>
      <c r="L503">
        <f>SUMIFS(EmploymentResults!$V:$V,EmploymentResults!$D:$D,B503,EmploymentResults!$F:$F,C503,EmploymentResults!$G:$G,D503,EmploymentResults!$H:$H,E503,EmploymentResults!$J:$J,G503,EmploymentResults!$K:$K,H503,EmploymentResults!$L:$L,I503)</f>
        <v>326.40959177393216</v>
      </c>
    </row>
    <row r="504" spans="1:12" x14ac:dyDescent="0.3">
      <c r="A504" t="str">
        <f t="shared" si="14"/>
        <v>PA|AccumulatedNewCapacity|RE1|PWRSOLRTP|2026</v>
      </c>
      <c r="B504" t="s">
        <v>44</v>
      </c>
      <c r="C504" t="s">
        <v>19</v>
      </c>
      <c r="D504" t="s">
        <v>31</v>
      </c>
      <c r="E504">
        <v>2026</v>
      </c>
      <c r="F504" t="s">
        <v>18</v>
      </c>
      <c r="G504" t="s">
        <v>63</v>
      </c>
      <c r="H504" t="s">
        <v>64</v>
      </c>
      <c r="I504" t="s">
        <v>65</v>
      </c>
      <c r="J504">
        <f>SUMIFS(RawResultsLong!$P:$P,RawResultsLong!$A:$A,A504)</f>
        <v>8.889961953075499</v>
      </c>
      <c r="K504">
        <f t="shared" si="15"/>
        <v>281.70589503243269</v>
      </c>
      <c r="L504">
        <f>SUMIFS(EmploymentResults!$V:$V,EmploymentResults!$D:$D,B504,EmploymentResults!$F:$F,C504,EmploymentResults!$G:$G,D504,EmploymentResults!$H:$H,E504,EmploymentResults!$J:$J,G504,EmploymentResults!$K:$K,H504,EmploymentResults!$L:$L,I504)</f>
        <v>80.534744109222217</v>
      </c>
    </row>
    <row r="505" spans="1:12" x14ac:dyDescent="0.3">
      <c r="A505" t="str">
        <f t="shared" si="14"/>
        <v>PA|AccumulatedNewCapacity|RE1|PWRSOLRTP|2027</v>
      </c>
      <c r="B505" t="s">
        <v>44</v>
      </c>
      <c r="C505" t="s">
        <v>19</v>
      </c>
      <c r="D505" t="s">
        <v>31</v>
      </c>
      <c r="E505">
        <v>2027</v>
      </c>
      <c r="F505" t="s">
        <v>18</v>
      </c>
      <c r="G505" t="s">
        <v>63</v>
      </c>
      <c r="H505" t="s">
        <v>64</v>
      </c>
      <c r="I505" t="s">
        <v>65</v>
      </c>
      <c r="J505">
        <f>SUMIFS(RawResultsLong!$P:$P,RawResultsLong!$A:$A,A505)</f>
        <v>21.413741280913172</v>
      </c>
      <c r="K505">
        <f t="shared" si="15"/>
        <v>678.56051413647333</v>
      </c>
      <c r="L505">
        <f>SUMIFS(EmploymentResults!$V:$V,EmploymentResults!$D:$D,B505,EmploymentResults!$F:$F,C505,EmploymentResults!$G:$G,D505,EmploymentResults!$H:$H,E505,EmploymentResults!$J:$J,G505,EmploymentResults!$K:$K,H505,EmploymentResults!$L:$L,I505)</f>
        <v>189.19863747115281</v>
      </c>
    </row>
    <row r="506" spans="1:12" x14ac:dyDescent="0.3">
      <c r="A506" t="str">
        <f t="shared" si="14"/>
        <v>PA|AccumulatedNewCapacity|RE1|PWRSOLRTP|2028</v>
      </c>
      <c r="B506" t="s">
        <v>44</v>
      </c>
      <c r="C506" t="s">
        <v>19</v>
      </c>
      <c r="D506" t="s">
        <v>31</v>
      </c>
      <c r="E506">
        <v>2028</v>
      </c>
      <c r="F506" t="s">
        <v>18</v>
      </c>
      <c r="G506" t="s">
        <v>63</v>
      </c>
      <c r="H506" t="s">
        <v>64</v>
      </c>
      <c r="I506" t="s">
        <v>65</v>
      </c>
      <c r="J506">
        <f>SUMIFS(RawResultsLong!$P:$P,RawResultsLong!$A:$A,A506)</f>
        <v>35.205751426759697</v>
      </c>
      <c r="K506">
        <f t="shared" si="15"/>
        <v>1115.6029427700364</v>
      </c>
      <c r="L506">
        <f>SUMIFS(EmploymentResults!$V:$V,EmploymentResults!$D:$D,B506,EmploymentResults!$F:$F,C506,EmploymentResults!$G:$G,D506,EmploymentResults!$H:$H,E506,EmploymentResults!$J:$J,G506,EmploymentResults!$K:$K,H506,EmploymentResults!$L:$L,I506)</f>
        <v>303.18150562299263</v>
      </c>
    </row>
    <row r="507" spans="1:12" x14ac:dyDescent="0.3">
      <c r="A507" t="str">
        <f t="shared" si="14"/>
        <v>PA|AccumulatedNewCapacity|RE1|PWRSOLRTP|2029</v>
      </c>
      <c r="B507" t="s">
        <v>44</v>
      </c>
      <c r="C507" t="s">
        <v>19</v>
      </c>
      <c r="D507" t="s">
        <v>31</v>
      </c>
      <c r="E507">
        <v>2029</v>
      </c>
      <c r="F507" t="s">
        <v>18</v>
      </c>
      <c r="G507" t="s">
        <v>63</v>
      </c>
      <c r="H507" t="s">
        <v>64</v>
      </c>
      <c r="I507" t="s">
        <v>65</v>
      </c>
      <c r="J507">
        <f>SUMIFS(RawResultsLong!$P:$P,RawResultsLong!$A:$A,A507)</f>
        <v>49.473348129359572</v>
      </c>
      <c r="K507">
        <f t="shared" si="15"/>
        <v>1567.7157999771709</v>
      </c>
      <c r="L507">
        <f>SUMIFS(EmploymentResults!$V:$V,EmploymentResults!$D:$D,B507,EmploymentResults!$F:$F,C507,EmploymentResults!$G:$G,D507,EmploymentResults!$H:$H,E507,EmploymentResults!$J:$J,G507,EmploymentResults!$K:$K,H507,EmploymentResults!$L:$L,I507)</f>
        <v>414.98359411169633</v>
      </c>
    </row>
    <row r="508" spans="1:12" x14ac:dyDescent="0.3">
      <c r="A508" t="str">
        <f t="shared" si="14"/>
        <v>PA|AccumulatedNewCapacity|RE1|PWRSOLRTP|2030</v>
      </c>
      <c r="B508" t="s">
        <v>44</v>
      </c>
      <c r="C508" t="s">
        <v>19</v>
      </c>
      <c r="D508" t="s">
        <v>31</v>
      </c>
      <c r="E508">
        <v>2030</v>
      </c>
      <c r="F508" t="s">
        <v>18</v>
      </c>
      <c r="G508" t="s">
        <v>63</v>
      </c>
      <c r="H508" t="s">
        <v>64</v>
      </c>
      <c r="I508" t="s">
        <v>65</v>
      </c>
      <c r="J508">
        <f>SUMIFS(RawResultsLong!$P:$P,RawResultsLong!$A:$A,A508)</f>
        <v>63.42388712745722</v>
      </c>
      <c r="K508">
        <f t="shared" si="15"/>
        <v>2009.7817048019249</v>
      </c>
      <c r="L508">
        <f>SUMIFS(EmploymentResults!$V:$V,EmploymentResults!$D:$D,B508,EmploymentResults!$F:$F,C508,EmploymentResults!$G:$G,D508,EmploymentResults!$H:$H,E508,EmploymentResults!$J:$J,G508,EmploymentResults!$K:$K,H508,EmploymentResults!$L:$L,I508)</f>
        <v>517.81434512050055</v>
      </c>
    </row>
    <row r="509" spans="1:12" x14ac:dyDescent="0.3">
      <c r="A509" t="str">
        <f t="shared" si="14"/>
        <v>PA|AccumulatedNewCapacity|RE1|PWRSOLRTP|2031</v>
      </c>
      <c r="B509" t="s">
        <v>44</v>
      </c>
      <c r="C509" t="s">
        <v>19</v>
      </c>
      <c r="D509" t="s">
        <v>31</v>
      </c>
      <c r="E509">
        <v>2031</v>
      </c>
      <c r="F509" t="s">
        <v>18</v>
      </c>
      <c r="G509" t="s">
        <v>63</v>
      </c>
      <c r="H509" t="s">
        <v>64</v>
      </c>
      <c r="I509" t="s">
        <v>65</v>
      </c>
      <c r="J509">
        <f>SUMIFS(RawResultsLong!$P:$P,RawResultsLong!$A:$A,A509)</f>
        <v>76.423253012048221</v>
      </c>
      <c r="K509">
        <f t="shared" si="15"/>
        <v>2421.7067524795366</v>
      </c>
      <c r="L509">
        <f>SUMIFS(EmploymentResults!$V:$V,EmploymentResults!$D:$D,B509,EmploymentResults!$F:$F,C509,EmploymentResults!$G:$G,D509,EmploymentResults!$H:$H,E509,EmploymentResults!$J:$J,G509,EmploymentResults!$K:$K,H509,EmploymentResults!$L:$L,I509)</f>
        <v>619.03098193571122</v>
      </c>
    </row>
    <row r="510" spans="1:12" x14ac:dyDescent="0.3">
      <c r="A510" t="str">
        <f t="shared" si="14"/>
        <v>PA|AccumulatedNewCapacity|RE1|PWRSOLRTP|2032</v>
      </c>
      <c r="B510" t="s">
        <v>44</v>
      </c>
      <c r="C510" t="s">
        <v>19</v>
      </c>
      <c r="D510" t="s">
        <v>31</v>
      </c>
      <c r="E510">
        <v>2032</v>
      </c>
      <c r="F510" t="s">
        <v>18</v>
      </c>
      <c r="G510" t="s">
        <v>63</v>
      </c>
      <c r="H510" t="s">
        <v>64</v>
      </c>
      <c r="I510" t="s">
        <v>65</v>
      </c>
      <c r="J510">
        <f>SUMIFS(RawResultsLong!$P:$P,RawResultsLong!$A:$A,A510)</f>
        <v>87.995859226379224</v>
      </c>
      <c r="K510">
        <f t="shared" si="15"/>
        <v>2788.4205144364346</v>
      </c>
      <c r="L510">
        <f>SUMIFS(EmploymentResults!$V:$V,EmploymentResults!$D:$D,B510,EmploymentResults!$F:$F,C510,EmploymentResults!$G:$G,D510,EmploymentResults!$H:$H,E510,EmploymentResults!$J:$J,G510,EmploymentResults!$K:$K,H510,EmploymentResults!$L:$L,I510)</f>
        <v>707.1106375135231</v>
      </c>
    </row>
    <row r="511" spans="1:12" x14ac:dyDescent="0.3">
      <c r="A511" t="str">
        <f t="shared" si="14"/>
        <v>PA|AccumulatedNewCapacity|RE1|PWRSOLRTP|2033</v>
      </c>
      <c r="B511" t="s">
        <v>44</v>
      </c>
      <c r="C511" t="s">
        <v>19</v>
      </c>
      <c r="D511" t="s">
        <v>31</v>
      </c>
      <c r="E511">
        <v>2033</v>
      </c>
      <c r="F511" t="s">
        <v>18</v>
      </c>
      <c r="G511" t="s">
        <v>63</v>
      </c>
      <c r="H511" t="s">
        <v>64</v>
      </c>
      <c r="I511" t="s">
        <v>65</v>
      </c>
      <c r="J511">
        <f>SUMIFS(RawResultsLong!$P:$P,RawResultsLong!$A:$A,A511)</f>
        <v>98.141705770450244</v>
      </c>
      <c r="K511">
        <f t="shared" si="15"/>
        <v>3109.9229906726187</v>
      </c>
      <c r="L511">
        <f>SUMIFS(EmploymentResults!$V:$V,EmploymentResults!$D:$D,B511,EmploymentResults!$F:$F,C511,EmploymentResults!$G:$G,D511,EmploymentResults!$H:$H,E511,EmploymentResults!$J:$J,G511,EmploymentResults!$K:$K,H511,EmploymentResults!$L:$L,I511)</f>
        <v>782.32856879939322</v>
      </c>
    </row>
    <row r="512" spans="1:12" x14ac:dyDescent="0.3">
      <c r="A512" t="str">
        <f t="shared" si="14"/>
        <v>PA|AccumulatedNewCapacity|RE1|PWRSOLRTP|2034</v>
      </c>
      <c r="B512" t="s">
        <v>44</v>
      </c>
      <c r="C512" t="s">
        <v>19</v>
      </c>
      <c r="D512" t="s">
        <v>31</v>
      </c>
      <c r="E512">
        <v>2034</v>
      </c>
      <c r="F512" t="s">
        <v>18</v>
      </c>
      <c r="G512" t="s">
        <v>63</v>
      </c>
      <c r="H512" t="s">
        <v>64</v>
      </c>
      <c r="I512" t="s">
        <v>65</v>
      </c>
      <c r="J512">
        <f>SUMIFS(RawResultsLong!$P:$P,RawResultsLong!$A:$A,A512)</f>
        <v>107.0193214965124</v>
      </c>
      <c r="K512">
        <f t="shared" si="15"/>
        <v>3391.2376573792812</v>
      </c>
      <c r="L512">
        <f>SUMIFS(EmploymentResults!$V:$V,EmploymentResults!$D:$D,B512,EmploymentResults!$F:$F,C512,EmploymentResults!$G:$G,D512,EmploymentResults!$H:$H,E512,EmploymentResults!$J:$J,G512,EmploymentResults!$K:$K,H512,EmploymentResults!$L:$L,I512)</f>
        <v>846.21353780116863</v>
      </c>
    </row>
    <row r="513" spans="1:12" x14ac:dyDescent="0.3">
      <c r="A513" t="str">
        <f t="shared" si="14"/>
        <v>PA|AccumulatedNewCapacity|RE1|PWRSOLRTP|2035</v>
      </c>
      <c r="B513" t="s">
        <v>44</v>
      </c>
      <c r="C513" t="s">
        <v>19</v>
      </c>
      <c r="D513" t="s">
        <v>31</v>
      </c>
      <c r="E513">
        <v>2035</v>
      </c>
      <c r="F513" t="s">
        <v>18</v>
      </c>
      <c r="G513" t="s">
        <v>63</v>
      </c>
      <c r="H513" t="s">
        <v>64</v>
      </c>
      <c r="I513" t="s">
        <v>65</v>
      </c>
      <c r="J513">
        <f>SUMIFS(RawResultsLong!$P:$P,RawResultsLong!$A:$A,A513)</f>
        <v>114.4701775523146</v>
      </c>
      <c r="K513">
        <f t="shared" si="15"/>
        <v>3627.3410383652304</v>
      </c>
      <c r="L513">
        <f>SUMIFS(EmploymentResults!$V:$V,EmploymentResults!$D:$D,B513,EmploymentResults!$F:$F,C513,EmploymentResults!$G:$G,D513,EmploymentResults!$H:$H,E513,EmploymentResults!$J:$J,G513,EmploymentResults!$K:$K,H513,EmploymentResults!$L:$L,I513)</f>
        <v>897.76690699539449</v>
      </c>
    </row>
    <row r="514" spans="1:12" x14ac:dyDescent="0.3">
      <c r="A514" t="str">
        <f t="shared" ref="A514:A577" si="16">B514&amp;"|"&amp;F514&amp;"|"&amp;C514&amp;"|"&amp;D514&amp;"|"&amp;E514</f>
        <v>PA|AccumulatedNewCapacity|RE1|PWRSOLRTP|2036</v>
      </c>
      <c r="B514" t="s">
        <v>44</v>
      </c>
      <c r="C514" t="s">
        <v>19</v>
      </c>
      <c r="D514" t="s">
        <v>31</v>
      </c>
      <c r="E514">
        <v>2036</v>
      </c>
      <c r="F514" t="s">
        <v>18</v>
      </c>
      <c r="G514" t="s">
        <v>63</v>
      </c>
      <c r="H514" t="s">
        <v>64</v>
      </c>
      <c r="I514" t="s">
        <v>65</v>
      </c>
      <c r="J514">
        <f>SUMIFS(RawResultsLong!$P:$P,RawResultsLong!$A:$A,A514)</f>
        <v>120.6528027901078</v>
      </c>
      <c r="K514">
        <f t="shared" ref="K514:K577" si="17">J514*1000/31.5576</f>
        <v>3823.256609821653</v>
      </c>
      <c r="L514">
        <f>SUMIFS(EmploymentResults!$V:$V,EmploymentResults!$D:$D,B514,EmploymentResults!$F:$F,C514,EmploymentResults!$G:$G,D514,EmploymentResults!$H:$H,E514,EmploymentResults!$J:$J,G514,EmploymentResults!$K:$K,H514,EmploymentResults!$L:$L,I514)</f>
        <v>938.49704898627306</v>
      </c>
    </row>
    <row r="515" spans="1:12" x14ac:dyDescent="0.3">
      <c r="A515" t="str">
        <f t="shared" si="16"/>
        <v>PA|AccumulatedNewCapacity|RE1|PWRSOLRTP|2037</v>
      </c>
      <c r="B515" t="s">
        <v>44</v>
      </c>
      <c r="C515" t="s">
        <v>19</v>
      </c>
      <c r="D515" t="s">
        <v>31</v>
      </c>
      <c r="E515">
        <v>2037</v>
      </c>
      <c r="F515" t="s">
        <v>18</v>
      </c>
      <c r="G515" t="s">
        <v>63</v>
      </c>
      <c r="H515" t="s">
        <v>64</v>
      </c>
      <c r="I515" t="s">
        <v>65</v>
      </c>
      <c r="J515">
        <f>SUMIFS(RawResultsLong!$P:$P,RawResultsLong!$A:$A,A515)</f>
        <v>125.72572606214329</v>
      </c>
      <c r="K515">
        <f t="shared" si="17"/>
        <v>3984.0078479397448</v>
      </c>
      <c r="L515">
        <f>SUMIFS(EmploymentResults!$V:$V,EmploymentResults!$D:$D,B515,EmploymentResults!$F:$F,C515,EmploymentResults!$G:$G,D515,EmploymentResults!$H:$H,E515,EmploymentResults!$J:$J,G515,EmploymentResults!$K:$K,H515,EmploymentResults!$L:$L,I515)</f>
        <v>969.87155757214839</v>
      </c>
    </row>
    <row r="516" spans="1:12" x14ac:dyDescent="0.3">
      <c r="A516" t="str">
        <f t="shared" si="16"/>
        <v>PA|AccumulatedNewCapacity|RE1|PWRSOLRTP|2038</v>
      </c>
      <c r="B516" t="s">
        <v>44</v>
      </c>
      <c r="C516" t="s">
        <v>19</v>
      </c>
      <c r="D516" t="s">
        <v>31</v>
      </c>
      <c r="E516">
        <v>2038</v>
      </c>
      <c r="F516" t="s">
        <v>18</v>
      </c>
      <c r="G516" t="s">
        <v>63</v>
      </c>
      <c r="H516" t="s">
        <v>64</v>
      </c>
      <c r="I516" t="s">
        <v>65</v>
      </c>
      <c r="J516">
        <f>SUMIFS(RawResultsLong!$P:$P,RawResultsLong!$A:$A,A516)</f>
        <v>129.84747622067221</v>
      </c>
      <c r="K516">
        <f t="shared" si="17"/>
        <v>4114.6182289106964</v>
      </c>
      <c r="L516">
        <f>SUMIFS(EmploymentResults!$V:$V,EmploymentResults!$D:$D,B516,EmploymentResults!$F:$F,C516,EmploymentResults!$G:$G,D516,EmploymentResults!$H:$H,E516,EmploymentResults!$J:$J,G516,EmploymentResults!$K:$K,H516,EmploymentResults!$L:$L,I516)</f>
        <v>993.31724773280757</v>
      </c>
    </row>
    <row r="517" spans="1:12" x14ac:dyDescent="0.3">
      <c r="A517" t="str">
        <f t="shared" si="16"/>
        <v>PA|AccumulatedNewCapacity|RE1|PWRSOLRTP|2039</v>
      </c>
      <c r="B517" t="s">
        <v>44</v>
      </c>
      <c r="C517" t="s">
        <v>19</v>
      </c>
      <c r="D517" t="s">
        <v>31</v>
      </c>
      <c r="E517">
        <v>2039</v>
      </c>
      <c r="F517" t="s">
        <v>18</v>
      </c>
      <c r="G517" t="s">
        <v>63</v>
      </c>
      <c r="H517" t="s">
        <v>64</v>
      </c>
      <c r="I517" t="s">
        <v>65</v>
      </c>
      <c r="J517">
        <f>SUMIFS(RawResultsLong!$P:$P,RawResultsLong!$A:$A,A517)</f>
        <v>133.33511097019661</v>
      </c>
      <c r="K517">
        <f t="shared" si="17"/>
        <v>4225.134705116885</v>
      </c>
      <c r="L517">
        <f>SUMIFS(EmploymentResults!$V:$V,EmploymentResults!$D:$D,B517,EmploymentResults!$F:$F,C517,EmploymentResults!$G:$G,D517,EmploymentResults!$H:$H,E517,EmploymentResults!$J:$J,G517,EmploymentResults!$K:$K,H517,EmploymentResults!$L:$L,I517)</f>
        <v>1011.4226872035581</v>
      </c>
    </row>
    <row r="518" spans="1:12" x14ac:dyDescent="0.3">
      <c r="A518" t="str">
        <f t="shared" si="16"/>
        <v>PA|AccumulatedNewCapacity|RE1|PWRSOLRTP|2040</v>
      </c>
      <c r="B518" t="s">
        <v>44</v>
      </c>
      <c r="C518" t="s">
        <v>19</v>
      </c>
      <c r="D518" t="s">
        <v>31</v>
      </c>
      <c r="E518">
        <v>2040</v>
      </c>
      <c r="F518" t="s">
        <v>18</v>
      </c>
      <c r="G518" t="s">
        <v>63</v>
      </c>
      <c r="H518" t="s">
        <v>64</v>
      </c>
      <c r="I518" t="s">
        <v>65</v>
      </c>
      <c r="J518">
        <f>SUMIFS(RawResultsLong!$P:$P,RawResultsLong!$A:$A,A518)</f>
        <v>136.3471591629677</v>
      </c>
      <c r="K518">
        <f t="shared" si="17"/>
        <v>4320.5807527495026</v>
      </c>
      <c r="L518">
        <f>SUMIFS(EmploymentResults!$V:$V,EmploymentResults!$D:$D,B518,EmploymentResults!$F:$F,C518,EmploymentResults!$G:$G,D518,EmploymentResults!$H:$H,E518,EmploymentResults!$J:$J,G518,EmploymentResults!$K:$K,H518,EmploymentResults!$L:$L,I518)</f>
        <v>1025.5025492535106</v>
      </c>
    </row>
    <row r="519" spans="1:12" x14ac:dyDescent="0.3">
      <c r="A519" t="str">
        <f t="shared" si="16"/>
        <v>PA|AccumulatedNewCapacity|RE1|PWRSOLRTP|2041</v>
      </c>
      <c r="B519" t="s">
        <v>44</v>
      </c>
      <c r="C519" t="s">
        <v>19</v>
      </c>
      <c r="D519" t="s">
        <v>31</v>
      </c>
      <c r="E519">
        <v>2041</v>
      </c>
      <c r="F519" t="s">
        <v>18</v>
      </c>
      <c r="G519" t="s">
        <v>63</v>
      </c>
      <c r="H519" t="s">
        <v>64</v>
      </c>
      <c r="I519" t="s">
        <v>65</v>
      </c>
      <c r="J519">
        <f>SUMIFS(RawResultsLong!$P:$P,RawResultsLong!$A:$A,A519)</f>
        <v>138.94703233988591</v>
      </c>
      <c r="K519">
        <f t="shared" si="17"/>
        <v>4402.9657622850254</v>
      </c>
      <c r="L519">
        <f>SUMIFS(EmploymentResults!$V:$V,EmploymentResults!$D:$D,B519,EmploymentResults!$F:$F,C519,EmploymentResults!$G:$G,D519,EmploymentResults!$H:$H,E519,EmploymentResults!$J:$J,G519,EmploymentResults!$K:$K,H519,EmploymentResults!$L:$L,I519)</f>
        <v>1036.1214430611092</v>
      </c>
    </row>
    <row r="520" spans="1:12" x14ac:dyDescent="0.3">
      <c r="A520" t="str">
        <f t="shared" si="16"/>
        <v>PA|AccumulatedNewCapacity|RE1|PWRSOLRTP|2042</v>
      </c>
      <c r="B520" t="s">
        <v>44</v>
      </c>
      <c r="C520" t="s">
        <v>19</v>
      </c>
      <c r="D520" t="s">
        <v>31</v>
      </c>
      <c r="E520">
        <v>2042</v>
      </c>
      <c r="F520" t="s">
        <v>18</v>
      </c>
      <c r="G520" t="s">
        <v>63</v>
      </c>
      <c r="H520" t="s">
        <v>64</v>
      </c>
      <c r="I520" t="s">
        <v>65</v>
      </c>
      <c r="J520">
        <f>SUMIFS(RawResultsLong!$P:$P,RawResultsLong!$A:$A,A520)</f>
        <v>141.2298478123019</v>
      </c>
      <c r="K520">
        <f t="shared" si="17"/>
        <v>4475.3038194381661</v>
      </c>
      <c r="L520">
        <f>SUMIFS(EmploymentResults!$V:$V,EmploymentResults!$D:$D,B520,EmploymentResults!$F:$F,C520,EmploymentResults!$G:$G,D520,EmploymentResults!$H:$H,E520,EmploymentResults!$J:$J,G520,EmploymentResults!$K:$K,H520,EmploymentResults!$L:$L,I520)</f>
        <v>1044.062055758076</v>
      </c>
    </row>
    <row r="521" spans="1:12" x14ac:dyDescent="0.3">
      <c r="A521" t="str">
        <f t="shared" si="16"/>
        <v>PA|AccumulatedNewCapacity|RE1|PWRSOLRTP|2043</v>
      </c>
      <c r="B521" t="s">
        <v>44</v>
      </c>
      <c r="C521" t="s">
        <v>19</v>
      </c>
      <c r="D521" t="s">
        <v>31</v>
      </c>
      <c r="E521">
        <v>2043</v>
      </c>
      <c r="F521" t="s">
        <v>18</v>
      </c>
      <c r="G521" t="s">
        <v>63</v>
      </c>
      <c r="H521" t="s">
        <v>64</v>
      </c>
      <c r="I521" t="s">
        <v>65</v>
      </c>
      <c r="J521">
        <f>SUMIFS(RawResultsLong!$P:$P,RawResultsLong!$A:$A,A521)</f>
        <v>143.32242866201651</v>
      </c>
      <c r="K521">
        <f t="shared" si="17"/>
        <v>4541.613705161878</v>
      </c>
      <c r="L521">
        <f>SUMIFS(EmploymentResults!$V:$V,EmploymentResults!$D:$D,B521,EmploymentResults!$F:$F,C521,EmploymentResults!$G:$G,D521,EmploymentResults!$H:$H,E521,EmploymentResults!$J:$J,G521,EmploymentResults!$K:$K,H521,EmploymentResults!$L:$L,I521)</f>
        <v>1050.3149577539218</v>
      </c>
    </row>
    <row r="522" spans="1:12" x14ac:dyDescent="0.3">
      <c r="A522" t="str">
        <f t="shared" si="16"/>
        <v>PA|AccumulatedNewCapacity|RE1|PWRSOLRTP|2044</v>
      </c>
      <c r="B522" t="s">
        <v>44</v>
      </c>
      <c r="C522" t="s">
        <v>19</v>
      </c>
      <c r="D522" t="s">
        <v>31</v>
      </c>
      <c r="E522">
        <v>2044</v>
      </c>
      <c r="F522" t="s">
        <v>18</v>
      </c>
      <c r="G522" t="s">
        <v>63</v>
      </c>
      <c r="H522" t="s">
        <v>64</v>
      </c>
      <c r="I522" t="s">
        <v>65</v>
      </c>
      <c r="J522">
        <f>SUMIFS(RawResultsLong!$P:$P,RawResultsLong!$A:$A,A522)</f>
        <v>145.28818642993031</v>
      </c>
      <c r="K522">
        <f t="shared" si="17"/>
        <v>4603.9048099326401</v>
      </c>
      <c r="L522">
        <f>SUMIFS(EmploymentResults!$V:$V,EmploymentResults!$D:$D,B522,EmploymentResults!$F:$F,C522,EmploymentResults!$G:$G,D522,EmploymentResults!$H:$H,E522,EmploymentResults!$J:$J,G522,EmploymentResults!$K:$K,H522,EmploymentResults!$L:$L,I522)</f>
        <v>1055.3774731961837</v>
      </c>
    </row>
    <row r="523" spans="1:12" x14ac:dyDescent="0.3">
      <c r="A523" t="str">
        <f t="shared" si="16"/>
        <v>PA|AccumulatedNewCapacity|RE1|PWRSOLRTP|2045</v>
      </c>
      <c r="B523" t="s">
        <v>44</v>
      </c>
      <c r="C523" t="s">
        <v>19</v>
      </c>
      <c r="D523" t="s">
        <v>31</v>
      </c>
      <c r="E523">
        <v>2045</v>
      </c>
      <c r="F523" t="s">
        <v>18</v>
      </c>
      <c r="G523" t="s">
        <v>63</v>
      </c>
      <c r="H523" t="s">
        <v>64</v>
      </c>
      <c r="I523" t="s">
        <v>65</v>
      </c>
      <c r="J523">
        <f>SUMIFS(RawResultsLong!$P:$P,RawResultsLong!$A:$A,A523)</f>
        <v>147.19053265694359</v>
      </c>
      <c r="K523">
        <f t="shared" si="17"/>
        <v>4664.186524226925</v>
      </c>
      <c r="L523">
        <f>SUMIFS(EmploymentResults!$V:$V,EmploymentResults!$D:$D,B523,EmploymentResults!$F:$F,C523,EmploymentResults!$G:$G,D523,EmploymentResults!$H:$H,E523,EmploymentResults!$J:$J,G523,EmploymentResults!$K:$K,H523,EmploymentResults!$L:$L,I523)</f>
        <v>1059.7306146959506</v>
      </c>
    </row>
    <row r="524" spans="1:12" x14ac:dyDescent="0.3">
      <c r="A524" t="str">
        <f t="shared" si="16"/>
        <v>PA|AccumulatedNewCapacity|RE1|PWRSOLRTP|2046</v>
      </c>
      <c r="B524" t="s">
        <v>44</v>
      </c>
      <c r="C524" t="s">
        <v>19</v>
      </c>
      <c r="D524" t="s">
        <v>31</v>
      </c>
      <c r="E524">
        <v>2046</v>
      </c>
      <c r="F524" t="s">
        <v>18</v>
      </c>
      <c r="G524" t="s">
        <v>63</v>
      </c>
      <c r="H524" t="s">
        <v>64</v>
      </c>
      <c r="I524" t="s">
        <v>65</v>
      </c>
      <c r="J524">
        <f>SUMIFS(RawResultsLong!$P:$P,RawResultsLong!$A:$A,A524)</f>
        <v>149.0928788839569</v>
      </c>
      <c r="K524">
        <f t="shared" si="17"/>
        <v>4724.4682385212091</v>
      </c>
      <c r="L524">
        <f>SUMIFS(EmploymentResults!$V:$V,EmploymentResults!$D:$D,B524,EmploymentResults!$F:$F,C524,EmploymentResults!$G:$G,D524,EmploymentResults!$H:$H,E524,EmploymentResults!$J:$J,G524,EmploymentResults!$K:$K,H524,EmploymentResults!$L:$L,I524)</f>
        <v>1063.8390833553112</v>
      </c>
    </row>
    <row r="525" spans="1:12" x14ac:dyDescent="0.3">
      <c r="A525" t="str">
        <f t="shared" si="16"/>
        <v>PA|AccumulatedNewCapacity|RE1|PWRSOLRTP|2047</v>
      </c>
      <c r="B525" t="s">
        <v>44</v>
      </c>
      <c r="C525" t="s">
        <v>19</v>
      </c>
      <c r="D525" t="s">
        <v>31</v>
      </c>
      <c r="E525">
        <v>2047</v>
      </c>
      <c r="F525" t="s">
        <v>18</v>
      </c>
      <c r="G525" t="s">
        <v>63</v>
      </c>
      <c r="H525" t="s">
        <v>64</v>
      </c>
      <c r="I525" t="s">
        <v>65</v>
      </c>
      <c r="J525">
        <f>SUMIFS(RawResultsLong!$P:$P,RawResultsLong!$A:$A,A525)</f>
        <v>150.99522511097021</v>
      </c>
      <c r="K525">
        <f t="shared" si="17"/>
        <v>4784.7499528154931</v>
      </c>
      <c r="L525">
        <f>SUMIFS(EmploymentResults!$V:$V,EmploymentResults!$D:$D,B525,EmploymentResults!$F:$F,C525,EmploymentResults!$G:$G,D525,EmploymentResults!$H:$H,E525,EmploymentResults!$J:$J,G525,EmploymentResults!$K:$K,H525,EmploymentResults!$L:$L,I525)</f>
        <v>1067.7028791790501</v>
      </c>
    </row>
    <row r="526" spans="1:12" x14ac:dyDescent="0.3">
      <c r="A526" t="str">
        <f t="shared" si="16"/>
        <v>PA|AccumulatedNewCapacity|RE1|PWRSOLRTP|2048</v>
      </c>
      <c r="B526" t="s">
        <v>44</v>
      </c>
      <c r="C526" t="s">
        <v>19</v>
      </c>
      <c r="D526" t="s">
        <v>31</v>
      </c>
      <c r="E526">
        <v>2048</v>
      </c>
      <c r="F526" t="s">
        <v>18</v>
      </c>
      <c r="G526" t="s">
        <v>63</v>
      </c>
      <c r="H526" t="s">
        <v>64</v>
      </c>
      <c r="I526" t="s">
        <v>65</v>
      </c>
      <c r="J526">
        <f>SUMIFS(RawResultsLong!$P:$P,RawResultsLong!$A:$A,A526)</f>
        <v>152.89757133798349</v>
      </c>
      <c r="K526">
        <f t="shared" si="17"/>
        <v>4845.0316671097771</v>
      </c>
      <c r="L526">
        <f>SUMIFS(EmploymentResults!$V:$V,EmploymentResults!$D:$D,B526,EmploymentResults!$F:$F,C526,EmploymentResults!$G:$G,D526,EmploymentResults!$H:$H,E526,EmploymentResults!$J:$J,G526,EmploymentResults!$K:$K,H526,EmploymentResults!$L:$L,I526)</f>
        <v>1071.3220021576581</v>
      </c>
    </row>
    <row r="527" spans="1:12" x14ac:dyDescent="0.3">
      <c r="A527" t="str">
        <f t="shared" si="16"/>
        <v>PA|AccumulatedNewCapacity|RE1|PWRSOLRTP|2049</v>
      </c>
      <c r="B527" t="s">
        <v>44</v>
      </c>
      <c r="C527" t="s">
        <v>19</v>
      </c>
      <c r="D527" t="s">
        <v>31</v>
      </c>
      <c r="E527">
        <v>2049</v>
      </c>
      <c r="F527" t="s">
        <v>18</v>
      </c>
      <c r="G527" t="s">
        <v>63</v>
      </c>
      <c r="H527" t="s">
        <v>64</v>
      </c>
      <c r="I527" t="s">
        <v>65</v>
      </c>
      <c r="J527">
        <f>SUMIFS(RawResultsLong!$P:$P,RawResultsLong!$A:$A,A527)</f>
        <v>154.7999175649968</v>
      </c>
      <c r="K527">
        <f t="shared" si="17"/>
        <v>4905.3133814040611</v>
      </c>
      <c r="L527">
        <f>SUMIFS(EmploymentResults!$V:$V,EmploymentResults!$D:$D,B527,EmploymentResults!$F:$F,C527,EmploymentResults!$G:$G,D527,EmploymentResults!$H:$H,E527,EmploymentResults!$J:$J,G527,EmploymentResults!$K:$K,H527,EmploymentResults!$L:$L,I527)</f>
        <v>1074.6964522958597</v>
      </c>
    </row>
    <row r="528" spans="1:12" x14ac:dyDescent="0.3">
      <c r="A528" t="str">
        <f t="shared" si="16"/>
        <v>PA|AccumulatedNewCapacity|RE1|PWRSOLRTP|2050</v>
      </c>
      <c r="B528" t="s">
        <v>44</v>
      </c>
      <c r="C528" t="s">
        <v>19</v>
      </c>
      <c r="D528" t="s">
        <v>31</v>
      </c>
      <c r="E528">
        <v>2050</v>
      </c>
      <c r="F528" t="s">
        <v>18</v>
      </c>
      <c r="G528" t="s">
        <v>63</v>
      </c>
      <c r="H528" t="s">
        <v>64</v>
      </c>
      <c r="I528" t="s">
        <v>65</v>
      </c>
      <c r="J528">
        <f>SUMIFS(RawResultsLong!$P:$P,RawResultsLong!$A:$A,A528)</f>
        <v>156.70226379201009</v>
      </c>
      <c r="K528">
        <f t="shared" si="17"/>
        <v>4965.5950956983443</v>
      </c>
      <c r="L528">
        <f>SUMIFS(EmploymentResults!$V:$V,EmploymentResults!$D:$D,B528,EmploymentResults!$F:$F,C528,EmploymentResults!$G:$G,D528,EmploymentResults!$H:$H,E528,EmploymentResults!$J:$J,G528,EmploymentResults!$K:$K,H528,EmploymentResults!$L:$L,I528)</f>
        <v>1077.8262295936547</v>
      </c>
    </row>
    <row r="529" spans="1:12" x14ac:dyDescent="0.3">
      <c r="A529" t="str">
        <f t="shared" si="16"/>
        <v>PA|AccumulatedNewCapacity|RE1|PWRSOLRTP|2051</v>
      </c>
      <c r="B529" t="s">
        <v>44</v>
      </c>
      <c r="C529" t="s">
        <v>19</v>
      </c>
      <c r="D529" t="s">
        <v>31</v>
      </c>
      <c r="E529">
        <v>2051</v>
      </c>
      <c r="F529" t="s">
        <v>18</v>
      </c>
      <c r="G529" t="s">
        <v>63</v>
      </c>
      <c r="H529" t="s">
        <v>64</v>
      </c>
      <c r="I529" t="s">
        <v>65</v>
      </c>
      <c r="J529">
        <f>SUMIFS(RawResultsLong!$P:$P,RawResultsLong!$A:$A,A529)</f>
        <v>149.71464806594801</v>
      </c>
      <c r="K529">
        <f t="shared" si="17"/>
        <v>4744.1709149602002</v>
      </c>
      <c r="L529">
        <f>SUMIFS(EmploymentResults!$V:$V,EmploymentResults!$D:$D,B529,EmploymentResults!$F:$F,C529,EmploymentResults!$G:$G,D529,EmploymentResults!$H:$H,E529,EmploymentResults!$J:$J,G529,EmploymentResults!$K:$K,H529,EmploymentResults!$L:$L,I529)</f>
        <v>1029.7641574217605</v>
      </c>
    </row>
    <row r="530" spans="1:12" x14ac:dyDescent="0.3">
      <c r="A530" t="str">
        <f t="shared" si="16"/>
        <v>PA|AccumulatedNewCapacity|RE1|PWRSOLRTP|2052</v>
      </c>
      <c r="B530" t="s">
        <v>44</v>
      </c>
      <c r="C530" t="s">
        <v>19</v>
      </c>
      <c r="D530" t="s">
        <v>31</v>
      </c>
      <c r="E530">
        <v>2052</v>
      </c>
      <c r="F530" t="s">
        <v>18</v>
      </c>
      <c r="G530" t="s">
        <v>63</v>
      </c>
      <c r="H530" t="s">
        <v>64</v>
      </c>
      <c r="I530" t="s">
        <v>65</v>
      </c>
      <c r="J530">
        <f>SUMIFS(RawResultsLong!$P:$P,RawResultsLong!$A:$A,A530)</f>
        <v>139.09321496512359</v>
      </c>
      <c r="K530">
        <f t="shared" si="17"/>
        <v>4407.598010150442</v>
      </c>
      <c r="L530">
        <f>SUMIFS(EmploymentResults!$V:$V,EmploymentResults!$D:$D,B530,EmploymentResults!$F:$F,C530,EmploymentResults!$G:$G,D530,EmploymentResults!$H:$H,E530,EmploymentResults!$J:$J,G530,EmploymentResults!$K:$K,H530,EmploymentResults!$L:$L,I530)</f>
        <v>956.7080386720163</v>
      </c>
    </row>
    <row r="531" spans="1:12" x14ac:dyDescent="0.3">
      <c r="A531" t="str">
        <f t="shared" si="16"/>
        <v>PA|AccumulatedNewCapacity|RE1|PWRSOLRTP|2053</v>
      </c>
      <c r="B531" t="s">
        <v>44</v>
      </c>
      <c r="C531" t="s">
        <v>19</v>
      </c>
      <c r="D531" t="s">
        <v>31</v>
      </c>
      <c r="E531">
        <v>2053</v>
      </c>
      <c r="F531" t="s">
        <v>18</v>
      </c>
      <c r="G531" t="s">
        <v>63</v>
      </c>
      <c r="H531" t="s">
        <v>64</v>
      </c>
      <c r="I531" t="s">
        <v>65</v>
      </c>
      <c r="J531">
        <f>SUMIFS(RawResultsLong!$P:$P,RawResultsLong!$A:$A,A531)</f>
        <v>127.2035510462904</v>
      </c>
      <c r="K531">
        <f t="shared" si="17"/>
        <v>4030.8372958111645</v>
      </c>
      <c r="L531">
        <f>SUMIFS(EmploymentResults!$V:$V,EmploymentResults!$D:$D,B531,EmploymentResults!$F:$F,C531,EmploymentResults!$G:$G,D531,EmploymentResults!$H:$H,E531,EmploymentResults!$J:$J,G531,EmploymentResults!$K:$K,H531,EmploymentResults!$L:$L,I531)</f>
        <v>874.92880126558714</v>
      </c>
    </row>
    <row r="532" spans="1:12" x14ac:dyDescent="0.3">
      <c r="A532" t="str">
        <f t="shared" si="16"/>
        <v>PA|AccumulatedNewCapacity|RE1|PWRSOLRTP|2054</v>
      </c>
      <c r="B532" t="s">
        <v>44</v>
      </c>
      <c r="C532" t="s">
        <v>19</v>
      </c>
      <c r="D532" t="s">
        <v>31</v>
      </c>
      <c r="E532">
        <v>2054</v>
      </c>
      <c r="F532" t="s">
        <v>18</v>
      </c>
      <c r="G532" t="s">
        <v>63</v>
      </c>
      <c r="H532" t="s">
        <v>64</v>
      </c>
      <c r="I532" t="s">
        <v>65</v>
      </c>
      <c r="J532">
        <f>SUMIFS(RawResultsLong!$P:$P,RawResultsLong!$A:$A,A532)</f>
        <v>114.83830057070379</v>
      </c>
      <c r="K532">
        <f t="shared" si="17"/>
        <v>3639.0061528983128</v>
      </c>
      <c r="L532">
        <f>SUMIFS(EmploymentResults!$V:$V,EmploymentResults!$D:$D,B532,EmploymentResults!$F:$F,C532,EmploymentResults!$G:$G,D532,EmploymentResults!$H:$H,E532,EmploymentResults!$J:$J,G532,EmploymentResults!$K:$K,H532,EmploymentResults!$L:$L,I532)</f>
        <v>789.87839436290005</v>
      </c>
    </row>
    <row r="533" spans="1:12" x14ac:dyDescent="0.3">
      <c r="A533" t="str">
        <f t="shared" si="16"/>
        <v>PA|AccumulatedNewCapacity|RE1|PWRSOLRTP|2055</v>
      </c>
      <c r="B533" t="s">
        <v>44</v>
      </c>
      <c r="C533" t="s">
        <v>19</v>
      </c>
      <c r="D533" t="s">
        <v>31</v>
      </c>
      <c r="E533">
        <v>2055</v>
      </c>
      <c r="F533" t="s">
        <v>18</v>
      </c>
      <c r="G533" t="s">
        <v>63</v>
      </c>
      <c r="H533" t="s">
        <v>64</v>
      </c>
      <c r="I533" t="s">
        <v>65</v>
      </c>
      <c r="J533">
        <f>SUMIFS(RawResultsLong!$P:$P,RawResultsLong!$A:$A,A533)</f>
        <v>102.79010779961951</v>
      </c>
      <c r="K533">
        <f t="shared" si="17"/>
        <v>3257.2219623678452</v>
      </c>
      <c r="L533">
        <f>SUMIFS(EmploymentResults!$V:$V,EmploymentResults!$D:$D,B533,EmploymentResults!$F:$F,C533,EmploymentResults!$G:$G,D533,EmploymentResults!$H:$H,E533,EmploymentResults!$J:$J,G533,EmploymentResults!$K:$K,H533,EmploymentResults!$L:$L,I533)</f>
        <v>707.00876712438514</v>
      </c>
    </row>
    <row r="534" spans="1:12" x14ac:dyDescent="0.3">
      <c r="A534" t="str">
        <f t="shared" si="16"/>
        <v>PA|AccumulatedNewCapacity|RE1|PWRSOLUGE|2025</v>
      </c>
      <c r="B534" t="s">
        <v>44</v>
      </c>
      <c r="C534" t="s">
        <v>19</v>
      </c>
      <c r="D534" t="s">
        <v>33</v>
      </c>
      <c r="E534">
        <v>2025</v>
      </c>
      <c r="F534" t="s">
        <v>18</v>
      </c>
      <c r="G534" t="s">
        <v>63</v>
      </c>
      <c r="H534" t="s">
        <v>64</v>
      </c>
      <c r="I534" t="s">
        <v>65</v>
      </c>
      <c r="J534">
        <f>SUMIFS(RawResultsLong!$P:$P,RawResultsLong!$A:$A,A534)</f>
        <v>6.717168</v>
      </c>
      <c r="K534">
        <f t="shared" si="17"/>
        <v>212.85420944558521</v>
      </c>
      <c r="L534">
        <f>SUMIFS(EmploymentResults!$V:$V,EmploymentResults!$D:$D,B534,EmploymentResults!$F:$F,C534,EmploymentResults!$G:$G,D534,EmploymentResults!$H:$H,E534,EmploymentResults!$J:$J,G534,EmploymentResults!$K:$K,H534,EmploymentResults!$L:$L,I534)</f>
        <v>20.031546654450047</v>
      </c>
    </row>
    <row r="535" spans="1:12" x14ac:dyDescent="0.3">
      <c r="A535" t="str">
        <f t="shared" si="16"/>
        <v>PA|AccumulatedNewCapacity|RE1|PWRSOLUGE|2026</v>
      </c>
      <c r="B535" t="s">
        <v>44</v>
      </c>
      <c r="C535" t="s">
        <v>19</v>
      </c>
      <c r="D535" t="s">
        <v>33</v>
      </c>
      <c r="E535">
        <v>2026</v>
      </c>
      <c r="F535" t="s">
        <v>18</v>
      </c>
      <c r="G535" t="s">
        <v>63</v>
      </c>
      <c r="H535" t="s">
        <v>64</v>
      </c>
      <c r="I535" t="s">
        <v>65</v>
      </c>
      <c r="J535">
        <f>SUMIFS(RawResultsLong!$P:$P,RawResultsLong!$A:$A,A535)</f>
        <v>62.504351999999997</v>
      </c>
      <c r="K535">
        <f t="shared" si="17"/>
        <v>1980.643394934976</v>
      </c>
      <c r="L535">
        <f>SUMIFS(EmploymentResults!$V:$V,EmploymentResults!$D:$D,B535,EmploymentResults!$F:$F,C535,EmploymentResults!$G:$G,D535,EmploymentResults!$H:$H,E535,EmploymentResults!$J:$J,G535,EmploymentResults!$K:$K,H535,EmploymentResults!$L:$L,I535)</f>
        <v>181.66157876568639</v>
      </c>
    </row>
    <row r="536" spans="1:12" x14ac:dyDescent="0.3">
      <c r="A536" t="str">
        <f t="shared" si="16"/>
        <v>PA|AccumulatedNewCapacity|RE1|PWRSOLUGE|2027</v>
      </c>
      <c r="B536" t="s">
        <v>44</v>
      </c>
      <c r="C536" t="s">
        <v>19</v>
      </c>
      <c r="D536" t="s">
        <v>33</v>
      </c>
      <c r="E536">
        <v>2027</v>
      </c>
      <c r="F536" t="s">
        <v>18</v>
      </c>
      <c r="G536" t="s">
        <v>63</v>
      </c>
      <c r="H536" t="s">
        <v>64</v>
      </c>
      <c r="I536" t="s">
        <v>65</v>
      </c>
      <c r="J536">
        <f>SUMIFS(RawResultsLong!$P:$P,RawResultsLong!$A:$A,A536)</f>
        <v>135.51019199999999</v>
      </c>
      <c r="K536">
        <f t="shared" si="17"/>
        <v>4294.0588637919227</v>
      </c>
      <c r="L536">
        <f>SUMIFS(EmploymentResults!$V:$V,EmploymentResults!$D:$D,B536,EmploymentResults!$F:$F,C536,EmploymentResults!$G:$G,D536,EmploymentResults!$H:$H,E536,EmploymentResults!$J:$J,G536,EmploymentResults!$K:$K,H536,EmploymentResults!$L:$L,I536)</f>
        <v>383.57841357269865</v>
      </c>
    </row>
    <row r="537" spans="1:12" x14ac:dyDescent="0.3">
      <c r="A537" t="str">
        <f t="shared" si="16"/>
        <v>PA|AccumulatedNewCapacity|RE1|PWRSOLUGE|2028</v>
      </c>
      <c r="B537" t="s">
        <v>44</v>
      </c>
      <c r="C537" t="s">
        <v>19</v>
      </c>
      <c r="D537" t="s">
        <v>33</v>
      </c>
      <c r="E537">
        <v>2028</v>
      </c>
      <c r="F537" t="s">
        <v>18</v>
      </c>
      <c r="G537" t="s">
        <v>63</v>
      </c>
      <c r="H537" t="s">
        <v>64</v>
      </c>
      <c r="I537" t="s">
        <v>65</v>
      </c>
      <c r="J537">
        <f>SUMIFS(RawResultsLong!$P:$P,RawResultsLong!$A:$A,A537)</f>
        <v>135.51019199999999</v>
      </c>
      <c r="K537">
        <f t="shared" si="17"/>
        <v>4294.0588637919227</v>
      </c>
      <c r="L537">
        <f>SUMIFS(EmploymentResults!$V:$V,EmploymentResults!$D:$D,B537,EmploymentResults!$F:$F,C537,EmploymentResults!$G:$G,D537,EmploymentResults!$H:$H,E537,EmploymentResults!$J:$J,G537,EmploymentResults!$K:$K,H537,EmploymentResults!$L:$L,I537)</f>
        <v>373.31232464481485</v>
      </c>
    </row>
    <row r="538" spans="1:12" x14ac:dyDescent="0.3">
      <c r="A538" t="str">
        <f t="shared" si="16"/>
        <v>PA|AccumulatedNewCapacity|RE1|PWRSOLUGE|2029</v>
      </c>
      <c r="B538" t="s">
        <v>44</v>
      </c>
      <c r="C538" t="s">
        <v>19</v>
      </c>
      <c r="D538" t="s">
        <v>33</v>
      </c>
      <c r="E538">
        <v>2029</v>
      </c>
      <c r="F538" t="s">
        <v>18</v>
      </c>
      <c r="G538" t="s">
        <v>63</v>
      </c>
      <c r="H538" t="s">
        <v>64</v>
      </c>
      <c r="I538" t="s">
        <v>65</v>
      </c>
      <c r="J538">
        <f>SUMIFS(RawResultsLong!$P:$P,RawResultsLong!$A:$A,A538)</f>
        <v>135.51019199999999</v>
      </c>
      <c r="K538">
        <f t="shared" si="17"/>
        <v>4294.0588637919227</v>
      </c>
      <c r="L538">
        <f>SUMIFS(EmploymentResults!$V:$V,EmploymentResults!$D:$D,B538,EmploymentResults!$F:$F,C538,EmploymentResults!$G:$G,D538,EmploymentResults!$H:$H,E538,EmploymentResults!$J:$J,G538,EmploymentResults!$K:$K,H538,EmploymentResults!$L:$L,I538)</f>
        <v>363.0462357173605</v>
      </c>
    </row>
    <row r="539" spans="1:12" x14ac:dyDescent="0.3">
      <c r="A539" t="str">
        <f t="shared" si="16"/>
        <v>PA|AccumulatedNewCapacity|RE1|PWRSOLUGE|2030</v>
      </c>
      <c r="B539" t="s">
        <v>44</v>
      </c>
      <c r="C539" t="s">
        <v>19</v>
      </c>
      <c r="D539" t="s">
        <v>33</v>
      </c>
      <c r="E539">
        <v>2030</v>
      </c>
      <c r="F539" t="s">
        <v>18</v>
      </c>
      <c r="G539" t="s">
        <v>63</v>
      </c>
      <c r="H539" t="s">
        <v>64</v>
      </c>
      <c r="I539" t="s">
        <v>65</v>
      </c>
      <c r="J539">
        <f>SUMIFS(RawResultsLong!$P:$P,RawResultsLong!$A:$A,A539)</f>
        <v>143.394192</v>
      </c>
      <c r="K539">
        <f t="shared" si="17"/>
        <v>4543.8877481177278</v>
      </c>
      <c r="L539">
        <f>SUMIFS(EmploymentResults!$V:$V,EmploymentResults!$D:$D,B539,EmploymentResults!$F:$F,C539,EmploymentResults!$G:$G,D539,EmploymentResults!$H:$H,E539,EmploymentResults!$J:$J,G539,EmploymentResults!$K:$K,H539,EmploymentResults!$L:$L,I539)</f>
        <v>373.30494006324204</v>
      </c>
    </row>
    <row r="540" spans="1:12" x14ac:dyDescent="0.3">
      <c r="A540" t="str">
        <f t="shared" si="16"/>
        <v>PA|AccumulatedNewCapacity|RE1|PWRSOLUGE|2031</v>
      </c>
      <c r="B540" t="s">
        <v>44</v>
      </c>
      <c r="C540" t="s">
        <v>19</v>
      </c>
      <c r="D540" t="s">
        <v>33</v>
      </c>
      <c r="E540">
        <v>2031</v>
      </c>
      <c r="F540" t="s">
        <v>18</v>
      </c>
      <c r="G540" t="s">
        <v>63</v>
      </c>
      <c r="H540" t="s">
        <v>64</v>
      </c>
      <c r="I540" t="s">
        <v>65</v>
      </c>
      <c r="J540">
        <f>SUMIFS(RawResultsLong!$P:$P,RawResultsLong!$A:$A,A540)</f>
        <v>143.394192</v>
      </c>
      <c r="K540">
        <f t="shared" si="17"/>
        <v>4543.8877481177278</v>
      </c>
      <c r="L540">
        <f>SUMIFS(EmploymentResults!$V:$V,EmploymentResults!$D:$D,B540,EmploymentResults!$F:$F,C540,EmploymentResults!$G:$G,D540,EmploymentResults!$H:$H,E540,EmploymentResults!$J:$J,G540,EmploymentResults!$K:$K,H540,EmploymentResults!$L:$L,I540)</f>
        <v>370.6384762057578</v>
      </c>
    </row>
    <row r="541" spans="1:12" x14ac:dyDescent="0.3">
      <c r="A541" t="str">
        <f t="shared" si="16"/>
        <v>PA|AccumulatedNewCapacity|RE1|PWRSOLUGE|2032</v>
      </c>
      <c r="B541" t="s">
        <v>44</v>
      </c>
      <c r="C541" t="s">
        <v>19</v>
      </c>
      <c r="D541" t="s">
        <v>33</v>
      </c>
      <c r="E541">
        <v>2032</v>
      </c>
      <c r="F541" t="s">
        <v>18</v>
      </c>
      <c r="G541" t="s">
        <v>63</v>
      </c>
      <c r="H541" t="s">
        <v>64</v>
      </c>
      <c r="I541" t="s">
        <v>65</v>
      </c>
      <c r="J541">
        <f>SUMIFS(RawResultsLong!$P:$P,RawResultsLong!$A:$A,A541)</f>
        <v>143.394192</v>
      </c>
      <c r="K541">
        <f t="shared" si="17"/>
        <v>4543.8877481177278</v>
      </c>
      <c r="L541">
        <f>SUMIFS(EmploymentResults!$V:$V,EmploymentResults!$D:$D,B541,EmploymentResults!$F:$F,C541,EmploymentResults!$G:$G,D541,EmploymentResults!$H:$H,E541,EmploymentResults!$J:$J,G541,EmploymentResults!$K:$K,H541,EmploymentResults!$L:$L,I541)</f>
        <v>367.97201234827355</v>
      </c>
    </row>
    <row r="542" spans="1:12" x14ac:dyDescent="0.3">
      <c r="A542" t="str">
        <f t="shared" si="16"/>
        <v>PA|AccumulatedNewCapacity|RE1|PWRSOLUGE|2033</v>
      </c>
      <c r="B542" t="s">
        <v>44</v>
      </c>
      <c r="C542" t="s">
        <v>19</v>
      </c>
      <c r="D542" t="s">
        <v>33</v>
      </c>
      <c r="E542">
        <v>2033</v>
      </c>
      <c r="F542" t="s">
        <v>18</v>
      </c>
      <c r="G542" t="s">
        <v>63</v>
      </c>
      <c r="H542" t="s">
        <v>64</v>
      </c>
      <c r="I542" t="s">
        <v>65</v>
      </c>
      <c r="J542">
        <f>SUMIFS(RawResultsLong!$P:$P,RawResultsLong!$A:$A,A542)</f>
        <v>143.394192</v>
      </c>
      <c r="K542">
        <f t="shared" si="17"/>
        <v>4543.8877481177278</v>
      </c>
      <c r="L542">
        <f>SUMIFS(EmploymentResults!$V:$V,EmploymentResults!$D:$D,B542,EmploymentResults!$F:$F,C542,EmploymentResults!$G:$G,D542,EmploymentResults!$H:$H,E542,EmploymentResults!$J:$J,G542,EmploymentResults!$K:$K,H542,EmploymentResults!$L:$L,I542)</f>
        <v>365.3055484903349</v>
      </c>
    </row>
    <row r="543" spans="1:12" x14ac:dyDescent="0.3">
      <c r="A543" t="str">
        <f t="shared" si="16"/>
        <v>PA|AccumulatedNewCapacity|RE1|PWRSOLUGE|2034</v>
      </c>
      <c r="B543" t="s">
        <v>44</v>
      </c>
      <c r="C543" t="s">
        <v>19</v>
      </c>
      <c r="D543" t="s">
        <v>33</v>
      </c>
      <c r="E543">
        <v>2034</v>
      </c>
      <c r="F543" t="s">
        <v>18</v>
      </c>
      <c r="G543" t="s">
        <v>63</v>
      </c>
      <c r="H543" t="s">
        <v>64</v>
      </c>
      <c r="I543" t="s">
        <v>65</v>
      </c>
      <c r="J543">
        <f>SUMIFS(RawResultsLong!$P:$P,RawResultsLong!$A:$A,A543)</f>
        <v>143.394192</v>
      </c>
      <c r="K543">
        <f t="shared" si="17"/>
        <v>4543.8877481177278</v>
      </c>
      <c r="L543">
        <f>SUMIFS(EmploymentResults!$V:$V,EmploymentResults!$D:$D,B543,EmploymentResults!$F:$F,C543,EmploymentResults!$G:$G,D543,EmploymentResults!$H:$H,E543,EmploymentResults!$J:$J,G543,EmploymentResults!$K:$K,H543,EmploymentResults!$L:$L,I543)</f>
        <v>362.63908463285071</v>
      </c>
    </row>
    <row r="544" spans="1:12" x14ac:dyDescent="0.3">
      <c r="A544" t="str">
        <f t="shared" si="16"/>
        <v>PA|AccumulatedNewCapacity|RE1|PWRSOLUGE|2035</v>
      </c>
      <c r="B544" t="s">
        <v>44</v>
      </c>
      <c r="C544" t="s">
        <v>19</v>
      </c>
      <c r="D544" t="s">
        <v>33</v>
      </c>
      <c r="E544">
        <v>2035</v>
      </c>
      <c r="F544" t="s">
        <v>18</v>
      </c>
      <c r="G544" t="s">
        <v>63</v>
      </c>
      <c r="H544" t="s">
        <v>64</v>
      </c>
      <c r="I544" t="s">
        <v>65</v>
      </c>
      <c r="J544">
        <f>SUMIFS(RawResultsLong!$P:$P,RawResultsLong!$A:$A,A544)</f>
        <v>143.394192</v>
      </c>
      <c r="K544">
        <f t="shared" si="17"/>
        <v>4543.8877481177278</v>
      </c>
      <c r="L544">
        <f>SUMIFS(EmploymentResults!$V:$V,EmploymentResults!$D:$D,B544,EmploymentResults!$F:$F,C544,EmploymentResults!$G:$G,D544,EmploymentResults!$H:$H,E544,EmploymentResults!$J:$J,G544,EmploymentResults!$K:$K,H544,EmploymentResults!$L:$L,I544)</f>
        <v>359.97262077536647</v>
      </c>
    </row>
    <row r="545" spans="1:12" x14ac:dyDescent="0.3">
      <c r="A545" t="str">
        <f t="shared" si="16"/>
        <v>PA|AccumulatedNewCapacity|RE1|PWRSOLUGE|2036</v>
      </c>
      <c r="B545" t="s">
        <v>44</v>
      </c>
      <c r="C545" t="s">
        <v>19</v>
      </c>
      <c r="D545" t="s">
        <v>33</v>
      </c>
      <c r="E545">
        <v>2036</v>
      </c>
      <c r="F545" t="s">
        <v>18</v>
      </c>
      <c r="G545" t="s">
        <v>63</v>
      </c>
      <c r="H545" t="s">
        <v>64</v>
      </c>
      <c r="I545" t="s">
        <v>65</v>
      </c>
      <c r="J545">
        <f>SUMIFS(RawResultsLong!$P:$P,RawResultsLong!$A:$A,A545)</f>
        <v>143.394192</v>
      </c>
      <c r="K545">
        <f t="shared" si="17"/>
        <v>4543.8877481177278</v>
      </c>
      <c r="L545">
        <f>SUMIFS(EmploymentResults!$V:$V,EmploymentResults!$D:$D,B545,EmploymentResults!$F:$F,C545,EmploymentResults!$G:$G,D545,EmploymentResults!$H:$H,E545,EmploymentResults!$J:$J,G545,EmploymentResults!$K:$K,H545,EmploymentResults!$L:$L,I545)</f>
        <v>357.30615691788222</v>
      </c>
    </row>
    <row r="546" spans="1:12" x14ac:dyDescent="0.3">
      <c r="A546" t="str">
        <f t="shared" si="16"/>
        <v>PA|AccumulatedNewCapacity|RE1|PWRSOLUGE|2037</v>
      </c>
      <c r="B546" t="s">
        <v>44</v>
      </c>
      <c r="C546" t="s">
        <v>19</v>
      </c>
      <c r="D546" t="s">
        <v>33</v>
      </c>
      <c r="E546">
        <v>2037</v>
      </c>
      <c r="F546" t="s">
        <v>18</v>
      </c>
      <c r="G546" t="s">
        <v>63</v>
      </c>
      <c r="H546" t="s">
        <v>64</v>
      </c>
      <c r="I546" t="s">
        <v>65</v>
      </c>
      <c r="J546">
        <f>SUMIFS(RawResultsLong!$P:$P,RawResultsLong!$A:$A,A546)</f>
        <v>143.394192</v>
      </c>
      <c r="K546">
        <f t="shared" si="17"/>
        <v>4543.8877481177278</v>
      </c>
      <c r="L546">
        <f>SUMIFS(EmploymentResults!$V:$V,EmploymentResults!$D:$D,B546,EmploymentResults!$F:$F,C546,EmploymentResults!$G:$G,D546,EmploymentResults!$H:$H,E546,EmploymentResults!$J:$J,G546,EmploymentResults!$K:$K,H546,EmploymentResults!$L:$L,I546)</f>
        <v>354.63969305994362</v>
      </c>
    </row>
    <row r="547" spans="1:12" x14ac:dyDescent="0.3">
      <c r="A547" t="str">
        <f t="shared" si="16"/>
        <v>PA|AccumulatedNewCapacity|RE1|PWRSOLUGE|2038</v>
      </c>
      <c r="B547" t="s">
        <v>44</v>
      </c>
      <c r="C547" t="s">
        <v>19</v>
      </c>
      <c r="D547" t="s">
        <v>33</v>
      </c>
      <c r="E547">
        <v>2038</v>
      </c>
      <c r="F547" t="s">
        <v>18</v>
      </c>
      <c r="G547" t="s">
        <v>63</v>
      </c>
      <c r="H547" t="s">
        <v>64</v>
      </c>
      <c r="I547" t="s">
        <v>65</v>
      </c>
      <c r="J547">
        <f>SUMIFS(RawResultsLong!$P:$P,RawResultsLong!$A:$A,A547)</f>
        <v>143.394192</v>
      </c>
      <c r="K547">
        <f t="shared" si="17"/>
        <v>4543.8877481177278</v>
      </c>
      <c r="L547">
        <f>SUMIFS(EmploymentResults!$V:$V,EmploymentResults!$D:$D,B547,EmploymentResults!$F:$F,C547,EmploymentResults!$G:$G,D547,EmploymentResults!$H:$H,E547,EmploymentResults!$J:$J,G547,EmploymentResults!$K:$K,H547,EmploymentResults!$L:$L,I547)</f>
        <v>351.97322920245938</v>
      </c>
    </row>
    <row r="548" spans="1:12" x14ac:dyDescent="0.3">
      <c r="A548" t="str">
        <f t="shared" si="16"/>
        <v>PA|AccumulatedNewCapacity|RE1|PWRSOLUGE|2039</v>
      </c>
      <c r="B548" t="s">
        <v>44</v>
      </c>
      <c r="C548" t="s">
        <v>19</v>
      </c>
      <c r="D548" t="s">
        <v>33</v>
      </c>
      <c r="E548">
        <v>2039</v>
      </c>
      <c r="F548" t="s">
        <v>18</v>
      </c>
      <c r="G548" t="s">
        <v>63</v>
      </c>
      <c r="H548" t="s">
        <v>64</v>
      </c>
      <c r="I548" t="s">
        <v>65</v>
      </c>
      <c r="J548">
        <f>SUMIFS(RawResultsLong!$P:$P,RawResultsLong!$A:$A,A548)</f>
        <v>143.394192</v>
      </c>
      <c r="K548">
        <f t="shared" si="17"/>
        <v>4543.8877481177278</v>
      </c>
      <c r="L548">
        <f>SUMIFS(EmploymentResults!$V:$V,EmploymentResults!$D:$D,B548,EmploymentResults!$F:$F,C548,EmploymentResults!$G:$G,D548,EmploymentResults!$H:$H,E548,EmploymentResults!$J:$J,G548,EmploymentResults!$K:$K,H548,EmploymentResults!$L:$L,I548)</f>
        <v>349.30676534497513</v>
      </c>
    </row>
    <row r="549" spans="1:12" x14ac:dyDescent="0.3">
      <c r="A549" t="str">
        <f t="shared" si="16"/>
        <v>PA|AccumulatedNewCapacity|RE1|PWRSOLUGE|2040</v>
      </c>
      <c r="B549" t="s">
        <v>44</v>
      </c>
      <c r="C549" t="s">
        <v>19</v>
      </c>
      <c r="D549" t="s">
        <v>33</v>
      </c>
      <c r="E549">
        <v>2040</v>
      </c>
      <c r="F549" t="s">
        <v>18</v>
      </c>
      <c r="G549" t="s">
        <v>63</v>
      </c>
      <c r="H549" t="s">
        <v>64</v>
      </c>
      <c r="I549" t="s">
        <v>65</v>
      </c>
      <c r="J549">
        <f>SUMIFS(RawResultsLong!$P:$P,RawResultsLong!$A:$A,A549)</f>
        <v>143.394192</v>
      </c>
      <c r="K549">
        <f t="shared" si="17"/>
        <v>4543.8877481177278</v>
      </c>
      <c r="L549">
        <f>SUMIFS(EmploymentResults!$V:$V,EmploymentResults!$D:$D,B549,EmploymentResults!$F:$F,C549,EmploymentResults!$G:$G,D549,EmploymentResults!$H:$H,E549,EmploymentResults!$J:$J,G549,EmploymentResults!$K:$K,H549,EmploymentResults!$L:$L,I549)</f>
        <v>346.64030148749089</v>
      </c>
    </row>
    <row r="550" spans="1:12" x14ac:dyDescent="0.3">
      <c r="A550" t="str">
        <f t="shared" si="16"/>
        <v>PA|AccumulatedNewCapacity|RE1|PWRSOLUGE|2041</v>
      </c>
      <c r="B550" t="s">
        <v>44</v>
      </c>
      <c r="C550" t="s">
        <v>19</v>
      </c>
      <c r="D550" t="s">
        <v>33</v>
      </c>
      <c r="E550">
        <v>2041</v>
      </c>
      <c r="F550" t="s">
        <v>18</v>
      </c>
      <c r="G550" t="s">
        <v>63</v>
      </c>
      <c r="H550" t="s">
        <v>64</v>
      </c>
      <c r="I550" t="s">
        <v>65</v>
      </c>
      <c r="J550">
        <f>SUMIFS(RawResultsLong!$P:$P,RawResultsLong!$A:$A,A550)</f>
        <v>143.394192</v>
      </c>
      <c r="K550">
        <f t="shared" si="17"/>
        <v>4543.8877481177278</v>
      </c>
      <c r="L550">
        <f>SUMIFS(EmploymentResults!$V:$V,EmploymentResults!$D:$D,B550,EmploymentResults!$F:$F,C550,EmploymentResults!$G:$G,D550,EmploymentResults!$H:$H,E550,EmploymentResults!$J:$J,G550,EmploymentResults!$K:$K,H550,EmploymentResults!$L:$L,I550)</f>
        <v>343.97383762955229</v>
      </c>
    </row>
    <row r="551" spans="1:12" x14ac:dyDescent="0.3">
      <c r="A551" t="str">
        <f t="shared" si="16"/>
        <v>PA|AccumulatedNewCapacity|RE1|PWRSOLUGE|2042</v>
      </c>
      <c r="B551" t="s">
        <v>44</v>
      </c>
      <c r="C551" t="s">
        <v>19</v>
      </c>
      <c r="D551" t="s">
        <v>33</v>
      </c>
      <c r="E551">
        <v>2042</v>
      </c>
      <c r="F551" t="s">
        <v>18</v>
      </c>
      <c r="G551" t="s">
        <v>63</v>
      </c>
      <c r="H551" t="s">
        <v>64</v>
      </c>
      <c r="I551" t="s">
        <v>65</v>
      </c>
      <c r="J551">
        <f>SUMIFS(RawResultsLong!$P:$P,RawResultsLong!$A:$A,A551)</f>
        <v>143.394192</v>
      </c>
      <c r="K551">
        <f t="shared" si="17"/>
        <v>4543.8877481177278</v>
      </c>
      <c r="L551">
        <f>SUMIFS(EmploymentResults!$V:$V,EmploymentResults!$D:$D,B551,EmploymentResults!$F:$F,C551,EmploymentResults!$G:$G,D551,EmploymentResults!$H:$H,E551,EmploymentResults!$J:$J,G551,EmploymentResults!$K:$K,H551,EmploymentResults!$L:$L,I551)</f>
        <v>341.30737377206805</v>
      </c>
    </row>
    <row r="552" spans="1:12" x14ac:dyDescent="0.3">
      <c r="A552" t="str">
        <f t="shared" si="16"/>
        <v>PA|AccumulatedNewCapacity|RE1|PWRSOLUGE|2043</v>
      </c>
      <c r="B552" t="s">
        <v>44</v>
      </c>
      <c r="C552" t="s">
        <v>19</v>
      </c>
      <c r="D552" t="s">
        <v>33</v>
      </c>
      <c r="E552">
        <v>2043</v>
      </c>
      <c r="F552" t="s">
        <v>18</v>
      </c>
      <c r="G552" t="s">
        <v>63</v>
      </c>
      <c r="H552" t="s">
        <v>64</v>
      </c>
      <c r="I552" t="s">
        <v>65</v>
      </c>
      <c r="J552">
        <f>SUMIFS(RawResultsLong!$P:$P,RawResultsLong!$A:$A,A552)</f>
        <v>143.394192</v>
      </c>
      <c r="K552">
        <f t="shared" si="17"/>
        <v>4543.8877481177278</v>
      </c>
      <c r="L552">
        <f>SUMIFS(EmploymentResults!$V:$V,EmploymentResults!$D:$D,B552,EmploymentResults!$F:$F,C552,EmploymentResults!$G:$G,D552,EmploymentResults!$H:$H,E552,EmploymentResults!$J:$J,G552,EmploymentResults!$K:$K,H552,EmploymentResults!$L:$L,I552)</f>
        <v>338.6409099145838</v>
      </c>
    </row>
    <row r="553" spans="1:12" x14ac:dyDescent="0.3">
      <c r="A553" t="str">
        <f t="shared" si="16"/>
        <v>PA|AccumulatedNewCapacity|RE1|PWRSOLUGE|2044</v>
      </c>
      <c r="B553" t="s">
        <v>44</v>
      </c>
      <c r="C553" t="s">
        <v>19</v>
      </c>
      <c r="D553" t="s">
        <v>33</v>
      </c>
      <c r="E553">
        <v>2044</v>
      </c>
      <c r="F553" t="s">
        <v>18</v>
      </c>
      <c r="G553" t="s">
        <v>63</v>
      </c>
      <c r="H553" t="s">
        <v>64</v>
      </c>
      <c r="I553" t="s">
        <v>65</v>
      </c>
      <c r="J553">
        <f>SUMIFS(RawResultsLong!$P:$P,RawResultsLong!$A:$A,A553)</f>
        <v>143.394192</v>
      </c>
      <c r="K553">
        <f t="shared" si="17"/>
        <v>4543.8877481177278</v>
      </c>
      <c r="L553">
        <f>SUMIFS(EmploymentResults!$V:$V,EmploymentResults!$D:$D,B553,EmploymentResults!$F:$F,C553,EmploymentResults!$G:$G,D553,EmploymentResults!$H:$H,E553,EmploymentResults!$J:$J,G553,EmploymentResults!$K:$K,H553,EmploymentResults!$L:$L,I553)</f>
        <v>335.97444605709961</v>
      </c>
    </row>
    <row r="554" spans="1:12" x14ac:dyDescent="0.3">
      <c r="A554" t="str">
        <f t="shared" si="16"/>
        <v>PA|AccumulatedNewCapacity|RE1|PWRSOLUGE|2045</v>
      </c>
      <c r="B554" t="s">
        <v>44</v>
      </c>
      <c r="C554" t="s">
        <v>19</v>
      </c>
      <c r="D554" t="s">
        <v>33</v>
      </c>
      <c r="E554">
        <v>2045</v>
      </c>
      <c r="F554" t="s">
        <v>18</v>
      </c>
      <c r="G554" t="s">
        <v>63</v>
      </c>
      <c r="H554" t="s">
        <v>64</v>
      </c>
      <c r="I554" t="s">
        <v>65</v>
      </c>
      <c r="J554">
        <f>SUMIFS(RawResultsLong!$P:$P,RawResultsLong!$A:$A,A554)</f>
        <v>143.394192</v>
      </c>
      <c r="K554">
        <f t="shared" si="17"/>
        <v>4543.8877481177278</v>
      </c>
      <c r="L554">
        <f>SUMIFS(EmploymentResults!$V:$V,EmploymentResults!$D:$D,B554,EmploymentResults!$F:$F,C554,EmploymentResults!$G:$G,D554,EmploymentResults!$H:$H,E554,EmploymentResults!$J:$J,G554,EmploymentResults!$K:$K,H554,EmploymentResults!$L:$L,I554)</f>
        <v>333.30798219916096</v>
      </c>
    </row>
    <row r="555" spans="1:12" x14ac:dyDescent="0.3">
      <c r="A555" t="str">
        <f t="shared" si="16"/>
        <v>PA|AccumulatedNewCapacity|RE1|PWRSOLUGE|2046</v>
      </c>
      <c r="B555" t="s">
        <v>44</v>
      </c>
      <c r="C555" t="s">
        <v>19</v>
      </c>
      <c r="D555" t="s">
        <v>33</v>
      </c>
      <c r="E555">
        <v>2046</v>
      </c>
      <c r="F555" t="s">
        <v>18</v>
      </c>
      <c r="G555" t="s">
        <v>63</v>
      </c>
      <c r="H555" t="s">
        <v>64</v>
      </c>
      <c r="I555" t="s">
        <v>65</v>
      </c>
      <c r="J555">
        <f>SUMIFS(RawResultsLong!$P:$P,RawResultsLong!$A:$A,A555)</f>
        <v>143.394192</v>
      </c>
      <c r="K555">
        <f t="shared" si="17"/>
        <v>4543.8877481177278</v>
      </c>
      <c r="L555">
        <f>SUMIFS(EmploymentResults!$V:$V,EmploymentResults!$D:$D,B555,EmploymentResults!$F:$F,C555,EmploymentResults!$G:$G,D555,EmploymentResults!$H:$H,E555,EmploymentResults!$J:$J,G555,EmploymentResults!$K:$K,H555,EmploymentResults!$L:$L,I555)</f>
        <v>330.64151834167671</v>
      </c>
    </row>
    <row r="556" spans="1:12" x14ac:dyDescent="0.3">
      <c r="A556" t="str">
        <f t="shared" si="16"/>
        <v>PA|AccumulatedNewCapacity|RE1|PWRSOLUGE|2047</v>
      </c>
      <c r="B556" t="s">
        <v>44</v>
      </c>
      <c r="C556" t="s">
        <v>19</v>
      </c>
      <c r="D556" t="s">
        <v>33</v>
      </c>
      <c r="E556">
        <v>2047</v>
      </c>
      <c r="F556" t="s">
        <v>18</v>
      </c>
      <c r="G556" t="s">
        <v>63</v>
      </c>
      <c r="H556" t="s">
        <v>64</v>
      </c>
      <c r="I556" t="s">
        <v>65</v>
      </c>
      <c r="J556">
        <f>SUMIFS(RawResultsLong!$P:$P,RawResultsLong!$A:$A,A556)</f>
        <v>143.394192</v>
      </c>
      <c r="K556">
        <f t="shared" si="17"/>
        <v>4543.8877481177278</v>
      </c>
      <c r="L556">
        <f>SUMIFS(EmploymentResults!$V:$V,EmploymentResults!$D:$D,B556,EmploymentResults!$F:$F,C556,EmploymentResults!$G:$G,D556,EmploymentResults!$H:$H,E556,EmploymentResults!$J:$J,G556,EmploymentResults!$K:$K,H556,EmploymentResults!$L:$L,I556)</f>
        <v>327.97505448419247</v>
      </c>
    </row>
    <row r="557" spans="1:12" x14ac:dyDescent="0.3">
      <c r="A557" t="str">
        <f t="shared" si="16"/>
        <v>PA|AccumulatedNewCapacity|RE1|PWRSOLUGE|2048</v>
      </c>
      <c r="B557" t="s">
        <v>44</v>
      </c>
      <c r="C557" t="s">
        <v>19</v>
      </c>
      <c r="D557" t="s">
        <v>33</v>
      </c>
      <c r="E557">
        <v>2048</v>
      </c>
      <c r="F557" t="s">
        <v>18</v>
      </c>
      <c r="G557" t="s">
        <v>63</v>
      </c>
      <c r="H557" t="s">
        <v>64</v>
      </c>
      <c r="I557" t="s">
        <v>65</v>
      </c>
      <c r="J557">
        <f>SUMIFS(RawResultsLong!$P:$P,RawResultsLong!$A:$A,A557)</f>
        <v>143.394192</v>
      </c>
      <c r="K557">
        <f t="shared" si="17"/>
        <v>4543.8877481177278</v>
      </c>
      <c r="L557">
        <f>SUMIFS(EmploymentResults!$V:$V,EmploymentResults!$D:$D,B557,EmploymentResults!$F:$F,C557,EmploymentResults!$G:$G,D557,EmploymentResults!$H:$H,E557,EmploymentResults!$J:$J,G557,EmploymentResults!$K:$K,H557,EmploymentResults!$L:$L,I557)</f>
        <v>325.30859062670828</v>
      </c>
    </row>
    <row r="558" spans="1:12" x14ac:dyDescent="0.3">
      <c r="A558" t="str">
        <f t="shared" si="16"/>
        <v>PA|AccumulatedNewCapacity|RE1|PWRSOLUGE|2049</v>
      </c>
      <c r="B558" t="s">
        <v>44</v>
      </c>
      <c r="C558" t="s">
        <v>19</v>
      </c>
      <c r="D558" t="s">
        <v>33</v>
      </c>
      <c r="E558">
        <v>2049</v>
      </c>
      <c r="F558" t="s">
        <v>18</v>
      </c>
      <c r="G558" t="s">
        <v>63</v>
      </c>
      <c r="H558" t="s">
        <v>64</v>
      </c>
      <c r="I558" t="s">
        <v>65</v>
      </c>
      <c r="J558">
        <f>SUMIFS(RawResultsLong!$P:$P,RawResultsLong!$A:$A,A558)</f>
        <v>143.394192</v>
      </c>
      <c r="K558">
        <f t="shared" si="17"/>
        <v>4543.8877481177278</v>
      </c>
      <c r="L558">
        <f>SUMIFS(EmploymentResults!$V:$V,EmploymentResults!$D:$D,B558,EmploymentResults!$F:$F,C558,EmploymentResults!$G:$G,D558,EmploymentResults!$H:$H,E558,EmploymentResults!$J:$J,G558,EmploymentResults!$K:$K,H558,EmploymentResults!$L:$L,I558)</f>
        <v>322.64212676876963</v>
      </c>
    </row>
    <row r="559" spans="1:12" x14ac:dyDescent="0.3">
      <c r="A559" t="str">
        <f t="shared" si="16"/>
        <v>PA|AccumulatedNewCapacity|RE1|PWRSOLUGE|2050</v>
      </c>
      <c r="B559" t="s">
        <v>44</v>
      </c>
      <c r="C559" t="s">
        <v>19</v>
      </c>
      <c r="D559" t="s">
        <v>33</v>
      </c>
      <c r="E559">
        <v>2050</v>
      </c>
      <c r="F559" t="s">
        <v>18</v>
      </c>
      <c r="G559" t="s">
        <v>63</v>
      </c>
      <c r="H559" t="s">
        <v>64</v>
      </c>
      <c r="I559" t="s">
        <v>65</v>
      </c>
      <c r="J559">
        <f>SUMIFS(RawResultsLong!$P:$P,RawResultsLong!$A:$A,A559)</f>
        <v>143.394192</v>
      </c>
      <c r="K559">
        <f t="shared" si="17"/>
        <v>4543.8877481177278</v>
      </c>
      <c r="L559">
        <f>SUMIFS(EmploymentResults!$V:$V,EmploymentResults!$D:$D,B559,EmploymentResults!$F:$F,C559,EmploymentResults!$G:$G,D559,EmploymentResults!$H:$H,E559,EmploymentResults!$J:$J,G559,EmploymentResults!$K:$K,H559,EmploymentResults!$L:$L,I559)</f>
        <v>319.97566291128538</v>
      </c>
    </row>
    <row r="560" spans="1:12" x14ac:dyDescent="0.3">
      <c r="A560" t="str">
        <f t="shared" si="16"/>
        <v>PA|AccumulatedNewCapacity|RE1|PWRSOLUGE|2051</v>
      </c>
      <c r="B560" t="s">
        <v>44</v>
      </c>
      <c r="C560" t="s">
        <v>19</v>
      </c>
      <c r="D560" t="s">
        <v>33</v>
      </c>
      <c r="E560">
        <v>2051</v>
      </c>
      <c r="F560" t="s">
        <v>18</v>
      </c>
      <c r="G560" t="s">
        <v>63</v>
      </c>
      <c r="H560" t="s">
        <v>64</v>
      </c>
      <c r="I560" t="s">
        <v>65</v>
      </c>
      <c r="J560">
        <f>SUMIFS(RawResultsLong!$P:$P,RawResultsLong!$A:$A,A560)</f>
        <v>143.394192</v>
      </c>
      <c r="K560">
        <f t="shared" si="17"/>
        <v>4543.8877481177278</v>
      </c>
      <c r="L560">
        <f>SUMIFS(EmploymentResults!$V:$V,EmploymentResults!$D:$D,B560,EmploymentResults!$F:$F,C560,EmploymentResults!$G:$G,D560,EmploymentResults!$H:$H,E560,EmploymentResults!$J:$J,G560,EmploymentResults!$K:$K,H560,EmploymentResults!$L:$L,I560)</f>
        <v>319.97566291128538</v>
      </c>
    </row>
    <row r="561" spans="1:12" x14ac:dyDescent="0.3">
      <c r="A561" t="str">
        <f t="shared" si="16"/>
        <v>PA|AccumulatedNewCapacity|RE1|PWRSOLUGE|2052</v>
      </c>
      <c r="B561" t="s">
        <v>44</v>
      </c>
      <c r="C561" t="s">
        <v>19</v>
      </c>
      <c r="D561" t="s">
        <v>33</v>
      </c>
      <c r="E561">
        <v>2052</v>
      </c>
      <c r="F561" t="s">
        <v>18</v>
      </c>
      <c r="G561" t="s">
        <v>63</v>
      </c>
      <c r="H561" t="s">
        <v>64</v>
      </c>
      <c r="I561" t="s">
        <v>65</v>
      </c>
      <c r="J561">
        <f>SUMIFS(RawResultsLong!$P:$P,RawResultsLong!$A:$A,A561)</f>
        <v>143.394192</v>
      </c>
      <c r="K561">
        <f t="shared" si="17"/>
        <v>4543.8877481177278</v>
      </c>
      <c r="L561">
        <f>SUMIFS(EmploymentResults!$V:$V,EmploymentResults!$D:$D,B561,EmploymentResults!$F:$F,C561,EmploymentResults!$G:$G,D561,EmploymentResults!$H:$H,E561,EmploymentResults!$J:$J,G561,EmploymentResults!$K:$K,H561,EmploymentResults!$L:$L,I561)</f>
        <v>319.97566291128538</v>
      </c>
    </row>
    <row r="562" spans="1:12" x14ac:dyDescent="0.3">
      <c r="A562" t="str">
        <f t="shared" si="16"/>
        <v>PA|AccumulatedNewCapacity|RE1|PWRSOLUGE|2053</v>
      </c>
      <c r="B562" t="s">
        <v>44</v>
      </c>
      <c r="C562" t="s">
        <v>19</v>
      </c>
      <c r="D562" t="s">
        <v>33</v>
      </c>
      <c r="E562">
        <v>2053</v>
      </c>
      <c r="F562" t="s">
        <v>18</v>
      </c>
      <c r="G562" t="s">
        <v>63</v>
      </c>
      <c r="H562" t="s">
        <v>64</v>
      </c>
      <c r="I562" t="s">
        <v>65</v>
      </c>
      <c r="J562">
        <f>SUMIFS(RawResultsLong!$P:$P,RawResultsLong!$A:$A,A562)</f>
        <v>143.394192</v>
      </c>
      <c r="K562">
        <f t="shared" si="17"/>
        <v>4543.8877481177278</v>
      </c>
      <c r="L562">
        <f>SUMIFS(EmploymentResults!$V:$V,EmploymentResults!$D:$D,B562,EmploymentResults!$F:$F,C562,EmploymentResults!$G:$G,D562,EmploymentResults!$H:$H,E562,EmploymentResults!$J:$J,G562,EmploymentResults!$K:$K,H562,EmploymentResults!$L:$L,I562)</f>
        <v>319.97566291128538</v>
      </c>
    </row>
    <row r="563" spans="1:12" x14ac:dyDescent="0.3">
      <c r="A563" t="str">
        <f t="shared" si="16"/>
        <v>PA|AccumulatedNewCapacity|RE1|PWRSOLUGE|2054</v>
      </c>
      <c r="B563" t="s">
        <v>44</v>
      </c>
      <c r="C563" t="s">
        <v>19</v>
      </c>
      <c r="D563" t="s">
        <v>33</v>
      </c>
      <c r="E563">
        <v>2054</v>
      </c>
      <c r="F563" t="s">
        <v>18</v>
      </c>
      <c r="G563" t="s">
        <v>63</v>
      </c>
      <c r="H563" t="s">
        <v>64</v>
      </c>
      <c r="I563" t="s">
        <v>65</v>
      </c>
      <c r="J563">
        <f>SUMIFS(RawResultsLong!$P:$P,RawResultsLong!$A:$A,A563)</f>
        <v>143.394192</v>
      </c>
      <c r="K563">
        <f t="shared" si="17"/>
        <v>4543.8877481177278</v>
      </c>
      <c r="L563">
        <f>SUMIFS(EmploymentResults!$V:$V,EmploymentResults!$D:$D,B563,EmploymentResults!$F:$F,C563,EmploymentResults!$G:$G,D563,EmploymentResults!$H:$H,E563,EmploymentResults!$J:$J,G563,EmploymentResults!$K:$K,H563,EmploymentResults!$L:$L,I563)</f>
        <v>319.97566291128538</v>
      </c>
    </row>
    <row r="564" spans="1:12" x14ac:dyDescent="0.3">
      <c r="A564" t="str">
        <f t="shared" si="16"/>
        <v>PA|AccumulatedNewCapacity|RE1|PWRSOLUGE|2055</v>
      </c>
      <c r="B564" t="s">
        <v>44</v>
      </c>
      <c r="C564" t="s">
        <v>19</v>
      </c>
      <c r="D564" t="s">
        <v>33</v>
      </c>
      <c r="E564">
        <v>2055</v>
      </c>
      <c r="F564" t="s">
        <v>18</v>
      </c>
      <c r="G564" t="s">
        <v>63</v>
      </c>
      <c r="H564" t="s">
        <v>64</v>
      </c>
      <c r="I564" t="s">
        <v>65</v>
      </c>
      <c r="J564">
        <f>SUMIFS(RawResultsLong!$P:$P,RawResultsLong!$A:$A,A564)</f>
        <v>136.67702399999999</v>
      </c>
      <c r="K564">
        <f t="shared" si="17"/>
        <v>4331.0335386721417</v>
      </c>
      <c r="L564">
        <f>SUMIFS(EmploymentResults!$V:$V,EmploymentResults!$D:$D,B564,EmploymentResults!$F:$F,C564,EmploymentResults!$G:$G,D564,EmploymentResults!$H:$H,E564,EmploymentResults!$J:$J,G564,EmploymentResults!$K:$K,H564,EmploymentResults!$L:$L,I564)</f>
        <v>304.98669959479008</v>
      </c>
    </row>
    <row r="565" spans="1:12" x14ac:dyDescent="0.3">
      <c r="A565" t="str">
        <f t="shared" si="16"/>
        <v>PA|AccumulatedNewCapacity|RE1|PWRSOLUPE|2025</v>
      </c>
      <c r="B565" t="s">
        <v>44</v>
      </c>
      <c r="C565" t="s">
        <v>19</v>
      </c>
      <c r="D565" t="s">
        <v>34</v>
      </c>
      <c r="E565">
        <v>2025</v>
      </c>
      <c r="F565" t="s">
        <v>18</v>
      </c>
      <c r="G565" t="s">
        <v>63</v>
      </c>
      <c r="H565" t="s">
        <v>64</v>
      </c>
      <c r="I565" t="s">
        <v>65</v>
      </c>
      <c r="J565">
        <f>SUMIFS(RawResultsLong!$P:$P,RawResultsLong!$A:$A,A565)</f>
        <v>5.3106623999999574</v>
      </c>
      <c r="K565">
        <f t="shared" si="17"/>
        <v>168.28473648186039</v>
      </c>
      <c r="L565">
        <f>SUMIFS(EmploymentResults!$V:$V,EmploymentResults!$D:$D,B565,EmploymentResults!$F:$F,C565,EmploymentResults!$G:$G,D565,EmploymentResults!$H:$H,E565,EmploymentResults!$J:$J,G565,EmploymentResults!$K:$K,H565,EmploymentResults!$L:$L,I565)</f>
        <v>15.837147683612022</v>
      </c>
    </row>
    <row r="566" spans="1:12" x14ac:dyDescent="0.3">
      <c r="A566" t="str">
        <f t="shared" si="16"/>
        <v>PA|AccumulatedNewCapacity|RE1|PWRSOLUPE|2026</v>
      </c>
      <c r="B566" t="s">
        <v>44</v>
      </c>
      <c r="C566" t="s">
        <v>19</v>
      </c>
      <c r="D566" t="s">
        <v>34</v>
      </c>
      <c r="E566">
        <v>2026</v>
      </c>
      <c r="F566" t="s">
        <v>18</v>
      </c>
      <c r="G566" t="s">
        <v>63</v>
      </c>
      <c r="H566" t="s">
        <v>64</v>
      </c>
      <c r="I566" t="s">
        <v>65</v>
      </c>
      <c r="J566">
        <f>SUMIFS(RawResultsLong!$P:$P,RawResultsLong!$A:$A,A566)</f>
        <v>8.6752382399999313</v>
      </c>
      <c r="K566">
        <f t="shared" si="17"/>
        <v>274.90171115673979</v>
      </c>
      <c r="L566">
        <f>SUMIFS(EmploymentResults!$V:$V,EmploymentResults!$D:$D,B566,EmploymentResults!$F:$F,C566,EmploymentResults!$G:$G,D566,EmploymentResults!$H:$H,E566,EmploymentResults!$J:$J,G566,EmploymentResults!$K:$K,H566,EmploymentResults!$L:$L,I566)</f>
        <v>25.213563926666133</v>
      </c>
    </row>
    <row r="567" spans="1:12" x14ac:dyDescent="0.3">
      <c r="A567" t="str">
        <f t="shared" si="16"/>
        <v>PA|AccumulatedNewCapacity|RE1|PWRSOLUPE|2027</v>
      </c>
      <c r="B567" t="s">
        <v>44</v>
      </c>
      <c r="C567" t="s">
        <v>19</v>
      </c>
      <c r="D567" t="s">
        <v>34</v>
      </c>
      <c r="E567">
        <v>2027</v>
      </c>
      <c r="F567" t="s">
        <v>18</v>
      </c>
      <c r="G567" t="s">
        <v>63</v>
      </c>
      <c r="H567" t="s">
        <v>64</v>
      </c>
      <c r="I567" t="s">
        <v>65</v>
      </c>
      <c r="J567">
        <f>SUMIFS(RawResultsLong!$P:$P,RawResultsLong!$A:$A,A567)</f>
        <v>12.14419823999993</v>
      </c>
      <c r="K567">
        <f t="shared" si="17"/>
        <v>384.82642026009364</v>
      </c>
      <c r="L567">
        <f>SUMIFS(EmploymentResults!$V:$V,EmploymentResults!$D:$D,B567,EmploymentResults!$F:$F,C567,EmploymentResults!$G:$G,D567,EmploymentResults!$H:$H,E567,EmploymentResults!$J:$J,G567,EmploymentResults!$K:$K,H567,EmploymentResults!$L:$L,I567)</f>
        <v>34.375660061137935</v>
      </c>
    </row>
    <row r="568" spans="1:12" x14ac:dyDescent="0.3">
      <c r="A568" t="str">
        <f t="shared" si="16"/>
        <v>PA|AccumulatedNewCapacity|RE1|PWRSOLUPE|2028</v>
      </c>
      <c r="B568" t="s">
        <v>44</v>
      </c>
      <c r="C568" t="s">
        <v>19</v>
      </c>
      <c r="D568" t="s">
        <v>34</v>
      </c>
      <c r="E568">
        <v>2028</v>
      </c>
      <c r="F568" t="s">
        <v>18</v>
      </c>
      <c r="G568" t="s">
        <v>63</v>
      </c>
      <c r="H568" t="s">
        <v>64</v>
      </c>
      <c r="I568" t="s">
        <v>65</v>
      </c>
      <c r="J568">
        <f>SUMIFS(RawResultsLong!$P:$P,RawResultsLong!$A:$A,A568)</f>
        <v>12.14419823999993</v>
      </c>
      <c r="K568">
        <f t="shared" si="17"/>
        <v>384.82642026009364</v>
      </c>
      <c r="L568">
        <f>SUMIFS(EmploymentResults!$V:$V,EmploymentResults!$D:$D,B568,EmploymentResults!$F:$F,C568,EmploymentResults!$G:$G,D568,EmploymentResults!$H:$H,E568,EmploymentResults!$J:$J,G568,EmploymentResults!$K:$K,H568,EmploymentResults!$L:$L,I568)</f>
        <v>33.455630229804733</v>
      </c>
    </row>
    <row r="569" spans="1:12" x14ac:dyDescent="0.3">
      <c r="A569" t="str">
        <f t="shared" si="16"/>
        <v>PA|AccumulatedNewCapacity|RE1|PWRSOLUPE|2029</v>
      </c>
      <c r="B569" t="s">
        <v>44</v>
      </c>
      <c r="C569" t="s">
        <v>19</v>
      </c>
      <c r="D569" t="s">
        <v>34</v>
      </c>
      <c r="E569">
        <v>2029</v>
      </c>
      <c r="F569" t="s">
        <v>18</v>
      </c>
      <c r="G569" t="s">
        <v>63</v>
      </c>
      <c r="H569" t="s">
        <v>64</v>
      </c>
      <c r="I569" t="s">
        <v>65</v>
      </c>
      <c r="J569">
        <f>SUMIFS(RawResultsLong!$P:$P,RawResultsLong!$A:$A,A569)</f>
        <v>12.14419823999993</v>
      </c>
      <c r="K569">
        <f t="shared" si="17"/>
        <v>384.82642026009364</v>
      </c>
      <c r="L569">
        <f>SUMIFS(EmploymentResults!$V:$V,EmploymentResults!$D:$D,B569,EmploymentResults!$F:$F,C569,EmploymentResults!$G:$G,D569,EmploymentResults!$H:$H,E569,EmploymentResults!$J:$J,G569,EmploymentResults!$K:$K,H569,EmploymentResults!$L:$L,I569)</f>
        <v>32.535600398510027</v>
      </c>
    </row>
    <row r="570" spans="1:12" x14ac:dyDescent="0.3">
      <c r="A570" t="str">
        <f t="shared" si="16"/>
        <v>PA|AccumulatedNewCapacity|RE1|PWRSOLUPE|2030</v>
      </c>
      <c r="B570" t="s">
        <v>44</v>
      </c>
      <c r="C570" t="s">
        <v>19</v>
      </c>
      <c r="D570" t="s">
        <v>34</v>
      </c>
      <c r="E570">
        <v>2030</v>
      </c>
      <c r="F570" t="s">
        <v>18</v>
      </c>
      <c r="G570" t="s">
        <v>63</v>
      </c>
      <c r="H570" t="s">
        <v>64</v>
      </c>
      <c r="I570" t="s">
        <v>65</v>
      </c>
      <c r="J570">
        <f>SUMIFS(RawResultsLong!$P:$P,RawResultsLong!$A:$A,A570)</f>
        <v>12.14419823999993</v>
      </c>
      <c r="K570">
        <f t="shared" si="17"/>
        <v>384.82642026009364</v>
      </c>
      <c r="L570">
        <f>SUMIFS(EmploymentResults!$V:$V,EmploymentResults!$D:$D,B570,EmploymentResults!$F:$F,C570,EmploymentResults!$G:$G,D570,EmploymentResults!$H:$H,E570,EmploymentResults!$J:$J,G570,EmploymentResults!$K:$K,H570,EmploymentResults!$L:$L,I570)</f>
        <v>31.615570567176832</v>
      </c>
    </row>
    <row r="571" spans="1:12" x14ac:dyDescent="0.3">
      <c r="A571" t="str">
        <f t="shared" si="16"/>
        <v>PA|AccumulatedNewCapacity|RE1|PWRSOLUPE|2031</v>
      </c>
      <c r="B571" t="s">
        <v>44</v>
      </c>
      <c r="C571" t="s">
        <v>19</v>
      </c>
      <c r="D571" t="s">
        <v>34</v>
      </c>
      <c r="E571">
        <v>2031</v>
      </c>
      <c r="F571" t="s">
        <v>18</v>
      </c>
      <c r="G571" t="s">
        <v>63</v>
      </c>
      <c r="H571" t="s">
        <v>64</v>
      </c>
      <c r="I571" t="s">
        <v>65</v>
      </c>
      <c r="J571">
        <f>SUMIFS(RawResultsLong!$P:$P,RawResultsLong!$A:$A,A571)</f>
        <v>12.14419823999993</v>
      </c>
      <c r="K571">
        <f t="shared" si="17"/>
        <v>384.82642026009364</v>
      </c>
      <c r="L571">
        <f>SUMIFS(EmploymentResults!$V:$V,EmploymentResults!$D:$D,B571,EmploymentResults!$F:$F,C571,EmploymentResults!$G:$G,D571,EmploymentResults!$H:$H,E571,EmploymentResults!$J:$J,G571,EmploymentResults!$K:$K,H571,EmploymentResults!$L:$L,I571)</f>
        <v>31.389745063134914</v>
      </c>
    </row>
    <row r="572" spans="1:12" x14ac:dyDescent="0.3">
      <c r="A572" t="str">
        <f t="shared" si="16"/>
        <v>PA|AccumulatedNewCapacity|RE1|PWRSOLUPE|2032</v>
      </c>
      <c r="B572" t="s">
        <v>44</v>
      </c>
      <c r="C572" t="s">
        <v>19</v>
      </c>
      <c r="D572" t="s">
        <v>34</v>
      </c>
      <c r="E572">
        <v>2032</v>
      </c>
      <c r="F572" t="s">
        <v>18</v>
      </c>
      <c r="G572" t="s">
        <v>63</v>
      </c>
      <c r="H572" t="s">
        <v>64</v>
      </c>
      <c r="I572" t="s">
        <v>65</v>
      </c>
      <c r="J572">
        <f>SUMIFS(RawResultsLong!$P:$P,RawResultsLong!$A:$A,A572)</f>
        <v>12.14419823999993</v>
      </c>
      <c r="K572">
        <f t="shared" si="17"/>
        <v>384.82642026009364</v>
      </c>
      <c r="L572">
        <f>SUMIFS(EmploymentResults!$V:$V,EmploymentResults!$D:$D,B572,EmploymentResults!$F:$F,C572,EmploymentResults!$G:$G,D572,EmploymentResults!$H:$H,E572,EmploymentResults!$J:$J,G572,EmploymentResults!$K:$K,H572,EmploymentResults!$L:$L,I572)</f>
        <v>31.163919559092996</v>
      </c>
    </row>
    <row r="573" spans="1:12" x14ac:dyDescent="0.3">
      <c r="A573" t="str">
        <f t="shared" si="16"/>
        <v>PA|AccumulatedNewCapacity|RE1|PWRSOLUPE|2033</v>
      </c>
      <c r="B573" t="s">
        <v>44</v>
      </c>
      <c r="C573" t="s">
        <v>19</v>
      </c>
      <c r="D573" t="s">
        <v>34</v>
      </c>
      <c r="E573">
        <v>2033</v>
      </c>
      <c r="F573" t="s">
        <v>18</v>
      </c>
      <c r="G573" t="s">
        <v>63</v>
      </c>
      <c r="H573" t="s">
        <v>64</v>
      </c>
      <c r="I573" t="s">
        <v>65</v>
      </c>
      <c r="J573">
        <f>SUMIFS(RawResultsLong!$P:$P,RawResultsLong!$A:$A,A573)</f>
        <v>12.14419823999993</v>
      </c>
      <c r="K573">
        <f t="shared" si="17"/>
        <v>384.82642026009364</v>
      </c>
      <c r="L573">
        <f>SUMIFS(EmploymentResults!$V:$V,EmploymentResults!$D:$D,B573,EmploymentResults!$F:$F,C573,EmploymentResults!$G:$G,D573,EmploymentResults!$H:$H,E573,EmploymentResults!$J:$J,G573,EmploymentResults!$K:$K,H573,EmploymentResults!$L:$L,I573)</f>
        <v>30.938094055012591</v>
      </c>
    </row>
    <row r="574" spans="1:12" x14ac:dyDescent="0.3">
      <c r="A574" t="str">
        <f t="shared" si="16"/>
        <v>PA|AccumulatedNewCapacity|RE1|PWRSOLUPE|2034</v>
      </c>
      <c r="B574" t="s">
        <v>44</v>
      </c>
      <c r="C574" t="s">
        <v>19</v>
      </c>
      <c r="D574" t="s">
        <v>34</v>
      </c>
      <c r="E574">
        <v>2034</v>
      </c>
      <c r="F574" t="s">
        <v>18</v>
      </c>
      <c r="G574" t="s">
        <v>63</v>
      </c>
      <c r="H574" t="s">
        <v>64</v>
      </c>
      <c r="I574" t="s">
        <v>65</v>
      </c>
      <c r="J574">
        <f>SUMIFS(RawResultsLong!$P:$P,RawResultsLong!$A:$A,A574)</f>
        <v>12.14419823999993</v>
      </c>
      <c r="K574">
        <f t="shared" si="17"/>
        <v>384.82642026009364</v>
      </c>
      <c r="L574">
        <f>SUMIFS(EmploymentResults!$V:$V,EmploymentResults!$D:$D,B574,EmploymentResults!$F:$F,C574,EmploymentResults!$G:$G,D574,EmploymentResults!$H:$H,E574,EmploymentResults!$J:$J,G574,EmploymentResults!$K:$K,H574,EmploymentResults!$L:$L,I574)</f>
        <v>30.712268550970681</v>
      </c>
    </row>
    <row r="575" spans="1:12" x14ac:dyDescent="0.3">
      <c r="A575" t="str">
        <f t="shared" si="16"/>
        <v>PA|AccumulatedNewCapacity|RE1|PWRSOLUPE|2035</v>
      </c>
      <c r="B575" t="s">
        <v>44</v>
      </c>
      <c r="C575" t="s">
        <v>19</v>
      </c>
      <c r="D575" t="s">
        <v>34</v>
      </c>
      <c r="E575">
        <v>2035</v>
      </c>
      <c r="F575" t="s">
        <v>18</v>
      </c>
      <c r="G575" t="s">
        <v>63</v>
      </c>
      <c r="H575" t="s">
        <v>64</v>
      </c>
      <c r="I575" t="s">
        <v>65</v>
      </c>
      <c r="J575">
        <f>SUMIFS(RawResultsLong!$P:$P,RawResultsLong!$A:$A,A575)</f>
        <v>12.14419823999993</v>
      </c>
      <c r="K575">
        <f t="shared" si="17"/>
        <v>384.82642026009364</v>
      </c>
      <c r="L575">
        <f>SUMIFS(EmploymentResults!$V:$V,EmploymentResults!$D:$D,B575,EmploymentResults!$F:$F,C575,EmploymentResults!$G:$G,D575,EmploymentResults!$H:$H,E575,EmploymentResults!$J:$J,G575,EmploymentResults!$K:$K,H575,EmploymentResults!$L:$L,I575)</f>
        <v>30.486443046928759</v>
      </c>
    </row>
    <row r="576" spans="1:12" x14ac:dyDescent="0.3">
      <c r="A576" t="str">
        <f t="shared" si="16"/>
        <v>PA|AccumulatedNewCapacity|RE1|PWRSOLUPE|2036</v>
      </c>
      <c r="B576" t="s">
        <v>44</v>
      </c>
      <c r="C576" t="s">
        <v>19</v>
      </c>
      <c r="D576" t="s">
        <v>34</v>
      </c>
      <c r="E576">
        <v>2036</v>
      </c>
      <c r="F576" t="s">
        <v>18</v>
      </c>
      <c r="G576" t="s">
        <v>63</v>
      </c>
      <c r="H576" t="s">
        <v>64</v>
      </c>
      <c r="I576" t="s">
        <v>65</v>
      </c>
      <c r="J576">
        <f>SUMIFS(RawResultsLong!$P:$P,RawResultsLong!$A:$A,A576)</f>
        <v>12.14419823999993</v>
      </c>
      <c r="K576">
        <f t="shared" si="17"/>
        <v>384.82642026009364</v>
      </c>
      <c r="L576">
        <f>SUMIFS(EmploymentResults!$V:$V,EmploymentResults!$D:$D,B576,EmploymentResults!$F:$F,C576,EmploymentResults!$G:$G,D576,EmploymentResults!$H:$H,E576,EmploymentResults!$J:$J,G576,EmploymentResults!$K:$K,H576,EmploymentResults!$L:$L,I576)</f>
        <v>30.260617542886841</v>
      </c>
    </row>
    <row r="577" spans="1:12" x14ac:dyDescent="0.3">
      <c r="A577" t="str">
        <f t="shared" si="16"/>
        <v>PA|AccumulatedNewCapacity|RE1|PWRSOLUPE|2037</v>
      </c>
      <c r="B577" t="s">
        <v>44</v>
      </c>
      <c r="C577" t="s">
        <v>19</v>
      </c>
      <c r="D577" t="s">
        <v>34</v>
      </c>
      <c r="E577">
        <v>2037</v>
      </c>
      <c r="F577" t="s">
        <v>18</v>
      </c>
      <c r="G577" t="s">
        <v>63</v>
      </c>
      <c r="H577" t="s">
        <v>64</v>
      </c>
      <c r="I577" t="s">
        <v>65</v>
      </c>
      <c r="J577">
        <f>SUMIFS(RawResultsLong!$P:$P,RawResultsLong!$A:$A,A577)</f>
        <v>12.14419823999993</v>
      </c>
      <c r="K577">
        <f t="shared" si="17"/>
        <v>384.82642026009364</v>
      </c>
      <c r="L577">
        <f>SUMIFS(EmploymentResults!$V:$V,EmploymentResults!$D:$D,B577,EmploymentResults!$F:$F,C577,EmploymentResults!$G:$G,D577,EmploymentResults!$H:$H,E577,EmploymentResults!$J:$J,G577,EmploymentResults!$K:$K,H577,EmploymentResults!$L:$L,I577)</f>
        <v>30.034792038806444</v>
      </c>
    </row>
    <row r="578" spans="1:12" x14ac:dyDescent="0.3">
      <c r="A578" t="str">
        <f t="shared" ref="A578:A641" si="18">B578&amp;"|"&amp;F578&amp;"|"&amp;C578&amp;"|"&amp;D578&amp;"|"&amp;E578</f>
        <v>PA|AccumulatedNewCapacity|RE1|PWRSOLUPE|2038</v>
      </c>
      <c r="B578" t="s">
        <v>44</v>
      </c>
      <c r="C578" t="s">
        <v>19</v>
      </c>
      <c r="D578" t="s">
        <v>34</v>
      </c>
      <c r="E578">
        <v>2038</v>
      </c>
      <c r="F578" t="s">
        <v>18</v>
      </c>
      <c r="G578" t="s">
        <v>63</v>
      </c>
      <c r="H578" t="s">
        <v>64</v>
      </c>
      <c r="I578" t="s">
        <v>65</v>
      </c>
      <c r="J578">
        <f>SUMIFS(RawResultsLong!$P:$P,RawResultsLong!$A:$A,A578)</f>
        <v>12.14419823999993</v>
      </c>
      <c r="K578">
        <f t="shared" ref="K578:K641" si="19">J578*1000/31.5576</f>
        <v>384.82642026009364</v>
      </c>
      <c r="L578">
        <f>SUMIFS(EmploymentResults!$V:$V,EmploymentResults!$D:$D,B578,EmploymentResults!$F:$F,C578,EmploymentResults!$G:$G,D578,EmploymentResults!$H:$H,E578,EmploymentResults!$J:$J,G578,EmploymentResults!$K:$K,H578,EmploymentResults!$L:$L,I578)</f>
        <v>29.808966534764526</v>
      </c>
    </row>
    <row r="579" spans="1:12" x14ac:dyDescent="0.3">
      <c r="A579" t="str">
        <f t="shared" si="18"/>
        <v>PA|AccumulatedNewCapacity|RE1|PWRSOLUPE|2039</v>
      </c>
      <c r="B579" t="s">
        <v>44</v>
      </c>
      <c r="C579" t="s">
        <v>19</v>
      </c>
      <c r="D579" t="s">
        <v>34</v>
      </c>
      <c r="E579">
        <v>2039</v>
      </c>
      <c r="F579" t="s">
        <v>18</v>
      </c>
      <c r="G579" t="s">
        <v>63</v>
      </c>
      <c r="H579" t="s">
        <v>64</v>
      </c>
      <c r="I579" t="s">
        <v>65</v>
      </c>
      <c r="J579">
        <f>SUMIFS(RawResultsLong!$P:$P,RawResultsLong!$A:$A,A579)</f>
        <v>12.14419823999993</v>
      </c>
      <c r="K579">
        <f t="shared" si="19"/>
        <v>384.82642026009364</v>
      </c>
      <c r="L579">
        <f>SUMIFS(EmploymentResults!$V:$V,EmploymentResults!$D:$D,B579,EmploymentResults!$F:$F,C579,EmploymentResults!$G:$G,D579,EmploymentResults!$H:$H,E579,EmploymentResults!$J:$J,G579,EmploymentResults!$K:$K,H579,EmploymentResults!$L:$L,I579)</f>
        <v>29.583141030722608</v>
      </c>
    </row>
    <row r="580" spans="1:12" x14ac:dyDescent="0.3">
      <c r="A580" t="str">
        <f t="shared" si="18"/>
        <v>PA|AccumulatedNewCapacity|RE1|PWRSOLUPE|2040</v>
      </c>
      <c r="B580" t="s">
        <v>44</v>
      </c>
      <c r="C580" t="s">
        <v>19</v>
      </c>
      <c r="D580" t="s">
        <v>34</v>
      </c>
      <c r="E580">
        <v>2040</v>
      </c>
      <c r="F580" t="s">
        <v>18</v>
      </c>
      <c r="G580" t="s">
        <v>63</v>
      </c>
      <c r="H580" t="s">
        <v>64</v>
      </c>
      <c r="I580" t="s">
        <v>65</v>
      </c>
      <c r="J580">
        <f>SUMIFS(RawResultsLong!$P:$P,RawResultsLong!$A:$A,A580)</f>
        <v>12.14419823999993</v>
      </c>
      <c r="K580">
        <f t="shared" si="19"/>
        <v>384.82642026009364</v>
      </c>
      <c r="L580">
        <f>SUMIFS(EmploymentResults!$V:$V,EmploymentResults!$D:$D,B580,EmploymentResults!$F:$F,C580,EmploymentResults!$G:$G,D580,EmploymentResults!$H:$H,E580,EmploymentResults!$J:$J,G580,EmploymentResults!$K:$K,H580,EmploymentResults!$L:$L,I580)</f>
        <v>29.35731552668069</v>
      </c>
    </row>
    <row r="581" spans="1:12" x14ac:dyDescent="0.3">
      <c r="A581" t="str">
        <f t="shared" si="18"/>
        <v>PA|AccumulatedNewCapacity|RE1|PWRSOLUPE|2041</v>
      </c>
      <c r="B581" t="s">
        <v>44</v>
      </c>
      <c r="C581" t="s">
        <v>19</v>
      </c>
      <c r="D581" t="s">
        <v>34</v>
      </c>
      <c r="E581">
        <v>2041</v>
      </c>
      <c r="F581" t="s">
        <v>18</v>
      </c>
      <c r="G581" t="s">
        <v>63</v>
      </c>
      <c r="H581" t="s">
        <v>64</v>
      </c>
      <c r="I581" t="s">
        <v>65</v>
      </c>
      <c r="J581">
        <f>SUMIFS(RawResultsLong!$P:$P,RawResultsLong!$A:$A,A581)</f>
        <v>12.14419823999993</v>
      </c>
      <c r="K581">
        <f t="shared" si="19"/>
        <v>384.82642026009364</v>
      </c>
      <c r="L581">
        <f>SUMIFS(EmploymentResults!$V:$V,EmploymentResults!$D:$D,B581,EmploymentResults!$F:$F,C581,EmploymentResults!$G:$G,D581,EmploymentResults!$H:$H,E581,EmploymentResults!$J:$J,G581,EmploymentResults!$K:$K,H581,EmploymentResults!$L:$L,I581)</f>
        <v>29.131490022600293</v>
      </c>
    </row>
    <row r="582" spans="1:12" x14ac:dyDescent="0.3">
      <c r="A582" t="str">
        <f t="shared" si="18"/>
        <v>PA|AccumulatedNewCapacity|RE1|PWRSOLUPE|2042</v>
      </c>
      <c r="B582" t="s">
        <v>44</v>
      </c>
      <c r="C582" t="s">
        <v>19</v>
      </c>
      <c r="D582" t="s">
        <v>34</v>
      </c>
      <c r="E582">
        <v>2042</v>
      </c>
      <c r="F582" t="s">
        <v>18</v>
      </c>
      <c r="G582" t="s">
        <v>63</v>
      </c>
      <c r="H582" t="s">
        <v>64</v>
      </c>
      <c r="I582" t="s">
        <v>65</v>
      </c>
      <c r="J582">
        <f>SUMIFS(RawResultsLong!$P:$P,RawResultsLong!$A:$A,A582)</f>
        <v>12.14419823999993</v>
      </c>
      <c r="K582">
        <f t="shared" si="19"/>
        <v>384.82642026009364</v>
      </c>
      <c r="L582">
        <f>SUMIFS(EmploymentResults!$V:$V,EmploymentResults!$D:$D,B582,EmploymentResults!$F:$F,C582,EmploymentResults!$G:$G,D582,EmploymentResults!$H:$H,E582,EmploymentResults!$J:$J,G582,EmploymentResults!$K:$K,H582,EmploymentResults!$L:$L,I582)</f>
        <v>28.905664518558375</v>
      </c>
    </row>
    <row r="583" spans="1:12" x14ac:dyDescent="0.3">
      <c r="A583" t="str">
        <f t="shared" si="18"/>
        <v>PA|AccumulatedNewCapacity|RE1|PWRSOLUPE|2043</v>
      </c>
      <c r="B583" t="s">
        <v>44</v>
      </c>
      <c r="C583" t="s">
        <v>19</v>
      </c>
      <c r="D583" t="s">
        <v>34</v>
      </c>
      <c r="E583">
        <v>2043</v>
      </c>
      <c r="F583" t="s">
        <v>18</v>
      </c>
      <c r="G583" t="s">
        <v>63</v>
      </c>
      <c r="H583" t="s">
        <v>64</v>
      </c>
      <c r="I583" t="s">
        <v>65</v>
      </c>
      <c r="J583">
        <f>SUMIFS(RawResultsLong!$P:$P,RawResultsLong!$A:$A,A583)</f>
        <v>12.14419823999993</v>
      </c>
      <c r="K583">
        <f t="shared" si="19"/>
        <v>384.82642026009364</v>
      </c>
      <c r="L583">
        <f>SUMIFS(EmploymentResults!$V:$V,EmploymentResults!$D:$D,B583,EmploymentResults!$F:$F,C583,EmploymentResults!$G:$G,D583,EmploymentResults!$H:$H,E583,EmploymentResults!$J:$J,G583,EmploymentResults!$K:$K,H583,EmploymentResults!$L:$L,I583)</f>
        <v>28.679839014516457</v>
      </c>
    </row>
    <row r="584" spans="1:12" x14ac:dyDescent="0.3">
      <c r="A584" t="str">
        <f t="shared" si="18"/>
        <v>PA|AccumulatedNewCapacity|RE1|PWRSOLUPE|2044</v>
      </c>
      <c r="B584" t="s">
        <v>44</v>
      </c>
      <c r="C584" t="s">
        <v>19</v>
      </c>
      <c r="D584" t="s">
        <v>34</v>
      </c>
      <c r="E584">
        <v>2044</v>
      </c>
      <c r="F584" t="s">
        <v>18</v>
      </c>
      <c r="G584" t="s">
        <v>63</v>
      </c>
      <c r="H584" t="s">
        <v>64</v>
      </c>
      <c r="I584" t="s">
        <v>65</v>
      </c>
      <c r="J584">
        <f>SUMIFS(RawResultsLong!$P:$P,RawResultsLong!$A:$A,A584)</f>
        <v>12.14419823999993</v>
      </c>
      <c r="K584">
        <f t="shared" si="19"/>
        <v>384.82642026009364</v>
      </c>
      <c r="L584">
        <f>SUMIFS(EmploymentResults!$V:$V,EmploymentResults!$D:$D,B584,EmploymentResults!$F:$F,C584,EmploymentResults!$G:$G,D584,EmploymentResults!$H:$H,E584,EmploymentResults!$J:$J,G584,EmploymentResults!$K:$K,H584,EmploymentResults!$L:$L,I584)</f>
        <v>28.454013510474542</v>
      </c>
    </row>
    <row r="585" spans="1:12" x14ac:dyDescent="0.3">
      <c r="A585" t="str">
        <f t="shared" si="18"/>
        <v>PA|AccumulatedNewCapacity|RE1|PWRSOLUPE|2045</v>
      </c>
      <c r="B585" t="s">
        <v>44</v>
      </c>
      <c r="C585" t="s">
        <v>19</v>
      </c>
      <c r="D585" t="s">
        <v>34</v>
      </c>
      <c r="E585">
        <v>2045</v>
      </c>
      <c r="F585" t="s">
        <v>18</v>
      </c>
      <c r="G585" t="s">
        <v>63</v>
      </c>
      <c r="H585" t="s">
        <v>64</v>
      </c>
      <c r="I585" t="s">
        <v>65</v>
      </c>
      <c r="J585">
        <f>SUMIFS(RawResultsLong!$P:$P,RawResultsLong!$A:$A,A585)</f>
        <v>12.14419823999993</v>
      </c>
      <c r="K585">
        <f t="shared" si="19"/>
        <v>384.82642026009364</v>
      </c>
      <c r="L585">
        <f>SUMIFS(EmploymentResults!$V:$V,EmploymentResults!$D:$D,B585,EmploymentResults!$F:$F,C585,EmploymentResults!$G:$G,D585,EmploymentResults!$H:$H,E585,EmploymentResults!$J:$J,G585,EmploymentResults!$K:$K,H585,EmploymentResults!$L:$L,I585)</f>
        <v>28.228188006394138</v>
      </c>
    </row>
    <row r="586" spans="1:12" x14ac:dyDescent="0.3">
      <c r="A586" t="str">
        <f t="shared" si="18"/>
        <v>PA|AccumulatedNewCapacity|RE1|PWRSOLUPE|2046</v>
      </c>
      <c r="B586" t="s">
        <v>44</v>
      </c>
      <c r="C586" t="s">
        <v>19</v>
      </c>
      <c r="D586" t="s">
        <v>34</v>
      </c>
      <c r="E586">
        <v>2046</v>
      </c>
      <c r="F586" t="s">
        <v>18</v>
      </c>
      <c r="G586" t="s">
        <v>63</v>
      </c>
      <c r="H586" t="s">
        <v>64</v>
      </c>
      <c r="I586" t="s">
        <v>65</v>
      </c>
      <c r="J586">
        <f>SUMIFS(RawResultsLong!$P:$P,RawResultsLong!$A:$A,A586)</f>
        <v>12.14419823999993</v>
      </c>
      <c r="K586">
        <f t="shared" si="19"/>
        <v>384.82642026009364</v>
      </c>
      <c r="L586">
        <f>SUMIFS(EmploymentResults!$V:$V,EmploymentResults!$D:$D,B586,EmploymentResults!$F:$F,C586,EmploymentResults!$G:$G,D586,EmploymentResults!$H:$H,E586,EmploymentResults!$J:$J,G586,EmploymentResults!$K:$K,H586,EmploymentResults!$L:$L,I586)</f>
        <v>28.00236250235222</v>
      </c>
    </row>
    <row r="587" spans="1:12" x14ac:dyDescent="0.3">
      <c r="A587" t="str">
        <f t="shared" si="18"/>
        <v>PA|AccumulatedNewCapacity|RE1|PWRSOLUPE|2047</v>
      </c>
      <c r="B587" t="s">
        <v>44</v>
      </c>
      <c r="C587" t="s">
        <v>19</v>
      </c>
      <c r="D587" t="s">
        <v>34</v>
      </c>
      <c r="E587">
        <v>2047</v>
      </c>
      <c r="F587" t="s">
        <v>18</v>
      </c>
      <c r="G587" t="s">
        <v>63</v>
      </c>
      <c r="H587" t="s">
        <v>64</v>
      </c>
      <c r="I587" t="s">
        <v>65</v>
      </c>
      <c r="J587">
        <f>SUMIFS(RawResultsLong!$P:$P,RawResultsLong!$A:$A,A587)</f>
        <v>12.14419823999993</v>
      </c>
      <c r="K587">
        <f t="shared" si="19"/>
        <v>384.82642026009364</v>
      </c>
      <c r="L587">
        <f>SUMIFS(EmploymentResults!$V:$V,EmploymentResults!$D:$D,B587,EmploymentResults!$F:$F,C587,EmploymentResults!$G:$G,D587,EmploymentResults!$H:$H,E587,EmploymentResults!$J:$J,G587,EmploymentResults!$K:$K,H587,EmploymentResults!$L:$L,I587)</f>
        <v>27.776536998310302</v>
      </c>
    </row>
    <row r="588" spans="1:12" x14ac:dyDescent="0.3">
      <c r="A588" t="str">
        <f t="shared" si="18"/>
        <v>PA|AccumulatedNewCapacity|RE1|PWRSOLUPE|2048</v>
      </c>
      <c r="B588" t="s">
        <v>44</v>
      </c>
      <c r="C588" t="s">
        <v>19</v>
      </c>
      <c r="D588" t="s">
        <v>34</v>
      </c>
      <c r="E588">
        <v>2048</v>
      </c>
      <c r="F588" t="s">
        <v>18</v>
      </c>
      <c r="G588" t="s">
        <v>63</v>
      </c>
      <c r="H588" t="s">
        <v>64</v>
      </c>
      <c r="I588" t="s">
        <v>65</v>
      </c>
      <c r="J588">
        <f>SUMIFS(RawResultsLong!$P:$P,RawResultsLong!$A:$A,A588)</f>
        <v>12.14419823999993</v>
      </c>
      <c r="K588">
        <f t="shared" si="19"/>
        <v>384.82642026009364</v>
      </c>
      <c r="L588">
        <f>SUMIFS(EmploymentResults!$V:$V,EmploymentResults!$D:$D,B588,EmploymentResults!$F:$F,C588,EmploymentResults!$G:$G,D588,EmploymentResults!$H:$H,E588,EmploymentResults!$J:$J,G588,EmploymentResults!$K:$K,H588,EmploymentResults!$L:$L,I588)</f>
        <v>27.550711494268388</v>
      </c>
    </row>
    <row r="589" spans="1:12" x14ac:dyDescent="0.3">
      <c r="A589" t="str">
        <f t="shared" si="18"/>
        <v>PA|AccumulatedNewCapacity|RE1|PWRSOLUPE|2049</v>
      </c>
      <c r="B589" t="s">
        <v>44</v>
      </c>
      <c r="C589" t="s">
        <v>19</v>
      </c>
      <c r="D589" t="s">
        <v>34</v>
      </c>
      <c r="E589">
        <v>2049</v>
      </c>
      <c r="F589" t="s">
        <v>18</v>
      </c>
      <c r="G589" t="s">
        <v>63</v>
      </c>
      <c r="H589" t="s">
        <v>64</v>
      </c>
      <c r="I589" t="s">
        <v>65</v>
      </c>
      <c r="J589">
        <f>SUMIFS(RawResultsLong!$P:$P,RawResultsLong!$A:$A,A589)</f>
        <v>12.14419823999993</v>
      </c>
      <c r="K589">
        <f t="shared" si="19"/>
        <v>384.82642026009364</v>
      </c>
      <c r="L589">
        <f>SUMIFS(EmploymentResults!$V:$V,EmploymentResults!$D:$D,B589,EmploymentResults!$F:$F,C589,EmploymentResults!$G:$G,D589,EmploymentResults!$H:$H,E589,EmploymentResults!$J:$J,G589,EmploymentResults!$K:$K,H589,EmploymentResults!$L:$L,I589)</f>
        <v>27.324885990187987</v>
      </c>
    </row>
    <row r="590" spans="1:12" x14ac:dyDescent="0.3">
      <c r="A590" t="str">
        <f t="shared" si="18"/>
        <v>PA|AccumulatedNewCapacity|RE1|PWRSOLUPE|2050</v>
      </c>
      <c r="B590" t="s">
        <v>44</v>
      </c>
      <c r="C590" t="s">
        <v>19</v>
      </c>
      <c r="D590" t="s">
        <v>34</v>
      </c>
      <c r="E590">
        <v>2050</v>
      </c>
      <c r="F590" t="s">
        <v>18</v>
      </c>
      <c r="G590" t="s">
        <v>63</v>
      </c>
      <c r="H590" t="s">
        <v>64</v>
      </c>
      <c r="I590" t="s">
        <v>65</v>
      </c>
      <c r="J590">
        <f>SUMIFS(RawResultsLong!$P:$P,RawResultsLong!$A:$A,A590)</f>
        <v>6.833535839999973</v>
      </c>
      <c r="K590">
        <f t="shared" si="19"/>
        <v>216.54168377823322</v>
      </c>
      <c r="L590">
        <f>SUMIFS(EmploymentResults!$V:$V,EmploymentResults!$D:$D,B590,EmploymentResults!$F:$F,C590,EmploymentResults!$G:$G,D590,EmploymentResults!$H:$H,E590,EmploymentResults!$J:$J,G590,EmploymentResults!$K:$K,H590,EmploymentResults!$L:$L,I590)</f>
        <v>15.248631272541488</v>
      </c>
    </row>
    <row r="591" spans="1:12" x14ac:dyDescent="0.3">
      <c r="A591" t="str">
        <f t="shared" si="18"/>
        <v>PA|AccumulatedNewCapacity|RE1|PWRSOLUPE|2051</v>
      </c>
      <c r="B591" t="s">
        <v>44</v>
      </c>
      <c r="C591" t="s">
        <v>19</v>
      </c>
      <c r="D591" t="s">
        <v>34</v>
      </c>
      <c r="E591">
        <v>2051</v>
      </c>
      <c r="F591" t="s">
        <v>18</v>
      </c>
      <c r="G591" t="s">
        <v>63</v>
      </c>
      <c r="H591" t="s">
        <v>64</v>
      </c>
      <c r="I591" t="s">
        <v>65</v>
      </c>
      <c r="J591">
        <f>SUMIFS(RawResultsLong!$P:$P,RawResultsLong!$A:$A,A591)</f>
        <v>3.4689599999999992</v>
      </c>
      <c r="K591">
        <f t="shared" si="19"/>
        <v>109.92470910335383</v>
      </c>
      <c r="L591">
        <f>SUMIFS(EmploymentResults!$V:$V,EmploymentResults!$D:$D,B591,EmploymentResults!$F:$F,C591,EmploymentResults!$G:$G,D591,EmploymentResults!$H:$H,E591,EmploymentResults!$J:$J,G591,EmploymentResults!$K:$K,H591,EmploymentResults!$L:$L,I591)</f>
        <v>7.7407791775327421</v>
      </c>
    </row>
    <row r="592" spans="1:12" x14ac:dyDescent="0.3">
      <c r="A592" t="str">
        <f t="shared" si="18"/>
        <v>PA|AccumulatedNewCapacity|RE1|PWRWNDOFS_FIX|2032</v>
      </c>
      <c r="B592" t="s">
        <v>44</v>
      </c>
      <c r="C592" t="s">
        <v>19</v>
      </c>
      <c r="D592" t="s">
        <v>42</v>
      </c>
      <c r="E592">
        <v>2032</v>
      </c>
      <c r="F592" t="s">
        <v>18</v>
      </c>
      <c r="G592" t="s">
        <v>63</v>
      </c>
      <c r="H592" t="s">
        <v>64</v>
      </c>
      <c r="I592" t="s">
        <v>65</v>
      </c>
      <c r="J592">
        <f>SUMIFS(RawResultsLong!$P:$P,RawResultsLong!$A:$A,A592)</f>
        <v>1.752</v>
      </c>
      <c r="K592">
        <f t="shared" si="19"/>
        <v>55.517529850178718</v>
      </c>
      <c r="L592">
        <f>SUMIFS(EmploymentResults!$V:$V,EmploymentResults!$D:$D,B592,EmploymentResults!$F:$F,C592,EmploymentResults!$G:$G,D592,EmploymentResults!$H:$H,E592,EmploymentResults!$J:$J,G592,EmploymentResults!$K:$K,H592,EmploymentResults!$L:$L,I592)</f>
        <v>4.2443432995704615</v>
      </c>
    </row>
    <row r="593" spans="1:12" x14ac:dyDescent="0.3">
      <c r="A593" t="str">
        <f t="shared" si="18"/>
        <v>PA|AccumulatedNewCapacity|RE1|PWRWNDOFS_FIX|2033</v>
      </c>
      <c r="B593" t="s">
        <v>44</v>
      </c>
      <c r="C593" t="s">
        <v>19</v>
      </c>
      <c r="D593" t="s">
        <v>42</v>
      </c>
      <c r="E593">
        <v>2033</v>
      </c>
      <c r="F593" t="s">
        <v>18</v>
      </c>
      <c r="G593" t="s">
        <v>63</v>
      </c>
      <c r="H593" t="s">
        <v>64</v>
      </c>
      <c r="I593" t="s">
        <v>65</v>
      </c>
      <c r="J593">
        <f>SUMIFS(RawResultsLong!$P:$P,RawResultsLong!$A:$A,A593)</f>
        <v>3.504</v>
      </c>
      <c r="K593">
        <f t="shared" si="19"/>
        <v>111.03505970035744</v>
      </c>
      <c r="L593">
        <f>SUMIFS(EmploymentResults!$V:$V,EmploymentResults!$D:$D,B593,EmploymentResults!$F:$F,C593,EmploymentResults!$G:$G,D593,EmploymentResults!$H:$H,E593,EmploymentResults!$J:$J,G593,EmploymentResults!$K:$K,H593,EmploymentResults!$L:$L,I593)</f>
        <v>8.3563041537709335</v>
      </c>
    </row>
    <row r="594" spans="1:12" x14ac:dyDescent="0.3">
      <c r="A594" t="str">
        <f t="shared" si="18"/>
        <v>PA|AccumulatedNewCapacity|RE1|PWRWNDOFS_FIX|2034</v>
      </c>
      <c r="B594" t="s">
        <v>44</v>
      </c>
      <c r="C594" t="s">
        <v>19</v>
      </c>
      <c r="D594" t="s">
        <v>42</v>
      </c>
      <c r="E594">
        <v>2034</v>
      </c>
      <c r="F594" t="s">
        <v>18</v>
      </c>
      <c r="G594" t="s">
        <v>63</v>
      </c>
      <c r="H594" t="s">
        <v>64</v>
      </c>
      <c r="I594" t="s">
        <v>65</v>
      </c>
      <c r="J594">
        <f>SUMIFS(RawResultsLong!$P:$P,RawResultsLong!$A:$A,A594)</f>
        <v>5.2560000000000002</v>
      </c>
      <c r="K594">
        <f t="shared" si="19"/>
        <v>166.55258955053617</v>
      </c>
      <c r="L594">
        <f>SUMIFS(EmploymentResults!$V:$V,EmploymentResults!$D:$D,B594,EmploymentResults!$F:$F,C594,EmploymentResults!$G:$G,D594,EmploymentResults!$H:$H,E594,EmploymentResults!$J:$J,G594,EmploymentResults!$K:$K,H594,EmploymentResults!$L:$L,I594)</f>
        <v>12.335882562601414</v>
      </c>
    </row>
    <row r="595" spans="1:12" x14ac:dyDescent="0.3">
      <c r="A595" t="str">
        <f t="shared" si="18"/>
        <v>PA|AccumulatedNewCapacity|RE1|PWRWNDOFS_FIX|2035</v>
      </c>
      <c r="B595" t="s">
        <v>44</v>
      </c>
      <c r="C595" t="s">
        <v>19</v>
      </c>
      <c r="D595" t="s">
        <v>42</v>
      </c>
      <c r="E595">
        <v>2035</v>
      </c>
      <c r="F595" t="s">
        <v>18</v>
      </c>
      <c r="G595" t="s">
        <v>63</v>
      </c>
      <c r="H595" t="s">
        <v>64</v>
      </c>
      <c r="I595" t="s">
        <v>65</v>
      </c>
      <c r="J595">
        <f>SUMIFS(RawResultsLong!$P:$P,RawResultsLong!$A:$A,A595)</f>
        <v>7.008</v>
      </c>
      <c r="K595">
        <f t="shared" si="19"/>
        <v>222.07011940071487</v>
      </c>
      <c r="L595">
        <f>SUMIFS(EmploymentResults!$V:$V,EmploymentResults!$D:$D,B595,EmploymentResults!$F:$F,C595,EmploymentResults!$G:$G,D595,EmploymentResults!$H:$H,E595,EmploymentResults!$J:$J,G595,EmploymentResults!$K:$K,H595,EmploymentResults!$L:$L,I595)</f>
        <v>16.183078526061905</v>
      </c>
    </row>
    <row r="596" spans="1:12" x14ac:dyDescent="0.3">
      <c r="A596" t="str">
        <f t="shared" si="18"/>
        <v>PA|AccumulatedNewCapacity|RE1|PWRWNDOFS_FIX|2036</v>
      </c>
      <c r="B596" t="s">
        <v>44</v>
      </c>
      <c r="C596" t="s">
        <v>19</v>
      </c>
      <c r="D596" t="s">
        <v>42</v>
      </c>
      <c r="E596">
        <v>2036</v>
      </c>
      <c r="F596" t="s">
        <v>18</v>
      </c>
      <c r="G596" t="s">
        <v>63</v>
      </c>
      <c r="H596" t="s">
        <v>64</v>
      </c>
      <c r="I596" t="s">
        <v>65</v>
      </c>
      <c r="J596">
        <f>SUMIFS(RawResultsLong!$P:$P,RawResultsLong!$A:$A,A596)</f>
        <v>8.76</v>
      </c>
      <c r="K596">
        <f t="shared" si="19"/>
        <v>277.58764925089361</v>
      </c>
      <c r="L596">
        <f>SUMIFS(EmploymentResults!$V:$V,EmploymentResults!$D:$D,B596,EmploymentResults!$F:$F,C596,EmploymentResults!$G:$G,D596,EmploymentResults!$H:$H,E596,EmploymentResults!$J:$J,G596,EmploymentResults!$K:$K,H596,EmploymentResults!$L:$L,I596)</f>
        <v>19.897892044152407</v>
      </c>
    </row>
    <row r="597" spans="1:12" x14ac:dyDescent="0.3">
      <c r="A597" t="str">
        <f t="shared" si="18"/>
        <v>PA|AccumulatedNewCapacity|RE1|PWRWNDOFS_FIX|2037</v>
      </c>
      <c r="B597" t="s">
        <v>44</v>
      </c>
      <c r="C597" t="s">
        <v>19</v>
      </c>
      <c r="D597" t="s">
        <v>42</v>
      </c>
      <c r="E597">
        <v>2037</v>
      </c>
      <c r="F597" t="s">
        <v>18</v>
      </c>
      <c r="G597" t="s">
        <v>63</v>
      </c>
      <c r="H597" t="s">
        <v>64</v>
      </c>
      <c r="I597" t="s">
        <v>65</v>
      </c>
      <c r="J597">
        <f>SUMIFS(RawResultsLong!$P:$P,RawResultsLong!$A:$A,A597)</f>
        <v>10.512</v>
      </c>
      <c r="K597">
        <f t="shared" si="19"/>
        <v>333.10517910107234</v>
      </c>
      <c r="L597">
        <f>SUMIFS(EmploymentResults!$V:$V,EmploymentResults!$D:$D,B597,EmploymentResults!$F:$F,C597,EmploymentResults!$G:$G,D597,EmploymentResults!$H:$H,E597,EmploymentResults!$J:$J,G597,EmploymentResults!$K:$K,H597,EmploymentResults!$L:$L,I597)</f>
        <v>23.480323116872917</v>
      </c>
    </row>
    <row r="598" spans="1:12" x14ac:dyDescent="0.3">
      <c r="A598" t="str">
        <f t="shared" si="18"/>
        <v>PA|AccumulatedNewCapacity|RE1|PWRWNDOFS_FIX|2038</v>
      </c>
      <c r="B598" t="s">
        <v>44</v>
      </c>
      <c r="C598" t="s">
        <v>19</v>
      </c>
      <c r="D598" t="s">
        <v>42</v>
      </c>
      <c r="E598">
        <v>2038</v>
      </c>
      <c r="F598" t="s">
        <v>18</v>
      </c>
      <c r="G598" t="s">
        <v>63</v>
      </c>
      <c r="H598" t="s">
        <v>64</v>
      </c>
      <c r="I598" t="s">
        <v>65</v>
      </c>
      <c r="J598">
        <f>SUMIFS(RawResultsLong!$P:$P,RawResultsLong!$A:$A,A598)</f>
        <v>12.263999999999999</v>
      </c>
      <c r="K598">
        <f t="shared" si="19"/>
        <v>388.62270895125101</v>
      </c>
      <c r="L598">
        <f>SUMIFS(EmploymentResults!$V:$V,EmploymentResults!$D:$D,B598,EmploymentResults!$F:$F,C598,EmploymentResults!$G:$G,D598,EmploymentResults!$H:$H,E598,EmploymentResults!$J:$J,G598,EmploymentResults!$K:$K,H598,EmploymentResults!$L:$L,I598)</f>
        <v>26.930371744184576</v>
      </c>
    </row>
    <row r="599" spans="1:12" x14ac:dyDescent="0.3">
      <c r="A599" t="str">
        <f t="shared" si="18"/>
        <v>PA|AccumulatedNewCapacity|RE1|PWRWNDOFS_FIX|2039</v>
      </c>
      <c r="B599" t="s">
        <v>44</v>
      </c>
      <c r="C599" t="s">
        <v>19</v>
      </c>
      <c r="D599" t="s">
        <v>42</v>
      </c>
      <c r="E599">
        <v>2039</v>
      </c>
      <c r="F599" t="s">
        <v>18</v>
      </c>
      <c r="G599" t="s">
        <v>63</v>
      </c>
      <c r="H599" t="s">
        <v>64</v>
      </c>
      <c r="I599" t="s">
        <v>65</v>
      </c>
      <c r="J599">
        <f>SUMIFS(RawResultsLong!$P:$P,RawResultsLong!$A:$A,A599)</f>
        <v>14.016</v>
      </c>
      <c r="K599">
        <f t="shared" si="19"/>
        <v>444.14023880142975</v>
      </c>
      <c r="L599">
        <f>SUMIFS(EmploymentResults!$V:$V,EmploymentResults!$D:$D,B599,EmploymentResults!$F:$F,C599,EmploymentResults!$G:$G,D599,EmploymentResults!$H:$H,E599,EmploymentResults!$J:$J,G599,EmploymentResults!$K:$K,H599,EmploymentResults!$L:$L,I599)</f>
        <v>30.248037926159554</v>
      </c>
    </row>
    <row r="600" spans="1:12" x14ac:dyDescent="0.3">
      <c r="A600" t="str">
        <f t="shared" si="18"/>
        <v>PA|AccumulatedNewCapacity|RE1|PWRWNDOFS_FIX|2040</v>
      </c>
      <c r="B600" t="s">
        <v>44</v>
      </c>
      <c r="C600" t="s">
        <v>19</v>
      </c>
      <c r="D600" t="s">
        <v>42</v>
      </c>
      <c r="E600">
        <v>2040</v>
      </c>
      <c r="F600" t="s">
        <v>18</v>
      </c>
      <c r="G600" t="s">
        <v>63</v>
      </c>
      <c r="H600" t="s">
        <v>64</v>
      </c>
      <c r="I600" t="s">
        <v>65</v>
      </c>
      <c r="J600">
        <f>SUMIFS(RawResultsLong!$P:$P,RawResultsLong!$A:$A,A600)</f>
        <v>15.768000000000001</v>
      </c>
      <c r="K600">
        <f t="shared" si="19"/>
        <v>499.65776865160848</v>
      </c>
      <c r="L600">
        <f>SUMIFS(EmploymentResults!$V:$V,EmploymentResults!$D:$D,B600,EmploymentResults!$F:$F,C600,EmploymentResults!$G:$G,D600,EmploymentResults!$H:$H,E600,EmploymentResults!$J:$J,G600,EmploymentResults!$K:$K,H600,EmploymentResults!$L:$L,I600)</f>
        <v>33.433321662764541</v>
      </c>
    </row>
    <row r="601" spans="1:12" x14ac:dyDescent="0.3">
      <c r="A601" t="str">
        <f t="shared" si="18"/>
        <v>PA|AccumulatedNewCapacity|RE1|PWRWNDOFS_FIX|2041</v>
      </c>
      <c r="B601" t="s">
        <v>44</v>
      </c>
      <c r="C601" t="s">
        <v>19</v>
      </c>
      <c r="D601" t="s">
        <v>42</v>
      </c>
      <c r="E601">
        <v>2041</v>
      </c>
      <c r="F601" t="s">
        <v>18</v>
      </c>
      <c r="G601" t="s">
        <v>63</v>
      </c>
      <c r="H601" t="s">
        <v>64</v>
      </c>
      <c r="I601" t="s">
        <v>65</v>
      </c>
      <c r="J601">
        <f>SUMIFS(RawResultsLong!$P:$P,RawResultsLong!$A:$A,A601)</f>
        <v>18.921600000000002</v>
      </c>
      <c r="K601">
        <f t="shared" si="19"/>
        <v>599.58932238193029</v>
      </c>
      <c r="L601">
        <f>SUMIFS(EmploymentResults!$V:$V,EmploymentResults!$D:$D,B601,EmploymentResults!$F:$F,C601,EmploymentResults!$G:$G,D601,EmploymentResults!$H:$H,E601,EmploymentResults!$J:$J,G601,EmploymentResults!$K:$K,H601,EmploymentResults!$L:$L,I601)</f>
        <v>39.405120790319515</v>
      </c>
    </row>
    <row r="602" spans="1:12" x14ac:dyDescent="0.3">
      <c r="A602" t="str">
        <f t="shared" si="18"/>
        <v>PA|AccumulatedNewCapacity|RE1|PWRWNDOFS_FIX|2042</v>
      </c>
      <c r="B602" t="s">
        <v>44</v>
      </c>
      <c r="C602" t="s">
        <v>19</v>
      </c>
      <c r="D602" t="s">
        <v>42</v>
      </c>
      <c r="E602">
        <v>2042</v>
      </c>
      <c r="F602" t="s">
        <v>18</v>
      </c>
      <c r="G602" t="s">
        <v>63</v>
      </c>
      <c r="H602" t="s">
        <v>64</v>
      </c>
      <c r="I602" t="s">
        <v>65</v>
      </c>
      <c r="J602">
        <f>SUMIFS(RawResultsLong!$P:$P,RawResultsLong!$A:$A,A602)</f>
        <v>22.075199999999999</v>
      </c>
      <c r="K602">
        <f t="shared" si="19"/>
        <v>699.52087611225181</v>
      </c>
      <c r="L602">
        <f>SUMIFS(EmploymentResults!$V:$V,EmploymentResults!$D:$D,B602,EmploymentResults!$F:$F,C602,EmploymentResults!$G:$G,D602,EmploymentResults!$H:$H,E602,EmploymentResults!$J:$J,G602,EmploymentResults!$K:$K,H602,EmploymentResults!$L:$L,I602)</f>
        <v>45.138631516208484</v>
      </c>
    </row>
    <row r="603" spans="1:12" x14ac:dyDescent="0.3">
      <c r="A603" t="str">
        <f t="shared" si="18"/>
        <v>PA|AccumulatedNewCapacity|RE1|PWRWNDOFS_FIX|2043</v>
      </c>
      <c r="B603" t="s">
        <v>44</v>
      </c>
      <c r="C603" t="s">
        <v>19</v>
      </c>
      <c r="D603" t="s">
        <v>42</v>
      </c>
      <c r="E603">
        <v>2043</v>
      </c>
      <c r="F603" t="s">
        <v>18</v>
      </c>
      <c r="G603" t="s">
        <v>63</v>
      </c>
      <c r="H603" t="s">
        <v>64</v>
      </c>
      <c r="I603" t="s">
        <v>65</v>
      </c>
      <c r="J603">
        <f>SUMIFS(RawResultsLong!$P:$P,RawResultsLong!$A:$A,A603)</f>
        <v>25.2288</v>
      </c>
      <c r="K603">
        <f t="shared" si="19"/>
        <v>799.45242984257357</v>
      </c>
      <c r="L603">
        <f>SUMIFS(EmploymentResults!$V:$V,EmploymentResults!$D:$D,B603,EmploymentResults!$F:$F,C603,EmploymentResults!$G:$G,D603,EmploymentResults!$H:$H,E603,EmploymentResults!$J:$J,G603,EmploymentResults!$K:$K,H603,EmploymentResults!$L:$L,I603)</f>
        <v>50.633853840431485</v>
      </c>
    </row>
    <row r="604" spans="1:12" x14ac:dyDescent="0.3">
      <c r="A604" t="str">
        <f t="shared" si="18"/>
        <v>PA|AccumulatedNewCapacity|RE1|PWRWNDOFS_FIX|2044</v>
      </c>
      <c r="B604" t="s">
        <v>44</v>
      </c>
      <c r="C604" t="s">
        <v>19</v>
      </c>
      <c r="D604" t="s">
        <v>42</v>
      </c>
      <c r="E604">
        <v>2044</v>
      </c>
      <c r="F604" t="s">
        <v>18</v>
      </c>
      <c r="G604" t="s">
        <v>63</v>
      </c>
      <c r="H604" t="s">
        <v>64</v>
      </c>
      <c r="I604" t="s">
        <v>65</v>
      </c>
      <c r="J604">
        <f>SUMIFS(RawResultsLong!$P:$P,RawResultsLong!$A:$A,A604)</f>
        <v>28.382400000000001</v>
      </c>
      <c r="K604">
        <f t="shared" si="19"/>
        <v>899.38398357289532</v>
      </c>
      <c r="L604">
        <f>SUMIFS(EmploymentResults!$V:$V,EmploymentResults!$D:$D,B604,EmploymentResults!$F:$F,C604,EmploymentResults!$G:$G,D604,EmploymentResults!$H:$H,E604,EmploymentResults!$J:$J,G604,EmploymentResults!$K:$K,H604,EmploymentResults!$L:$L,I604)</f>
        <v>55.890787762898569</v>
      </c>
    </row>
    <row r="605" spans="1:12" x14ac:dyDescent="0.3">
      <c r="A605" t="str">
        <f t="shared" si="18"/>
        <v>PA|AccumulatedNewCapacity|RE1|PWRWNDOFS_FIX|2045</v>
      </c>
      <c r="B605" t="s">
        <v>44</v>
      </c>
      <c r="C605" t="s">
        <v>19</v>
      </c>
      <c r="D605" t="s">
        <v>42</v>
      </c>
      <c r="E605">
        <v>2045</v>
      </c>
      <c r="F605" t="s">
        <v>18</v>
      </c>
      <c r="G605" t="s">
        <v>63</v>
      </c>
      <c r="H605" t="s">
        <v>64</v>
      </c>
      <c r="I605" t="s">
        <v>65</v>
      </c>
      <c r="J605">
        <f>SUMIFS(RawResultsLong!$P:$P,RawResultsLong!$A:$A,A605)</f>
        <v>31.536000000000001</v>
      </c>
      <c r="K605">
        <f t="shared" si="19"/>
        <v>999.31553730321696</v>
      </c>
      <c r="L605">
        <f>SUMIFS(EmploymentResults!$V:$V,EmploymentResults!$D:$D,B605,EmploymentResults!$F:$F,C605,EmploymentResults!$G:$G,D605,EmploymentResults!$H:$H,E605,EmploymentResults!$J:$J,G605,EmploymentResults!$K:$K,H605,EmploymentResults!$L:$L,I605)</f>
        <v>60.909433283779599</v>
      </c>
    </row>
    <row r="606" spans="1:12" x14ac:dyDescent="0.3">
      <c r="A606" t="str">
        <f t="shared" si="18"/>
        <v>PA|AccumulatedNewCapacity|RE1|PWRWNDOFS_FIX|2046</v>
      </c>
      <c r="B606" t="s">
        <v>44</v>
      </c>
      <c r="C606" t="s">
        <v>19</v>
      </c>
      <c r="D606" t="s">
        <v>42</v>
      </c>
      <c r="E606">
        <v>2046</v>
      </c>
      <c r="F606" t="s">
        <v>18</v>
      </c>
      <c r="G606" t="s">
        <v>63</v>
      </c>
      <c r="H606" t="s">
        <v>64</v>
      </c>
      <c r="I606" t="s">
        <v>65</v>
      </c>
      <c r="J606">
        <f>SUMIFS(RawResultsLong!$P:$P,RawResultsLong!$A:$A,A606)</f>
        <v>34.689600000000013</v>
      </c>
      <c r="K606">
        <f t="shared" si="19"/>
        <v>1099.2470910335392</v>
      </c>
      <c r="L606">
        <f>SUMIFS(EmploymentResults!$V:$V,EmploymentResults!$D:$D,B606,EmploymentResults!$F:$F,C606,EmploymentResults!$G:$G,D606,EmploymentResults!$H:$H,E606,EmploymentResults!$J:$J,G606,EmploymentResults!$K:$K,H606,EmploymentResults!$L:$L,I606)</f>
        <v>65.689790402994689</v>
      </c>
    </row>
    <row r="607" spans="1:12" x14ac:dyDescent="0.3">
      <c r="A607" t="str">
        <f t="shared" si="18"/>
        <v>PA|AccumulatedNewCapacity|RE1|PWRWNDOFS_FIX|2047</v>
      </c>
      <c r="B607" t="s">
        <v>44</v>
      </c>
      <c r="C607" t="s">
        <v>19</v>
      </c>
      <c r="D607" t="s">
        <v>42</v>
      </c>
      <c r="E607">
        <v>2047</v>
      </c>
      <c r="F607" t="s">
        <v>18</v>
      </c>
      <c r="G607" t="s">
        <v>63</v>
      </c>
      <c r="H607" t="s">
        <v>64</v>
      </c>
      <c r="I607" t="s">
        <v>65</v>
      </c>
      <c r="J607">
        <f>SUMIFS(RawResultsLong!$P:$P,RawResultsLong!$A:$A,A607)</f>
        <v>37.843200000000003</v>
      </c>
      <c r="K607">
        <f t="shared" si="19"/>
        <v>1199.1786447638606</v>
      </c>
      <c r="L607">
        <f>SUMIFS(EmploymentResults!$V:$V,EmploymentResults!$D:$D,B607,EmploymentResults!$F:$F,C607,EmploymentResults!$G:$G,D607,EmploymentResults!$H:$H,E607,EmploymentResults!$J:$J,G607,EmploymentResults!$K:$K,H607,EmploymentResults!$L:$L,I607)</f>
        <v>70.231859120543746</v>
      </c>
    </row>
    <row r="608" spans="1:12" x14ac:dyDescent="0.3">
      <c r="A608" t="str">
        <f t="shared" si="18"/>
        <v>PA|AccumulatedNewCapacity|RE1|PWRWNDOFS_FIX|2048</v>
      </c>
      <c r="B608" t="s">
        <v>44</v>
      </c>
      <c r="C608" t="s">
        <v>19</v>
      </c>
      <c r="D608" t="s">
        <v>42</v>
      </c>
      <c r="E608">
        <v>2048</v>
      </c>
      <c r="F608" t="s">
        <v>18</v>
      </c>
      <c r="G608" t="s">
        <v>63</v>
      </c>
      <c r="H608" t="s">
        <v>64</v>
      </c>
      <c r="I608" t="s">
        <v>65</v>
      </c>
      <c r="J608">
        <f>SUMIFS(RawResultsLong!$P:$P,RawResultsLong!$A:$A,A608)</f>
        <v>40.9968</v>
      </c>
      <c r="K608">
        <f t="shared" si="19"/>
        <v>1299.1101984941822</v>
      </c>
      <c r="L608">
        <f>SUMIFS(EmploymentResults!$V:$V,EmploymentResults!$D:$D,B608,EmploymentResults!$F:$F,C608,EmploymentResults!$G:$G,D608,EmploymentResults!$H:$H,E608,EmploymentResults!$J:$J,G608,EmploymentResults!$K:$K,H608,EmploymentResults!$L:$L,I608)</f>
        <v>74.535639436426834</v>
      </c>
    </row>
    <row r="609" spans="1:12" x14ac:dyDescent="0.3">
      <c r="A609" t="str">
        <f t="shared" si="18"/>
        <v>PA|AccumulatedNewCapacity|RE1|PWRWNDOFS_FIX|2049</v>
      </c>
      <c r="B609" t="s">
        <v>44</v>
      </c>
      <c r="C609" t="s">
        <v>19</v>
      </c>
      <c r="D609" t="s">
        <v>42</v>
      </c>
      <c r="E609">
        <v>2049</v>
      </c>
      <c r="F609" t="s">
        <v>18</v>
      </c>
      <c r="G609" t="s">
        <v>63</v>
      </c>
      <c r="H609" t="s">
        <v>64</v>
      </c>
      <c r="I609" t="s">
        <v>65</v>
      </c>
      <c r="J609">
        <f>SUMIFS(RawResultsLong!$P:$P,RawResultsLong!$A:$A,A609)</f>
        <v>44.150399999999998</v>
      </c>
      <c r="K609">
        <f t="shared" si="19"/>
        <v>1399.0417522245036</v>
      </c>
      <c r="L609">
        <f>SUMIFS(EmploymentResults!$V:$V,EmploymentResults!$D:$D,B609,EmploymentResults!$F:$F,C609,EmploymentResults!$G:$G,D609,EmploymentResults!$H:$H,E609,EmploymentResults!$J:$J,G609,EmploymentResults!$K:$K,H609,EmploymentResults!$L:$L,I609)</f>
        <v>78.601131350643939</v>
      </c>
    </row>
    <row r="610" spans="1:12" x14ac:dyDescent="0.3">
      <c r="A610" t="str">
        <f t="shared" si="18"/>
        <v>PA|AccumulatedNewCapacity|RE1|PWRWNDOFS_FIX|2050</v>
      </c>
      <c r="B610" t="s">
        <v>44</v>
      </c>
      <c r="C610" t="s">
        <v>19</v>
      </c>
      <c r="D610" t="s">
        <v>42</v>
      </c>
      <c r="E610">
        <v>2050</v>
      </c>
      <c r="F610" t="s">
        <v>18</v>
      </c>
      <c r="G610" t="s">
        <v>63</v>
      </c>
      <c r="H610" t="s">
        <v>64</v>
      </c>
      <c r="I610" t="s">
        <v>65</v>
      </c>
      <c r="J610">
        <f>SUMIFS(RawResultsLong!$P:$P,RawResultsLong!$A:$A,A610)</f>
        <v>47.303999999999988</v>
      </c>
      <c r="K610">
        <f t="shared" si="19"/>
        <v>1498.973305954825</v>
      </c>
      <c r="L610">
        <f>SUMIFS(EmploymentResults!$V:$V,EmploymentResults!$D:$D,B610,EmploymentResults!$F:$F,C610,EmploymentResults!$G:$G,D610,EmploymentResults!$H:$H,E610,EmploymentResults!$J:$J,G610,EmploymentResults!$K:$K,H610,EmploymentResults!$L:$L,I610)</f>
        <v>82.428334863195047</v>
      </c>
    </row>
    <row r="611" spans="1:12" x14ac:dyDescent="0.3">
      <c r="A611" t="str">
        <f t="shared" si="18"/>
        <v>PA|AccumulatedNewCapacity|RE1|PWRWNDOFS_FIX|2051</v>
      </c>
      <c r="B611" t="s">
        <v>44</v>
      </c>
      <c r="C611" t="s">
        <v>19</v>
      </c>
      <c r="D611" t="s">
        <v>42</v>
      </c>
      <c r="E611">
        <v>2051</v>
      </c>
      <c r="F611" t="s">
        <v>18</v>
      </c>
      <c r="G611" t="s">
        <v>63</v>
      </c>
      <c r="H611" t="s">
        <v>64</v>
      </c>
      <c r="I611" t="s">
        <v>65</v>
      </c>
      <c r="J611">
        <f>SUMIFS(RawResultsLong!$P:$P,RawResultsLong!$A:$A,A611)</f>
        <v>47.303999999999988</v>
      </c>
      <c r="K611">
        <f t="shared" si="19"/>
        <v>1498.973305954825</v>
      </c>
      <c r="L611">
        <f>SUMIFS(EmploymentResults!$V:$V,EmploymentResults!$D:$D,B611,EmploymentResults!$F:$F,C611,EmploymentResults!$G:$G,D611,EmploymentResults!$H:$H,E611,EmploymentResults!$J:$J,G611,EmploymentResults!$K:$K,H611,EmploymentResults!$L:$L,I611)</f>
        <v>82.428334863195047</v>
      </c>
    </row>
    <row r="612" spans="1:12" x14ac:dyDescent="0.3">
      <c r="A612" t="str">
        <f t="shared" si="18"/>
        <v>PA|AccumulatedNewCapacity|RE1|PWRWNDOFS_FIX|2052</v>
      </c>
      <c r="B612" t="s">
        <v>44</v>
      </c>
      <c r="C612" t="s">
        <v>19</v>
      </c>
      <c r="D612" t="s">
        <v>42</v>
      </c>
      <c r="E612">
        <v>2052</v>
      </c>
      <c r="F612" t="s">
        <v>18</v>
      </c>
      <c r="G612" t="s">
        <v>63</v>
      </c>
      <c r="H612" t="s">
        <v>64</v>
      </c>
      <c r="I612" t="s">
        <v>65</v>
      </c>
      <c r="J612">
        <f>SUMIFS(RawResultsLong!$P:$P,RawResultsLong!$A:$A,A612)</f>
        <v>47.303999999999988</v>
      </c>
      <c r="K612">
        <f t="shared" si="19"/>
        <v>1498.973305954825</v>
      </c>
      <c r="L612">
        <f>SUMIFS(EmploymentResults!$V:$V,EmploymentResults!$D:$D,B612,EmploymentResults!$F:$F,C612,EmploymentResults!$G:$G,D612,EmploymentResults!$H:$H,E612,EmploymentResults!$J:$J,G612,EmploymentResults!$K:$K,H612,EmploymentResults!$L:$L,I612)</f>
        <v>82.428334863195047</v>
      </c>
    </row>
    <row r="613" spans="1:12" x14ac:dyDescent="0.3">
      <c r="A613" t="str">
        <f t="shared" si="18"/>
        <v>PA|AccumulatedNewCapacity|RE1|PWRWNDOFS_FIX|2053</v>
      </c>
      <c r="B613" t="s">
        <v>44</v>
      </c>
      <c r="C613" t="s">
        <v>19</v>
      </c>
      <c r="D613" t="s">
        <v>42</v>
      </c>
      <c r="E613">
        <v>2053</v>
      </c>
      <c r="F613" t="s">
        <v>18</v>
      </c>
      <c r="G613" t="s">
        <v>63</v>
      </c>
      <c r="H613" t="s">
        <v>64</v>
      </c>
      <c r="I613" t="s">
        <v>65</v>
      </c>
      <c r="J613">
        <f>SUMIFS(RawResultsLong!$P:$P,RawResultsLong!$A:$A,A613)</f>
        <v>47.303999999999988</v>
      </c>
      <c r="K613">
        <f t="shared" si="19"/>
        <v>1498.973305954825</v>
      </c>
      <c r="L613">
        <f>SUMIFS(EmploymentResults!$V:$V,EmploymentResults!$D:$D,B613,EmploymentResults!$F:$F,C613,EmploymentResults!$G:$G,D613,EmploymentResults!$H:$H,E613,EmploymentResults!$J:$J,G613,EmploymentResults!$K:$K,H613,EmploymentResults!$L:$L,I613)</f>
        <v>82.428334863195047</v>
      </c>
    </row>
    <row r="614" spans="1:12" x14ac:dyDescent="0.3">
      <c r="A614" t="str">
        <f t="shared" si="18"/>
        <v>PA|AccumulatedNewCapacity|RE1|PWRWNDOFS_FIX|2054</v>
      </c>
      <c r="B614" t="s">
        <v>44</v>
      </c>
      <c r="C614" t="s">
        <v>19</v>
      </c>
      <c r="D614" t="s">
        <v>42</v>
      </c>
      <c r="E614">
        <v>2054</v>
      </c>
      <c r="F614" t="s">
        <v>18</v>
      </c>
      <c r="G614" t="s">
        <v>63</v>
      </c>
      <c r="H614" t="s">
        <v>64</v>
      </c>
      <c r="I614" t="s">
        <v>65</v>
      </c>
      <c r="J614">
        <f>SUMIFS(RawResultsLong!$P:$P,RawResultsLong!$A:$A,A614)</f>
        <v>47.303999999999988</v>
      </c>
      <c r="K614">
        <f t="shared" si="19"/>
        <v>1498.973305954825</v>
      </c>
      <c r="L614">
        <f>SUMIFS(EmploymentResults!$V:$V,EmploymentResults!$D:$D,B614,EmploymentResults!$F:$F,C614,EmploymentResults!$G:$G,D614,EmploymentResults!$H:$H,E614,EmploymentResults!$J:$J,G614,EmploymentResults!$K:$K,H614,EmploymentResults!$L:$L,I614)</f>
        <v>82.428334863195047</v>
      </c>
    </row>
    <row r="615" spans="1:12" x14ac:dyDescent="0.3">
      <c r="A615" t="str">
        <f t="shared" si="18"/>
        <v>PA|AccumulatedNewCapacity|RE1|PWRWNDOFS_FIX|2055</v>
      </c>
      <c r="B615" t="s">
        <v>44</v>
      </c>
      <c r="C615" t="s">
        <v>19</v>
      </c>
      <c r="D615" t="s">
        <v>42</v>
      </c>
      <c r="E615">
        <v>2055</v>
      </c>
      <c r="F615" t="s">
        <v>18</v>
      </c>
      <c r="G615" t="s">
        <v>63</v>
      </c>
      <c r="H615" t="s">
        <v>64</v>
      </c>
      <c r="I615" t="s">
        <v>65</v>
      </c>
      <c r="J615">
        <f>SUMIFS(RawResultsLong!$P:$P,RawResultsLong!$A:$A,A615)</f>
        <v>47.303999999999988</v>
      </c>
      <c r="K615">
        <f t="shared" si="19"/>
        <v>1498.973305954825</v>
      </c>
      <c r="L615">
        <f>SUMIFS(EmploymentResults!$V:$V,EmploymentResults!$D:$D,B615,EmploymentResults!$F:$F,C615,EmploymentResults!$G:$G,D615,EmploymentResults!$H:$H,E615,EmploymentResults!$J:$J,G615,EmploymentResults!$K:$K,H615,EmploymentResults!$L:$L,I615)</f>
        <v>82.428334863195047</v>
      </c>
    </row>
    <row r="616" spans="1:12" x14ac:dyDescent="0.3">
      <c r="A616" t="str">
        <f t="shared" si="18"/>
        <v>PA|AccumulatedNewCapacity|RE1|PWRWNDONS|2025</v>
      </c>
      <c r="B616" t="s">
        <v>44</v>
      </c>
      <c r="C616" t="s">
        <v>19</v>
      </c>
      <c r="D616" t="s">
        <v>36</v>
      </c>
      <c r="E616">
        <v>2025</v>
      </c>
      <c r="F616" t="s">
        <v>18</v>
      </c>
      <c r="G616" t="s">
        <v>63</v>
      </c>
      <c r="H616" t="s">
        <v>64</v>
      </c>
      <c r="I616" t="s">
        <v>65</v>
      </c>
      <c r="J616">
        <f>SUMIFS(RawResultsLong!$P:$P,RawResultsLong!$A:$A,A616)</f>
        <v>0.15362331428571441</v>
      </c>
      <c r="K616">
        <f t="shared" si="19"/>
        <v>4.8680290733678859</v>
      </c>
      <c r="L616">
        <f>SUMIFS(EmploymentResults!$V:$V,EmploymentResults!$D:$D,B616,EmploymentResults!$F:$F,C616,EmploymentResults!$G:$G,D616,EmploymentResults!$H:$H,E616,EmploymentResults!$J:$J,G616,EmploymentResults!$K:$K,H616,EmploymentResults!$L:$L,I616)</f>
        <v>0.14479721513827704</v>
      </c>
    </row>
    <row r="617" spans="1:12" x14ac:dyDescent="0.3">
      <c r="A617" t="str">
        <f t="shared" si="18"/>
        <v>PA|AccumulatedNewCapacity|RE1|PWRWNDONS|2026</v>
      </c>
      <c r="B617" t="s">
        <v>44</v>
      </c>
      <c r="C617" t="s">
        <v>19</v>
      </c>
      <c r="D617" t="s">
        <v>36</v>
      </c>
      <c r="E617">
        <v>2026</v>
      </c>
      <c r="F617" t="s">
        <v>18</v>
      </c>
      <c r="G617" t="s">
        <v>63</v>
      </c>
      <c r="H617" t="s">
        <v>64</v>
      </c>
      <c r="I617" t="s">
        <v>65</v>
      </c>
      <c r="J617">
        <f>SUMIFS(RawResultsLong!$P:$P,RawResultsLong!$A:$A,A617)</f>
        <v>0.15362331428571441</v>
      </c>
      <c r="K617">
        <f t="shared" si="19"/>
        <v>4.8680290733678859</v>
      </c>
      <c r="L617">
        <f>SUMIFS(EmploymentResults!$V:$V,EmploymentResults!$D:$D,B617,EmploymentResults!$F:$F,C617,EmploymentResults!$G:$G,D617,EmploymentResults!$H:$H,E617,EmploymentResults!$J:$J,G617,EmploymentResults!$K:$K,H617,EmploymentResults!$L:$L,I617)</f>
        <v>0.14355355807600428</v>
      </c>
    </row>
    <row r="618" spans="1:12" x14ac:dyDescent="0.3">
      <c r="A618" t="str">
        <f t="shared" si="18"/>
        <v>PA|AccumulatedNewCapacity|RE1|PWRWNDONS|2027</v>
      </c>
      <c r="B618" t="s">
        <v>44</v>
      </c>
      <c r="C618" t="s">
        <v>19</v>
      </c>
      <c r="D618" t="s">
        <v>36</v>
      </c>
      <c r="E618">
        <v>2027</v>
      </c>
      <c r="F618" t="s">
        <v>18</v>
      </c>
      <c r="G618" t="s">
        <v>63</v>
      </c>
      <c r="H618" t="s">
        <v>64</v>
      </c>
      <c r="I618" t="s">
        <v>65</v>
      </c>
      <c r="J618">
        <f>SUMIFS(RawResultsLong!$P:$P,RawResultsLong!$A:$A,A618)</f>
        <v>17.46688731428571</v>
      </c>
      <c r="K618">
        <f t="shared" si="19"/>
        <v>553.4922590528339</v>
      </c>
      <c r="L618">
        <f>SUMIFS(EmploymentResults!$V:$V,EmploymentResults!$D:$D,B618,EmploymentResults!$F:$F,C618,EmploymentResults!$G:$G,D618,EmploymentResults!$H:$H,E618,EmploymentResults!$J:$J,G618,EmploymentResults!$K:$K,H618,EmploymentResults!$L:$L,I618)</f>
        <v>16.180558375940784</v>
      </c>
    </row>
    <row r="619" spans="1:12" x14ac:dyDescent="0.3">
      <c r="A619" t="str">
        <f t="shared" si="18"/>
        <v>PA|AccumulatedNewCapacity|RE1|PWRWNDONS|2028</v>
      </c>
      <c r="B619" t="s">
        <v>44</v>
      </c>
      <c r="C619" t="s">
        <v>19</v>
      </c>
      <c r="D619" t="s">
        <v>36</v>
      </c>
      <c r="E619">
        <v>2028</v>
      </c>
      <c r="F619" t="s">
        <v>18</v>
      </c>
      <c r="G619" t="s">
        <v>63</v>
      </c>
      <c r="H619" t="s">
        <v>64</v>
      </c>
      <c r="I619" t="s">
        <v>65</v>
      </c>
      <c r="J619">
        <f>SUMIFS(RawResultsLong!$P:$P,RawResultsLong!$A:$A,A619)</f>
        <v>23.805623314285711</v>
      </c>
      <c r="K619">
        <f t="shared" si="19"/>
        <v>754.35468205078053</v>
      </c>
      <c r="L619">
        <f>SUMIFS(EmploymentResults!$V:$V,EmploymentResults!$D:$D,B619,EmploymentResults!$F:$F,C619,EmploymentResults!$G:$G,D619,EmploymentResults!$H:$H,E619,EmploymentResults!$J:$J,G619,EmploymentResults!$K:$K,H619,EmploymentResults!$L:$L,I619)</f>
        <v>21.859767063821607</v>
      </c>
    </row>
    <row r="620" spans="1:12" x14ac:dyDescent="0.3">
      <c r="A620" t="str">
        <f t="shared" si="18"/>
        <v>PA|AccumulatedNewCapacity|RE1|PWRWNDONS|2029</v>
      </c>
      <c r="B620" t="s">
        <v>44</v>
      </c>
      <c r="C620" t="s">
        <v>19</v>
      </c>
      <c r="D620" t="s">
        <v>36</v>
      </c>
      <c r="E620">
        <v>2029</v>
      </c>
      <c r="F620" t="s">
        <v>18</v>
      </c>
      <c r="G620" t="s">
        <v>63</v>
      </c>
      <c r="H620" t="s">
        <v>64</v>
      </c>
      <c r="I620" t="s">
        <v>65</v>
      </c>
      <c r="J620">
        <f>SUMIFS(RawResultsLong!$P:$P,RawResultsLong!$A:$A,A620)</f>
        <v>33.266423314285717</v>
      </c>
      <c r="K620">
        <f t="shared" si="19"/>
        <v>1054.1493432417458</v>
      </c>
      <c r="L620">
        <f>SUMIFS(EmploymentResults!$V:$V,EmploymentResults!$D:$D,B620,EmploymentResults!$F:$F,C620,EmploymentResults!$G:$G,D620,EmploymentResults!$H:$H,E620,EmploymentResults!$J:$J,G620,EmploymentResults!$K:$K,H620,EmploymentResults!$L:$L,I620)</f>
        <v>30.277939165346531</v>
      </c>
    </row>
    <row r="621" spans="1:12" x14ac:dyDescent="0.3">
      <c r="A621" t="str">
        <f t="shared" si="18"/>
        <v>PA|AccumulatedNewCapacity|RE1|PWRWNDONS|2030</v>
      </c>
      <c r="B621" t="s">
        <v>44</v>
      </c>
      <c r="C621" t="s">
        <v>19</v>
      </c>
      <c r="D621" t="s">
        <v>36</v>
      </c>
      <c r="E621">
        <v>2030</v>
      </c>
      <c r="F621" t="s">
        <v>18</v>
      </c>
      <c r="G621" t="s">
        <v>63</v>
      </c>
      <c r="H621" t="s">
        <v>64</v>
      </c>
      <c r="I621" t="s">
        <v>65</v>
      </c>
      <c r="J621">
        <f>SUMIFS(RawResultsLong!$P:$P,RawResultsLong!$A:$A,A621)</f>
        <v>33.266423314285717</v>
      </c>
      <c r="K621">
        <f t="shared" si="19"/>
        <v>1054.1493432417458</v>
      </c>
      <c r="L621">
        <f>SUMIFS(EmploymentResults!$V:$V,EmploymentResults!$D:$D,B621,EmploymentResults!$F:$F,C621,EmploymentResults!$G:$G,D621,EmploymentResults!$H:$H,E621,EmploymentResults!$J:$J,G621,EmploymentResults!$K:$K,H621,EmploymentResults!$L:$L,I621)</f>
        <v>30.008630939028613</v>
      </c>
    </row>
    <row r="622" spans="1:12" x14ac:dyDescent="0.3">
      <c r="A622" t="str">
        <f t="shared" si="18"/>
        <v>PA|AccumulatedNewCapacity|RE1|PWRWNDONS|2031</v>
      </c>
      <c r="B622" t="s">
        <v>44</v>
      </c>
      <c r="C622" t="s">
        <v>19</v>
      </c>
      <c r="D622" t="s">
        <v>36</v>
      </c>
      <c r="E622">
        <v>2031</v>
      </c>
      <c r="F622" t="s">
        <v>18</v>
      </c>
      <c r="G622" t="s">
        <v>63</v>
      </c>
      <c r="H622" t="s">
        <v>64</v>
      </c>
      <c r="I622" t="s">
        <v>65</v>
      </c>
      <c r="J622">
        <f>SUMIFS(RawResultsLong!$P:$P,RawResultsLong!$A:$A,A622)</f>
        <v>33.266423314285717</v>
      </c>
      <c r="K622">
        <f t="shared" si="19"/>
        <v>1054.1493432417458</v>
      </c>
      <c r="L622">
        <f>SUMIFS(EmploymentResults!$V:$V,EmploymentResults!$D:$D,B622,EmploymentResults!$F:$F,C622,EmploymentResults!$G:$G,D622,EmploymentResults!$H:$H,E622,EmploymentResults!$J:$J,G622,EmploymentResults!$K:$K,H622,EmploymentResults!$L:$L,I622)</f>
        <v>29.927838471080531</v>
      </c>
    </row>
    <row r="623" spans="1:12" x14ac:dyDescent="0.3">
      <c r="A623" t="str">
        <f t="shared" si="18"/>
        <v>PA|AccumulatedNewCapacity|RE1|PWRWNDONS|2032</v>
      </c>
      <c r="B623" t="s">
        <v>44</v>
      </c>
      <c r="C623" t="s">
        <v>19</v>
      </c>
      <c r="D623" t="s">
        <v>36</v>
      </c>
      <c r="E623">
        <v>2032</v>
      </c>
      <c r="F623" t="s">
        <v>18</v>
      </c>
      <c r="G623" t="s">
        <v>63</v>
      </c>
      <c r="H623" t="s">
        <v>64</v>
      </c>
      <c r="I623" t="s">
        <v>65</v>
      </c>
      <c r="J623">
        <f>SUMIFS(RawResultsLong!$P:$P,RawResultsLong!$A:$A,A623)</f>
        <v>33.266423314285717</v>
      </c>
      <c r="K623">
        <f t="shared" si="19"/>
        <v>1054.1493432417458</v>
      </c>
      <c r="L623">
        <f>SUMIFS(EmploymentResults!$V:$V,EmploymentResults!$D:$D,B623,EmploymentResults!$F:$F,C623,EmploymentResults!$G:$G,D623,EmploymentResults!$H:$H,E623,EmploymentResults!$J:$J,G623,EmploymentResults!$K:$K,H623,EmploymentResults!$L:$L,I623)</f>
        <v>29.847046003132444</v>
      </c>
    </row>
    <row r="624" spans="1:12" x14ac:dyDescent="0.3">
      <c r="A624" t="str">
        <f t="shared" si="18"/>
        <v>PA|AccumulatedNewCapacity|RE1|PWRWNDONS|2033</v>
      </c>
      <c r="B624" t="s">
        <v>44</v>
      </c>
      <c r="C624" t="s">
        <v>19</v>
      </c>
      <c r="D624" t="s">
        <v>36</v>
      </c>
      <c r="E624">
        <v>2033</v>
      </c>
      <c r="F624" t="s">
        <v>18</v>
      </c>
      <c r="G624" t="s">
        <v>63</v>
      </c>
      <c r="H624" t="s">
        <v>64</v>
      </c>
      <c r="I624" t="s">
        <v>65</v>
      </c>
      <c r="J624">
        <f>SUMIFS(RawResultsLong!$P:$P,RawResultsLong!$A:$A,A624)</f>
        <v>33.266423314285717</v>
      </c>
      <c r="K624">
        <f t="shared" si="19"/>
        <v>1054.1493432417458</v>
      </c>
      <c r="L624">
        <f>SUMIFS(EmploymentResults!$V:$V,EmploymentResults!$D:$D,B624,EmploymentResults!$F:$F,C624,EmploymentResults!$G:$G,D624,EmploymentResults!$H:$H,E624,EmploymentResults!$J:$J,G624,EmploymentResults!$K:$K,H624,EmploymentResults!$L:$L,I624)</f>
        <v>29.766253535289774</v>
      </c>
    </row>
    <row r="625" spans="1:12" x14ac:dyDescent="0.3">
      <c r="A625" t="str">
        <f t="shared" si="18"/>
        <v>PA|AccumulatedNewCapacity|RE1|PWRWNDONS|2034</v>
      </c>
      <c r="B625" t="s">
        <v>44</v>
      </c>
      <c r="C625" t="s">
        <v>19</v>
      </c>
      <c r="D625" t="s">
        <v>36</v>
      </c>
      <c r="E625">
        <v>2034</v>
      </c>
      <c r="F625" t="s">
        <v>18</v>
      </c>
      <c r="G625" t="s">
        <v>63</v>
      </c>
      <c r="H625" t="s">
        <v>64</v>
      </c>
      <c r="I625" t="s">
        <v>65</v>
      </c>
      <c r="J625">
        <f>SUMIFS(RawResultsLong!$P:$P,RawResultsLong!$A:$A,A625)</f>
        <v>64.536926395785827</v>
      </c>
      <c r="K625">
        <f t="shared" si="19"/>
        <v>2045.0517908771842</v>
      </c>
      <c r="L625">
        <f>SUMIFS(EmploymentResults!$V:$V,EmploymentResults!$D:$D,B625,EmploymentResults!$F:$F,C625,EmploymentResults!$G:$G,D625,EmploymentResults!$H:$H,E625,EmploymentResults!$J:$J,G625,EmploymentResults!$K:$K,H625,EmploymentResults!$L:$L,I625)</f>
        <v>57.58985262191635</v>
      </c>
    </row>
    <row r="626" spans="1:12" x14ac:dyDescent="0.3">
      <c r="A626" t="str">
        <f t="shared" si="18"/>
        <v>PA|AccumulatedNewCapacity|RE1|PWRWNDONS|2035</v>
      </c>
      <c r="B626" t="s">
        <v>44</v>
      </c>
      <c r="C626" t="s">
        <v>19</v>
      </c>
      <c r="D626" t="s">
        <v>36</v>
      </c>
      <c r="E626">
        <v>2035</v>
      </c>
      <c r="F626" t="s">
        <v>18</v>
      </c>
      <c r="G626" t="s">
        <v>63</v>
      </c>
      <c r="H626" t="s">
        <v>64</v>
      </c>
      <c r="I626" t="s">
        <v>65</v>
      </c>
      <c r="J626">
        <f>SUMIFS(RawResultsLong!$P:$P,RawResultsLong!$A:$A,A626)</f>
        <v>111.8469263957858</v>
      </c>
      <c r="K626">
        <f t="shared" si="19"/>
        <v>3544.2152253588929</v>
      </c>
      <c r="L626">
        <f>SUMIFS(EmploymentResults!$V:$V,EmploymentResults!$D:$D,B626,EmploymentResults!$F:$F,C626,EmploymentResults!$G:$G,D626,EmploymentResults!$H:$H,E626,EmploymentResults!$J:$J,G626,EmploymentResults!$K:$K,H626,EmploymentResults!$L:$L,I626)</f>
        <v>99.535533427366445</v>
      </c>
    </row>
    <row r="627" spans="1:12" x14ac:dyDescent="0.3">
      <c r="A627" t="str">
        <f t="shared" si="18"/>
        <v>PA|AccumulatedNewCapacity|RE1|PWRWNDONS|2036</v>
      </c>
      <c r="B627" t="s">
        <v>44</v>
      </c>
      <c r="C627" t="s">
        <v>19</v>
      </c>
      <c r="D627" t="s">
        <v>36</v>
      </c>
      <c r="E627">
        <v>2036</v>
      </c>
      <c r="F627" t="s">
        <v>18</v>
      </c>
      <c r="G627" t="s">
        <v>63</v>
      </c>
      <c r="H627" t="s">
        <v>64</v>
      </c>
      <c r="I627" t="s">
        <v>65</v>
      </c>
      <c r="J627">
        <f>SUMIFS(RawResultsLong!$P:$P,RawResultsLong!$A:$A,A627)</f>
        <v>159.1569263957858</v>
      </c>
      <c r="K627">
        <f t="shared" si="19"/>
        <v>5043.3786598406023</v>
      </c>
      <c r="L627">
        <f>SUMIFS(EmploymentResults!$V:$V,EmploymentResults!$D:$D,B627,EmploymentResults!$F:$F,C627,EmploymentResults!$G:$G,D627,EmploymentResults!$H:$H,E627,EmploymentResults!$J:$J,G627,EmploymentResults!$K:$K,H627,EmploymentResults!$L:$L,I627)</f>
        <v>141.25141545859162</v>
      </c>
    </row>
    <row r="628" spans="1:12" x14ac:dyDescent="0.3">
      <c r="A628" t="str">
        <f t="shared" si="18"/>
        <v>PA|AccumulatedNewCapacity|RE1|PWRWNDONS|2037</v>
      </c>
      <c r="B628" t="s">
        <v>44</v>
      </c>
      <c r="C628" t="s">
        <v>19</v>
      </c>
      <c r="D628" t="s">
        <v>36</v>
      </c>
      <c r="E628">
        <v>2037</v>
      </c>
      <c r="F628" t="s">
        <v>18</v>
      </c>
      <c r="G628" t="s">
        <v>63</v>
      </c>
      <c r="H628" t="s">
        <v>64</v>
      </c>
      <c r="I628" t="s">
        <v>65</v>
      </c>
      <c r="J628">
        <f>SUMIFS(RawResultsLong!$P:$P,RawResultsLong!$A:$A,A628)</f>
        <v>160.58802851083539</v>
      </c>
      <c r="K628">
        <f t="shared" si="19"/>
        <v>5088.7275493331372</v>
      </c>
      <c r="L628">
        <f>SUMIFS(EmploymentResults!$V:$V,EmploymentResults!$D:$D,B628,EmploymentResults!$F:$F,C628,EmploymentResults!$G:$G,D628,EmploymentResults!$H:$H,E628,EmploymentResults!$J:$J,G628,EmploymentResults!$K:$K,H628,EmploymentResults!$L:$L,I628)</f>
        <v>142.13150341254504</v>
      </c>
    </row>
    <row r="629" spans="1:12" x14ac:dyDescent="0.3">
      <c r="A629" t="str">
        <f t="shared" si="18"/>
        <v>PA|AccumulatedNewCapacity|RE1|PWRWNDONS|2038</v>
      </c>
      <c r="B629" t="s">
        <v>44</v>
      </c>
      <c r="C629" t="s">
        <v>19</v>
      </c>
      <c r="D629" t="s">
        <v>36</v>
      </c>
      <c r="E629">
        <v>2038</v>
      </c>
      <c r="F629" t="s">
        <v>18</v>
      </c>
      <c r="G629" t="s">
        <v>63</v>
      </c>
      <c r="H629" t="s">
        <v>64</v>
      </c>
      <c r="I629" t="s">
        <v>65</v>
      </c>
      <c r="J629">
        <f>SUMIFS(RawResultsLong!$P:$P,RawResultsLong!$A:$A,A629)</f>
        <v>160.58802851083539</v>
      </c>
      <c r="K629">
        <f t="shared" si="19"/>
        <v>5088.7275493331372</v>
      </c>
      <c r="L629">
        <f>SUMIFS(EmploymentResults!$V:$V,EmploymentResults!$D:$D,B629,EmploymentResults!$F:$F,C629,EmploymentResults!$G:$G,D629,EmploymentResults!$H:$H,E629,EmploymentResults!$J:$J,G629,EmploymentResults!$K:$K,H629,EmploymentResults!$L:$L,I629)</f>
        <v>141.74149144691432</v>
      </c>
    </row>
    <row r="630" spans="1:12" x14ac:dyDescent="0.3">
      <c r="A630" t="str">
        <f t="shared" si="18"/>
        <v>PA|AccumulatedNewCapacity|RE1|PWRWNDONS|2039</v>
      </c>
      <c r="B630" t="s">
        <v>44</v>
      </c>
      <c r="C630" t="s">
        <v>19</v>
      </c>
      <c r="D630" t="s">
        <v>36</v>
      </c>
      <c r="E630">
        <v>2039</v>
      </c>
      <c r="F630" t="s">
        <v>18</v>
      </c>
      <c r="G630" t="s">
        <v>63</v>
      </c>
      <c r="H630" t="s">
        <v>64</v>
      </c>
      <c r="I630" t="s">
        <v>65</v>
      </c>
      <c r="J630">
        <f>SUMIFS(RawResultsLong!$P:$P,RawResultsLong!$A:$A,A630)</f>
        <v>186.28626433862959</v>
      </c>
      <c r="K630">
        <f t="shared" si="19"/>
        <v>5903.0555029099041</v>
      </c>
      <c r="L630">
        <f>SUMIFS(EmploymentResults!$V:$V,EmploymentResults!$D:$D,B630,EmploymentResults!$F:$F,C630,EmploymentResults!$G:$G,D630,EmploymentResults!$H:$H,E630,EmploymentResults!$J:$J,G630,EmploymentResults!$K:$K,H630,EmploymentResults!$L:$L,I630)</f>
        <v>163.97137019229848</v>
      </c>
    </row>
    <row r="631" spans="1:12" x14ac:dyDescent="0.3">
      <c r="A631" t="str">
        <f t="shared" si="18"/>
        <v>PA|AccumulatedNewCapacity|RE1|PWRWNDONS|2040</v>
      </c>
      <c r="B631" t="s">
        <v>44</v>
      </c>
      <c r="C631" t="s">
        <v>19</v>
      </c>
      <c r="D631" t="s">
        <v>36</v>
      </c>
      <c r="E631">
        <v>2040</v>
      </c>
      <c r="F631" t="s">
        <v>18</v>
      </c>
      <c r="G631" t="s">
        <v>63</v>
      </c>
      <c r="H631" t="s">
        <v>64</v>
      </c>
      <c r="I631" t="s">
        <v>65</v>
      </c>
      <c r="J631">
        <f>SUMIFS(RawResultsLong!$P:$P,RawResultsLong!$A:$A,A631)</f>
        <v>233.59626433862971</v>
      </c>
      <c r="K631">
        <f t="shared" si="19"/>
        <v>7402.2189373916171</v>
      </c>
      <c r="L631">
        <f>SUMIFS(EmploymentResults!$V:$V,EmploymentResults!$D:$D,B631,EmploymentResults!$F:$F,C631,EmploymentResults!$G:$G,D631,EmploymentResults!$H:$H,E631,EmploymentResults!$J:$J,G631,EmploymentResults!$K:$K,H631,EmploymentResults!$L:$L,I631)</f>
        <v>205.04686764521011</v>
      </c>
    </row>
    <row r="632" spans="1:12" x14ac:dyDescent="0.3">
      <c r="A632" t="str">
        <f t="shared" si="18"/>
        <v>PA|AccumulatedNewCapacity|RE1|PWRWNDONS|2041</v>
      </c>
      <c r="B632" t="s">
        <v>44</v>
      </c>
      <c r="C632" t="s">
        <v>19</v>
      </c>
      <c r="D632" t="s">
        <v>36</v>
      </c>
      <c r="E632">
        <v>2041</v>
      </c>
      <c r="F632" t="s">
        <v>18</v>
      </c>
      <c r="G632" t="s">
        <v>63</v>
      </c>
      <c r="H632" t="s">
        <v>64</v>
      </c>
      <c r="I632" t="s">
        <v>65</v>
      </c>
      <c r="J632">
        <f>SUMIFS(RawResultsLong!$P:$P,RawResultsLong!$A:$A,A632)</f>
        <v>280.90626433862963</v>
      </c>
      <c r="K632">
        <f t="shared" si="19"/>
        <v>8901.3823718733238</v>
      </c>
      <c r="L632">
        <f>SUMIFS(EmploymentResults!$V:$V,EmploymentResults!$D:$D,B632,EmploymentResults!$F:$F,C632,EmploymentResults!$G:$G,D632,EmploymentResults!$H:$H,E632,EmploymentResults!$J:$J,G632,EmploymentResults!$K:$K,H632,EmploymentResults!$L:$L,I632)</f>
        <v>245.89256632339232</v>
      </c>
    </row>
    <row r="633" spans="1:12" x14ac:dyDescent="0.3">
      <c r="A633" t="str">
        <f t="shared" si="18"/>
        <v>PA|AccumulatedNewCapacity|RE1|PWRWNDONS|2042</v>
      </c>
      <c r="B633" t="s">
        <v>44</v>
      </c>
      <c r="C633" t="s">
        <v>19</v>
      </c>
      <c r="D633" t="s">
        <v>36</v>
      </c>
      <c r="E633">
        <v>2042</v>
      </c>
      <c r="F633" t="s">
        <v>18</v>
      </c>
      <c r="G633" t="s">
        <v>63</v>
      </c>
      <c r="H633" t="s">
        <v>64</v>
      </c>
      <c r="I633" t="s">
        <v>65</v>
      </c>
      <c r="J633">
        <f>SUMIFS(RawResultsLong!$P:$P,RawResultsLong!$A:$A,A633)</f>
        <v>328.21626433862963</v>
      </c>
      <c r="K633">
        <f t="shared" si="19"/>
        <v>10400.545806355034</v>
      </c>
      <c r="L633">
        <f>SUMIFS(EmploymentResults!$V:$V,EmploymentResults!$D:$D,B633,EmploymentResults!$F:$F,C633,EmploymentResults!$G:$G,D633,EmploymentResults!$H:$H,E633,EmploymentResults!$J:$J,G633,EmploymentResults!$K:$K,H633,EmploymentResults!$L:$L,I633)</f>
        <v>286.50846622788538</v>
      </c>
    </row>
    <row r="634" spans="1:12" x14ac:dyDescent="0.3">
      <c r="A634" t="str">
        <f t="shared" si="18"/>
        <v>PA|AccumulatedNewCapacity|RE1|PWRWNDONS|2043</v>
      </c>
      <c r="B634" t="s">
        <v>44</v>
      </c>
      <c r="C634" t="s">
        <v>19</v>
      </c>
      <c r="D634" t="s">
        <v>36</v>
      </c>
      <c r="E634">
        <v>2043</v>
      </c>
      <c r="F634" t="s">
        <v>18</v>
      </c>
      <c r="G634" t="s">
        <v>63</v>
      </c>
      <c r="H634" t="s">
        <v>64</v>
      </c>
      <c r="I634" t="s">
        <v>65</v>
      </c>
      <c r="J634">
        <f>SUMIFS(RawResultsLong!$P:$P,RawResultsLong!$A:$A,A634)</f>
        <v>354.37275468939481</v>
      </c>
      <c r="K634">
        <f t="shared" si="19"/>
        <v>11229.394969496881</v>
      </c>
      <c r="L634">
        <f>SUMIFS(EmploymentResults!$V:$V,EmploymentResults!$D:$D,B634,EmploymentResults!$F:$F,C634,EmploymentResults!$G:$G,D634,EmploymentResults!$H:$H,E634,EmploymentResults!$J:$J,G634,EmploymentResults!$K:$K,H634,EmploymentResults!$L:$L,I634)</f>
        <v>308.48049611451944</v>
      </c>
    </row>
    <row r="635" spans="1:12" x14ac:dyDescent="0.3">
      <c r="A635" t="str">
        <f t="shared" si="18"/>
        <v>PA|AccumulatedNewCapacity|RE1|PWRWNDONS|2044</v>
      </c>
      <c r="B635" t="s">
        <v>44</v>
      </c>
      <c r="C635" t="s">
        <v>19</v>
      </c>
      <c r="D635" t="s">
        <v>36</v>
      </c>
      <c r="E635">
        <v>2044</v>
      </c>
      <c r="F635" t="s">
        <v>18</v>
      </c>
      <c r="G635" t="s">
        <v>63</v>
      </c>
      <c r="H635" t="s">
        <v>64</v>
      </c>
      <c r="I635" t="s">
        <v>65</v>
      </c>
      <c r="J635">
        <f>SUMIFS(RawResultsLong!$P:$P,RawResultsLong!$A:$A,A635)</f>
        <v>354.37275468939481</v>
      </c>
      <c r="K635">
        <f t="shared" si="19"/>
        <v>11229.394969496881</v>
      </c>
      <c r="L635">
        <f>SUMIFS(EmploymentResults!$V:$V,EmploymentResults!$D:$D,B635,EmploymentResults!$F:$F,C635,EmploymentResults!$G:$G,D635,EmploymentResults!$H:$H,E635,EmploymentResults!$J:$J,G635,EmploymentResults!$K:$K,H635,EmploymentResults!$L:$L,I635)</f>
        <v>307.61984905443637</v>
      </c>
    </row>
    <row r="636" spans="1:12" x14ac:dyDescent="0.3">
      <c r="A636" t="str">
        <f t="shared" si="18"/>
        <v>PA|AccumulatedNewCapacity|RE1|PWRWNDONS|2045</v>
      </c>
      <c r="B636" t="s">
        <v>44</v>
      </c>
      <c r="C636" t="s">
        <v>19</v>
      </c>
      <c r="D636" t="s">
        <v>36</v>
      </c>
      <c r="E636">
        <v>2045</v>
      </c>
      <c r="F636" t="s">
        <v>18</v>
      </c>
      <c r="G636" t="s">
        <v>63</v>
      </c>
      <c r="H636" t="s">
        <v>64</v>
      </c>
      <c r="I636" t="s">
        <v>65</v>
      </c>
      <c r="J636">
        <f>SUMIFS(RawResultsLong!$P:$P,RawResultsLong!$A:$A,A636)</f>
        <v>354.37275468939481</v>
      </c>
      <c r="K636">
        <f t="shared" si="19"/>
        <v>11229.394969496881</v>
      </c>
      <c r="L636">
        <f>SUMIFS(EmploymentResults!$V:$V,EmploymentResults!$D:$D,B636,EmploymentResults!$F:$F,C636,EmploymentResults!$G:$G,D636,EmploymentResults!$H:$H,E636,EmploymentResults!$J:$J,G636,EmploymentResults!$K:$K,H636,EmploymentResults!$L:$L,I636)</f>
        <v>306.75920199547636</v>
      </c>
    </row>
    <row r="637" spans="1:12" x14ac:dyDescent="0.3">
      <c r="A637" t="str">
        <f t="shared" si="18"/>
        <v>PA|AccumulatedNewCapacity|RE1|PWRWNDONS|2046</v>
      </c>
      <c r="B637" t="s">
        <v>44</v>
      </c>
      <c r="C637" t="s">
        <v>19</v>
      </c>
      <c r="D637" t="s">
        <v>36</v>
      </c>
      <c r="E637">
        <v>2046</v>
      </c>
      <c r="F637" t="s">
        <v>18</v>
      </c>
      <c r="G637" t="s">
        <v>63</v>
      </c>
      <c r="H637" t="s">
        <v>64</v>
      </c>
      <c r="I637" t="s">
        <v>65</v>
      </c>
      <c r="J637">
        <f>SUMIFS(RawResultsLong!$P:$P,RawResultsLong!$A:$A,A637)</f>
        <v>401.68275468939481</v>
      </c>
      <c r="K637">
        <f t="shared" si="19"/>
        <v>12728.55840397859</v>
      </c>
      <c r="L637">
        <f>SUMIFS(EmploymentResults!$V:$V,EmploymentResults!$D:$D,B637,EmploymentResults!$F:$F,C637,EmploymentResults!$G:$G,D637,EmploymentResults!$H:$H,E637,EmploymentResults!$J:$J,G637,EmploymentResults!$K:$K,H637,EmploymentResults!$L:$L,I637)</f>
        <v>346.73708002651699</v>
      </c>
    </row>
    <row r="638" spans="1:12" x14ac:dyDescent="0.3">
      <c r="A638" t="str">
        <f t="shared" si="18"/>
        <v>PA|AccumulatedNewCapacity|RE1|PWRWNDONS|2047</v>
      </c>
      <c r="B638" t="s">
        <v>44</v>
      </c>
      <c r="C638" t="s">
        <v>19</v>
      </c>
      <c r="D638" t="s">
        <v>36</v>
      </c>
      <c r="E638">
        <v>2047</v>
      </c>
      <c r="F638" t="s">
        <v>18</v>
      </c>
      <c r="G638" t="s">
        <v>63</v>
      </c>
      <c r="H638" t="s">
        <v>64</v>
      </c>
      <c r="I638" t="s">
        <v>65</v>
      </c>
      <c r="J638">
        <f>SUMIFS(RawResultsLong!$P:$P,RawResultsLong!$A:$A,A638)</f>
        <v>448.99275468939481</v>
      </c>
      <c r="K638">
        <f t="shared" si="19"/>
        <v>14227.7218384603</v>
      </c>
      <c r="L638">
        <f>SUMIFS(EmploymentResults!$V:$V,EmploymentResults!$D:$D,B638,EmploymentResults!$F:$F,C638,EmploymentResults!$G:$G,D638,EmploymentResults!$H:$H,E638,EmploymentResults!$J:$J,G638,EmploymentResults!$K:$K,H638,EmploymentResults!$L:$L,I638)</f>
        <v>386.48515928282836</v>
      </c>
    </row>
    <row r="639" spans="1:12" x14ac:dyDescent="0.3">
      <c r="A639" t="str">
        <f t="shared" si="18"/>
        <v>PA|AccumulatedNewCapacity|RE1|PWRWNDONS|2048</v>
      </c>
      <c r="B639" t="s">
        <v>44</v>
      </c>
      <c r="C639" t="s">
        <v>19</v>
      </c>
      <c r="D639" t="s">
        <v>36</v>
      </c>
      <c r="E639">
        <v>2048</v>
      </c>
      <c r="F639" t="s">
        <v>18</v>
      </c>
      <c r="G639" t="s">
        <v>63</v>
      </c>
      <c r="H639" t="s">
        <v>64</v>
      </c>
      <c r="I639" t="s">
        <v>65</v>
      </c>
      <c r="J639">
        <f>SUMIFS(RawResultsLong!$P:$P,RawResultsLong!$A:$A,A639)</f>
        <v>490.48662025717852</v>
      </c>
      <c r="K639">
        <f t="shared" si="19"/>
        <v>15542.583094315743</v>
      </c>
      <c r="L639">
        <f>SUMIFS(EmploymentResults!$V:$V,EmploymentResults!$D:$D,B639,EmploymentResults!$F:$F,C639,EmploymentResults!$G:$G,D639,EmploymentResults!$H:$H,E639,EmploymentResults!$J:$J,G639,EmploymentResults!$K:$K,H639,EmploymentResults!$L:$L,I639)</f>
        <v>421.01113768654756</v>
      </c>
    </row>
    <row r="640" spans="1:12" x14ac:dyDescent="0.3">
      <c r="A640" t="str">
        <f t="shared" si="18"/>
        <v>PA|AccumulatedNewCapacity|RE1|PWRWNDONS|2049</v>
      </c>
      <c r="B640" t="s">
        <v>44</v>
      </c>
      <c r="C640" t="s">
        <v>19</v>
      </c>
      <c r="D640" t="s">
        <v>36</v>
      </c>
      <c r="E640">
        <v>2049</v>
      </c>
      <c r="F640" t="s">
        <v>18</v>
      </c>
      <c r="G640" t="s">
        <v>63</v>
      </c>
      <c r="H640" t="s">
        <v>64</v>
      </c>
      <c r="I640" t="s">
        <v>65</v>
      </c>
      <c r="J640">
        <f>SUMIFS(RawResultsLong!$P:$P,RawResultsLong!$A:$A,A640)</f>
        <v>490.48662025717852</v>
      </c>
      <c r="K640">
        <f t="shared" si="19"/>
        <v>15542.583094315743</v>
      </c>
      <c r="L640">
        <f>SUMIFS(EmploymentResults!$V:$V,EmploymentResults!$D:$D,B640,EmploymentResults!$F:$F,C640,EmploymentResults!$G:$G,D640,EmploymentResults!$H:$H,E640,EmploymentResults!$J:$J,G640,EmploymentResults!$K:$K,H640,EmploymentResults!$L:$L,I640)</f>
        <v>419.81991781383357</v>
      </c>
    </row>
    <row r="641" spans="1:12" x14ac:dyDescent="0.3">
      <c r="A641" t="str">
        <f t="shared" si="18"/>
        <v>PA|AccumulatedNewCapacity|RE1|PWRWNDONS|2050</v>
      </c>
      <c r="B641" t="s">
        <v>44</v>
      </c>
      <c r="C641" t="s">
        <v>19</v>
      </c>
      <c r="D641" t="s">
        <v>36</v>
      </c>
      <c r="E641">
        <v>2050</v>
      </c>
      <c r="F641" t="s">
        <v>18</v>
      </c>
      <c r="G641" t="s">
        <v>63</v>
      </c>
      <c r="H641" t="s">
        <v>64</v>
      </c>
      <c r="I641" t="s">
        <v>65</v>
      </c>
      <c r="J641">
        <f>SUMIFS(RawResultsLong!$P:$P,RawResultsLong!$A:$A,A641)</f>
        <v>490.48662025717852</v>
      </c>
      <c r="K641">
        <f t="shared" si="19"/>
        <v>15542.583094315743</v>
      </c>
      <c r="L641">
        <f>SUMIFS(EmploymentResults!$V:$V,EmploymentResults!$D:$D,B641,EmploymentResults!$F:$F,C641,EmploymentResults!$G:$G,D641,EmploymentResults!$H:$H,E641,EmploymentResults!$J:$J,G641,EmploymentResults!$K:$K,H641,EmploymentResults!$L:$L,I641)</f>
        <v>418.62869794111964</v>
      </c>
    </row>
    <row r="642" spans="1:12" x14ac:dyDescent="0.3">
      <c r="A642" t="str">
        <f t="shared" ref="A642:A705" si="20">B642&amp;"|"&amp;F642&amp;"|"&amp;C642&amp;"|"&amp;D642&amp;"|"&amp;E642</f>
        <v>PA|AccumulatedNewCapacity|RE1|PWRWNDONS|2051</v>
      </c>
      <c r="B642" t="s">
        <v>44</v>
      </c>
      <c r="C642" t="s">
        <v>19</v>
      </c>
      <c r="D642" t="s">
        <v>36</v>
      </c>
      <c r="E642">
        <v>2051</v>
      </c>
      <c r="F642" t="s">
        <v>18</v>
      </c>
      <c r="G642" t="s">
        <v>63</v>
      </c>
      <c r="H642" t="s">
        <v>64</v>
      </c>
      <c r="I642" t="s">
        <v>65</v>
      </c>
      <c r="J642">
        <f>SUMIFS(RawResultsLong!$P:$P,RawResultsLong!$A:$A,A642)</f>
        <v>490.48662025717852</v>
      </c>
      <c r="K642">
        <f t="shared" ref="K642:K705" si="21">J642*1000/31.5576</f>
        <v>15542.583094315743</v>
      </c>
      <c r="L642">
        <f>SUMIFS(EmploymentResults!$V:$V,EmploymentResults!$D:$D,B642,EmploymentResults!$F:$F,C642,EmploymentResults!$G:$G,D642,EmploymentResults!$H:$H,E642,EmploymentResults!$J:$J,G642,EmploymentResults!$K:$K,H642,EmploymentResults!$L:$L,I642)</f>
        <v>418.62869794111964</v>
      </c>
    </row>
    <row r="643" spans="1:12" x14ac:dyDescent="0.3">
      <c r="A643" t="str">
        <f t="shared" si="20"/>
        <v>PA|AccumulatedNewCapacity|RE1|PWRWNDONS|2052</v>
      </c>
      <c r="B643" t="s">
        <v>44</v>
      </c>
      <c r="C643" t="s">
        <v>19</v>
      </c>
      <c r="D643" t="s">
        <v>36</v>
      </c>
      <c r="E643">
        <v>2052</v>
      </c>
      <c r="F643" t="s">
        <v>18</v>
      </c>
      <c r="G643" t="s">
        <v>63</v>
      </c>
      <c r="H643" t="s">
        <v>64</v>
      </c>
      <c r="I643" t="s">
        <v>65</v>
      </c>
      <c r="J643">
        <f>SUMIFS(RawResultsLong!$P:$P,RawResultsLong!$A:$A,A643)</f>
        <v>537.79662025717857</v>
      </c>
      <c r="K643">
        <f t="shared" si="21"/>
        <v>17041.746528797456</v>
      </c>
      <c r="L643">
        <f>SUMIFS(EmploymentResults!$V:$V,EmploymentResults!$D:$D,B643,EmploymentResults!$F:$F,C643,EmploymentResults!$G:$G,D643,EmploymentResults!$H:$H,E643,EmploymentResults!$J:$J,G643,EmploymentResults!$K:$K,H643,EmploymentResults!$L:$L,I643)</f>
        <v>459.00762548293477</v>
      </c>
    </row>
    <row r="644" spans="1:12" x14ac:dyDescent="0.3">
      <c r="A644" t="str">
        <f t="shared" si="20"/>
        <v>PA|AccumulatedNewCapacity|RE1|PWRWNDONS|2053</v>
      </c>
      <c r="B644" t="s">
        <v>44</v>
      </c>
      <c r="C644" t="s">
        <v>19</v>
      </c>
      <c r="D644" t="s">
        <v>36</v>
      </c>
      <c r="E644">
        <v>2053</v>
      </c>
      <c r="F644" t="s">
        <v>18</v>
      </c>
      <c r="G644" t="s">
        <v>63</v>
      </c>
      <c r="H644" t="s">
        <v>64</v>
      </c>
      <c r="I644" t="s">
        <v>65</v>
      </c>
      <c r="J644">
        <f>SUMIFS(RawResultsLong!$P:$P,RawResultsLong!$A:$A,A644)</f>
        <v>585.10662025717852</v>
      </c>
      <c r="K644">
        <f t="shared" si="21"/>
        <v>18540.909963279162</v>
      </c>
      <c r="L644">
        <f>SUMIFS(EmploymentResults!$V:$V,EmploymentResults!$D:$D,B644,EmploymentResults!$F:$F,C644,EmploymentResults!$G:$G,D644,EmploymentResults!$H:$H,E644,EmploymentResults!$J:$J,G644,EmploymentResults!$K:$K,H644,EmploymentResults!$L:$L,I644)</f>
        <v>499.38655302474979</v>
      </c>
    </row>
    <row r="645" spans="1:12" x14ac:dyDescent="0.3">
      <c r="A645" t="str">
        <f t="shared" si="20"/>
        <v>PA|AccumulatedNewCapacity|RE1|PWRWNDONS|2054</v>
      </c>
      <c r="B645" t="s">
        <v>44</v>
      </c>
      <c r="C645" t="s">
        <v>19</v>
      </c>
      <c r="D645" t="s">
        <v>36</v>
      </c>
      <c r="E645">
        <v>2054</v>
      </c>
      <c r="F645" t="s">
        <v>18</v>
      </c>
      <c r="G645" t="s">
        <v>63</v>
      </c>
      <c r="H645" t="s">
        <v>64</v>
      </c>
      <c r="I645" t="s">
        <v>65</v>
      </c>
      <c r="J645">
        <f>SUMIFS(RawResultsLong!$P:$P,RawResultsLong!$A:$A,A645)</f>
        <v>632.41662025717847</v>
      </c>
      <c r="K645">
        <f t="shared" si="21"/>
        <v>20040.073397760869</v>
      </c>
      <c r="L645">
        <f>SUMIFS(EmploymentResults!$V:$V,EmploymentResults!$D:$D,B645,EmploymentResults!$F:$F,C645,EmploymentResults!$G:$G,D645,EmploymentResults!$H:$H,E645,EmploymentResults!$J:$J,G645,EmploymentResults!$K:$K,H645,EmploymentResults!$L:$L,I645)</f>
        <v>539.76548056656475</v>
      </c>
    </row>
    <row r="646" spans="1:12" x14ac:dyDescent="0.3">
      <c r="A646" t="str">
        <f t="shared" si="20"/>
        <v>PA|AccumulatedNewCapacity|RE1|PWRWNDONS|2055</v>
      </c>
      <c r="B646" t="s">
        <v>44</v>
      </c>
      <c r="C646" t="s">
        <v>19</v>
      </c>
      <c r="D646" t="s">
        <v>36</v>
      </c>
      <c r="E646">
        <v>2055</v>
      </c>
      <c r="F646" t="s">
        <v>18</v>
      </c>
      <c r="G646" t="s">
        <v>63</v>
      </c>
      <c r="H646" t="s">
        <v>64</v>
      </c>
      <c r="I646" t="s">
        <v>65</v>
      </c>
      <c r="J646">
        <f>SUMIFS(RawResultsLong!$P:$P,RawResultsLong!$A:$A,A646)</f>
        <v>656.56282969529104</v>
      </c>
      <c r="K646">
        <f t="shared" si="21"/>
        <v>20805.220602811714</v>
      </c>
      <c r="L646">
        <f>SUMIFS(EmploymentResults!$V:$V,EmploymentResults!$D:$D,B646,EmploymentResults!$F:$F,C646,EmploymentResults!$G:$G,D646,EmploymentResults!$H:$H,E646,EmploymentResults!$J:$J,G646,EmploymentResults!$K:$K,H646,EmploymentResults!$L:$L,I646)</f>
        <v>560.37418995804728</v>
      </c>
    </row>
    <row r="647" spans="1:12" x14ac:dyDescent="0.3">
      <c r="A647" t="str">
        <f t="shared" si="20"/>
        <v>PD|NewCapacity|RE1|PWRHYDDAM|2028</v>
      </c>
      <c r="B647" t="s">
        <v>16</v>
      </c>
      <c r="C647" t="s">
        <v>19</v>
      </c>
      <c r="D647" t="s">
        <v>24</v>
      </c>
      <c r="E647">
        <v>2028</v>
      </c>
      <c r="F647" t="s">
        <v>37</v>
      </c>
      <c r="G647" t="s">
        <v>69</v>
      </c>
      <c r="H647" t="s">
        <v>70</v>
      </c>
      <c r="I647" t="s">
        <v>65</v>
      </c>
      <c r="J647">
        <f>SUMIFS(RawResultsLong!$P:$P,RawResultsLong!$A:$A,A647)</f>
        <v>37.840000000000003</v>
      </c>
      <c r="K647">
        <f t="shared" si="21"/>
        <v>1199.0772428828554</v>
      </c>
      <c r="L647">
        <f>SUMIFS(EmploymentResults!$V:$V,EmploymentResults!$D:$D,B647,EmploymentResults!$F:$F,C647,EmploymentResults!$G:$G,D647,EmploymentResults!$H:$H,E647,EmploymentResults!$J:$J,G647,EmploymentResults!$K:$K,H647,EmploymentResults!$L:$L,I647)</f>
        <v>13862.851758940096</v>
      </c>
    </row>
    <row r="648" spans="1:12" x14ac:dyDescent="0.3">
      <c r="A648" t="str">
        <f t="shared" si="20"/>
        <v>PD|NewCapacity|RE1|PWRSOLRTP|2026</v>
      </c>
      <c r="B648" t="s">
        <v>16</v>
      </c>
      <c r="C648" t="s">
        <v>19</v>
      </c>
      <c r="D648" t="s">
        <v>31</v>
      </c>
      <c r="E648">
        <v>2026</v>
      </c>
      <c r="F648" t="s">
        <v>37</v>
      </c>
      <c r="G648" t="s">
        <v>69</v>
      </c>
      <c r="H648" t="s">
        <v>70</v>
      </c>
      <c r="I648" t="s">
        <v>65</v>
      </c>
      <c r="J648">
        <f>SUMIFS(RawResultsLong!$P:$P,RawResultsLong!$A:$A,A648)</f>
        <v>7.9387888395688</v>
      </c>
      <c r="K648">
        <f t="shared" si="21"/>
        <v>251.56503788528912</v>
      </c>
      <c r="L648">
        <f>SUMIFS(EmploymentResults!$V:$V,EmploymentResults!$D:$D,B648,EmploymentResults!$F:$F,C648,EmploymentResults!$G:$G,D648,EmploymentResults!$H:$H,E648,EmploymentResults!$J:$J,G648,EmploymentResults!$K:$K,H648,EmploymentResults!$L:$L,I648)</f>
        <v>2103.9407213482168</v>
      </c>
    </row>
    <row r="649" spans="1:12" x14ac:dyDescent="0.3">
      <c r="A649" t="str">
        <f t="shared" si="20"/>
        <v>PD|NewCapacity|RE1|PWRSOLRTP|2027</v>
      </c>
      <c r="B649" t="s">
        <v>16</v>
      </c>
      <c r="C649" t="s">
        <v>19</v>
      </c>
      <c r="D649" t="s">
        <v>31</v>
      </c>
      <c r="E649">
        <v>2027</v>
      </c>
      <c r="F649" t="s">
        <v>37</v>
      </c>
      <c r="G649" t="s">
        <v>69</v>
      </c>
      <c r="H649" t="s">
        <v>70</v>
      </c>
      <c r="I649" t="s">
        <v>65</v>
      </c>
      <c r="J649">
        <f>SUMIFS(RawResultsLong!$P:$P,RawResultsLong!$A:$A,A649)</f>
        <v>10.77996195307546</v>
      </c>
      <c r="K649">
        <f t="shared" si="21"/>
        <v>341.59638100094622</v>
      </c>
      <c r="L649">
        <f>SUMIFS(EmploymentResults!$V:$V,EmploymentResults!$D:$D,B649,EmploymentResults!$F:$F,C649,EmploymentResults!$G:$G,D649,EmploymentResults!$H:$H,E649,EmploymentResults!$J:$J,G649,EmploymentResults!$K:$K,H649,EmploymentResults!$L:$L,I649)</f>
        <v>2692.1586673056854</v>
      </c>
    </row>
    <row r="650" spans="1:12" x14ac:dyDescent="0.3">
      <c r="A650" t="str">
        <f t="shared" si="20"/>
        <v>PD|NewCapacity|RE1|PWRSOLRTP|2028</v>
      </c>
      <c r="B650" t="s">
        <v>16</v>
      </c>
      <c r="C650" t="s">
        <v>19</v>
      </c>
      <c r="D650" t="s">
        <v>31</v>
      </c>
      <c r="E650">
        <v>2028</v>
      </c>
      <c r="F650" t="s">
        <v>37</v>
      </c>
      <c r="G650" t="s">
        <v>69</v>
      </c>
      <c r="H650" t="s">
        <v>70</v>
      </c>
      <c r="I650" t="s">
        <v>65</v>
      </c>
      <c r="J650">
        <f>SUMIFS(RawResultsLong!$P:$P,RawResultsLong!$A:$A,A650)</f>
        <v>11.414077362079899</v>
      </c>
      <c r="K650">
        <f t="shared" si="21"/>
        <v>361.69028576570776</v>
      </c>
      <c r="L650">
        <f>SUMIFS(EmploymentResults!$V:$V,EmploymentResults!$D:$D,B650,EmploymentResults!$F:$F,C650,EmploymentResults!$G:$G,D650,EmploymentResults!$H:$H,E650,EmploymentResults!$J:$J,G650,EmploymentResults!$K:$K,H650,EmploymentResults!$L:$L,I650)</f>
        <v>2676.0789272620582</v>
      </c>
    </row>
    <row r="651" spans="1:12" x14ac:dyDescent="0.3">
      <c r="A651" t="str">
        <f t="shared" si="20"/>
        <v>PD|NewCapacity|RE1|PWRSOLRTP|2029</v>
      </c>
      <c r="B651" t="s">
        <v>16</v>
      </c>
      <c r="C651" t="s">
        <v>19</v>
      </c>
      <c r="D651" t="s">
        <v>31</v>
      </c>
      <c r="E651">
        <v>2029</v>
      </c>
      <c r="F651" t="s">
        <v>37</v>
      </c>
      <c r="G651" t="s">
        <v>69</v>
      </c>
      <c r="H651" t="s">
        <v>70</v>
      </c>
      <c r="I651" t="s">
        <v>65</v>
      </c>
      <c r="J651">
        <f>SUMIFS(RawResultsLong!$P:$P,RawResultsLong!$A:$A,A651)</f>
        <v>11.25554850982879</v>
      </c>
      <c r="K651">
        <f t="shared" si="21"/>
        <v>356.6668095745174</v>
      </c>
      <c r="L651">
        <f>SUMIFS(EmploymentResults!$V:$V,EmploymentResults!$D:$D,B651,EmploymentResults!$F:$F,C651,EmploymentResults!$G:$G,D651,EmploymentResults!$H:$H,E651,EmploymentResults!$J:$J,G651,EmploymentResults!$K:$K,H651,EmploymentResults!$L:$L,I651)</f>
        <v>2466.8919555506072</v>
      </c>
    </row>
    <row r="652" spans="1:12" x14ac:dyDescent="0.3">
      <c r="A652" t="str">
        <f t="shared" si="20"/>
        <v>PD|NewCapacity|RE1|PWRSOLRTP|2030</v>
      </c>
      <c r="B652" t="s">
        <v>16</v>
      </c>
      <c r="C652" t="s">
        <v>19</v>
      </c>
      <c r="D652" t="s">
        <v>31</v>
      </c>
      <c r="E652">
        <v>2030</v>
      </c>
      <c r="F652" t="s">
        <v>37</v>
      </c>
      <c r="G652" t="s">
        <v>69</v>
      </c>
      <c r="H652" t="s">
        <v>70</v>
      </c>
      <c r="I652" t="s">
        <v>65</v>
      </c>
      <c r="J652">
        <f>SUMIFS(RawResultsLong!$P:$P,RawResultsLong!$A:$A,A652)</f>
        <v>10.621433100824349</v>
      </c>
      <c r="K652">
        <f t="shared" si="21"/>
        <v>336.57290480975581</v>
      </c>
      <c r="L652">
        <f>SUMIFS(EmploymentResults!$V:$V,EmploymentResults!$D:$D,B652,EmploymentResults!$F:$F,C652,EmploymentResults!$G:$G,D652,EmploymentResults!$H:$H,E652,EmploymentResults!$J:$J,G652,EmploymentResults!$K:$K,H652,EmploymentResults!$L:$L,I652)</f>
        <v>2165.5841412689056</v>
      </c>
    </row>
    <row r="653" spans="1:12" x14ac:dyDescent="0.3">
      <c r="A653" t="str">
        <f t="shared" si="20"/>
        <v>PD|NewCapacity|RE1|PWRSOLRTP|2031</v>
      </c>
      <c r="B653" t="s">
        <v>16</v>
      </c>
      <c r="C653" t="s">
        <v>19</v>
      </c>
      <c r="D653" t="s">
        <v>31</v>
      </c>
      <c r="E653">
        <v>2031</v>
      </c>
      <c r="F653" t="s">
        <v>37</v>
      </c>
      <c r="G653" t="s">
        <v>69</v>
      </c>
      <c r="H653" t="s">
        <v>70</v>
      </c>
      <c r="I653" t="s">
        <v>65</v>
      </c>
      <c r="J653">
        <f>SUMIFS(RawResultsLong!$P:$P,RawResultsLong!$A:$A,A653)</f>
        <v>9.6702599873176922</v>
      </c>
      <c r="K653">
        <f t="shared" si="21"/>
        <v>306.43204766261346</v>
      </c>
      <c r="L653">
        <f>SUMIFS(EmploymentResults!$V:$V,EmploymentResults!$D:$D,B653,EmploymentResults!$F:$F,C653,EmploymentResults!$G:$G,D653,EmploymentResults!$H:$H,E653,EmploymentResults!$J:$J,G653,EmploymentResults!$K:$K,H653,EmploymentResults!$L:$L,I653)</f>
        <v>1939.2665900850277</v>
      </c>
    </row>
    <row r="654" spans="1:12" x14ac:dyDescent="0.3">
      <c r="A654" t="str">
        <f t="shared" si="20"/>
        <v>PD|NewCapacity|RE1|PWRSOLRTP|2032</v>
      </c>
      <c r="B654" t="s">
        <v>16</v>
      </c>
      <c r="C654" t="s">
        <v>19</v>
      </c>
      <c r="D654" t="s">
        <v>31</v>
      </c>
      <c r="E654">
        <v>2032</v>
      </c>
      <c r="F654" t="s">
        <v>37</v>
      </c>
      <c r="G654" t="s">
        <v>69</v>
      </c>
      <c r="H654" t="s">
        <v>70</v>
      </c>
      <c r="I654" t="s">
        <v>65</v>
      </c>
      <c r="J654">
        <f>SUMIFS(RawResultsLong!$P:$P,RawResultsLong!$A:$A,A654)</f>
        <v>8.560558021559924</v>
      </c>
      <c r="K654">
        <f t="shared" si="21"/>
        <v>271.2677143242808</v>
      </c>
      <c r="L654">
        <f>SUMIFS(EmploymentResults!$V:$V,EmploymentResults!$D:$D,B654,EmploymentResults!$F:$F,C654,EmploymentResults!$G:$G,D654,EmploymentResults!$H:$H,E654,EmploymentResults!$J:$J,G654,EmploymentResults!$K:$K,H654,EmploymentResults!$L:$L,I654)</f>
        <v>1688.0594285550285</v>
      </c>
    </row>
    <row r="655" spans="1:12" x14ac:dyDescent="0.3">
      <c r="A655" t="str">
        <f t="shared" si="20"/>
        <v>PD|NewCapacity|RE1|PWRSOLRTP|2033</v>
      </c>
      <c r="B655" t="s">
        <v>16</v>
      </c>
      <c r="C655" t="s">
        <v>19</v>
      </c>
      <c r="D655" t="s">
        <v>31</v>
      </c>
      <c r="E655">
        <v>2033</v>
      </c>
      <c r="F655" t="s">
        <v>37</v>
      </c>
      <c r="G655" t="s">
        <v>69</v>
      </c>
      <c r="H655" t="s">
        <v>70</v>
      </c>
      <c r="I655" t="s">
        <v>65</v>
      </c>
      <c r="J655">
        <f>SUMIFS(RawResultsLong!$P:$P,RawResultsLong!$A:$A,A655)</f>
        <v>7.4508560558021566</v>
      </c>
      <c r="K655">
        <f t="shared" si="21"/>
        <v>236.10338098594812</v>
      </c>
      <c r="L655">
        <f>SUMIFS(EmploymentResults!$V:$V,EmploymentResults!$D:$D,B655,EmploymentResults!$F:$F,C655,EmploymentResults!$G:$G,D655,EmploymentResults!$H:$H,E655,EmploymentResults!$J:$J,G655,EmploymentResults!$K:$K,H655,EmploymentResults!$L:$L,I655)</f>
        <v>1444.2848080445453</v>
      </c>
    </row>
    <row r="656" spans="1:12" x14ac:dyDescent="0.3">
      <c r="A656" t="str">
        <f t="shared" si="20"/>
        <v>PD|NewCapacity|RE1|PWRSOLRTP|2034</v>
      </c>
      <c r="B656" t="s">
        <v>16</v>
      </c>
      <c r="C656" t="s">
        <v>19</v>
      </c>
      <c r="D656" t="s">
        <v>31</v>
      </c>
      <c r="E656">
        <v>2034</v>
      </c>
      <c r="F656" t="s">
        <v>37</v>
      </c>
      <c r="G656" t="s">
        <v>69</v>
      </c>
      <c r="H656" t="s">
        <v>70</v>
      </c>
      <c r="I656" t="s">
        <v>65</v>
      </c>
      <c r="J656">
        <f>SUMIFS(RawResultsLong!$P:$P,RawResultsLong!$A:$A,A656)</f>
        <v>6.3411540900443883</v>
      </c>
      <c r="K656">
        <f t="shared" si="21"/>
        <v>200.93904764761544</v>
      </c>
      <c r="L656">
        <f>SUMIFS(EmploymentResults!$V:$V,EmploymentResults!$D:$D,B656,EmploymentResults!$F:$F,C656,EmploymentResults!$G:$G,D656,EmploymentResults!$H:$H,E656,EmploymentResults!$J:$J,G656,EmploymentResults!$K:$K,H656,EmploymentResults!$L:$L,I656)</f>
        <v>1207.9427285535787</v>
      </c>
    </row>
    <row r="657" spans="1:12" x14ac:dyDescent="0.3">
      <c r="A657" t="str">
        <f t="shared" si="20"/>
        <v>PD|NewCapacity|RE1|PWRSOLRTP|2035</v>
      </c>
      <c r="B657" t="s">
        <v>16</v>
      </c>
      <c r="C657" t="s">
        <v>19</v>
      </c>
      <c r="D657" t="s">
        <v>31</v>
      </c>
      <c r="E657">
        <v>2035</v>
      </c>
      <c r="F657" t="s">
        <v>37</v>
      </c>
      <c r="G657" t="s">
        <v>69</v>
      </c>
      <c r="H657" t="s">
        <v>70</v>
      </c>
      <c r="I657" t="s">
        <v>65</v>
      </c>
      <c r="J657">
        <f>SUMIFS(RawResultsLong!$P:$P,RawResultsLong!$A:$A,A657)</f>
        <v>5.2314521242866201</v>
      </c>
      <c r="K657">
        <f t="shared" si="21"/>
        <v>165.77471430928273</v>
      </c>
      <c r="L657">
        <f>SUMIFS(EmploymentResults!$V:$V,EmploymentResults!$D:$D,B657,EmploymentResults!$F:$F,C657,EmploymentResults!$G:$G,D657,EmploymentResults!$H:$H,E657,EmploymentResults!$J:$J,G657,EmploymentResults!$K:$K,H657,EmploymentResults!$L:$L,I657)</f>
        <v>979.03319008212816</v>
      </c>
    </row>
    <row r="658" spans="1:12" x14ac:dyDescent="0.3">
      <c r="A658" t="str">
        <f t="shared" si="20"/>
        <v>PD|NewCapacity|RE1|PWRSOLRTP|2036</v>
      </c>
      <c r="B658" t="s">
        <v>16</v>
      </c>
      <c r="C658" t="s">
        <v>19</v>
      </c>
      <c r="D658" t="s">
        <v>31</v>
      </c>
      <c r="E658">
        <v>2036</v>
      </c>
      <c r="F658" t="s">
        <v>37</v>
      </c>
      <c r="G658" t="s">
        <v>69</v>
      </c>
      <c r="H658" t="s">
        <v>70</v>
      </c>
      <c r="I658" t="s">
        <v>65</v>
      </c>
      <c r="J658">
        <f>SUMIFS(RawResultsLong!$P:$P,RawResultsLong!$A:$A,A658)</f>
        <v>4.280279010779962</v>
      </c>
      <c r="K658">
        <f t="shared" si="21"/>
        <v>135.6338571621404</v>
      </c>
      <c r="L658">
        <f>SUMIFS(EmploymentResults!$V:$V,EmploymentResults!$D:$D,B658,EmploymentResults!$F:$F,C658,EmploymentResults!$G:$G,D658,EmploymentResults!$H:$H,E658,EmploymentResults!$J:$J,G658,EmploymentResults!$K:$K,H658,EmploymentResults!$L:$L,I658)</f>
        <v>786.69296926981667</v>
      </c>
    </row>
    <row r="659" spans="1:12" x14ac:dyDescent="0.3">
      <c r="A659" t="str">
        <f t="shared" si="20"/>
        <v>PD|NewCapacity|RE1|PWRSOLRTP|2037</v>
      </c>
      <c r="B659" t="s">
        <v>16</v>
      </c>
      <c r="C659" t="s">
        <v>19</v>
      </c>
      <c r="D659" t="s">
        <v>31</v>
      </c>
      <c r="E659">
        <v>2037</v>
      </c>
      <c r="F659" t="s">
        <v>37</v>
      </c>
      <c r="G659" t="s">
        <v>69</v>
      </c>
      <c r="H659" t="s">
        <v>70</v>
      </c>
      <c r="I659" t="s">
        <v>65</v>
      </c>
      <c r="J659">
        <f>SUMIFS(RawResultsLong!$P:$P,RawResultsLong!$A:$A,A659)</f>
        <v>3.487634749524414</v>
      </c>
      <c r="K659">
        <f t="shared" si="21"/>
        <v>110.51647620618849</v>
      </c>
      <c r="L659">
        <f>SUMIFS(EmploymentResults!$V:$V,EmploymentResults!$D:$D,B659,EmploymentResults!$F:$F,C659,EmploymentResults!$G:$G,D659,EmploymentResults!$H:$H,E659,EmploymentResults!$J:$J,G659,EmploymentResults!$K:$K,H659,EmploymentResults!$L:$L,I659)</f>
        <v>629.32937875531979</v>
      </c>
    </row>
    <row r="660" spans="1:12" x14ac:dyDescent="0.3">
      <c r="A660" t="str">
        <f t="shared" si="20"/>
        <v>PD|NewCapacity|RE1|PWRSOLRTP|2038</v>
      </c>
      <c r="B660" t="s">
        <v>16</v>
      </c>
      <c r="C660" t="s">
        <v>19</v>
      </c>
      <c r="D660" t="s">
        <v>31</v>
      </c>
      <c r="E660">
        <v>2038</v>
      </c>
      <c r="F660" t="s">
        <v>37</v>
      </c>
      <c r="G660" t="s">
        <v>69</v>
      </c>
      <c r="H660" t="s">
        <v>70</v>
      </c>
      <c r="I660" t="s">
        <v>65</v>
      </c>
      <c r="J660">
        <f>SUMIFS(RawResultsLong!$P:$P,RawResultsLong!$A:$A,A660)</f>
        <v>2.8535193405199748</v>
      </c>
      <c r="K660">
        <f t="shared" si="21"/>
        <v>90.422571441426939</v>
      </c>
      <c r="L660">
        <f>SUMIFS(EmploymentResults!$V:$V,EmploymentResults!$D:$D,B660,EmploymentResults!$F:$F,C660,EmploymentResults!$G:$G,D660,EmploymentResults!$H:$H,E660,EmploymentResults!$J:$J,G660,EmploymentResults!$K:$K,H660,EmploymentResults!$L:$L,I660)</f>
        <v>505.34973117821625</v>
      </c>
    </row>
    <row r="661" spans="1:12" x14ac:dyDescent="0.3">
      <c r="A661" t="str">
        <f t="shared" si="20"/>
        <v>PD|NewCapacity|RE1|PWRSOLRTP|2039</v>
      </c>
      <c r="B661" t="s">
        <v>16</v>
      </c>
      <c r="C661" t="s">
        <v>19</v>
      </c>
      <c r="D661" t="s">
        <v>31</v>
      </c>
      <c r="E661">
        <v>2039</v>
      </c>
      <c r="F661" t="s">
        <v>37</v>
      </c>
      <c r="G661" t="s">
        <v>69</v>
      </c>
      <c r="H661" t="s">
        <v>70</v>
      </c>
      <c r="I661" t="s">
        <v>65</v>
      </c>
      <c r="J661">
        <f>SUMIFS(RawResultsLong!$P:$P,RawResultsLong!$A:$A,A661)</f>
        <v>2.3779327837666462</v>
      </c>
      <c r="K661">
        <f t="shared" si="21"/>
        <v>75.35214286785579</v>
      </c>
      <c r="L661">
        <f>SUMIFS(EmploymentResults!$V:$V,EmploymentResults!$D:$D,B661,EmploymentResults!$F:$F,C661,EmploymentResults!$G:$G,D661,EmploymentResults!$H:$H,E661,EmploymentResults!$J:$J,G661,EmploymentResults!$K:$K,H661,EmploymentResults!$L:$L,I661)</f>
        <v>413.16133917522228</v>
      </c>
    </row>
    <row r="662" spans="1:12" x14ac:dyDescent="0.3">
      <c r="A662" t="str">
        <f t="shared" si="20"/>
        <v>PD|NewCapacity|RE1|PWRSOLRTP|2040</v>
      </c>
      <c r="B662" t="s">
        <v>16</v>
      </c>
      <c r="C662" t="s">
        <v>19</v>
      </c>
      <c r="D662" t="s">
        <v>31</v>
      </c>
      <c r="E662">
        <v>2040</v>
      </c>
      <c r="F662" t="s">
        <v>37</v>
      </c>
      <c r="G662" t="s">
        <v>69</v>
      </c>
      <c r="H662" t="s">
        <v>70</v>
      </c>
      <c r="I662" t="s">
        <v>65</v>
      </c>
      <c r="J662">
        <f>SUMIFS(RawResultsLong!$P:$P,RawResultsLong!$A:$A,A662)</f>
        <v>2.0608750792644259</v>
      </c>
      <c r="K662">
        <f t="shared" si="21"/>
        <v>65.305190485474995</v>
      </c>
      <c r="L662">
        <f>SUMIFS(EmploymentResults!$V:$V,EmploymentResults!$D:$D,B662,EmploymentResults!$F:$F,C662,EmploymentResults!$G:$G,D662,EmploymentResults!$H:$H,E662,EmploymentResults!$J:$J,G662,EmploymentResults!$K:$K,H662,EmploymentResults!$L:$L,I662)</f>
        <v>351.17151538611779</v>
      </c>
    </row>
    <row r="663" spans="1:12" x14ac:dyDescent="0.3">
      <c r="A663" t="str">
        <f t="shared" si="20"/>
        <v>PD|NewCapacity|RE1|PWRSOLRTP|2041</v>
      </c>
      <c r="B663" t="s">
        <v>16</v>
      </c>
      <c r="C663" t="s">
        <v>19</v>
      </c>
      <c r="D663" t="s">
        <v>31</v>
      </c>
      <c r="E663">
        <v>2041</v>
      </c>
      <c r="F663" t="s">
        <v>37</v>
      </c>
      <c r="G663" t="s">
        <v>69</v>
      </c>
      <c r="H663" t="s">
        <v>70</v>
      </c>
      <c r="I663" t="s">
        <v>65</v>
      </c>
      <c r="J663">
        <f>SUMIFS(RawResultsLong!$P:$P,RawResultsLong!$A:$A,A663)</f>
        <v>1.838934686112873</v>
      </c>
      <c r="K663">
        <f t="shared" si="21"/>
        <v>58.272323817808484</v>
      </c>
      <c r="L663">
        <f>SUMIFS(EmploymentResults!$V:$V,EmploymentResults!$D:$D,B663,EmploymentResults!$F:$F,C663,EmploymentResults!$G:$G,D663,EmploymentResults!$H:$H,E663,EmploymentResults!$J:$J,G663,EmploymentResults!$K:$K,H663,EmploymentResults!$L:$L,I663)</f>
        <v>307.19465336792575</v>
      </c>
    </row>
    <row r="664" spans="1:12" x14ac:dyDescent="0.3">
      <c r="A664" t="str">
        <f t="shared" si="20"/>
        <v>PD|NewCapacity|RE1|PWRSOLRTP|2042</v>
      </c>
      <c r="B664" t="s">
        <v>16</v>
      </c>
      <c r="C664" t="s">
        <v>19</v>
      </c>
      <c r="D664" t="s">
        <v>31</v>
      </c>
      <c r="E664">
        <v>2042</v>
      </c>
      <c r="F664" t="s">
        <v>37</v>
      </c>
      <c r="G664" t="s">
        <v>69</v>
      </c>
      <c r="H664" t="s">
        <v>70</v>
      </c>
      <c r="I664" t="s">
        <v>65</v>
      </c>
      <c r="J664">
        <f>SUMIFS(RawResultsLong!$P:$P,RawResultsLong!$A:$A,A664)</f>
        <v>1.648700063411541</v>
      </c>
      <c r="K664">
        <f t="shared" si="21"/>
        <v>52.244152388380009</v>
      </c>
      <c r="L664">
        <f>SUMIFS(EmploymentResults!$V:$V,EmploymentResults!$D:$D,B664,EmploymentResults!$F:$F,C664,EmploymentResults!$G:$G,D664,EmploymentResults!$H:$H,E664,EmploymentResults!$J:$J,G664,EmploymentResults!$K:$K,H664,EmploymentResults!$L:$L,I664)</f>
        <v>269.8945799370415</v>
      </c>
    </row>
    <row r="665" spans="1:12" x14ac:dyDescent="0.3">
      <c r="A665" t="str">
        <f t="shared" si="20"/>
        <v>PD|NewCapacity|RE1|PWRSOLRTP|2043</v>
      </c>
      <c r="B665" t="s">
        <v>16</v>
      </c>
      <c r="C665" t="s">
        <v>19</v>
      </c>
      <c r="D665" t="s">
        <v>31</v>
      </c>
      <c r="E665">
        <v>2043</v>
      </c>
      <c r="F665" t="s">
        <v>37</v>
      </c>
      <c r="G665" t="s">
        <v>69</v>
      </c>
      <c r="H665" t="s">
        <v>70</v>
      </c>
      <c r="I665" t="s">
        <v>65</v>
      </c>
      <c r="J665">
        <f>SUMIFS(RawResultsLong!$P:$P,RawResultsLong!$A:$A,A665)</f>
        <v>1.521876981610653</v>
      </c>
      <c r="K665">
        <f t="shared" si="21"/>
        <v>48.225371435427697</v>
      </c>
      <c r="L665">
        <f>SUMIFS(EmploymentResults!$V:$V,EmploymentResults!$D:$D,B665,EmploymentResults!$F:$F,C665,EmploymentResults!$G:$G,D665,EmploymentResults!$H:$H,E665,EmploymentResults!$J:$J,G665,EmploymentResults!$K:$K,H665,EmploymentResults!$L:$L,I665)</f>
        <v>244.03685884718308</v>
      </c>
    </row>
    <row r="666" spans="1:12" x14ac:dyDescent="0.3">
      <c r="A666" t="str">
        <f t="shared" si="20"/>
        <v>PD|NewCapacity|RE1|PWRSOLRTP|2044</v>
      </c>
      <c r="B666" t="s">
        <v>16</v>
      </c>
      <c r="C666" t="s">
        <v>19</v>
      </c>
      <c r="D666" t="s">
        <v>31</v>
      </c>
      <c r="E666">
        <v>2044</v>
      </c>
      <c r="F666" t="s">
        <v>37</v>
      </c>
      <c r="G666" t="s">
        <v>69</v>
      </c>
      <c r="H666" t="s">
        <v>70</v>
      </c>
      <c r="I666" t="s">
        <v>65</v>
      </c>
      <c r="J666">
        <f>SUMIFS(RawResultsLong!$P:$P,RawResultsLong!$A:$A,A666)</f>
        <v>1.4584654407102089</v>
      </c>
      <c r="K666">
        <f t="shared" si="21"/>
        <v>46.215980958951533</v>
      </c>
      <c r="L666">
        <f>SUMIFS(EmploymentResults!$V:$V,EmploymentResults!$D:$D,B666,EmploymentResults!$F:$F,C666,EmploymentResults!$G:$G,D666,EmploymentResults!$H:$H,E666,EmploymentResults!$J:$J,G666,EmploymentResults!$K:$K,H666,EmploymentResults!$L:$L,I666)</f>
        <v>228.98441515428277</v>
      </c>
    </row>
    <row r="667" spans="1:12" x14ac:dyDescent="0.3">
      <c r="A667" t="str">
        <f t="shared" si="20"/>
        <v>PD|NewCapacity|RE1|PWRSOLRTP|2045</v>
      </c>
      <c r="B667" t="s">
        <v>16</v>
      </c>
      <c r="C667" t="s">
        <v>19</v>
      </c>
      <c r="D667" t="s">
        <v>31</v>
      </c>
      <c r="E667">
        <v>2045</v>
      </c>
      <c r="F667" t="s">
        <v>37</v>
      </c>
      <c r="G667" t="s">
        <v>69</v>
      </c>
      <c r="H667" t="s">
        <v>70</v>
      </c>
      <c r="I667" t="s">
        <v>65</v>
      </c>
      <c r="J667">
        <f>SUMIFS(RawResultsLong!$P:$P,RawResultsLong!$A:$A,A667)</f>
        <v>1.426759670259987</v>
      </c>
      <c r="K667">
        <f t="shared" si="21"/>
        <v>45.211285720713455</v>
      </c>
      <c r="L667">
        <f>SUMIFS(EmploymentResults!$V:$V,EmploymentResults!$D:$D,B667,EmploymentResults!$F:$F,C667,EmploymentResults!$G:$G,D667,EmploymentResults!$H:$H,E667,EmploymentResults!$J:$J,G667,EmploymentResults!$K:$K,H667,EmploymentResults!$L:$L,I667)</f>
        <v>219.22843100173665</v>
      </c>
    </row>
    <row r="668" spans="1:12" x14ac:dyDescent="0.3">
      <c r="A668" t="str">
        <f t="shared" si="20"/>
        <v>PD|NewCapacity|RE1|PWRSOLRTP|2046</v>
      </c>
      <c r="B668" t="s">
        <v>16</v>
      </c>
      <c r="C668" t="s">
        <v>19</v>
      </c>
      <c r="D668" t="s">
        <v>31</v>
      </c>
      <c r="E668">
        <v>2046</v>
      </c>
      <c r="F668" t="s">
        <v>37</v>
      </c>
      <c r="G668" t="s">
        <v>69</v>
      </c>
      <c r="H668" t="s">
        <v>70</v>
      </c>
      <c r="I668" t="s">
        <v>65</v>
      </c>
      <c r="J668">
        <f>SUMIFS(RawResultsLong!$P:$P,RawResultsLong!$A:$A,A668)</f>
        <v>1.426759670259987</v>
      </c>
      <c r="K668">
        <f t="shared" si="21"/>
        <v>45.211285720713455</v>
      </c>
      <c r="L668">
        <f>SUMIFS(EmploymentResults!$V:$V,EmploymentResults!$D:$D,B668,EmploymentResults!$F:$F,C668,EmploymentResults!$G:$G,D668,EmploymentResults!$H:$H,E668,EmploymentResults!$J:$J,G668,EmploymentResults!$K:$K,H668,EmploymentResults!$L:$L,I668)</f>
        <v>214.45036891776184</v>
      </c>
    </row>
    <row r="669" spans="1:12" x14ac:dyDescent="0.3">
      <c r="A669" t="str">
        <f t="shared" si="20"/>
        <v>PD|NewCapacity|RE1|PWRSOLRTP|2047</v>
      </c>
      <c r="B669" t="s">
        <v>16</v>
      </c>
      <c r="C669" t="s">
        <v>19</v>
      </c>
      <c r="D669" t="s">
        <v>31</v>
      </c>
      <c r="E669">
        <v>2047</v>
      </c>
      <c r="F669" t="s">
        <v>37</v>
      </c>
      <c r="G669" t="s">
        <v>69</v>
      </c>
      <c r="H669" t="s">
        <v>70</v>
      </c>
      <c r="I669" t="s">
        <v>65</v>
      </c>
      <c r="J669">
        <f>SUMIFS(RawResultsLong!$P:$P,RawResultsLong!$A:$A,A669)</f>
        <v>1.426759670259987</v>
      </c>
      <c r="K669">
        <f t="shared" si="21"/>
        <v>45.211285720713455</v>
      </c>
      <c r="L669">
        <f>SUMIFS(EmploymentResults!$V:$V,EmploymentResults!$D:$D,B669,EmploymentResults!$F:$F,C669,EmploymentResults!$G:$G,D669,EmploymentResults!$H:$H,E669,EmploymentResults!$J:$J,G669,EmploymentResults!$K:$K,H669,EmploymentResults!$L:$L,I669)</f>
        <v>209.67230683378708</v>
      </c>
    </row>
    <row r="670" spans="1:12" x14ac:dyDescent="0.3">
      <c r="A670" t="str">
        <f t="shared" si="20"/>
        <v>PD|NewCapacity|RE1|PWRSOLRTP|2048</v>
      </c>
      <c r="B670" t="s">
        <v>16</v>
      </c>
      <c r="C670" t="s">
        <v>19</v>
      </c>
      <c r="D670" t="s">
        <v>31</v>
      </c>
      <c r="E670">
        <v>2048</v>
      </c>
      <c r="F670" t="s">
        <v>37</v>
      </c>
      <c r="G670" t="s">
        <v>69</v>
      </c>
      <c r="H670" t="s">
        <v>70</v>
      </c>
      <c r="I670" t="s">
        <v>65</v>
      </c>
      <c r="J670">
        <f>SUMIFS(RawResultsLong!$P:$P,RawResultsLong!$A:$A,A670)</f>
        <v>1.426759670259987</v>
      </c>
      <c r="K670">
        <f t="shared" si="21"/>
        <v>45.211285720713455</v>
      </c>
      <c r="L670">
        <f>SUMIFS(EmploymentResults!$V:$V,EmploymentResults!$D:$D,B670,EmploymentResults!$F:$F,C670,EmploymentResults!$G:$G,D670,EmploymentResults!$H:$H,E670,EmploymentResults!$J:$J,G670,EmploymentResults!$K:$K,H670,EmploymentResults!$L:$L,I670)</f>
        <v>204.89424474981226</v>
      </c>
    </row>
    <row r="671" spans="1:12" x14ac:dyDescent="0.3">
      <c r="A671" t="str">
        <f t="shared" si="20"/>
        <v>PD|NewCapacity|RE1|PWRSOLRTP|2049</v>
      </c>
      <c r="B671" t="s">
        <v>16</v>
      </c>
      <c r="C671" t="s">
        <v>19</v>
      </c>
      <c r="D671" t="s">
        <v>31</v>
      </c>
      <c r="E671">
        <v>2049</v>
      </c>
      <c r="F671" t="s">
        <v>37</v>
      </c>
      <c r="G671" t="s">
        <v>69</v>
      </c>
      <c r="H671" t="s">
        <v>70</v>
      </c>
      <c r="I671" t="s">
        <v>65</v>
      </c>
      <c r="J671">
        <f>SUMIFS(RawResultsLong!$P:$P,RawResultsLong!$A:$A,A671)</f>
        <v>1.426759670259987</v>
      </c>
      <c r="K671">
        <f t="shared" si="21"/>
        <v>45.211285720713455</v>
      </c>
      <c r="L671">
        <f>SUMIFS(EmploymentResults!$V:$V,EmploymentResults!$D:$D,B671,EmploymentResults!$F:$F,C671,EmploymentResults!$G:$G,D671,EmploymentResults!$H:$H,E671,EmploymentResults!$J:$J,G671,EmploymentResults!$K:$K,H671,EmploymentResults!$L:$L,I671)</f>
        <v>200.11618266583747</v>
      </c>
    </row>
    <row r="672" spans="1:12" x14ac:dyDescent="0.3">
      <c r="A672" t="str">
        <f t="shared" si="20"/>
        <v>PD|NewCapacity|RE1|PWRSOLRTP|2050</v>
      </c>
      <c r="B672" t="s">
        <v>16</v>
      </c>
      <c r="C672" t="s">
        <v>19</v>
      </c>
      <c r="D672" t="s">
        <v>31</v>
      </c>
      <c r="E672">
        <v>2050</v>
      </c>
      <c r="F672" t="s">
        <v>37</v>
      </c>
      <c r="G672" t="s">
        <v>69</v>
      </c>
      <c r="H672" t="s">
        <v>70</v>
      </c>
      <c r="I672" t="s">
        <v>65</v>
      </c>
      <c r="J672">
        <f>SUMIFS(RawResultsLong!$P:$P,RawResultsLong!$A:$A,A672)</f>
        <v>1.426759670259987</v>
      </c>
      <c r="K672">
        <f t="shared" si="21"/>
        <v>45.211285720713455</v>
      </c>
      <c r="L672">
        <f>SUMIFS(EmploymentResults!$V:$V,EmploymentResults!$D:$D,B672,EmploymentResults!$F:$F,C672,EmploymentResults!$G:$G,D672,EmploymentResults!$H:$H,E672,EmploymentResults!$J:$J,G672,EmploymentResults!$K:$K,H672,EmploymentResults!$L:$L,I672)</f>
        <v>195.33812058186268</v>
      </c>
    </row>
    <row r="673" spans="1:12" x14ac:dyDescent="0.3">
      <c r="A673" t="str">
        <f t="shared" si="20"/>
        <v>PD|NewCapacity|RE1|PWRSOLRTP|2051</v>
      </c>
      <c r="B673" t="s">
        <v>16</v>
      </c>
      <c r="C673" t="s">
        <v>19</v>
      </c>
      <c r="D673" t="s">
        <v>31</v>
      </c>
      <c r="E673">
        <v>2051</v>
      </c>
      <c r="F673" t="s">
        <v>37</v>
      </c>
      <c r="G673" t="s">
        <v>69</v>
      </c>
      <c r="H673" t="s">
        <v>70</v>
      </c>
      <c r="I673" t="s">
        <v>65</v>
      </c>
      <c r="J673">
        <f>SUMIFS(RawResultsLong!$P:$P,RawResultsLong!$A:$A,A673)</f>
        <v>1.426759670259987</v>
      </c>
      <c r="K673">
        <f t="shared" si="21"/>
        <v>45.211285720713455</v>
      </c>
      <c r="L673">
        <f>SUMIFS(EmploymentResults!$V:$V,EmploymentResults!$D:$D,B673,EmploymentResults!$F:$F,C673,EmploymentResults!$G:$G,D673,EmploymentResults!$H:$H,E673,EmploymentResults!$J:$J,G673,EmploymentResults!$K:$K,H673,EmploymentResults!$L:$L,I673)</f>
        <v>195.33812058186268</v>
      </c>
    </row>
    <row r="674" spans="1:12" x14ac:dyDescent="0.3">
      <c r="A674" t="str">
        <f t="shared" si="20"/>
        <v>PD|NewCapacity|RE1|PWRSOLRTP|2052</v>
      </c>
      <c r="B674" t="s">
        <v>16</v>
      </c>
      <c r="C674" t="s">
        <v>19</v>
      </c>
      <c r="D674" t="s">
        <v>31</v>
      </c>
      <c r="E674">
        <v>2052</v>
      </c>
      <c r="F674" t="s">
        <v>37</v>
      </c>
      <c r="G674" t="s">
        <v>69</v>
      </c>
      <c r="H674" t="s">
        <v>70</v>
      </c>
      <c r="I674" t="s">
        <v>65</v>
      </c>
      <c r="J674">
        <f>SUMIFS(RawResultsLong!$P:$P,RawResultsLong!$A:$A,A674)</f>
        <v>1.426759670259987</v>
      </c>
      <c r="K674">
        <f t="shared" si="21"/>
        <v>45.211285720713455</v>
      </c>
      <c r="L674">
        <f>SUMIFS(EmploymentResults!$V:$V,EmploymentResults!$D:$D,B674,EmploymentResults!$F:$F,C674,EmploymentResults!$G:$G,D674,EmploymentResults!$H:$H,E674,EmploymentResults!$J:$J,G674,EmploymentResults!$K:$K,H674,EmploymentResults!$L:$L,I674)</f>
        <v>195.33812058186268</v>
      </c>
    </row>
    <row r="675" spans="1:12" x14ac:dyDescent="0.3">
      <c r="A675" t="str">
        <f t="shared" si="20"/>
        <v>PD|NewCapacity|RE1|PWRSOLRTP|2053</v>
      </c>
      <c r="B675" t="s">
        <v>16</v>
      </c>
      <c r="C675" t="s">
        <v>19</v>
      </c>
      <c r="D675" t="s">
        <v>31</v>
      </c>
      <c r="E675">
        <v>2053</v>
      </c>
      <c r="F675" t="s">
        <v>37</v>
      </c>
      <c r="G675" t="s">
        <v>69</v>
      </c>
      <c r="H675" t="s">
        <v>70</v>
      </c>
      <c r="I675" t="s">
        <v>65</v>
      </c>
      <c r="J675">
        <f>SUMIFS(RawResultsLong!$P:$P,RawResultsLong!$A:$A,A675)</f>
        <v>1.426759670259987</v>
      </c>
      <c r="K675">
        <f t="shared" si="21"/>
        <v>45.211285720713455</v>
      </c>
      <c r="L675">
        <f>SUMIFS(EmploymentResults!$V:$V,EmploymentResults!$D:$D,B675,EmploymentResults!$F:$F,C675,EmploymentResults!$G:$G,D675,EmploymentResults!$H:$H,E675,EmploymentResults!$J:$J,G675,EmploymentResults!$K:$K,H675,EmploymentResults!$L:$L,I675)</f>
        <v>195.33812058186268</v>
      </c>
    </row>
    <row r="676" spans="1:12" x14ac:dyDescent="0.3">
      <c r="A676" t="str">
        <f t="shared" si="20"/>
        <v>PD|NewCapacity|RE1|PWRSOLRTP|2054</v>
      </c>
      <c r="B676" t="s">
        <v>16</v>
      </c>
      <c r="C676" t="s">
        <v>19</v>
      </c>
      <c r="D676" t="s">
        <v>31</v>
      </c>
      <c r="E676">
        <v>2054</v>
      </c>
      <c r="F676" t="s">
        <v>37</v>
      </c>
      <c r="G676" t="s">
        <v>69</v>
      </c>
      <c r="H676" t="s">
        <v>70</v>
      </c>
      <c r="I676" t="s">
        <v>65</v>
      </c>
      <c r="J676">
        <f>SUMIFS(RawResultsLong!$P:$P,RawResultsLong!$A:$A,A676)</f>
        <v>1.426759670259987</v>
      </c>
      <c r="K676">
        <f t="shared" si="21"/>
        <v>45.211285720713455</v>
      </c>
      <c r="L676">
        <f>SUMIFS(EmploymentResults!$V:$V,EmploymentResults!$D:$D,B676,EmploymentResults!$F:$F,C676,EmploymentResults!$G:$G,D676,EmploymentResults!$H:$H,E676,EmploymentResults!$J:$J,G676,EmploymentResults!$K:$K,H676,EmploymentResults!$L:$L,I676)</f>
        <v>195.33812058186268</v>
      </c>
    </row>
    <row r="677" spans="1:12" x14ac:dyDescent="0.3">
      <c r="A677" t="str">
        <f t="shared" si="20"/>
        <v>PD|NewCapacity|RE1|PWRSOLRTP|2055</v>
      </c>
      <c r="B677" t="s">
        <v>16</v>
      </c>
      <c r="C677" t="s">
        <v>19</v>
      </c>
      <c r="D677" t="s">
        <v>31</v>
      </c>
      <c r="E677">
        <v>2055</v>
      </c>
      <c r="F677" t="s">
        <v>37</v>
      </c>
      <c r="G677" t="s">
        <v>69</v>
      </c>
      <c r="H677" t="s">
        <v>70</v>
      </c>
      <c r="I677" t="s">
        <v>65</v>
      </c>
      <c r="J677">
        <f>SUMIFS(RawResultsLong!$P:$P,RawResultsLong!$A:$A,A677)</f>
        <v>1.426759670259987</v>
      </c>
      <c r="K677">
        <f t="shared" si="21"/>
        <v>45.211285720713455</v>
      </c>
      <c r="L677">
        <f>SUMIFS(EmploymentResults!$V:$V,EmploymentResults!$D:$D,B677,EmploymentResults!$F:$F,C677,EmploymentResults!$G:$G,D677,EmploymentResults!$H:$H,E677,EmploymentResults!$J:$J,G677,EmploymentResults!$K:$K,H677,EmploymentResults!$L:$L,I677)</f>
        <v>195.33812058186268</v>
      </c>
    </row>
    <row r="678" spans="1:12" x14ac:dyDescent="0.3">
      <c r="A678" t="str">
        <f t="shared" si="20"/>
        <v>PD|NewCapacity|RE1|PWRSOLRTP_ZNI|2033</v>
      </c>
      <c r="B678" t="s">
        <v>16</v>
      </c>
      <c r="C678" t="s">
        <v>19</v>
      </c>
      <c r="D678" t="s">
        <v>32</v>
      </c>
      <c r="E678">
        <v>2033</v>
      </c>
      <c r="F678" t="s">
        <v>37</v>
      </c>
      <c r="G678" t="s">
        <v>69</v>
      </c>
      <c r="H678" t="s">
        <v>70</v>
      </c>
      <c r="I678" t="s">
        <v>65</v>
      </c>
      <c r="J678">
        <f>SUMIFS(RawResultsLong!$P:$P,RawResultsLong!$A:$A,A678)</f>
        <v>0.69954823626465812</v>
      </c>
      <c r="K678">
        <f t="shared" si="21"/>
        <v>22.167345940903559</v>
      </c>
      <c r="L678">
        <f>SUMIFS(EmploymentResults!$V:$V,EmploymentResults!$D:$D,B678,EmploymentResults!$F:$F,C678,EmploymentResults!$G:$G,D678,EmploymentResults!$H:$H,E678,EmploymentResults!$J:$J,G678,EmploymentResults!$K:$K,H678,EmploymentResults!$L:$L,I678)</f>
        <v>135.60145070104008</v>
      </c>
    </row>
    <row r="679" spans="1:12" x14ac:dyDescent="0.3">
      <c r="A679" t="str">
        <f t="shared" si="20"/>
        <v>PD|NewCapacity|RE1|PWRSOLRTP_ZNI|2034</v>
      </c>
      <c r="B679" t="s">
        <v>16</v>
      </c>
      <c r="C679" t="s">
        <v>19</v>
      </c>
      <c r="D679" t="s">
        <v>32</v>
      </c>
      <c r="E679">
        <v>2034</v>
      </c>
      <c r="F679" t="s">
        <v>37</v>
      </c>
      <c r="G679" t="s">
        <v>69</v>
      </c>
      <c r="H679" t="s">
        <v>70</v>
      </c>
      <c r="I679" t="s">
        <v>65</v>
      </c>
      <c r="J679">
        <f>SUMIFS(RawResultsLong!$P:$P,RawResultsLong!$A:$A,A679)</f>
        <v>3.640469306147992E-2</v>
      </c>
      <c r="K679">
        <f t="shared" si="21"/>
        <v>1.153595110574946</v>
      </c>
      <c r="L679">
        <f>SUMIFS(EmploymentResults!$V:$V,EmploymentResults!$D:$D,B679,EmploymentResults!$F:$F,C679,EmploymentResults!$G:$G,D679,EmploymentResults!$H:$H,E679,EmploymentResults!$J:$J,G679,EmploymentResults!$K:$K,H679,EmploymentResults!$L:$L,I679)</f>
        <v>6.9348234791960017</v>
      </c>
    </row>
    <row r="680" spans="1:12" x14ac:dyDescent="0.3">
      <c r="A680" t="str">
        <f t="shared" si="20"/>
        <v>PD|NewCapacity|RE1|PWRSOLRTP_ZNI|2035</v>
      </c>
      <c r="B680" t="s">
        <v>16</v>
      </c>
      <c r="C680" t="s">
        <v>19</v>
      </c>
      <c r="D680" t="s">
        <v>32</v>
      </c>
      <c r="E680">
        <v>2035</v>
      </c>
      <c r="F680" t="s">
        <v>37</v>
      </c>
      <c r="G680" t="s">
        <v>69</v>
      </c>
      <c r="H680" t="s">
        <v>70</v>
      </c>
      <c r="I680" t="s">
        <v>65</v>
      </c>
      <c r="J680">
        <f>SUMIFS(RawResultsLong!$P:$P,RawResultsLong!$A:$A,A680)</f>
        <v>3.6736255608367331E-2</v>
      </c>
      <c r="K680">
        <f t="shared" si="21"/>
        <v>1.1641016936765574</v>
      </c>
      <c r="L680">
        <f>SUMIFS(EmploymentResults!$V:$V,EmploymentResults!$D:$D,B680,EmploymentResults!$F:$F,C680,EmploymentResults!$G:$G,D680,EmploymentResults!$H:$H,E680,EmploymentResults!$J:$J,G680,EmploymentResults!$K:$K,H680,EmploymentResults!$L:$L,I680)</f>
        <v>6.8749579782949439</v>
      </c>
    </row>
    <row r="681" spans="1:12" x14ac:dyDescent="0.3">
      <c r="A681" t="str">
        <f t="shared" si="20"/>
        <v>PD|NewCapacity|RE1|PWRSOLRTP_ZNI|2036</v>
      </c>
      <c r="B681" t="s">
        <v>16</v>
      </c>
      <c r="C681" t="s">
        <v>19</v>
      </c>
      <c r="D681" t="s">
        <v>32</v>
      </c>
      <c r="E681">
        <v>2036</v>
      </c>
      <c r="F681" t="s">
        <v>37</v>
      </c>
      <c r="G681" t="s">
        <v>69</v>
      </c>
      <c r="H681" t="s">
        <v>70</v>
      </c>
      <c r="I681" t="s">
        <v>65</v>
      </c>
      <c r="J681">
        <f>SUMIFS(RawResultsLong!$P:$P,RawResultsLong!$A:$A,A681)</f>
        <v>3.7491981210170632E-2</v>
      </c>
      <c r="K681">
        <f t="shared" si="21"/>
        <v>1.1880491929098103</v>
      </c>
      <c r="L681">
        <f>SUMIFS(EmploymentResults!$V:$V,EmploymentResults!$D:$D,B681,EmploymentResults!$F:$F,C681,EmploymentResults!$G:$G,D681,EmploymentResults!$H:$H,E681,EmploymentResults!$J:$J,G681,EmploymentResults!$K:$K,H681,EmploymentResults!$L:$L,I681)</f>
        <v>6.8908307023337532</v>
      </c>
    </row>
    <row r="682" spans="1:12" x14ac:dyDescent="0.3">
      <c r="A682" t="str">
        <f t="shared" si="20"/>
        <v>PD|NewCapacity|RE1|PWRSOLRTP_ZNI|2037</v>
      </c>
      <c r="B682" t="s">
        <v>16</v>
      </c>
      <c r="C682" t="s">
        <v>19</v>
      </c>
      <c r="D682" t="s">
        <v>32</v>
      </c>
      <c r="E682">
        <v>2037</v>
      </c>
      <c r="F682" t="s">
        <v>37</v>
      </c>
      <c r="G682" t="s">
        <v>69</v>
      </c>
      <c r="H682" t="s">
        <v>70</v>
      </c>
      <c r="I682" t="s">
        <v>65</v>
      </c>
      <c r="J682">
        <f>SUMIFS(RawResultsLong!$P:$P,RawResultsLong!$A:$A,A682)</f>
        <v>3.8243520725626999E-2</v>
      </c>
      <c r="K682">
        <f t="shared" si="21"/>
        <v>1.2118640430713046</v>
      </c>
      <c r="L682">
        <f>SUMIFS(EmploymentResults!$V:$V,EmploymentResults!$D:$D,B682,EmploymentResults!$F:$F,C682,EmploymentResults!$G:$G,D682,EmploymentResults!$H:$H,E682,EmploymentResults!$J:$J,G682,EmploymentResults!$K:$K,H682,EmploymentResults!$L:$L,I682)</f>
        <v>6.9008863795031878</v>
      </c>
    </row>
    <row r="683" spans="1:12" x14ac:dyDescent="0.3">
      <c r="A683" t="str">
        <f t="shared" si="20"/>
        <v>PD|NewCapacity|RE1|PWRSOLRTP_ZNI|2038</v>
      </c>
      <c r="B683" t="s">
        <v>16</v>
      </c>
      <c r="C683" t="s">
        <v>19</v>
      </c>
      <c r="D683" t="s">
        <v>32</v>
      </c>
      <c r="E683">
        <v>2038</v>
      </c>
      <c r="F683" t="s">
        <v>37</v>
      </c>
      <c r="G683" t="s">
        <v>69</v>
      </c>
      <c r="H683" t="s">
        <v>70</v>
      </c>
      <c r="I683" t="s">
        <v>65</v>
      </c>
      <c r="J683">
        <f>SUMIFS(RawResultsLong!$P:$P,RawResultsLong!$A:$A,A683)</f>
        <v>3.9083582938770053E-2</v>
      </c>
      <c r="K683">
        <f t="shared" si="21"/>
        <v>1.238484008250629</v>
      </c>
      <c r="L683">
        <f>SUMIFS(EmploymentResults!$V:$V,EmploymentResults!$D:$D,B683,EmploymentResults!$F:$F,C683,EmploymentResults!$G:$G,D683,EmploymentResults!$H:$H,E683,EmploymentResults!$J:$J,G683,EmploymentResults!$K:$K,H683,EmploymentResults!$L:$L,I683)</f>
        <v>6.9215855141146205</v>
      </c>
    </row>
    <row r="684" spans="1:12" x14ac:dyDescent="0.3">
      <c r="A684" t="str">
        <f t="shared" si="20"/>
        <v>PD|NewCapacity|RE1|PWRSOLUGE|2025</v>
      </c>
      <c r="B684" t="s">
        <v>16</v>
      </c>
      <c r="C684" t="s">
        <v>19</v>
      </c>
      <c r="D684" t="s">
        <v>33</v>
      </c>
      <c r="E684">
        <v>2025</v>
      </c>
      <c r="F684" t="s">
        <v>37</v>
      </c>
      <c r="G684" t="s">
        <v>69</v>
      </c>
      <c r="H684" t="s">
        <v>70</v>
      </c>
      <c r="I684" t="s">
        <v>65</v>
      </c>
      <c r="J684">
        <f>SUMIFS(RawResultsLong!$P:$P,RawResultsLong!$A:$A,A684)</f>
        <v>6.717168</v>
      </c>
      <c r="K684">
        <f t="shared" si="21"/>
        <v>212.85420944558521</v>
      </c>
      <c r="L684">
        <f>SUMIFS(EmploymentResults!$V:$V,EmploymentResults!$D:$D,B684,EmploymentResults!$F:$F,C684,EmploymentResults!$G:$G,D684,EmploymentResults!$H:$H,E684,EmploymentResults!$J:$J,G684,EmploymentResults!$K:$K,H684,EmploymentResults!$L:$L,I684)</f>
        <v>2012.5687818907716</v>
      </c>
    </row>
    <row r="685" spans="1:12" x14ac:dyDescent="0.3">
      <c r="A685" t="str">
        <f t="shared" si="20"/>
        <v>PD|NewCapacity|RE1|PWRSOLUGE|2026</v>
      </c>
      <c r="B685" t="s">
        <v>16</v>
      </c>
      <c r="C685" t="s">
        <v>19</v>
      </c>
      <c r="D685" t="s">
        <v>33</v>
      </c>
      <c r="E685">
        <v>2026</v>
      </c>
      <c r="F685" t="s">
        <v>37</v>
      </c>
      <c r="G685" t="s">
        <v>69</v>
      </c>
      <c r="H685" t="s">
        <v>70</v>
      </c>
      <c r="I685" t="s">
        <v>65</v>
      </c>
      <c r="J685">
        <f>SUMIFS(RawResultsLong!$P:$P,RawResultsLong!$A:$A,A685)</f>
        <v>55.787184000000003</v>
      </c>
      <c r="K685">
        <f t="shared" si="21"/>
        <v>1767.7891854893908</v>
      </c>
      <c r="L685">
        <f>SUMIFS(EmploymentResults!$V:$V,EmploymentResults!$D:$D,B685,EmploymentResults!$F:$F,C685,EmploymentResults!$G:$G,D685,EmploymentResults!$H:$H,E685,EmploymentResults!$J:$J,G685,EmploymentResults!$K:$K,H685,EmploymentResults!$L:$L,I685)</f>
        <v>15804.570695439714</v>
      </c>
    </row>
    <row r="686" spans="1:12" x14ac:dyDescent="0.3">
      <c r="A686" t="str">
        <f t="shared" si="20"/>
        <v>PD|NewCapacity|RE1|PWRSOLUGE|2027</v>
      </c>
      <c r="B686" t="s">
        <v>16</v>
      </c>
      <c r="C686" t="s">
        <v>19</v>
      </c>
      <c r="D686" t="s">
        <v>33</v>
      </c>
      <c r="E686">
        <v>2027</v>
      </c>
      <c r="F686" t="s">
        <v>37</v>
      </c>
      <c r="G686" t="s">
        <v>69</v>
      </c>
      <c r="H686" t="s">
        <v>70</v>
      </c>
      <c r="I686" t="s">
        <v>65</v>
      </c>
      <c r="J686">
        <f>SUMIFS(RawResultsLong!$P:$P,RawResultsLong!$A:$A,A686)</f>
        <v>73.005840000000006</v>
      </c>
      <c r="K686">
        <f t="shared" si="21"/>
        <v>2313.4154688569474</v>
      </c>
      <c r="L686">
        <f>SUMIFS(EmploymentResults!$V:$V,EmploymentResults!$D:$D,B686,EmploymentResults!$F:$F,C686,EmploymentResults!$G:$G,D686,EmploymentResults!$H:$H,E686,EmploymentResults!$J:$J,G686,EmploymentResults!$K:$K,H686,EmploymentResults!$L:$L,I686)</f>
        <v>19491.576256281118</v>
      </c>
    </row>
    <row r="687" spans="1:12" x14ac:dyDescent="0.3">
      <c r="A687" t="str">
        <f t="shared" si="20"/>
        <v>PD|NewCapacity|RE1|PWRSOLUGE|2030</v>
      </c>
      <c r="B687" t="s">
        <v>16</v>
      </c>
      <c r="C687" t="s">
        <v>19</v>
      </c>
      <c r="D687" t="s">
        <v>33</v>
      </c>
      <c r="E687">
        <v>2030</v>
      </c>
      <c r="F687" t="s">
        <v>37</v>
      </c>
      <c r="G687" t="s">
        <v>69</v>
      </c>
      <c r="H687" t="s">
        <v>70</v>
      </c>
      <c r="I687" t="s">
        <v>65</v>
      </c>
      <c r="J687">
        <f>SUMIFS(RawResultsLong!$P:$P,RawResultsLong!$A:$A,A687)</f>
        <v>7.8840000000000003</v>
      </c>
      <c r="K687">
        <f t="shared" si="21"/>
        <v>249.82888432580424</v>
      </c>
      <c r="L687">
        <f>SUMIFS(EmploymentResults!$V:$V,EmploymentResults!$D:$D,B687,EmploymentResults!$F:$F,C687,EmploymentResults!$G:$G,D687,EmploymentResults!$H:$H,E687,EmploymentResults!$J:$J,G687,EmploymentResults!$K:$K,H687,EmploymentResults!$L:$L,I687)</f>
        <v>1719.0497071337441</v>
      </c>
    </row>
    <row r="688" spans="1:12" x14ac:dyDescent="0.3">
      <c r="A688" t="str">
        <f t="shared" si="20"/>
        <v>PD|NewCapacity|RE1|PWRSOLUPE|2025</v>
      </c>
      <c r="B688" t="s">
        <v>16</v>
      </c>
      <c r="C688" t="s">
        <v>19</v>
      </c>
      <c r="D688" t="s">
        <v>34</v>
      </c>
      <c r="E688">
        <v>2025</v>
      </c>
      <c r="F688" t="s">
        <v>37</v>
      </c>
      <c r="G688" t="s">
        <v>69</v>
      </c>
      <c r="H688" t="s">
        <v>70</v>
      </c>
      <c r="I688" t="s">
        <v>65</v>
      </c>
      <c r="J688">
        <f>SUMIFS(RawResultsLong!$P:$P,RawResultsLong!$A:$A,A688)</f>
        <v>5.3106623999999574</v>
      </c>
      <c r="K688">
        <f t="shared" si="21"/>
        <v>168.28473648186039</v>
      </c>
      <c r="L688">
        <f>SUMIFS(EmploymentResults!$V:$V,EmploymentResults!$D:$D,B688,EmploymentResults!$F:$F,C688,EmploymentResults!$G:$G,D688,EmploymentResults!$H:$H,E688,EmploymentResults!$J:$J,G688,EmploymentResults!$K:$K,H688,EmploymentResults!$L:$L,I688)</f>
        <v>1591.1576660582311</v>
      </c>
    </row>
    <row r="689" spans="1:12" x14ac:dyDescent="0.3">
      <c r="A689" t="str">
        <f t="shared" si="20"/>
        <v>PD|NewCapacity|RE1|PWRSOLUPE|2026</v>
      </c>
      <c r="B689" t="s">
        <v>16</v>
      </c>
      <c r="C689" t="s">
        <v>19</v>
      </c>
      <c r="D689" t="s">
        <v>34</v>
      </c>
      <c r="E689">
        <v>2026</v>
      </c>
      <c r="F689" t="s">
        <v>37</v>
      </c>
      <c r="G689" t="s">
        <v>69</v>
      </c>
      <c r="H689" t="s">
        <v>70</v>
      </c>
      <c r="I689" t="s">
        <v>65</v>
      </c>
      <c r="J689">
        <f>SUMIFS(RawResultsLong!$P:$P,RawResultsLong!$A:$A,A689)</f>
        <v>3.364575839999973</v>
      </c>
      <c r="K689">
        <f t="shared" si="21"/>
        <v>106.61697467487936</v>
      </c>
      <c r="L689">
        <f>SUMIFS(EmploymentResults!$V:$V,EmploymentResults!$D:$D,B689,EmploymentResults!$F:$F,C689,EmploymentResults!$G:$G,D689,EmploymentResults!$H:$H,E689,EmploymentResults!$J:$J,G689,EmploymentResults!$K:$K,H689,EmploymentResults!$L:$L,I689)</f>
        <v>953.18804267747294</v>
      </c>
    </row>
    <row r="690" spans="1:12" x14ac:dyDescent="0.3">
      <c r="A690" t="str">
        <f t="shared" si="20"/>
        <v>PD|NewCapacity|RE1|PWRSOLUPE|2027</v>
      </c>
      <c r="B690" t="s">
        <v>16</v>
      </c>
      <c r="C690" t="s">
        <v>19</v>
      </c>
      <c r="D690" t="s">
        <v>34</v>
      </c>
      <c r="E690">
        <v>2027</v>
      </c>
      <c r="F690" t="s">
        <v>37</v>
      </c>
      <c r="G690" t="s">
        <v>69</v>
      </c>
      <c r="H690" t="s">
        <v>70</v>
      </c>
      <c r="I690" t="s">
        <v>65</v>
      </c>
      <c r="J690">
        <f>SUMIFS(RawResultsLong!$P:$P,RawResultsLong!$A:$A,A690)</f>
        <v>3.46896</v>
      </c>
      <c r="K690">
        <f t="shared" si="21"/>
        <v>109.92470910335386</v>
      </c>
      <c r="L690">
        <f>SUMIFS(EmploymentResults!$V:$V,EmploymentResults!$D:$D,B690,EmploymentResults!$F:$F,C690,EmploymentResults!$G:$G,D690,EmploymentResults!$H:$H,E690,EmploymentResults!$J:$J,G690,EmploymentResults!$K:$K,H690,EmploymentResults!$L:$L,I690)</f>
        <v>926.16561044964271</v>
      </c>
    </row>
    <row r="691" spans="1:12" x14ac:dyDescent="0.3">
      <c r="A691" t="str">
        <f t="shared" si="20"/>
        <v>PD|NewCapacity|RE1|PWRWNDONS|2025</v>
      </c>
      <c r="B691" t="s">
        <v>16</v>
      </c>
      <c r="C691" t="s">
        <v>19</v>
      </c>
      <c r="D691" t="s">
        <v>36</v>
      </c>
      <c r="E691">
        <v>2025</v>
      </c>
      <c r="F691" t="s">
        <v>37</v>
      </c>
      <c r="G691" t="s">
        <v>69</v>
      </c>
      <c r="H691" t="s">
        <v>70</v>
      </c>
      <c r="I691" t="s">
        <v>65</v>
      </c>
      <c r="J691">
        <f>SUMIFS(RawResultsLong!$P:$P,RawResultsLong!$A:$A,A691)</f>
        <v>0.15362331428571441</v>
      </c>
      <c r="K691">
        <f t="shared" si="21"/>
        <v>4.8680290733678859</v>
      </c>
      <c r="L691">
        <f>SUMIFS(EmploymentResults!$V:$V,EmploymentResults!$D:$D,B691,EmploymentResults!$F:$F,C691,EmploymentResults!$G:$G,D691,EmploymentResults!$H:$H,E691,EmploymentResults!$J:$J,G691,EmploymentResults!$K:$K,H691,EmploymentResults!$L:$L,I691)</f>
        <v>34.978894298950074</v>
      </c>
    </row>
    <row r="692" spans="1:12" x14ac:dyDescent="0.3">
      <c r="A692" t="str">
        <f t="shared" si="20"/>
        <v>PD|NewCapacity|RE1|PWRWNDONS|2027</v>
      </c>
      <c r="B692" t="s">
        <v>16</v>
      </c>
      <c r="C692" t="s">
        <v>19</v>
      </c>
      <c r="D692" t="s">
        <v>36</v>
      </c>
      <c r="E692">
        <v>2027</v>
      </c>
      <c r="F692" t="s">
        <v>37</v>
      </c>
      <c r="G692" t="s">
        <v>69</v>
      </c>
      <c r="H692" t="s">
        <v>70</v>
      </c>
      <c r="I692" t="s">
        <v>65</v>
      </c>
      <c r="J692">
        <f>SUMIFS(RawResultsLong!$P:$P,RawResultsLong!$A:$A,A692)</f>
        <v>17.313264</v>
      </c>
      <c r="K692">
        <f t="shared" si="21"/>
        <v>548.62422997946612</v>
      </c>
      <c r="L692">
        <f>SUMIFS(EmploymentResults!$V:$V,EmploymentResults!$D:$D,B692,EmploymentResults!$F:$F,C692,EmploymentResults!$G:$G,D692,EmploymentResults!$H:$H,E692,EmploymentResults!$J:$J,G692,EmploymentResults!$K:$K,H692,EmploymentResults!$L:$L,I692)</f>
        <v>3874.5475224962674</v>
      </c>
    </row>
    <row r="693" spans="1:12" x14ac:dyDescent="0.3">
      <c r="A693" t="str">
        <f t="shared" si="20"/>
        <v>PD|NewCapacity|RE1|PWRWNDONS|2028</v>
      </c>
      <c r="B693" t="s">
        <v>16</v>
      </c>
      <c r="C693" t="s">
        <v>19</v>
      </c>
      <c r="D693" t="s">
        <v>36</v>
      </c>
      <c r="E693">
        <v>2028</v>
      </c>
      <c r="F693" t="s">
        <v>37</v>
      </c>
      <c r="G693" t="s">
        <v>69</v>
      </c>
      <c r="H693" t="s">
        <v>70</v>
      </c>
      <c r="I693" t="s">
        <v>65</v>
      </c>
      <c r="J693">
        <f>SUMIFS(RawResultsLong!$P:$P,RawResultsLong!$A:$A,A693)</f>
        <v>6.3387359999999999</v>
      </c>
      <c r="K693">
        <f t="shared" si="21"/>
        <v>200.8624229979466</v>
      </c>
      <c r="L693">
        <f>SUMIFS(EmploymentResults!$V:$V,EmploymentResults!$D:$D,B693,EmploymentResults!$F:$F,C693,EmploymentResults!$G:$G,D693,EmploymentResults!$H:$H,E693,EmploymentResults!$J:$J,G693,EmploymentResults!$K:$K,H693,EmploymentResults!$L:$L,I693)</f>
        <v>1406.1835879552548</v>
      </c>
    </row>
    <row r="694" spans="1:12" x14ac:dyDescent="0.3">
      <c r="A694" t="str">
        <f t="shared" si="20"/>
        <v>PD|NewCapacity|RE1|PWRWNDONS|2029</v>
      </c>
      <c r="B694" t="s">
        <v>16</v>
      </c>
      <c r="C694" t="s">
        <v>19</v>
      </c>
      <c r="D694" t="s">
        <v>36</v>
      </c>
      <c r="E694">
        <v>2029</v>
      </c>
      <c r="F694" t="s">
        <v>37</v>
      </c>
      <c r="G694" t="s">
        <v>69</v>
      </c>
      <c r="H694" t="s">
        <v>70</v>
      </c>
      <c r="I694" t="s">
        <v>65</v>
      </c>
      <c r="J694">
        <f>SUMIFS(RawResultsLong!$P:$P,RawResultsLong!$A:$A,A694)</f>
        <v>9.4608000000000008</v>
      </c>
      <c r="K694">
        <f t="shared" si="21"/>
        <v>299.79466119096514</v>
      </c>
      <c r="L694">
        <f>SUMIFS(EmploymentResults!$V:$V,EmploymentResults!$D:$D,B694,EmploymentResults!$F:$F,C694,EmploymentResults!$G:$G,D694,EmploymentResults!$H:$H,E694,EmploymentResults!$J:$J,G694,EmploymentResults!$K:$K,H694,EmploymentResults!$L:$L,I694)</f>
        <v>2080.3238657858728</v>
      </c>
    </row>
    <row r="695" spans="1:12" x14ac:dyDescent="0.3">
      <c r="A695" t="str">
        <f t="shared" si="20"/>
        <v>PD|NewCapacity|RE1|PWRWNDONS|2035</v>
      </c>
      <c r="B695" t="s">
        <v>16</v>
      </c>
      <c r="C695" t="s">
        <v>19</v>
      </c>
      <c r="D695" t="s">
        <v>36</v>
      </c>
      <c r="E695">
        <v>2035</v>
      </c>
      <c r="F695" t="s">
        <v>37</v>
      </c>
      <c r="G695" t="s">
        <v>69</v>
      </c>
      <c r="H695" t="s">
        <v>70</v>
      </c>
      <c r="I695" t="s">
        <v>65</v>
      </c>
      <c r="J695">
        <f>SUMIFS(RawResultsLong!$P:$P,RawResultsLong!$A:$A,A695)</f>
        <v>47.31</v>
      </c>
      <c r="K695">
        <f t="shared" si="21"/>
        <v>1499.1634344817096</v>
      </c>
      <c r="L695">
        <f>SUMIFS(EmploymentResults!$V:$V,EmploymentResults!$D:$D,B695,EmploymentResults!$F:$F,C695,EmploymentResults!$G:$G,D695,EmploymentResults!$H:$H,E695,EmploymentResults!$J:$J,G695,EmploymentResults!$K:$K,H695,EmploymentResults!$L:$L,I695)</f>
        <v>10173.902102648166</v>
      </c>
    </row>
    <row r="696" spans="1:12" x14ac:dyDescent="0.3">
      <c r="A696" t="str">
        <f t="shared" si="20"/>
        <v>PD|NewCapacity|RE1|PWRWNDONS|2036</v>
      </c>
      <c r="B696" t="s">
        <v>16</v>
      </c>
      <c r="C696" t="s">
        <v>19</v>
      </c>
      <c r="D696" t="s">
        <v>36</v>
      </c>
      <c r="E696">
        <v>2036</v>
      </c>
      <c r="F696" t="s">
        <v>37</v>
      </c>
      <c r="G696" t="s">
        <v>69</v>
      </c>
      <c r="H696" t="s">
        <v>70</v>
      </c>
      <c r="I696" t="s">
        <v>65</v>
      </c>
      <c r="J696">
        <f>SUMIFS(RawResultsLong!$P:$P,RawResultsLong!$A:$A,A696)</f>
        <v>46.870246780951632</v>
      </c>
      <c r="K696">
        <f t="shared" si="21"/>
        <v>1485.228495860003</v>
      </c>
      <c r="L696">
        <f>SUMIFS(EmploymentResults!$V:$V,EmploymentResults!$D:$D,B696,EmploymentResults!$F:$F,C696,EmploymentResults!$G:$G,D696,EmploymentResults!$H:$H,E696,EmploymentResults!$J:$J,G696,EmploymentResults!$K:$K,H696,EmploymentResults!$L:$L,I696)</f>
        <v>10052.241062695482</v>
      </c>
    </row>
    <row r="697" spans="1:12" x14ac:dyDescent="0.3">
      <c r="A697" t="str">
        <f t="shared" si="20"/>
        <v>PD|NewCapacity|RE1|PWRWNDONS|2040</v>
      </c>
      <c r="B697" t="s">
        <v>16</v>
      </c>
      <c r="C697" t="s">
        <v>19</v>
      </c>
      <c r="D697" t="s">
        <v>36</v>
      </c>
      <c r="E697">
        <v>2040</v>
      </c>
      <c r="F697" t="s">
        <v>37</v>
      </c>
      <c r="G697" t="s">
        <v>69</v>
      </c>
      <c r="H697" t="s">
        <v>70</v>
      </c>
      <c r="I697" t="s">
        <v>65</v>
      </c>
      <c r="J697">
        <f>SUMIFS(RawResultsLong!$P:$P,RawResultsLong!$A:$A,A697)</f>
        <v>37.461868748559823</v>
      </c>
      <c r="K697">
        <f t="shared" si="21"/>
        <v>1187.0949865819903</v>
      </c>
      <c r="L697">
        <f>SUMIFS(EmploymentResults!$V:$V,EmploymentResults!$D:$D,B697,EmploymentResults!$F:$F,C697,EmploymentResults!$G:$G,D697,EmploymentResults!$H:$H,E697,EmploymentResults!$J:$J,G697,EmploymentResults!$K:$K,H697,EmploymentResults!$L:$L,I697)</f>
        <v>7947.8116428408675</v>
      </c>
    </row>
    <row r="698" spans="1:12" x14ac:dyDescent="0.3">
      <c r="A698" t="str">
        <f t="shared" si="20"/>
        <v>PD|NewCapacity|RE1|PWRWNDONS|2041</v>
      </c>
      <c r="B698" t="s">
        <v>16</v>
      </c>
      <c r="C698" t="s">
        <v>19</v>
      </c>
      <c r="D698" t="s">
        <v>36</v>
      </c>
      <c r="E698">
        <v>2041</v>
      </c>
      <c r="F698" t="s">
        <v>37</v>
      </c>
      <c r="G698" t="s">
        <v>69</v>
      </c>
      <c r="H698" t="s">
        <v>70</v>
      </c>
      <c r="I698" t="s">
        <v>65</v>
      </c>
      <c r="J698">
        <f>SUMIFS(RawResultsLong!$P:$P,RawResultsLong!$A:$A,A698)</f>
        <v>47.31</v>
      </c>
      <c r="K698">
        <f t="shared" si="21"/>
        <v>1499.1634344817096</v>
      </c>
      <c r="L698">
        <f>SUMIFS(EmploymentResults!$V:$V,EmploymentResults!$D:$D,B698,EmploymentResults!$F:$F,C698,EmploymentResults!$G:$G,D698,EmploymentResults!$H:$H,E698,EmploymentResults!$J:$J,G698,EmploymentResults!$K:$K,H698,EmploymentResults!$L:$L,I698)</f>
        <v>10009.817931353393</v>
      </c>
    </row>
    <row r="699" spans="1:12" x14ac:dyDescent="0.3">
      <c r="A699" t="str">
        <f t="shared" si="20"/>
        <v>PD|NewCapacity|RE1|PWRWNDONS|2042</v>
      </c>
      <c r="B699" t="s">
        <v>16</v>
      </c>
      <c r="C699" t="s">
        <v>19</v>
      </c>
      <c r="D699" t="s">
        <v>36</v>
      </c>
      <c r="E699">
        <v>2042</v>
      </c>
      <c r="F699" t="s">
        <v>37</v>
      </c>
      <c r="G699" t="s">
        <v>69</v>
      </c>
      <c r="H699" t="s">
        <v>70</v>
      </c>
      <c r="I699" t="s">
        <v>65</v>
      </c>
      <c r="J699">
        <f>SUMIFS(RawResultsLong!$P:$P,RawResultsLong!$A:$A,A699)</f>
        <v>47.31</v>
      </c>
      <c r="K699">
        <f t="shared" si="21"/>
        <v>1499.1634344817096</v>
      </c>
      <c r="L699">
        <f>SUMIFS(EmploymentResults!$V:$V,EmploymentResults!$D:$D,B699,EmploymentResults!$F:$F,C699,EmploymentResults!$G:$G,D699,EmploymentResults!$H:$H,E699,EmploymentResults!$J:$J,G699,EmploymentResults!$K:$K,H699,EmploymentResults!$L:$L,I699)</f>
        <v>9982.4705694709282</v>
      </c>
    </row>
    <row r="700" spans="1:12" x14ac:dyDescent="0.3">
      <c r="A700" t="str">
        <f t="shared" si="20"/>
        <v>PD|NewCapacity|RE1|PWRWNDONS|2043</v>
      </c>
      <c r="B700" t="s">
        <v>16</v>
      </c>
      <c r="C700" t="s">
        <v>19</v>
      </c>
      <c r="D700" t="s">
        <v>36</v>
      </c>
      <c r="E700">
        <v>2043</v>
      </c>
      <c r="F700" t="s">
        <v>37</v>
      </c>
      <c r="G700" t="s">
        <v>69</v>
      </c>
      <c r="H700" t="s">
        <v>70</v>
      </c>
      <c r="I700" t="s">
        <v>65</v>
      </c>
      <c r="J700">
        <f>SUMIFS(RawResultsLong!$P:$P,RawResultsLong!$A:$A,A700)</f>
        <v>18.601561987203141</v>
      </c>
      <c r="K700">
        <f t="shared" si="21"/>
        <v>589.44792972859602</v>
      </c>
      <c r="L700">
        <f>SUMIFS(EmploymentResults!$V:$V,EmploymentResults!$D:$D,B700,EmploymentResults!$F:$F,C700,EmploymentResults!$G:$G,D700,EmploymentResults!$H:$H,E700,EmploymentResults!$J:$J,G700,EmploymentResults!$K:$K,H700,EmploymentResults!$L:$L,I700)</f>
        <v>3914.2008335701003</v>
      </c>
    </row>
    <row r="701" spans="1:12" x14ac:dyDescent="0.3">
      <c r="A701" t="str">
        <f t="shared" si="20"/>
        <v>PD|NewCapacity|RE1|PWRWNDONS|2045</v>
      </c>
      <c r="B701" t="s">
        <v>16</v>
      </c>
      <c r="C701" t="s">
        <v>19</v>
      </c>
      <c r="D701" t="s">
        <v>36</v>
      </c>
      <c r="E701">
        <v>2045</v>
      </c>
      <c r="F701" t="s">
        <v>37</v>
      </c>
      <c r="G701" t="s">
        <v>69</v>
      </c>
      <c r="H701" t="s">
        <v>70</v>
      </c>
      <c r="I701" t="s">
        <v>65</v>
      </c>
      <c r="J701">
        <f>SUMIFS(RawResultsLong!$P:$P,RawResultsLong!$A:$A,A701)</f>
        <v>18.980635770815471</v>
      </c>
      <c r="K701">
        <f t="shared" si="21"/>
        <v>601.46005307169969</v>
      </c>
      <c r="L701">
        <f>SUMIFS(EmploymentResults!$V:$V,EmploymentResults!$D:$D,B701,EmploymentResults!$F:$F,C701,EmploymentResults!$G:$G,D701,EmploymentResults!$H:$H,E701,EmploymentResults!$J:$J,G701,EmploymentResults!$K:$K,H701,EmploymentResults!$L:$L,I701)</f>
        <v>3972.0233994179134</v>
      </c>
    </row>
    <row r="702" spans="1:12" x14ac:dyDescent="0.3">
      <c r="A702" t="str">
        <f t="shared" si="20"/>
        <v>PD|NewCapacity|RE1|PWRWNDONS|2046</v>
      </c>
      <c r="B702" t="s">
        <v>16</v>
      </c>
      <c r="C702" t="s">
        <v>19</v>
      </c>
      <c r="D702" t="s">
        <v>36</v>
      </c>
      <c r="E702">
        <v>2046</v>
      </c>
      <c r="F702" t="s">
        <v>37</v>
      </c>
      <c r="G702" t="s">
        <v>69</v>
      </c>
      <c r="H702" t="s">
        <v>70</v>
      </c>
      <c r="I702" t="s">
        <v>65</v>
      </c>
      <c r="J702">
        <f>SUMIFS(RawResultsLong!$P:$P,RawResultsLong!$A:$A,A702)</f>
        <v>47.31</v>
      </c>
      <c r="K702">
        <f t="shared" si="21"/>
        <v>1499.1634344817096</v>
      </c>
      <c r="L702">
        <f>SUMIFS(EmploymentResults!$V:$V,EmploymentResults!$D:$D,B702,EmploymentResults!$F:$F,C702,EmploymentResults!$G:$G,D702,EmploymentResults!$H:$H,E702,EmploymentResults!$J:$J,G702,EmploymentResults!$K:$K,H702,EmploymentResults!$L:$L,I702)</f>
        <v>9873.0811219410789</v>
      </c>
    </row>
    <row r="703" spans="1:12" x14ac:dyDescent="0.3">
      <c r="A703" t="str">
        <f t="shared" si="20"/>
        <v>PD|NewCapacity|RE1|PWRWNDONS|2047</v>
      </c>
      <c r="B703" t="s">
        <v>16</v>
      </c>
      <c r="C703" t="s">
        <v>19</v>
      </c>
      <c r="D703" t="s">
        <v>36</v>
      </c>
      <c r="E703">
        <v>2047</v>
      </c>
      <c r="F703" t="s">
        <v>37</v>
      </c>
      <c r="G703" t="s">
        <v>69</v>
      </c>
      <c r="H703" t="s">
        <v>70</v>
      </c>
      <c r="I703" t="s">
        <v>65</v>
      </c>
      <c r="J703">
        <f>SUMIFS(RawResultsLong!$P:$P,RawResultsLong!$A:$A,A703)</f>
        <v>47.31</v>
      </c>
      <c r="K703">
        <f t="shared" si="21"/>
        <v>1499.1634344817096</v>
      </c>
      <c r="L703">
        <f>SUMIFS(EmploymentResults!$V:$V,EmploymentResults!$D:$D,B703,EmploymentResults!$F:$F,C703,EmploymentResults!$G:$G,D703,EmploymentResults!$H:$H,E703,EmploymentResults!$J:$J,G703,EmploymentResults!$K:$K,H703,EmploymentResults!$L:$L,I703)</f>
        <v>9845.7337600586161</v>
      </c>
    </row>
    <row r="704" spans="1:12" x14ac:dyDescent="0.3">
      <c r="A704" t="str">
        <f t="shared" si="20"/>
        <v>PD|NewCapacity|RE1|PWRWNDONS|2048</v>
      </c>
      <c r="B704" t="s">
        <v>16</v>
      </c>
      <c r="C704" t="s">
        <v>19</v>
      </c>
      <c r="D704" t="s">
        <v>36</v>
      </c>
      <c r="E704">
        <v>2048</v>
      </c>
      <c r="F704" t="s">
        <v>37</v>
      </c>
      <c r="G704" t="s">
        <v>69</v>
      </c>
      <c r="H704" t="s">
        <v>70</v>
      </c>
      <c r="I704" t="s">
        <v>65</v>
      </c>
      <c r="J704">
        <f>SUMIFS(RawResultsLong!$P:$P,RawResultsLong!$A:$A,A704)</f>
        <v>47.31</v>
      </c>
      <c r="K704">
        <f t="shared" si="21"/>
        <v>1499.1634344817096</v>
      </c>
      <c r="L704">
        <f>SUMIFS(EmploymentResults!$V:$V,EmploymentResults!$D:$D,B704,EmploymentResults!$F:$F,C704,EmploymentResults!$G:$G,D704,EmploymentResults!$H:$H,E704,EmploymentResults!$J:$J,G704,EmploymentResults!$K:$K,H704,EmploymentResults!$L:$L,I704)</f>
        <v>9818.3863981761551</v>
      </c>
    </row>
    <row r="705" spans="1:12" x14ac:dyDescent="0.3">
      <c r="A705" t="str">
        <f t="shared" si="20"/>
        <v>PD|NewCapacity|RE1|PWRWNDONS|2052</v>
      </c>
      <c r="B705" t="s">
        <v>16</v>
      </c>
      <c r="C705" t="s">
        <v>19</v>
      </c>
      <c r="D705" t="s">
        <v>36</v>
      </c>
      <c r="E705">
        <v>2052</v>
      </c>
      <c r="F705" t="s">
        <v>37</v>
      </c>
      <c r="G705" t="s">
        <v>69</v>
      </c>
      <c r="H705" t="s">
        <v>70</v>
      </c>
      <c r="I705" t="s">
        <v>65</v>
      </c>
      <c r="J705">
        <f>SUMIFS(RawResultsLong!$P:$P,RawResultsLong!$A:$A,A705)</f>
        <v>47.31</v>
      </c>
      <c r="K705">
        <f t="shared" si="21"/>
        <v>1499.1634344817096</v>
      </c>
      <c r="L705">
        <f>SUMIFS(EmploymentResults!$V:$V,EmploymentResults!$D:$D,B705,EmploymentResults!$F:$F,C705,EmploymentResults!$G:$G,D705,EmploymentResults!$H:$H,E705,EmploymentResults!$J:$J,G705,EmploymentResults!$K:$K,H705,EmploymentResults!$L:$L,I705)</f>
        <v>9763.6916744112277</v>
      </c>
    </row>
    <row r="706" spans="1:12" x14ac:dyDescent="0.3">
      <c r="A706" t="str">
        <f t="shared" ref="A706:A769" si="22">B706&amp;"|"&amp;F706&amp;"|"&amp;C706&amp;"|"&amp;D706&amp;"|"&amp;E706</f>
        <v>PD|NewCapacity|RE1|PWRWNDONS|2053</v>
      </c>
      <c r="B706" t="s">
        <v>16</v>
      </c>
      <c r="C706" t="s">
        <v>19</v>
      </c>
      <c r="D706" t="s">
        <v>36</v>
      </c>
      <c r="E706">
        <v>2053</v>
      </c>
      <c r="F706" t="s">
        <v>37</v>
      </c>
      <c r="G706" t="s">
        <v>69</v>
      </c>
      <c r="H706" t="s">
        <v>70</v>
      </c>
      <c r="I706" t="s">
        <v>65</v>
      </c>
      <c r="J706">
        <f>SUMIFS(RawResultsLong!$P:$P,RawResultsLong!$A:$A,A706)</f>
        <v>47.31</v>
      </c>
      <c r="K706">
        <f t="shared" ref="K706:K769" si="23">J706*1000/31.5576</f>
        <v>1499.1634344817096</v>
      </c>
      <c r="L706">
        <f>SUMIFS(EmploymentResults!$V:$V,EmploymentResults!$D:$D,B706,EmploymentResults!$F:$F,C706,EmploymentResults!$G:$G,D706,EmploymentResults!$H:$H,E706,EmploymentResults!$J:$J,G706,EmploymentResults!$K:$K,H706,EmploymentResults!$L:$L,I706)</f>
        <v>9763.6916744112277</v>
      </c>
    </row>
    <row r="707" spans="1:12" x14ac:dyDescent="0.3">
      <c r="A707" t="str">
        <f t="shared" si="22"/>
        <v>PD|NewCapacity|RE1|PWRWNDONS|2054</v>
      </c>
      <c r="B707" t="s">
        <v>16</v>
      </c>
      <c r="C707" t="s">
        <v>19</v>
      </c>
      <c r="D707" t="s">
        <v>36</v>
      </c>
      <c r="E707">
        <v>2054</v>
      </c>
      <c r="F707" t="s">
        <v>37</v>
      </c>
      <c r="G707" t="s">
        <v>69</v>
      </c>
      <c r="H707" t="s">
        <v>70</v>
      </c>
      <c r="I707" t="s">
        <v>65</v>
      </c>
      <c r="J707">
        <f>SUMIFS(RawResultsLong!$P:$P,RawResultsLong!$A:$A,A707)</f>
        <v>47.31</v>
      </c>
      <c r="K707">
        <f t="shared" si="23"/>
        <v>1499.1634344817096</v>
      </c>
      <c r="L707">
        <f>SUMIFS(EmploymentResults!$V:$V,EmploymentResults!$D:$D,B707,EmploymentResults!$F:$F,C707,EmploymentResults!$G:$G,D707,EmploymentResults!$H:$H,E707,EmploymentResults!$J:$J,G707,EmploymentResults!$K:$K,H707,EmploymentResults!$L:$L,I707)</f>
        <v>9763.6916744112277</v>
      </c>
    </row>
    <row r="708" spans="1:12" x14ac:dyDescent="0.3">
      <c r="A708" t="str">
        <f t="shared" si="22"/>
        <v>PD|NewCapacity|RE1|PWRWNDONS|2055</v>
      </c>
      <c r="B708" t="s">
        <v>16</v>
      </c>
      <c r="C708" t="s">
        <v>19</v>
      </c>
      <c r="D708" t="s">
        <v>36</v>
      </c>
      <c r="E708">
        <v>2055</v>
      </c>
      <c r="F708" t="s">
        <v>37</v>
      </c>
      <c r="G708" t="s">
        <v>69</v>
      </c>
      <c r="H708" t="s">
        <v>70</v>
      </c>
      <c r="I708" t="s">
        <v>65</v>
      </c>
      <c r="J708">
        <f>SUMIFS(RawResultsLong!$P:$P,RawResultsLong!$A:$A,A708)</f>
        <v>40.777206982831032</v>
      </c>
      <c r="K708">
        <f t="shared" si="23"/>
        <v>1292.1517156827842</v>
      </c>
      <c r="L708">
        <f>SUMIFS(EmploymentResults!$V:$V,EmploymentResults!$D:$D,B708,EmploymentResults!$F:$F,C708,EmploymentResults!$G:$G,D708,EmploymentResults!$H:$H,E708,EmploymentResults!$J:$J,G708,EmploymentResults!$K:$K,H708,EmploymentResults!$L:$L,I708)</f>
        <v>8415.4740292540846</v>
      </c>
    </row>
    <row r="709" spans="1:12" x14ac:dyDescent="0.3">
      <c r="A709" t="str">
        <f t="shared" si="22"/>
        <v>PD|AccumulatedNewCapacity|RE1|PWRHYDDAM|2028</v>
      </c>
      <c r="B709" t="s">
        <v>16</v>
      </c>
      <c r="C709" t="s">
        <v>19</v>
      </c>
      <c r="D709" t="s">
        <v>24</v>
      </c>
      <c r="E709">
        <v>2028</v>
      </c>
      <c r="F709" t="s">
        <v>18</v>
      </c>
      <c r="G709" t="s">
        <v>63</v>
      </c>
      <c r="H709" t="s">
        <v>64</v>
      </c>
      <c r="I709" t="s">
        <v>65</v>
      </c>
      <c r="J709">
        <f>SUMIFS(RawResultsLong!$P:$P,RawResultsLong!$A:$A,A709)</f>
        <v>37.840000000000003</v>
      </c>
      <c r="K709">
        <f t="shared" si="23"/>
        <v>1199.0772428828554</v>
      </c>
      <c r="L709">
        <f>SUMIFS(EmploymentResults!$V:$V,EmploymentResults!$D:$D,B709,EmploymentResults!$F:$F,C709,EmploymentResults!$G:$G,D709,EmploymentResults!$H:$H,E709,EmploymentResults!$J:$J,G709,EmploymentResults!$K:$K,H709,EmploymentResults!$L:$L,I709)</f>
        <v>763.09275737064911</v>
      </c>
    </row>
    <row r="710" spans="1:12" x14ac:dyDescent="0.3">
      <c r="A710" t="str">
        <f t="shared" si="22"/>
        <v>PD|AccumulatedNewCapacity|RE1|PWRHYDDAM|2029</v>
      </c>
      <c r="B710" t="s">
        <v>16</v>
      </c>
      <c r="C710" t="s">
        <v>19</v>
      </c>
      <c r="D710" t="s">
        <v>24</v>
      </c>
      <c r="E710">
        <v>2029</v>
      </c>
      <c r="F710" t="s">
        <v>18</v>
      </c>
      <c r="G710" t="s">
        <v>63</v>
      </c>
      <c r="H710" t="s">
        <v>64</v>
      </c>
      <c r="I710" t="s">
        <v>65</v>
      </c>
      <c r="J710">
        <f>SUMIFS(RawResultsLong!$P:$P,RawResultsLong!$A:$A,A710)</f>
        <v>37.840000000000003</v>
      </c>
      <c r="K710">
        <f t="shared" si="23"/>
        <v>1199.0772428828554</v>
      </c>
      <c r="L710">
        <f>SUMIFS(EmploymentResults!$V:$V,EmploymentResults!$D:$D,B710,EmploymentResults!$F:$F,C710,EmploymentResults!$G:$G,D710,EmploymentResults!$H:$H,E710,EmploymentResults!$J:$J,G710,EmploymentResults!$K:$K,H710,EmploymentResults!$L:$L,I710)</f>
        <v>766.45017365072124</v>
      </c>
    </row>
    <row r="711" spans="1:12" x14ac:dyDescent="0.3">
      <c r="A711" t="str">
        <f t="shared" si="22"/>
        <v>PD|AccumulatedNewCapacity|RE1|PWRHYDDAM|2030</v>
      </c>
      <c r="B711" t="s">
        <v>16</v>
      </c>
      <c r="C711" t="s">
        <v>19</v>
      </c>
      <c r="D711" t="s">
        <v>24</v>
      </c>
      <c r="E711">
        <v>2030</v>
      </c>
      <c r="F711" t="s">
        <v>18</v>
      </c>
      <c r="G711" t="s">
        <v>63</v>
      </c>
      <c r="H711" t="s">
        <v>64</v>
      </c>
      <c r="I711" t="s">
        <v>65</v>
      </c>
      <c r="J711">
        <f>SUMIFS(RawResultsLong!$P:$P,RawResultsLong!$A:$A,A711)</f>
        <v>37.840000000000003</v>
      </c>
      <c r="K711">
        <f t="shared" si="23"/>
        <v>1199.0772428828554</v>
      </c>
      <c r="L711">
        <f>SUMIFS(EmploymentResults!$V:$V,EmploymentResults!$D:$D,B711,EmploymentResults!$F:$F,C711,EmploymentResults!$G:$G,D711,EmploymentResults!$H:$H,E711,EmploymentResults!$J:$J,G711,EmploymentResults!$K:$K,H711,EmploymentResults!$L:$L,I711)</f>
        <v>769.80758993079326</v>
      </c>
    </row>
    <row r="712" spans="1:12" x14ac:dyDescent="0.3">
      <c r="A712" t="str">
        <f t="shared" si="22"/>
        <v>PD|AccumulatedNewCapacity|RE1|PWRHYDDAM|2031</v>
      </c>
      <c r="B712" t="s">
        <v>16</v>
      </c>
      <c r="C712" t="s">
        <v>19</v>
      </c>
      <c r="D712" t="s">
        <v>24</v>
      </c>
      <c r="E712">
        <v>2031</v>
      </c>
      <c r="F712" t="s">
        <v>18</v>
      </c>
      <c r="G712" t="s">
        <v>63</v>
      </c>
      <c r="H712" t="s">
        <v>64</v>
      </c>
      <c r="I712" t="s">
        <v>65</v>
      </c>
      <c r="J712">
        <f>SUMIFS(RawResultsLong!$P:$P,RawResultsLong!$A:$A,A712)</f>
        <v>37.840000000000003</v>
      </c>
      <c r="K712">
        <f t="shared" si="23"/>
        <v>1199.0772428828554</v>
      </c>
      <c r="L712">
        <f>SUMIFS(EmploymentResults!$V:$V,EmploymentResults!$D:$D,B712,EmploymentResults!$F:$F,C712,EmploymentResults!$G:$G,D712,EmploymentResults!$H:$H,E712,EmploymentResults!$J:$J,G712,EmploymentResults!$K:$K,H712,EmploymentResults!$L:$L,I712)</f>
        <v>769.59725998826775</v>
      </c>
    </row>
    <row r="713" spans="1:12" x14ac:dyDescent="0.3">
      <c r="A713" t="str">
        <f t="shared" si="22"/>
        <v>PD|AccumulatedNewCapacity|RE1|PWRHYDDAM|2032</v>
      </c>
      <c r="B713" t="s">
        <v>16</v>
      </c>
      <c r="C713" t="s">
        <v>19</v>
      </c>
      <c r="D713" t="s">
        <v>24</v>
      </c>
      <c r="E713">
        <v>2032</v>
      </c>
      <c r="F713" t="s">
        <v>18</v>
      </c>
      <c r="G713" t="s">
        <v>63</v>
      </c>
      <c r="H713" t="s">
        <v>64</v>
      </c>
      <c r="I713" t="s">
        <v>65</v>
      </c>
      <c r="J713">
        <f>SUMIFS(RawResultsLong!$P:$P,RawResultsLong!$A:$A,A713)</f>
        <v>37.840000000000003</v>
      </c>
      <c r="K713">
        <f t="shared" si="23"/>
        <v>1199.0772428828554</v>
      </c>
      <c r="L713">
        <f>SUMIFS(EmploymentResults!$V:$V,EmploymentResults!$D:$D,B713,EmploymentResults!$F:$F,C713,EmploymentResults!$G:$G,D713,EmploymentResults!$H:$H,E713,EmploymentResults!$J:$J,G713,EmploymentResults!$K:$K,H713,EmploymentResults!$L:$L,I713)</f>
        <v>769.38693004574236</v>
      </c>
    </row>
    <row r="714" spans="1:12" x14ac:dyDescent="0.3">
      <c r="A714" t="str">
        <f t="shared" si="22"/>
        <v>PD|AccumulatedNewCapacity|RE1|PWRHYDDAM|2033</v>
      </c>
      <c r="B714" t="s">
        <v>16</v>
      </c>
      <c r="C714" t="s">
        <v>19</v>
      </c>
      <c r="D714" t="s">
        <v>24</v>
      </c>
      <c r="E714">
        <v>2033</v>
      </c>
      <c r="F714" t="s">
        <v>18</v>
      </c>
      <c r="G714" t="s">
        <v>63</v>
      </c>
      <c r="H714" t="s">
        <v>64</v>
      </c>
      <c r="I714" t="s">
        <v>65</v>
      </c>
      <c r="J714">
        <f>SUMIFS(RawResultsLong!$P:$P,RawResultsLong!$A:$A,A714)</f>
        <v>37.840000000000003</v>
      </c>
      <c r="K714">
        <f t="shared" si="23"/>
        <v>1199.0772428828554</v>
      </c>
      <c r="L714">
        <f>SUMIFS(EmploymentResults!$V:$V,EmploymentResults!$D:$D,B714,EmploymentResults!$F:$F,C714,EmploymentResults!$G:$G,D714,EmploymentResults!$H:$H,E714,EmploymentResults!$J:$J,G714,EmploymentResults!$K:$K,H714,EmploymentResults!$L:$L,I714)</f>
        <v>769.17660010321697</v>
      </c>
    </row>
    <row r="715" spans="1:12" x14ac:dyDescent="0.3">
      <c r="A715" t="str">
        <f t="shared" si="22"/>
        <v>PD|AccumulatedNewCapacity|RE1|PWRHYDDAM|2034</v>
      </c>
      <c r="B715" t="s">
        <v>16</v>
      </c>
      <c r="C715" t="s">
        <v>19</v>
      </c>
      <c r="D715" t="s">
        <v>24</v>
      </c>
      <c r="E715">
        <v>2034</v>
      </c>
      <c r="F715" t="s">
        <v>18</v>
      </c>
      <c r="G715" t="s">
        <v>63</v>
      </c>
      <c r="H715" t="s">
        <v>64</v>
      </c>
      <c r="I715" t="s">
        <v>65</v>
      </c>
      <c r="J715">
        <f>SUMIFS(RawResultsLong!$P:$P,RawResultsLong!$A:$A,A715)</f>
        <v>37.840000000000003</v>
      </c>
      <c r="K715">
        <f t="shared" si="23"/>
        <v>1199.0772428828554</v>
      </c>
      <c r="L715">
        <f>SUMIFS(EmploymentResults!$V:$V,EmploymentResults!$D:$D,B715,EmploymentResults!$F:$F,C715,EmploymentResults!$G:$G,D715,EmploymentResults!$H:$H,E715,EmploymentResults!$J:$J,G715,EmploymentResults!$K:$K,H715,EmploymentResults!$L:$L,I715)</f>
        <v>768.96627016069158</v>
      </c>
    </row>
    <row r="716" spans="1:12" x14ac:dyDescent="0.3">
      <c r="A716" t="str">
        <f t="shared" si="22"/>
        <v>PD|AccumulatedNewCapacity|RE1|PWRHYDDAM|2035</v>
      </c>
      <c r="B716" t="s">
        <v>16</v>
      </c>
      <c r="C716" t="s">
        <v>19</v>
      </c>
      <c r="D716" t="s">
        <v>24</v>
      </c>
      <c r="E716">
        <v>2035</v>
      </c>
      <c r="F716" t="s">
        <v>18</v>
      </c>
      <c r="G716" t="s">
        <v>63</v>
      </c>
      <c r="H716" t="s">
        <v>64</v>
      </c>
      <c r="I716" t="s">
        <v>65</v>
      </c>
      <c r="J716">
        <f>SUMIFS(RawResultsLong!$P:$P,RawResultsLong!$A:$A,A716)</f>
        <v>37.840000000000003</v>
      </c>
      <c r="K716">
        <f t="shared" si="23"/>
        <v>1199.0772428828554</v>
      </c>
      <c r="L716">
        <f>SUMIFS(EmploymentResults!$V:$V,EmploymentResults!$D:$D,B716,EmploymentResults!$F:$F,C716,EmploymentResults!$G:$G,D716,EmploymentResults!$H:$H,E716,EmploymentResults!$J:$J,G716,EmploymentResults!$K:$K,H716,EmploymentResults!$L:$L,I716)</f>
        <v>768.75594021816619</v>
      </c>
    </row>
    <row r="717" spans="1:12" x14ac:dyDescent="0.3">
      <c r="A717" t="str">
        <f t="shared" si="22"/>
        <v>PD|AccumulatedNewCapacity|RE1|PWRHYDDAM|2036</v>
      </c>
      <c r="B717" t="s">
        <v>16</v>
      </c>
      <c r="C717" t="s">
        <v>19</v>
      </c>
      <c r="D717" t="s">
        <v>24</v>
      </c>
      <c r="E717">
        <v>2036</v>
      </c>
      <c r="F717" t="s">
        <v>18</v>
      </c>
      <c r="G717" t="s">
        <v>63</v>
      </c>
      <c r="H717" t="s">
        <v>64</v>
      </c>
      <c r="I717" t="s">
        <v>65</v>
      </c>
      <c r="J717">
        <f>SUMIFS(RawResultsLong!$P:$P,RawResultsLong!$A:$A,A717)</f>
        <v>37.840000000000003</v>
      </c>
      <c r="K717">
        <f t="shared" si="23"/>
        <v>1199.0772428828554</v>
      </c>
      <c r="L717">
        <f>SUMIFS(EmploymentResults!$V:$V,EmploymentResults!$D:$D,B717,EmploymentResults!$F:$F,C717,EmploymentResults!$G:$G,D717,EmploymentResults!$H:$H,E717,EmploymentResults!$J:$J,G717,EmploymentResults!$K:$K,H717,EmploymentResults!$L:$L,I717)</f>
        <v>768.54561027564068</v>
      </c>
    </row>
    <row r="718" spans="1:12" x14ac:dyDescent="0.3">
      <c r="A718" t="str">
        <f t="shared" si="22"/>
        <v>PD|AccumulatedNewCapacity|RE1|PWRHYDDAM|2037</v>
      </c>
      <c r="B718" t="s">
        <v>16</v>
      </c>
      <c r="C718" t="s">
        <v>19</v>
      </c>
      <c r="D718" t="s">
        <v>24</v>
      </c>
      <c r="E718">
        <v>2037</v>
      </c>
      <c r="F718" t="s">
        <v>18</v>
      </c>
      <c r="G718" t="s">
        <v>63</v>
      </c>
      <c r="H718" t="s">
        <v>64</v>
      </c>
      <c r="I718" t="s">
        <v>65</v>
      </c>
      <c r="J718">
        <f>SUMIFS(RawResultsLong!$P:$P,RawResultsLong!$A:$A,A718)</f>
        <v>37.840000000000003</v>
      </c>
      <c r="K718">
        <f t="shared" si="23"/>
        <v>1199.0772428828554</v>
      </c>
      <c r="L718">
        <f>SUMIFS(EmploymentResults!$V:$V,EmploymentResults!$D:$D,B718,EmploymentResults!$F:$F,C718,EmploymentResults!$G:$G,D718,EmploymentResults!$H:$H,E718,EmploymentResults!$J:$J,G718,EmploymentResults!$K:$K,H718,EmploymentResults!$L:$L,I718)</f>
        <v>768.33528033311529</v>
      </c>
    </row>
    <row r="719" spans="1:12" x14ac:dyDescent="0.3">
      <c r="A719" t="str">
        <f t="shared" si="22"/>
        <v>PD|AccumulatedNewCapacity|RE1|PWRHYDDAM|2038</v>
      </c>
      <c r="B719" t="s">
        <v>16</v>
      </c>
      <c r="C719" t="s">
        <v>19</v>
      </c>
      <c r="D719" t="s">
        <v>24</v>
      </c>
      <c r="E719">
        <v>2038</v>
      </c>
      <c r="F719" t="s">
        <v>18</v>
      </c>
      <c r="G719" t="s">
        <v>63</v>
      </c>
      <c r="H719" t="s">
        <v>64</v>
      </c>
      <c r="I719" t="s">
        <v>65</v>
      </c>
      <c r="J719">
        <f>SUMIFS(RawResultsLong!$P:$P,RawResultsLong!$A:$A,A719)</f>
        <v>37.840000000000003</v>
      </c>
      <c r="K719">
        <f t="shared" si="23"/>
        <v>1199.0772428828554</v>
      </c>
      <c r="L719">
        <f>SUMIFS(EmploymentResults!$V:$V,EmploymentResults!$D:$D,B719,EmploymentResults!$F:$F,C719,EmploymentResults!$G:$G,D719,EmploymentResults!$H:$H,E719,EmploymentResults!$J:$J,G719,EmploymentResults!$K:$K,H719,EmploymentResults!$L:$L,I719)</f>
        <v>768.12495038939073</v>
      </c>
    </row>
    <row r="720" spans="1:12" x14ac:dyDescent="0.3">
      <c r="A720" t="str">
        <f t="shared" si="22"/>
        <v>PD|AccumulatedNewCapacity|RE1|PWRHYDDAM|2039</v>
      </c>
      <c r="B720" t="s">
        <v>16</v>
      </c>
      <c r="C720" t="s">
        <v>19</v>
      </c>
      <c r="D720" t="s">
        <v>24</v>
      </c>
      <c r="E720">
        <v>2039</v>
      </c>
      <c r="F720" t="s">
        <v>18</v>
      </c>
      <c r="G720" t="s">
        <v>63</v>
      </c>
      <c r="H720" t="s">
        <v>64</v>
      </c>
      <c r="I720" t="s">
        <v>65</v>
      </c>
      <c r="J720">
        <f>SUMIFS(RawResultsLong!$P:$P,RawResultsLong!$A:$A,A720)</f>
        <v>37.840000000000003</v>
      </c>
      <c r="K720">
        <f t="shared" si="23"/>
        <v>1199.0772428828554</v>
      </c>
      <c r="L720">
        <f>SUMIFS(EmploymentResults!$V:$V,EmploymentResults!$D:$D,B720,EmploymentResults!$F:$F,C720,EmploymentResults!$G:$G,D720,EmploymentResults!$H:$H,E720,EmploymentResults!$J:$J,G720,EmploymentResults!$K:$K,H720,EmploymentResults!$L:$L,I720)</f>
        <v>767.91462044686546</v>
      </c>
    </row>
    <row r="721" spans="1:12" x14ac:dyDescent="0.3">
      <c r="A721" t="str">
        <f t="shared" si="22"/>
        <v>PD|AccumulatedNewCapacity|RE1|PWRHYDDAM|2040</v>
      </c>
      <c r="B721" t="s">
        <v>16</v>
      </c>
      <c r="C721" t="s">
        <v>19</v>
      </c>
      <c r="D721" t="s">
        <v>24</v>
      </c>
      <c r="E721">
        <v>2040</v>
      </c>
      <c r="F721" t="s">
        <v>18</v>
      </c>
      <c r="G721" t="s">
        <v>63</v>
      </c>
      <c r="H721" t="s">
        <v>64</v>
      </c>
      <c r="I721" t="s">
        <v>65</v>
      </c>
      <c r="J721">
        <f>SUMIFS(RawResultsLong!$P:$P,RawResultsLong!$A:$A,A721)</f>
        <v>37.840000000000003</v>
      </c>
      <c r="K721">
        <f t="shared" si="23"/>
        <v>1199.0772428828554</v>
      </c>
      <c r="L721">
        <f>SUMIFS(EmploymentResults!$V:$V,EmploymentResults!$D:$D,B721,EmploymentResults!$F:$F,C721,EmploymentResults!$G:$G,D721,EmploymentResults!$H:$H,E721,EmploymentResults!$J:$J,G721,EmploymentResults!$K:$K,H721,EmploymentResults!$L:$L,I721)</f>
        <v>767.70429050433995</v>
      </c>
    </row>
    <row r="722" spans="1:12" x14ac:dyDescent="0.3">
      <c r="A722" t="str">
        <f t="shared" si="22"/>
        <v>PD|AccumulatedNewCapacity|RE1|PWRHYDDAM|2041</v>
      </c>
      <c r="B722" t="s">
        <v>16</v>
      </c>
      <c r="C722" t="s">
        <v>19</v>
      </c>
      <c r="D722" t="s">
        <v>24</v>
      </c>
      <c r="E722">
        <v>2041</v>
      </c>
      <c r="F722" t="s">
        <v>18</v>
      </c>
      <c r="G722" t="s">
        <v>63</v>
      </c>
      <c r="H722" t="s">
        <v>64</v>
      </c>
      <c r="I722" t="s">
        <v>65</v>
      </c>
      <c r="J722">
        <f>SUMIFS(RawResultsLong!$P:$P,RawResultsLong!$A:$A,A722)</f>
        <v>37.840000000000003</v>
      </c>
      <c r="K722">
        <f t="shared" si="23"/>
        <v>1199.0772428828554</v>
      </c>
      <c r="L722">
        <f>SUMIFS(EmploymentResults!$V:$V,EmploymentResults!$D:$D,B722,EmploymentResults!$F:$F,C722,EmploymentResults!$G:$G,D722,EmploymentResults!$H:$H,E722,EmploymentResults!$J:$J,G722,EmploymentResults!$K:$K,H722,EmploymentResults!$L:$L,I722)</f>
        <v>767.49396056181456</v>
      </c>
    </row>
    <row r="723" spans="1:12" x14ac:dyDescent="0.3">
      <c r="A723" t="str">
        <f t="shared" si="22"/>
        <v>PD|AccumulatedNewCapacity|RE1|PWRHYDDAM|2042</v>
      </c>
      <c r="B723" t="s">
        <v>16</v>
      </c>
      <c r="C723" t="s">
        <v>19</v>
      </c>
      <c r="D723" t="s">
        <v>24</v>
      </c>
      <c r="E723">
        <v>2042</v>
      </c>
      <c r="F723" t="s">
        <v>18</v>
      </c>
      <c r="G723" t="s">
        <v>63</v>
      </c>
      <c r="H723" t="s">
        <v>64</v>
      </c>
      <c r="I723" t="s">
        <v>65</v>
      </c>
      <c r="J723">
        <f>SUMIFS(RawResultsLong!$P:$P,RawResultsLong!$A:$A,A723)</f>
        <v>37.840000000000003</v>
      </c>
      <c r="K723">
        <f t="shared" si="23"/>
        <v>1199.0772428828554</v>
      </c>
      <c r="L723">
        <f>SUMIFS(EmploymentResults!$V:$V,EmploymentResults!$D:$D,B723,EmploymentResults!$F:$F,C723,EmploymentResults!$G:$G,D723,EmploymentResults!$H:$H,E723,EmploymentResults!$J:$J,G723,EmploymentResults!$K:$K,H723,EmploymentResults!$L:$L,I723)</f>
        <v>767.28363061928906</v>
      </c>
    </row>
    <row r="724" spans="1:12" x14ac:dyDescent="0.3">
      <c r="A724" t="str">
        <f t="shared" si="22"/>
        <v>PD|AccumulatedNewCapacity|RE1|PWRHYDDAM|2043</v>
      </c>
      <c r="B724" t="s">
        <v>16</v>
      </c>
      <c r="C724" t="s">
        <v>19</v>
      </c>
      <c r="D724" t="s">
        <v>24</v>
      </c>
      <c r="E724">
        <v>2043</v>
      </c>
      <c r="F724" t="s">
        <v>18</v>
      </c>
      <c r="G724" t="s">
        <v>63</v>
      </c>
      <c r="H724" t="s">
        <v>64</v>
      </c>
      <c r="I724" t="s">
        <v>65</v>
      </c>
      <c r="J724">
        <f>SUMIFS(RawResultsLong!$P:$P,RawResultsLong!$A:$A,A724)</f>
        <v>37.840000000000003</v>
      </c>
      <c r="K724">
        <f t="shared" si="23"/>
        <v>1199.0772428828554</v>
      </c>
      <c r="L724">
        <f>SUMIFS(EmploymentResults!$V:$V,EmploymentResults!$D:$D,B724,EmploymentResults!$F:$F,C724,EmploymentResults!$G:$G,D724,EmploymentResults!$H:$H,E724,EmploymentResults!$J:$J,G724,EmploymentResults!$K:$K,H724,EmploymentResults!$L:$L,I724)</f>
        <v>767.07330067676378</v>
      </c>
    </row>
    <row r="725" spans="1:12" x14ac:dyDescent="0.3">
      <c r="A725" t="str">
        <f t="shared" si="22"/>
        <v>PD|AccumulatedNewCapacity|RE1|PWRHYDDAM|2044</v>
      </c>
      <c r="B725" t="s">
        <v>16</v>
      </c>
      <c r="C725" t="s">
        <v>19</v>
      </c>
      <c r="D725" t="s">
        <v>24</v>
      </c>
      <c r="E725">
        <v>2044</v>
      </c>
      <c r="F725" t="s">
        <v>18</v>
      </c>
      <c r="G725" t="s">
        <v>63</v>
      </c>
      <c r="H725" t="s">
        <v>64</v>
      </c>
      <c r="I725" t="s">
        <v>65</v>
      </c>
      <c r="J725">
        <f>SUMIFS(RawResultsLong!$P:$P,RawResultsLong!$A:$A,A725)</f>
        <v>37.840000000000003</v>
      </c>
      <c r="K725">
        <f t="shared" si="23"/>
        <v>1199.0772428828554</v>
      </c>
      <c r="L725">
        <f>SUMIFS(EmploymentResults!$V:$V,EmploymentResults!$D:$D,B725,EmploymentResults!$F:$F,C725,EmploymentResults!$G:$G,D725,EmploymentResults!$H:$H,E725,EmploymentResults!$J:$J,G725,EmploymentResults!$K:$K,H725,EmploymentResults!$L:$L,I725)</f>
        <v>766.86297073423839</v>
      </c>
    </row>
    <row r="726" spans="1:12" x14ac:dyDescent="0.3">
      <c r="A726" t="str">
        <f t="shared" si="22"/>
        <v>PD|AccumulatedNewCapacity|RE1|PWRHYDDAM|2045</v>
      </c>
      <c r="B726" t="s">
        <v>16</v>
      </c>
      <c r="C726" t="s">
        <v>19</v>
      </c>
      <c r="D726" t="s">
        <v>24</v>
      </c>
      <c r="E726">
        <v>2045</v>
      </c>
      <c r="F726" t="s">
        <v>18</v>
      </c>
      <c r="G726" t="s">
        <v>63</v>
      </c>
      <c r="H726" t="s">
        <v>64</v>
      </c>
      <c r="I726" t="s">
        <v>65</v>
      </c>
      <c r="J726">
        <f>SUMIFS(RawResultsLong!$P:$P,RawResultsLong!$A:$A,A726)</f>
        <v>37.840000000000003</v>
      </c>
      <c r="K726">
        <f t="shared" si="23"/>
        <v>1199.0772428828554</v>
      </c>
      <c r="L726">
        <f>SUMIFS(EmploymentResults!$V:$V,EmploymentResults!$D:$D,B726,EmploymentResults!$F:$F,C726,EmploymentResults!$G:$G,D726,EmploymentResults!$H:$H,E726,EmploymentResults!$J:$J,G726,EmploymentResults!$K:$K,H726,EmploymentResults!$L:$L,I726)</f>
        <v>766.65264079171288</v>
      </c>
    </row>
    <row r="727" spans="1:12" x14ac:dyDescent="0.3">
      <c r="A727" t="str">
        <f t="shared" si="22"/>
        <v>PD|AccumulatedNewCapacity|RE1|PWRHYDDAM|2046</v>
      </c>
      <c r="B727" t="s">
        <v>16</v>
      </c>
      <c r="C727" t="s">
        <v>19</v>
      </c>
      <c r="D727" t="s">
        <v>24</v>
      </c>
      <c r="E727">
        <v>2046</v>
      </c>
      <c r="F727" t="s">
        <v>18</v>
      </c>
      <c r="G727" t="s">
        <v>63</v>
      </c>
      <c r="H727" t="s">
        <v>64</v>
      </c>
      <c r="I727" t="s">
        <v>65</v>
      </c>
      <c r="J727">
        <f>SUMIFS(RawResultsLong!$P:$P,RawResultsLong!$A:$A,A727)</f>
        <v>37.840000000000003</v>
      </c>
      <c r="K727">
        <f t="shared" si="23"/>
        <v>1199.0772428828554</v>
      </c>
      <c r="L727">
        <f>SUMIFS(EmploymentResults!$V:$V,EmploymentResults!$D:$D,B727,EmploymentResults!$F:$F,C727,EmploymentResults!$G:$G,D727,EmploymentResults!$H:$H,E727,EmploymentResults!$J:$J,G727,EmploymentResults!$K:$K,H727,EmploymentResults!$L:$L,I727)</f>
        <v>766.44231084918749</v>
      </c>
    </row>
    <row r="728" spans="1:12" x14ac:dyDescent="0.3">
      <c r="A728" t="str">
        <f t="shared" si="22"/>
        <v>PD|AccumulatedNewCapacity|RE1|PWRHYDDAM|2047</v>
      </c>
      <c r="B728" t="s">
        <v>16</v>
      </c>
      <c r="C728" t="s">
        <v>19</v>
      </c>
      <c r="D728" t="s">
        <v>24</v>
      </c>
      <c r="E728">
        <v>2047</v>
      </c>
      <c r="F728" t="s">
        <v>18</v>
      </c>
      <c r="G728" t="s">
        <v>63</v>
      </c>
      <c r="H728" t="s">
        <v>64</v>
      </c>
      <c r="I728" t="s">
        <v>65</v>
      </c>
      <c r="J728">
        <f>SUMIFS(RawResultsLong!$P:$P,RawResultsLong!$A:$A,A728)</f>
        <v>37.840000000000003</v>
      </c>
      <c r="K728">
        <f t="shared" si="23"/>
        <v>1199.0772428828554</v>
      </c>
      <c r="L728">
        <f>SUMIFS(EmploymentResults!$V:$V,EmploymentResults!$D:$D,B728,EmploymentResults!$F:$F,C728,EmploymentResults!$G:$G,D728,EmploymentResults!$H:$H,E728,EmploymentResults!$J:$J,G728,EmploymentResults!$K:$K,H728,EmploymentResults!$L:$L,I728)</f>
        <v>766.2319809066621</v>
      </c>
    </row>
    <row r="729" spans="1:12" x14ac:dyDescent="0.3">
      <c r="A729" t="str">
        <f t="shared" si="22"/>
        <v>PD|AccumulatedNewCapacity|RE1|PWRHYDDAM|2048</v>
      </c>
      <c r="B729" t="s">
        <v>16</v>
      </c>
      <c r="C729" t="s">
        <v>19</v>
      </c>
      <c r="D729" t="s">
        <v>24</v>
      </c>
      <c r="E729">
        <v>2048</v>
      </c>
      <c r="F729" t="s">
        <v>18</v>
      </c>
      <c r="G729" t="s">
        <v>63</v>
      </c>
      <c r="H729" t="s">
        <v>64</v>
      </c>
      <c r="I729" t="s">
        <v>65</v>
      </c>
      <c r="J729">
        <f>SUMIFS(RawResultsLong!$P:$P,RawResultsLong!$A:$A,A729)</f>
        <v>37.840000000000003</v>
      </c>
      <c r="K729">
        <f t="shared" si="23"/>
        <v>1199.0772428828554</v>
      </c>
      <c r="L729">
        <f>SUMIFS(EmploymentResults!$V:$V,EmploymentResults!$D:$D,B729,EmploymentResults!$F:$F,C729,EmploymentResults!$G:$G,D729,EmploymentResults!$H:$H,E729,EmploymentResults!$J:$J,G729,EmploymentResults!$K:$K,H729,EmploymentResults!$L:$L,I729)</f>
        <v>766.02165096413671</v>
      </c>
    </row>
    <row r="730" spans="1:12" x14ac:dyDescent="0.3">
      <c r="A730" t="str">
        <f t="shared" si="22"/>
        <v>PD|AccumulatedNewCapacity|RE1|PWRHYDDAM|2049</v>
      </c>
      <c r="B730" t="s">
        <v>16</v>
      </c>
      <c r="C730" t="s">
        <v>19</v>
      </c>
      <c r="D730" t="s">
        <v>24</v>
      </c>
      <c r="E730">
        <v>2049</v>
      </c>
      <c r="F730" t="s">
        <v>18</v>
      </c>
      <c r="G730" t="s">
        <v>63</v>
      </c>
      <c r="H730" t="s">
        <v>64</v>
      </c>
      <c r="I730" t="s">
        <v>65</v>
      </c>
      <c r="J730">
        <f>SUMIFS(RawResultsLong!$P:$P,RawResultsLong!$A:$A,A730)</f>
        <v>37.840000000000003</v>
      </c>
      <c r="K730">
        <f t="shared" si="23"/>
        <v>1199.0772428828554</v>
      </c>
      <c r="L730">
        <f>SUMIFS(EmploymentResults!$V:$V,EmploymentResults!$D:$D,B730,EmploymentResults!$F:$F,C730,EmploymentResults!$G:$G,D730,EmploymentResults!$H:$H,E730,EmploymentResults!$J:$J,G730,EmploymentResults!$K:$K,H730,EmploymentResults!$L:$L,I730)</f>
        <v>765.81132102161121</v>
      </c>
    </row>
    <row r="731" spans="1:12" x14ac:dyDescent="0.3">
      <c r="A731" t="str">
        <f t="shared" si="22"/>
        <v>PD|AccumulatedNewCapacity|RE1|PWRHYDDAM|2050</v>
      </c>
      <c r="B731" t="s">
        <v>16</v>
      </c>
      <c r="C731" t="s">
        <v>19</v>
      </c>
      <c r="D731" t="s">
        <v>24</v>
      </c>
      <c r="E731">
        <v>2050</v>
      </c>
      <c r="F731" t="s">
        <v>18</v>
      </c>
      <c r="G731" t="s">
        <v>63</v>
      </c>
      <c r="H731" t="s">
        <v>64</v>
      </c>
      <c r="I731" t="s">
        <v>65</v>
      </c>
      <c r="J731">
        <f>SUMIFS(RawResultsLong!$P:$P,RawResultsLong!$A:$A,A731)</f>
        <v>37.840000000000003</v>
      </c>
      <c r="K731">
        <f t="shared" si="23"/>
        <v>1199.0772428828554</v>
      </c>
      <c r="L731">
        <f>SUMIFS(EmploymentResults!$V:$V,EmploymentResults!$D:$D,B731,EmploymentResults!$F:$F,C731,EmploymentResults!$G:$G,D731,EmploymentResults!$H:$H,E731,EmploymentResults!$J:$J,G731,EmploymentResults!$K:$K,H731,EmploymentResults!$L:$L,I731)</f>
        <v>765.60099107908582</v>
      </c>
    </row>
    <row r="732" spans="1:12" x14ac:dyDescent="0.3">
      <c r="A732" t="str">
        <f t="shared" si="22"/>
        <v>PD|AccumulatedNewCapacity|RE1|PWRHYDDAM|2051</v>
      </c>
      <c r="B732" t="s">
        <v>16</v>
      </c>
      <c r="C732" t="s">
        <v>19</v>
      </c>
      <c r="D732" t="s">
        <v>24</v>
      </c>
      <c r="E732">
        <v>2051</v>
      </c>
      <c r="F732" t="s">
        <v>18</v>
      </c>
      <c r="G732" t="s">
        <v>63</v>
      </c>
      <c r="H732" t="s">
        <v>64</v>
      </c>
      <c r="I732" t="s">
        <v>65</v>
      </c>
      <c r="J732">
        <f>SUMIFS(RawResultsLong!$P:$P,RawResultsLong!$A:$A,A732)</f>
        <v>37.840000000000003</v>
      </c>
      <c r="K732">
        <f t="shared" si="23"/>
        <v>1199.0772428828554</v>
      </c>
      <c r="L732">
        <f>SUMIFS(EmploymentResults!$V:$V,EmploymentResults!$D:$D,B732,EmploymentResults!$F:$F,C732,EmploymentResults!$G:$G,D732,EmploymentResults!$H:$H,E732,EmploymentResults!$J:$J,G732,EmploymentResults!$K:$K,H732,EmploymentResults!$L:$L,I732)</f>
        <v>765.60099107908582</v>
      </c>
    </row>
    <row r="733" spans="1:12" x14ac:dyDescent="0.3">
      <c r="A733" t="str">
        <f t="shared" si="22"/>
        <v>PD|AccumulatedNewCapacity|RE1|PWRHYDDAM|2052</v>
      </c>
      <c r="B733" t="s">
        <v>16</v>
      </c>
      <c r="C733" t="s">
        <v>19</v>
      </c>
      <c r="D733" t="s">
        <v>24</v>
      </c>
      <c r="E733">
        <v>2052</v>
      </c>
      <c r="F733" t="s">
        <v>18</v>
      </c>
      <c r="G733" t="s">
        <v>63</v>
      </c>
      <c r="H733" t="s">
        <v>64</v>
      </c>
      <c r="I733" t="s">
        <v>65</v>
      </c>
      <c r="J733">
        <f>SUMIFS(RawResultsLong!$P:$P,RawResultsLong!$A:$A,A733)</f>
        <v>37.840000000000003</v>
      </c>
      <c r="K733">
        <f t="shared" si="23"/>
        <v>1199.0772428828554</v>
      </c>
      <c r="L733">
        <f>SUMIFS(EmploymentResults!$V:$V,EmploymentResults!$D:$D,B733,EmploymentResults!$F:$F,C733,EmploymentResults!$G:$G,D733,EmploymentResults!$H:$H,E733,EmploymentResults!$J:$J,G733,EmploymentResults!$K:$K,H733,EmploymentResults!$L:$L,I733)</f>
        <v>765.60099107908582</v>
      </c>
    </row>
    <row r="734" spans="1:12" x14ac:dyDescent="0.3">
      <c r="A734" t="str">
        <f t="shared" si="22"/>
        <v>PD|AccumulatedNewCapacity|RE1|PWRHYDDAM|2053</v>
      </c>
      <c r="B734" t="s">
        <v>16</v>
      </c>
      <c r="C734" t="s">
        <v>19</v>
      </c>
      <c r="D734" t="s">
        <v>24</v>
      </c>
      <c r="E734">
        <v>2053</v>
      </c>
      <c r="F734" t="s">
        <v>18</v>
      </c>
      <c r="G734" t="s">
        <v>63</v>
      </c>
      <c r="H734" t="s">
        <v>64</v>
      </c>
      <c r="I734" t="s">
        <v>65</v>
      </c>
      <c r="J734">
        <f>SUMIFS(RawResultsLong!$P:$P,RawResultsLong!$A:$A,A734)</f>
        <v>37.840000000000003</v>
      </c>
      <c r="K734">
        <f t="shared" si="23"/>
        <v>1199.0772428828554</v>
      </c>
      <c r="L734">
        <f>SUMIFS(EmploymentResults!$V:$V,EmploymentResults!$D:$D,B734,EmploymentResults!$F:$F,C734,EmploymentResults!$G:$G,D734,EmploymentResults!$H:$H,E734,EmploymentResults!$J:$J,G734,EmploymentResults!$K:$K,H734,EmploymentResults!$L:$L,I734)</f>
        <v>765.60099107908582</v>
      </c>
    </row>
    <row r="735" spans="1:12" x14ac:dyDescent="0.3">
      <c r="A735" t="str">
        <f t="shared" si="22"/>
        <v>PD|AccumulatedNewCapacity|RE1|PWRHYDDAM|2054</v>
      </c>
      <c r="B735" t="s">
        <v>16</v>
      </c>
      <c r="C735" t="s">
        <v>19</v>
      </c>
      <c r="D735" t="s">
        <v>24</v>
      </c>
      <c r="E735">
        <v>2054</v>
      </c>
      <c r="F735" t="s">
        <v>18</v>
      </c>
      <c r="G735" t="s">
        <v>63</v>
      </c>
      <c r="H735" t="s">
        <v>64</v>
      </c>
      <c r="I735" t="s">
        <v>65</v>
      </c>
      <c r="J735">
        <f>SUMIFS(RawResultsLong!$P:$P,RawResultsLong!$A:$A,A735)</f>
        <v>37.840000000000003</v>
      </c>
      <c r="K735">
        <f t="shared" si="23"/>
        <v>1199.0772428828554</v>
      </c>
      <c r="L735">
        <f>SUMIFS(EmploymentResults!$V:$V,EmploymentResults!$D:$D,B735,EmploymentResults!$F:$F,C735,EmploymentResults!$G:$G,D735,EmploymentResults!$H:$H,E735,EmploymentResults!$J:$J,G735,EmploymentResults!$K:$K,H735,EmploymentResults!$L:$L,I735)</f>
        <v>765.60099107908582</v>
      </c>
    </row>
    <row r="736" spans="1:12" x14ac:dyDescent="0.3">
      <c r="A736" t="str">
        <f t="shared" si="22"/>
        <v>PD|AccumulatedNewCapacity|RE1|PWRHYDDAM|2055</v>
      </c>
      <c r="B736" t="s">
        <v>16</v>
      </c>
      <c r="C736" t="s">
        <v>19</v>
      </c>
      <c r="D736" t="s">
        <v>24</v>
      </c>
      <c r="E736">
        <v>2055</v>
      </c>
      <c r="F736" t="s">
        <v>18</v>
      </c>
      <c r="G736" t="s">
        <v>63</v>
      </c>
      <c r="H736" t="s">
        <v>64</v>
      </c>
      <c r="I736" t="s">
        <v>65</v>
      </c>
      <c r="J736">
        <f>SUMIFS(RawResultsLong!$P:$P,RawResultsLong!$A:$A,A736)</f>
        <v>37.840000000000003</v>
      </c>
      <c r="K736">
        <f t="shared" si="23"/>
        <v>1199.0772428828554</v>
      </c>
      <c r="L736">
        <f>SUMIFS(EmploymentResults!$V:$V,EmploymentResults!$D:$D,B736,EmploymentResults!$F:$F,C736,EmploymentResults!$G:$G,D736,EmploymentResults!$H:$H,E736,EmploymentResults!$J:$J,G736,EmploymentResults!$K:$K,H736,EmploymentResults!$L:$L,I736)</f>
        <v>765.60099107908582</v>
      </c>
    </row>
    <row r="737" spans="1:12" x14ac:dyDescent="0.3">
      <c r="A737" t="str">
        <f t="shared" si="22"/>
        <v>PD|AccumulatedNewCapacity|RE1|PWRSOLRTP|2026</v>
      </c>
      <c r="B737" t="s">
        <v>16</v>
      </c>
      <c r="C737" t="s">
        <v>19</v>
      </c>
      <c r="D737" t="s">
        <v>31</v>
      </c>
      <c r="E737">
        <v>2026</v>
      </c>
      <c r="F737" t="s">
        <v>18</v>
      </c>
      <c r="G737" t="s">
        <v>63</v>
      </c>
      <c r="H737" t="s">
        <v>64</v>
      </c>
      <c r="I737" t="s">
        <v>65</v>
      </c>
      <c r="J737">
        <f>SUMIFS(RawResultsLong!$P:$P,RawResultsLong!$A:$A,A737)</f>
        <v>7.9387888395688</v>
      </c>
      <c r="K737">
        <f t="shared" si="23"/>
        <v>251.56503788528912</v>
      </c>
      <c r="L737">
        <f>SUMIFS(EmploymentResults!$V:$V,EmploymentResults!$D:$D,B737,EmploymentResults!$F:$F,C737,EmploymentResults!$G:$G,D737,EmploymentResults!$H:$H,E737,EmploymentResults!$J:$J,G737,EmploymentResults!$K:$K,H737,EmploymentResults!$L:$L,I737)</f>
        <v>71.918004948338265</v>
      </c>
    </row>
    <row r="738" spans="1:12" x14ac:dyDescent="0.3">
      <c r="A738" t="str">
        <f t="shared" si="22"/>
        <v>PD|AccumulatedNewCapacity|RE1|PWRSOLRTP|2027</v>
      </c>
      <c r="B738" t="s">
        <v>16</v>
      </c>
      <c r="C738" t="s">
        <v>19</v>
      </c>
      <c r="D738" t="s">
        <v>31</v>
      </c>
      <c r="E738">
        <v>2027</v>
      </c>
      <c r="F738" t="s">
        <v>18</v>
      </c>
      <c r="G738" t="s">
        <v>63</v>
      </c>
      <c r="H738" t="s">
        <v>64</v>
      </c>
      <c r="I738" t="s">
        <v>65</v>
      </c>
      <c r="J738">
        <f>SUMIFS(RawResultsLong!$P:$P,RawResultsLong!$A:$A,A738)</f>
        <v>18.718750792644261</v>
      </c>
      <c r="K738">
        <f t="shared" si="23"/>
        <v>593.16141888623542</v>
      </c>
      <c r="L738">
        <f>SUMIFS(EmploymentResults!$V:$V,EmploymentResults!$D:$D,B738,EmploymentResults!$F:$F,C738,EmploymentResults!$G:$G,D738,EmploymentResults!$H:$H,E738,EmploymentResults!$J:$J,G738,EmploymentResults!$K:$K,H738,EmploymentResults!$L:$L,I738)</f>
        <v>165.38736032488993</v>
      </c>
    </row>
    <row r="739" spans="1:12" x14ac:dyDescent="0.3">
      <c r="A739" t="str">
        <f t="shared" si="22"/>
        <v>PD|AccumulatedNewCapacity|RE1|PWRSOLRTP|2028</v>
      </c>
      <c r="B739" t="s">
        <v>16</v>
      </c>
      <c r="C739" t="s">
        <v>19</v>
      </c>
      <c r="D739" t="s">
        <v>31</v>
      </c>
      <c r="E739">
        <v>2028</v>
      </c>
      <c r="F739" t="s">
        <v>18</v>
      </c>
      <c r="G739" t="s">
        <v>63</v>
      </c>
      <c r="H739" t="s">
        <v>64</v>
      </c>
      <c r="I739" t="s">
        <v>65</v>
      </c>
      <c r="J739">
        <f>SUMIFS(RawResultsLong!$P:$P,RawResultsLong!$A:$A,A739)</f>
        <v>30.132828154724159</v>
      </c>
      <c r="K739">
        <f t="shared" si="23"/>
        <v>954.85170465194312</v>
      </c>
      <c r="L739">
        <f>SUMIFS(EmploymentResults!$V:$V,EmploymentResults!$D:$D,B739,EmploymentResults!$F:$F,C739,EmploymentResults!$G:$G,D739,EmploymentResults!$H:$H,E739,EmploymentResults!$J:$J,G739,EmploymentResults!$K:$K,H739,EmploymentResults!$L:$L,I739)</f>
        <v>259.49499267566165</v>
      </c>
    </row>
    <row r="740" spans="1:12" x14ac:dyDescent="0.3">
      <c r="A740" t="str">
        <f t="shared" si="22"/>
        <v>PD|AccumulatedNewCapacity|RE1|PWRSOLRTP|2029</v>
      </c>
      <c r="B740" t="s">
        <v>16</v>
      </c>
      <c r="C740" t="s">
        <v>19</v>
      </c>
      <c r="D740" t="s">
        <v>31</v>
      </c>
      <c r="E740">
        <v>2029</v>
      </c>
      <c r="F740" t="s">
        <v>18</v>
      </c>
      <c r="G740" t="s">
        <v>63</v>
      </c>
      <c r="H740" t="s">
        <v>64</v>
      </c>
      <c r="I740" t="s">
        <v>65</v>
      </c>
      <c r="J740">
        <f>SUMIFS(RawResultsLong!$P:$P,RawResultsLong!$A:$A,A740)</f>
        <v>41.388376664552951</v>
      </c>
      <c r="K740">
        <f t="shared" si="23"/>
        <v>1311.5185142264606</v>
      </c>
      <c r="L740">
        <f>SUMIFS(EmploymentResults!$V:$V,EmploymentResults!$D:$D,B740,EmploymentResults!$F:$F,C740,EmploymentResults!$G:$G,D740,EmploymentResults!$H:$H,E740,EmploymentResults!$J:$J,G740,EmploymentResults!$K:$K,H740,EmploymentResults!$L:$L,I740)</f>
        <v>347.16666553061089</v>
      </c>
    </row>
    <row r="741" spans="1:12" x14ac:dyDescent="0.3">
      <c r="A741" t="str">
        <f t="shared" si="22"/>
        <v>PD|AccumulatedNewCapacity|RE1|PWRSOLRTP|2030</v>
      </c>
      <c r="B741" t="s">
        <v>16</v>
      </c>
      <c r="C741" t="s">
        <v>19</v>
      </c>
      <c r="D741" t="s">
        <v>31</v>
      </c>
      <c r="E741">
        <v>2030</v>
      </c>
      <c r="F741" t="s">
        <v>18</v>
      </c>
      <c r="G741" t="s">
        <v>63</v>
      </c>
      <c r="H741" t="s">
        <v>64</v>
      </c>
      <c r="I741" t="s">
        <v>65</v>
      </c>
      <c r="J741">
        <f>SUMIFS(RawResultsLong!$P:$P,RawResultsLong!$A:$A,A741)</f>
        <v>52.009809765377298</v>
      </c>
      <c r="K741">
        <f t="shared" si="23"/>
        <v>1648.0914190362164</v>
      </c>
      <c r="L741">
        <f>SUMIFS(EmploymentResults!$V:$V,EmploymentResults!$D:$D,B741,EmploymentResults!$F:$F,C741,EmploymentResults!$G:$G,D741,EmploymentResults!$H:$H,E741,EmploymentResults!$J:$J,G741,EmploymentResults!$K:$K,H741,EmploymentResults!$L:$L,I741)</f>
        <v>424.62590678775371</v>
      </c>
    </row>
    <row r="742" spans="1:12" x14ac:dyDescent="0.3">
      <c r="A742" t="str">
        <f t="shared" si="22"/>
        <v>PD|AccumulatedNewCapacity|RE1|PWRSOLRTP|2031</v>
      </c>
      <c r="B742" t="s">
        <v>16</v>
      </c>
      <c r="C742" t="s">
        <v>19</v>
      </c>
      <c r="D742" t="s">
        <v>31</v>
      </c>
      <c r="E742">
        <v>2031</v>
      </c>
      <c r="F742" t="s">
        <v>18</v>
      </c>
      <c r="G742" t="s">
        <v>63</v>
      </c>
      <c r="H742" t="s">
        <v>64</v>
      </c>
      <c r="I742" t="s">
        <v>65</v>
      </c>
      <c r="J742">
        <f>SUMIFS(RawResultsLong!$P:$P,RawResultsLong!$A:$A,A742)</f>
        <v>61.68006975269499</v>
      </c>
      <c r="K742">
        <f t="shared" si="23"/>
        <v>1954.5234666988297</v>
      </c>
      <c r="L742">
        <f>SUMIFS(EmploymentResults!$V:$V,EmploymentResults!$D:$D,B742,EmploymentResults!$F:$F,C742,EmploymentResults!$G:$G,D742,EmploymentResults!$H:$H,E742,EmploymentResults!$J:$J,G742,EmploymentResults!$K:$K,H742,EmploymentResults!$L:$L,I742)</f>
        <v>499.61068967915452</v>
      </c>
    </row>
    <row r="743" spans="1:12" x14ac:dyDescent="0.3">
      <c r="A743" t="str">
        <f t="shared" si="22"/>
        <v>PD|AccumulatedNewCapacity|RE1|PWRSOLRTP|2032</v>
      </c>
      <c r="B743" t="s">
        <v>16</v>
      </c>
      <c r="C743" t="s">
        <v>19</v>
      </c>
      <c r="D743" t="s">
        <v>31</v>
      </c>
      <c r="E743">
        <v>2032</v>
      </c>
      <c r="F743" t="s">
        <v>18</v>
      </c>
      <c r="G743" t="s">
        <v>63</v>
      </c>
      <c r="H743" t="s">
        <v>64</v>
      </c>
      <c r="I743" t="s">
        <v>65</v>
      </c>
      <c r="J743">
        <f>SUMIFS(RawResultsLong!$P:$P,RawResultsLong!$A:$A,A743)</f>
        <v>70.240627774254918</v>
      </c>
      <c r="K743">
        <f t="shared" si="23"/>
        <v>2225.7911810231103</v>
      </c>
      <c r="L743">
        <f>SUMIFS(EmploymentResults!$V:$V,EmploymentResults!$D:$D,B743,EmploymentResults!$F:$F,C743,EmploymentResults!$G:$G,D743,EmploymentResults!$H:$H,E743,EmploymentResults!$J:$J,G743,EmploymentResults!$K:$K,H743,EmploymentResults!$L:$L,I743)</f>
        <v>564.43445772859866</v>
      </c>
    </row>
    <row r="744" spans="1:12" x14ac:dyDescent="0.3">
      <c r="A744" t="str">
        <f t="shared" si="22"/>
        <v>PD|AccumulatedNewCapacity|RE1|PWRSOLRTP|2033</v>
      </c>
      <c r="B744" t="s">
        <v>16</v>
      </c>
      <c r="C744" t="s">
        <v>19</v>
      </c>
      <c r="D744" t="s">
        <v>31</v>
      </c>
      <c r="E744">
        <v>2033</v>
      </c>
      <c r="F744" t="s">
        <v>18</v>
      </c>
      <c r="G744" t="s">
        <v>63</v>
      </c>
      <c r="H744" t="s">
        <v>64</v>
      </c>
      <c r="I744" t="s">
        <v>65</v>
      </c>
      <c r="J744">
        <f>SUMIFS(RawResultsLong!$P:$P,RawResultsLong!$A:$A,A744)</f>
        <v>77.691483830057081</v>
      </c>
      <c r="K744">
        <f t="shared" si="23"/>
        <v>2461.894562009059</v>
      </c>
      <c r="L744">
        <f>SUMIFS(EmploymentResults!$V:$V,EmploymentResults!$D:$D,B744,EmploymentResults!$F:$F,C744,EmploymentResults!$G:$G,D744,EmploymentResults!$H:$H,E744,EmploymentResults!$J:$J,G744,EmploymentResults!$K:$K,H744,EmploymentResults!$L:$L,I744)</f>
        <v>619.31129967144159</v>
      </c>
    </row>
    <row r="745" spans="1:12" x14ac:dyDescent="0.3">
      <c r="A745" t="str">
        <f t="shared" si="22"/>
        <v>PD|AccumulatedNewCapacity|RE1|PWRSOLRTP|2034</v>
      </c>
      <c r="B745" t="s">
        <v>16</v>
      </c>
      <c r="C745" t="s">
        <v>19</v>
      </c>
      <c r="D745" t="s">
        <v>31</v>
      </c>
      <c r="E745">
        <v>2034</v>
      </c>
      <c r="F745" t="s">
        <v>18</v>
      </c>
      <c r="G745" t="s">
        <v>63</v>
      </c>
      <c r="H745" t="s">
        <v>64</v>
      </c>
      <c r="I745" t="s">
        <v>65</v>
      </c>
      <c r="J745">
        <f>SUMIFS(RawResultsLong!$P:$P,RawResultsLong!$A:$A,A745)</f>
        <v>84.032637920101465</v>
      </c>
      <c r="K745">
        <f t="shared" si="23"/>
        <v>2662.8336096566741</v>
      </c>
      <c r="L745">
        <f>SUMIFS(EmploymentResults!$V:$V,EmploymentResults!$D:$D,B745,EmploymentResults!$F:$F,C745,EmploymentResults!$G:$G,D745,EmploymentResults!$H:$H,E745,EmploymentResults!$J:$J,G745,EmploymentResults!$K:$K,H745,EmploymentResults!$L:$L,I745)</f>
        <v>664.45530424570143</v>
      </c>
    </row>
    <row r="746" spans="1:12" x14ac:dyDescent="0.3">
      <c r="A746" t="str">
        <f t="shared" si="22"/>
        <v>PD|AccumulatedNewCapacity|RE1|PWRSOLRTP|2035</v>
      </c>
      <c r="B746" t="s">
        <v>16</v>
      </c>
      <c r="C746" t="s">
        <v>19</v>
      </c>
      <c r="D746" t="s">
        <v>31</v>
      </c>
      <c r="E746">
        <v>2035</v>
      </c>
      <c r="F746" t="s">
        <v>18</v>
      </c>
      <c r="G746" t="s">
        <v>63</v>
      </c>
      <c r="H746" t="s">
        <v>64</v>
      </c>
      <c r="I746" t="s">
        <v>65</v>
      </c>
      <c r="J746">
        <f>SUMIFS(RawResultsLong!$P:$P,RawResultsLong!$A:$A,A746)</f>
        <v>89.264090044388084</v>
      </c>
      <c r="K746">
        <f t="shared" si="23"/>
        <v>2828.608323965957</v>
      </c>
      <c r="L746">
        <f>SUMIFS(EmploymentResults!$V:$V,EmploymentResults!$D:$D,B746,EmploymentResults!$F:$F,C746,EmploymentResults!$G:$G,D746,EmploymentResults!$H:$H,E746,EmploymentResults!$J:$J,G746,EmploymentResults!$K:$K,H746,EmploymentResults!$L:$L,I746)</f>
        <v>700.08056018157436</v>
      </c>
    </row>
    <row r="747" spans="1:12" x14ac:dyDescent="0.3">
      <c r="A747" t="str">
        <f t="shared" si="22"/>
        <v>PD|AccumulatedNewCapacity|RE1|PWRSOLRTP|2036</v>
      </c>
      <c r="B747" t="s">
        <v>16</v>
      </c>
      <c r="C747" t="s">
        <v>19</v>
      </c>
      <c r="D747" t="s">
        <v>31</v>
      </c>
      <c r="E747">
        <v>2036</v>
      </c>
      <c r="F747" t="s">
        <v>18</v>
      </c>
      <c r="G747" t="s">
        <v>63</v>
      </c>
      <c r="H747" t="s">
        <v>64</v>
      </c>
      <c r="I747" t="s">
        <v>65</v>
      </c>
      <c r="J747">
        <f>SUMIFS(RawResultsLong!$P:$P,RawResultsLong!$A:$A,A747)</f>
        <v>93.544369055168048</v>
      </c>
      <c r="K747">
        <f t="shared" si="23"/>
        <v>2964.2421811280974</v>
      </c>
      <c r="L747">
        <f>SUMIFS(EmploymentResults!$V:$V,EmploymentResults!$D:$D,B747,EmploymentResults!$F:$F,C747,EmploymentResults!$G:$G,D747,EmploymentResults!$H:$H,E747,EmploymentResults!$J:$J,G747,EmploymentResults!$K:$K,H747,EmploymentResults!$L:$L,I747)</f>
        <v>727.63427187251352</v>
      </c>
    </row>
    <row r="748" spans="1:12" x14ac:dyDescent="0.3">
      <c r="A748" t="str">
        <f t="shared" si="22"/>
        <v>PD|AccumulatedNewCapacity|RE1|PWRSOLRTP|2037</v>
      </c>
      <c r="B748" t="s">
        <v>16</v>
      </c>
      <c r="C748" t="s">
        <v>19</v>
      </c>
      <c r="D748" t="s">
        <v>31</v>
      </c>
      <c r="E748">
        <v>2037</v>
      </c>
      <c r="F748" t="s">
        <v>18</v>
      </c>
      <c r="G748" t="s">
        <v>63</v>
      </c>
      <c r="H748" t="s">
        <v>64</v>
      </c>
      <c r="I748" t="s">
        <v>65</v>
      </c>
      <c r="J748">
        <f>SUMIFS(RawResultsLong!$P:$P,RawResultsLong!$A:$A,A748)</f>
        <v>97.032003804692465</v>
      </c>
      <c r="K748">
        <f t="shared" si="23"/>
        <v>3074.758657334286</v>
      </c>
      <c r="L748">
        <f>SUMIFS(EmploymentResults!$V:$V,EmploymentResults!$D:$D,B748,EmploymentResults!$F:$F,C748,EmploymentResults!$G:$G,D748,EmploymentResults!$H:$H,E748,EmploymentResults!$J:$J,G748,EmploymentResults!$K:$K,H748,EmploymentResults!$L:$L,I748)</f>
        <v>748.52286490585095</v>
      </c>
    </row>
    <row r="749" spans="1:12" x14ac:dyDescent="0.3">
      <c r="A749" t="str">
        <f t="shared" si="22"/>
        <v>PD|AccumulatedNewCapacity|RE1|PWRSOLRTP|2038</v>
      </c>
      <c r="B749" t="s">
        <v>16</v>
      </c>
      <c r="C749" t="s">
        <v>19</v>
      </c>
      <c r="D749" t="s">
        <v>31</v>
      </c>
      <c r="E749">
        <v>2038</v>
      </c>
      <c r="F749" t="s">
        <v>18</v>
      </c>
      <c r="G749" t="s">
        <v>63</v>
      </c>
      <c r="H749" t="s">
        <v>64</v>
      </c>
      <c r="I749" t="s">
        <v>65</v>
      </c>
      <c r="J749">
        <f>SUMIFS(RawResultsLong!$P:$P,RawResultsLong!$A:$A,A749)</f>
        <v>99.885523145212446</v>
      </c>
      <c r="K749">
        <f t="shared" si="23"/>
        <v>3165.181228775713</v>
      </c>
      <c r="L749">
        <f>SUMIFS(EmploymentResults!$V:$V,EmploymentResults!$D:$D,B749,EmploymentResults!$F:$F,C749,EmploymentResults!$G:$G,D749,EmploymentResults!$H:$H,E749,EmploymentResults!$J:$J,G749,EmploymentResults!$K:$K,H749,EmploymentResults!$L:$L,I749)</f>
        <v>764.11198605305037</v>
      </c>
    </row>
    <row r="750" spans="1:12" x14ac:dyDescent="0.3">
      <c r="A750" t="str">
        <f t="shared" si="22"/>
        <v>PD|AccumulatedNewCapacity|RE1|PWRSOLRTP|2039</v>
      </c>
      <c r="B750" t="s">
        <v>16</v>
      </c>
      <c r="C750" t="s">
        <v>19</v>
      </c>
      <c r="D750" t="s">
        <v>31</v>
      </c>
      <c r="E750">
        <v>2039</v>
      </c>
      <c r="F750" t="s">
        <v>18</v>
      </c>
      <c r="G750" t="s">
        <v>63</v>
      </c>
      <c r="H750" t="s">
        <v>64</v>
      </c>
      <c r="I750" t="s">
        <v>65</v>
      </c>
      <c r="J750">
        <f>SUMIFS(RawResultsLong!$P:$P,RawResultsLong!$A:$A,A750)</f>
        <v>102.2634559289791</v>
      </c>
      <c r="K750">
        <f t="shared" si="23"/>
        <v>3240.5333716435689</v>
      </c>
      <c r="L750">
        <f>SUMIFS(EmploymentResults!$V:$V,EmploymentResults!$D:$D,B750,EmploymentResults!$F:$F,C750,EmploymentResults!$G:$G,D750,EmploymentResults!$H:$H,E750,EmploymentResults!$J:$J,G750,EmploymentResults!$K:$K,H750,EmploymentResults!$L:$L,I750)</f>
        <v>775.72650328786949</v>
      </c>
    </row>
    <row r="751" spans="1:12" x14ac:dyDescent="0.3">
      <c r="A751" t="str">
        <f t="shared" si="22"/>
        <v>PD|AccumulatedNewCapacity|RE1|PWRSOLRTP|2040</v>
      </c>
      <c r="B751" t="s">
        <v>16</v>
      </c>
      <c r="C751" t="s">
        <v>19</v>
      </c>
      <c r="D751" t="s">
        <v>31</v>
      </c>
      <c r="E751">
        <v>2040</v>
      </c>
      <c r="F751" t="s">
        <v>18</v>
      </c>
      <c r="G751" t="s">
        <v>63</v>
      </c>
      <c r="H751" t="s">
        <v>64</v>
      </c>
      <c r="I751" t="s">
        <v>65</v>
      </c>
      <c r="J751">
        <f>SUMIFS(RawResultsLong!$P:$P,RawResultsLong!$A:$A,A751)</f>
        <v>104.3243310082435</v>
      </c>
      <c r="K751">
        <f t="shared" si="23"/>
        <v>3305.8385621290436</v>
      </c>
      <c r="L751">
        <f>SUMIFS(EmploymentResults!$V:$V,EmploymentResults!$D:$D,B751,EmploymentResults!$F:$F,C751,EmploymentResults!$G:$G,D751,EmploymentResults!$H:$H,E751,EmploymentResults!$J:$J,G751,EmploymentResults!$K:$K,H751,EmploymentResults!$L:$L,I751)</f>
        <v>784.65050577436728</v>
      </c>
    </row>
    <row r="752" spans="1:12" x14ac:dyDescent="0.3">
      <c r="A752" t="str">
        <f t="shared" si="22"/>
        <v>PD|AccumulatedNewCapacity|RE1|PWRSOLRTP|2041</v>
      </c>
      <c r="B752" t="s">
        <v>16</v>
      </c>
      <c r="C752" t="s">
        <v>19</v>
      </c>
      <c r="D752" t="s">
        <v>31</v>
      </c>
      <c r="E752">
        <v>2041</v>
      </c>
      <c r="F752" t="s">
        <v>18</v>
      </c>
      <c r="G752" t="s">
        <v>63</v>
      </c>
      <c r="H752" t="s">
        <v>64</v>
      </c>
      <c r="I752" t="s">
        <v>65</v>
      </c>
      <c r="J752">
        <f>SUMIFS(RawResultsLong!$P:$P,RawResultsLong!$A:$A,A752)</f>
        <v>106.1632656943564</v>
      </c>
      <c r="K752">
        <f t="shared" si="23"/>
        <v>3364.1108859468522</v>
      </c>
      <c r="L752">
        <f>SUMIFS(EmploymentResults!$V:$V,EmploymentResults!$D:$D,B752,EmploymentResults!$F:$F,C752,EmploymentResults!$G:$G,D752,EmploymentResults!$H:$H,E752,EmploymentResults!$J:$J,G752,EmploymentResults!$K:$K,H752,EmploymentResults!$L:$L,I752)</f>
        <v>791.65444701434342</v>
      </c>
    </row>
    <row r="753" spans="1:12" x14ac:dyDescent="0.3">
      <c r="A753" t="str">
        <f t="shared" si="22"/>
        <v>PD|AccumulatedNewCapacity|RE1|PWRSOLRTP|2042</v>
      </c>
      <c r="B753" t="s">
        <v>16</v>
      </c>
      <c r="C753" t="s">
        <v>19</v>
      </c>
      <c r="D753" t="s">
        <v>31</v>
      </c>
      <c r="E753">
        <v>2042</v>
      </c>
      <c r="F753" t="s">
        <v>18</v>
      </c>
      <c r="G753" t="s">
        <v>63</v>
      </c>
      <c r="H753" t="s">
        <v>64</v>
      </c>
      <c r="I753" t="s">
        <v>65</v>
      </c>
      <c r="J753">
        <f>SUMIFS(RawResultsLong!$P:$P,RawResultsLong!$A:$A,A753)</f>
        <v>107.81196575776789</v>
      </c>
      <c r="K753">
        <f t="shared" si="23"/>
        <v>3416.3550383352308</v>
      </c>
      <c r="L753">
        <f>SUMIFS(EmploymentResults!$V:$V,EmploymentResults!$D:$D,B753,EmploymentResults!$F:$F,C753,EmploymentResults!$G:$G,D753,EmploymentResults!$H:$H,E753,EmploymentResults!$J:$J,G753,EmploymentResults!$K:$K,H753,EmploymentResults!$L:$L,I753)</f>
        <v>797.01553423730059</v>
      </c>
    </row>
    <row r="754" spans="1:12" x14ac:dyDescent="0.3">
      <c r="A754" t="str">
        <f t="shared" si="22"/>
        <v>PD|AccumulatedNewCapacity|RE1|PWRSOLRTP|2043</v>
      </c>
      <c r="B754" t="s">
        <v>16</v>
      </c>
      <c r="C754" t="s">
        <v>19</v>
      </c>
      <c r="D754" t="s">
        <v>31</v>
      </c>
      <c r="E754">
        <v>2043</v>
      </c>
      <c r="F754" t="s">
        <v>18</v>
      </c>
      <c r="G754" t="s">
        <v>63</v>
      </c>
      <c r="H754" t="s">
        <v>64</v>
      </c>
      <c r="I754" t="s">
        <v>65</v>
      </c>
      <c r="J754">
        <f>SUMIFS(RawResultsLong!$P:$P,RawResultsLong!$A:$A,A754)</f>
        <v>109.3338427393786</v>
      </c>
      <c r="K754">
        <f t="shared" si="23"/>
        <v>3464.5804097706605</v>
      </c>
      <c r="L754">
        <f>SUMIFS(EmploymentResults!$V:$V,EmploymentResults!$D:$D,B754,EmploymentResults!$F:$F,C754,EmploymentResults!$G:$G,D754,EmploymentResults!$H:$H,E754,EmploymentResults!$J:$J,G754,EmploymentResults!$K:$K,H754,EmploymentResults!$L:$L,I754)</f>
        <v>801.23516947015082</v>
      </c>
    </row>
    <row r="755" spans="1:12" x14ac:dyDescent="0.3">
      <c r="A755" t="str">
        <f t="shared" si="22"/>
        <v>PD|AccumulatedNewCapacity|RE1|PWRSOLRTP|2044</v>
      </c>
      <c r="B755" t="s">
        <v>16</v>
      </c>
      <c r="C755" t="s">
        <v>19</v>
      </c>
      <c r="D755" t="s">
        <v>31</v>
      </c>
      <c r="E755">
        <v>2044</v>
      </c>
      <c r="F755" t="s">
        <v>18</v>
      </c>
      <c r="G755" t="s">
        <v>63</v>
      </c>
      <c r="H755" t="s">
        <v>64</v>
      </c>
      <c r="I755" t="s">
        <v>65</v>
      </c>
      <c r="J755">
        <f>SUMIFS(RawResultsLong!$P:$P,RawResultsLong!$A:$A,A755)</f>
        <v>110.7923081800888</v>
      </c>
      <c r="K755">
        <f t="shared" si="23"/>
        <v>3510.7963907296116</v>
      </c>
      <c r="L755">
        <f>SUMIFS(EmploymentResults!$V:$V,EmploymentResults!$D:$D,B755,EmploymentResults!$F:$F,C755,EmploymentResults!$G:$G,D755,EmploymentResults!$H:$H,E755,EmploymentResults!$J:$J,G755,EmploymentResults!$K:$K,H755,EmploymentResults!$L:$L,I755)</f>
        <v>804.79844321731537</v>
      </c>
    </row>
    <row r="756" spans="1:12" x14ac:dyDescent="0.3">
      <c r="A756" t="str">
        <f t="shared" si="22"/>
        <v>PD|AccumulatedNewCapacity|RE1|PWRSOLRTP|2045</v>
      </c>
      <c r="B756" t="s">
        <v>16</v>
      </c>
      <c r="C756" t="s">
        <v>19</v>
      </c>
      <c r="D756" t="s">
        <v>31</v>
      </c>
      <c r="E756">
        <v>2045</v>
      </c>
      <c r="F756" t="s">
        <v>18</v>
      </c>
      <c r="G756" t="s">
        <v>63</v>
      </c>
      <c r="H756" t="s">
        <v>64</v>
      </c>
      <c r="I756" t="s">
        <v>65</v>
      </c>
      <c r="J756">
        <f>SUMIFS(RawResultsLong!$P:$P,RawResultsLong!$A:$A,A756)</f>
        <v>112.21906785034879</v>
      </c>
      <c r="K756">
        <f t="shared" si="23"/>
        <v>3556.0076764503251</v>
      </c>
      <c r="L756">
        <f>SUMIFS(EmploymentResults!$V:$V,EmploymentResults!$D:$D,B756,EmploymentResults!$F:$F,C756,EmploymentResults!$G:$G,D756,EmploymentResults!$H:$H,E756,EmploymentResults!$J:$J,G756,EmploymentResults!$K:$K,H756,EmploymentResults!$L:$L,I756)</f>
        <v>807.94586178193742</v>
      </c>
    </row>
    <row r="757" spans="1:12" x14ac:dyDescent="0.3">
      <c r="A757" t="str">
        <f t="shared" si="22"/>
        <v>PD|AccumulatedNewCapacity|RE1|PWRSOLRTP|2046</v>
      </c>
      <c r="B757" t="s">
        <v>16</v>
      </c>
      <c r="C757" t="s">
        <v>19</v>
      </c>
      <c r="D757" t="s">
        <v>31</v>
      </c>
      <c r="E757">
        <v>2046</v>
      </c>
      <c r="F757" t="s">
        <v>18</v>
      </c>
      <c r="G757" t="s">
        <v>63</v>
      </c>
      <c r="H757" t="s">
        <v>64</v>
      </c>
      <c r="I757" t="s">
        <v>65</v>
      </c>
      <c r="J757">
        <f>SUMIFS(RawResultsLong!$P:$P,RawResultsLong!$A:$A,A757)</f>
        <v>113.6458275206088</v>
      </c>
      <c r="K757">
        <f t="shared" si="23"/>
        <v>3601.2189621710395</v>
      </c>
      <c r="L757">
        <f>SUMIFS(EmploymentResults!$V:$V,EmploymentResults!$D:$D,B757,EmploymentResults!$F:$F,C757,EmploymentResults!$G:$G,D757,EmploymentResults!$H:$H,E757,EmploymentResults!$J:$J,G757,EmploymentResults!$K:$K,H757,EmploymentResults!$L:$L,I757)</f>
        <v>810.90977571625501</v>
      </c>
    </row>
    <row r="758" spans="1:12" x14ac:dyDescent="0.3">
      <c r="A758" t="str">
        <f t="shared" si="22"/>
        <v>PD|AccumulatedNewCapacity|RE1|PWRSOLRTP|2047</v>
      </c>
      <c r="B758" t="s">
        <v>16</v>
      </c>
      <c r="C758" t="s">
        <v>19</v>
      </c>
      <c r="D758" t="s">
        <v>31</v>
      </c>
      <c r="E758">
        <v>2047</v>
      </c>
      <c r="F758" t="s">
        <v>18</v>
      </c>
      <c r="G758" t="s">
        <v>63</v>
      </c>
      <c r="H758" t="s">
        <v>64</v>
      </c>
      <c r="I758" t="s">
        <v>65</v>
      </c>
      <c r="J758">
        <f>SUMIFS(RawResultsLong!$P:$P,RawResultsLong!$A:$A,A758)</f>
        <v>115.0725871908687</v>
      </c>
      <c r="K758">
        <f t="shared" si="23"/>
        <v>3646.4302478917502</v>
      </c>
      <c r="L758">
        <f>SUMIFS(EmploymentResults!$V:$V,EmploymentResults!$D:$D,B758,EmploymentResults!$F:$F,C758,EmploymentResults!$G:$G,D758,EmploymentResults!$H:$H,E758,EmploymentResults!$J:$J,G758,EmploymentResults!$K:$K,H758,EmploymentResults!$L:$L,I758)</f>
        <v>813.69018502391327</v>
      </c>
    </row>
    <row r="759" spans="1:12" x14ac:dyDescent="0.3">
      <c r="A759" t="str">
        <f t="shared" si="22"/>
        <v>PD|AccumulatedNewCapacity|RE1|PWRSOLRTP|2048</v>
      </c>
      <c r="B759" t="s">
        <v>16</v>
      </c>
      <c r="C759" t="s">
        <v>19</v>
      </c>
      <c r="D759" t="s">
        <v>31</v>
      </c>
      <c r="E759">
        <v>2048</v>
      </c>
      <c r="F759" t="s">
        <v>18</v>
      </c>
      <c r="G759" t="s">
        <v>63</v>
      </c>
      <c r="H759" t="s">
        <v>64</v>
      </c>
      <c r="I759" t="s">
        <v>65</v>
      </c>
      <c r="J759">
        <f>SUMIFS(RawResultsLong!$P:$P,RawResultsLong!$A:$A,A759)</f>
        <v>116.4993468611287</v>
      </c>
      <c r="K759">
        <f t="shared" si="23"/>
        <v>3691.6415336124642</v>
      </c>
      <c r="L759">
        <f>SUMIFS(EmploymentResults!$V:$V,EmploymentResults!$D:$D,B759,EmploymentResults!$F:$F,C759,EmploymentResults!$G:$G,D759,EmploymentResults!$H:$H,E759,EmploymentResults!$J:$J,G759,EmploymentResults!$K:$K,H759,EmploymentResults!$L:$L,I759)</f>
        <v>816.28708969766637</v>
      </c>
    </row>
    <row r="760" spans="1:12" x14ac:dyDescent="0.3">
      <c r="A760" t="str">
        <f t="shared" si="22"/>
        <v>PD|AccumulatedNewCapacity|RE1|PWRSOLRTP|2049</v>
      </c>
      <c r="B760" t="s">
        <v>16</v>
      </c>
      <c r="C760" t="s">
        <v>19</v>
      </c>
      <c r="D760" t="s">
        <v>31</v>
      </c>
      <c r="E760">
        <v>2049</v>
      </c>
      <c r="F760" t="s">
        <v>18</v>
      </c>
      <c r="G760" t="s">
        <v>63</v>
      </c>
      <c r="H760" t="s">
        <v>64</v>
      </c>
      <c r="I760" t="s">
        <v>65</v>
      </c>
      <c r="J760">
        <f>SUMIFS(RawResultsLong!$P:$P,RawResultsLong!$A:$A,A760)</f>
        <v>117.9261065313887</v>
      </c>
      <c r="K760">
        <f t="shared" si="23"/>
        <v>3736.8528193331776</v>
      </c>
      <c r="L760">
        <f>SUMIFS(EmploymentResults!$V:$V,EmploymentResults!$D:$D,B760,EmploymentResults!$F:$F,C760,EmploymentResults!$G:$G,D760,EmploymentResults!$H:$H,E760,EmploymentResults!$J:$J,G760,EmploymentResults!$K:$K,H760,EmploymentResults!$L:$L,I760)</f>
        <v>818.70048974111455</v>
      </c>
    </row>
    <row r="761" spans="1:12" x14ac:dyDescent="0.3">
      <c r="A761" t="str">
        <f t="shared" si="22"/>
        <v>PD|AccumulatedNewCapacity|RE1|PWRSOLRTP|2050</v>
      </c>
      <c r="B761" t="s">
        <v>16</v>
      </c>
      <c r="C761" t="s">
        <v>19</v>
      </c>
      <c r="D761" t="s">
        <v>31</v>
      </c>
      <c r="E761">
        <v>2050</v>
      </c>
      <c r="F761" t="s">
        <v>18</v>
      </c>
      <c r="G761" t="s">
        <v>63</v>
      </c>
      <c r="H761" t="s">
        <v>64</v>
      </c>
      <c r="I761" t="s">
        <v>65</v>
      </c>
      <c r="J761">
        <f>SUMIFS(RawResultsLong!$P:$P,RawResultsLong!$A:$A,A761)</f>
        <v>119.35286620164869</v>
      </c>
      <c r="K761">
        <f t="shared" si="23"/>
        <v>3782.0641050538916</v>
      </c>
      <c r="L761">
        <f>SUMIFS(EmploymentResults!$V:$V,EmploymentResults!$D:$D,B761,EmploymentResults!$F:$F,C761,EmploymentResults!$G:$G,D761,EmploymentResults!$H:$H,E761,EmploymentResults!$J:$J,G761,EmploymentResults!$K:$K,H761,EmploymentResults!$L:$L,I761)</f>
        <v>820.93038515425792</v>
      </c>
    </row>
    <row r="762" spans="1:12" x14ac:dyDescent="0.3">
      <c r="A762" t="str">
        <f t="shared" si="22"/>
        <v>PD|AccumulatedNewCapacity|RE1|PWRSOLRTP|2051</v>
      </c>
      <c r="B762" t="s">
        <v>16</v>
      </c>
      <c r="C762" t="s">
        <v>19</v>
      </c>
      <c r="D762" t="s">
        <v>31</v>
      </c>
      <c r="E762">
        <v>2051</v>
      </c>
      <c r="F762" t="s">
        <v>18</v>
      </c>
      <c r="G762" t="s">
        <v>63</v>
      </c>
      <c r="H762" t="s">
        <v>64</v>
      </c>
      <c r="I762" t="s">
        <v>65</v>
      </c>
      <c r="J762">
        <f>SUMIFS(RawResultsLong!$P:$P,RawResultsLong!$A:$A,A762)</f>
        <v>112.84083703233991</v>
      </c>
      <c r="K762">
        <f t="shared" si="23"/>
        <v>3575.7103528893167</v>
      </c>
      <c r="L762">
        <f>SUMIFS(EmploymentResults!$V:$V,EmploymentResults!$D:$D,B762,EmploymentResults!$F:$F,C762,EmploymentResults!$G:$G,D762,EmploymentResults!$H:$H,E762,EmploymentResults!$J:$J,G762,EmploymentResults!$K:$K,H762,EmploymentResults!$L:$L,I762)</f>
        <v>776.13948247862049</v>
      </c>
    </row>
    <row r="763" spans="1:12" x14ac:dyDescent="0.3">
      <c r="A763" t="str">
        <f t="shared" si="22"/>
        <v>PD|AccumulatedNewCapacity|RE1|PWRSOLRTP|2052</v>
      </c>
      <c r="B763" t="s">
        <v>16</v>
      </c>
      <c r="C763" t="s">
        <v>19</v>
      </c>
      <c r="D763" t="s">
        <v>31</v>
      </c>
      <c r="E763">
        <v>2052</v>
      </c>
      <c r="F763" t="s">
        <v>18</v>
      </c>
      <c r="G763" t="s">
        <v>63</v>
      </c>
      <c r="H763" t="s">
        <v>64</v>
      </c>
      <c r="I763" t="s">
        <v>65</v>
      </c>
      <c r="J763">
        <f>SUMIFS(RawResultsLong!$P:$P,RawResultsLong!$A:$A,A763)</f>
        <v>103.4876347495244</v>
      </c>
      <c r="K763">
        <f t="shared" si="23"/>
        <v>3279.3252576090831</v>
      </c>
      <c r="L763">
        <f>SUMIFS(EmploymentResults!$V:$V,EmploymentResults!$D:$D,B763,EmploymentResults!$F:$F,C763,EmploymentResults!$G:$G,D763,EmploymentResults!$H:$H,E763,EmploymentResults!$J:$J,G763,EmploymentResults!$K:$K,H763,EmploymentResults!$L:$L,I763)</f>
        <v>711.80648238556239</v>
      </c>
    </row>
    <row r="764" spans="1:12" x14ac:dyDescent="0.3">
      <c r="A764" t="str">
        <f t="shared" si="22"/>
        <v>PD|AccumulatedNewCapacity|RE1|PWRSOLRTP|2053</v>
      </c>
      <c r="B764" t="s">
        <v>16</v>
      </c>
      <c r="C764" t="s">
        <v>19</v>
      </c>
      <c r="D764" t="s">
        <v>31</v>
      </c>
      <c r="E764">
        <v>2053</v>
      </c>
      <c r="F764" t="s">
        <v>18</v>
      </c>
      <c r="G764" t="s">
        <v>63</v>
      </c>
      <c r="H764" t="s">
        <v>64</v>
      </c>
      <c r="I764" t="s">
        <v>65</v>
      </c>
      <c r="J764">
        <f>SUMIFS(RawResultsLong!$P:$P,RawResultsLong!$A:$A,A764)</f>
        <v>93.500317057704478</v>
      </c>
      <c r="K764">
        <f t="shared" si="23"/>
        <v>2962.8462575640883</v>
      </c>
      <c r="L764">
        <f>SUMIFS(EmploymentResults!$V:$V,EmploymentResults!$D:$D,B764,EmploymentResults!$F:$F,C764,EmploymentResults!$G:$G,D764,EmploymentResults!$H:$H,E764,EmploymentResults!$J:$J,G764,EmploymentResults!$K:$K,H764,EmploymentResults!$L:$L,I764)</f>
        <v>643.11192296416152</v>
      </c>
    </row>
    <row r="765" spans="1:12" x14ac:dyDescent="0.3">
      <c r="A765" t="str">
        <f t="shared" si="22"/>
        <v>PD|AccumulatedNewCapacity|RE1|PWRSOLRTP|2054</v>
      </c>
      <c r="B765" t="s">
        <v>16</v>
      </c>
      <c r="C765" t="s">
        <v>19</v>
      </c>
      <c r="D765" t="s">
        <v>31</v>
      </c>
      <c r="E765">
        <v>2054</v>
      </c>
      <c r="F765" t="s">
        <v>18</v>
      </c>
      <c r="G765" t="s">
        <v>63</v>
      </c>
      <c r="H765" t="s">
        <v>64</v>
      </c>
      <c r="I765" t="s">
        <v>65</v>
      </c>
      <c r="J765">
        <f>SUMIFS(RawResultsLong!$P:$P,RawResultsLong!$A:$A,A765)</f>
        <v>83.671528218135677</v>
      </c>
      <c r="K765">
        <f t="shared" si="23"/>
        <v>2651.3907337102846</v>
      </c>
      <c r="L765">
        <f>SUMIFS(EmploymentResults!$V:$V,EmploymentResults!$D:$D,B765,EmploymentResults!$F:$F,C765,EmploymentResults!$G:$G,D765,EmploymentResults!$H:$H,E765,EmploymentResults!$J:$J,G765,EmploymentResults!$K:$K,H765,EmploymentResults!$L:$L,I765)</f>
        <v>575.50775337484652</v>
      </c>
    </row>
    <row r="766" spans="1:12" x14ac:dyDescent="0.3">
      <c r="A766" t="str">
        <f t="shared" si="22"/>
        <v>PD|AccumulatedNewCapacity|RE1|PWRSOLRTP|2055</v>
      </c>
      <c r="B766" t="s">
        <v>16</v>
      </c>
      <c r="C766" t="s">
        <v>19</v>
      </c>
      <c r="D766" t="s">
        <v>31</v>
      </c>
      <c r="E766">
        <v>2055</v>
      </c>
      <c r="F766" t="s">
        <v>18</v>
      </c>
      <c r="G766" t="s">
        <v>63</v>
      </c>
      <c r="H766" t="s">
        <v>64</v>
      </c>
      <c r="I766" t="s">
        <v>65</v>
      </c>
      <c r="J766">
        <f>SUMIFS(RawResultsLong!$P:$P,RawResultsLong!$A:$A,A766)</f>
        <v>74.476854787571312</v>
      </c>
      <c r="K766">
        <f t="shared" si="23"/>
        <v>2360.0291146212421</v>
      </c>
      <c r="L766">
        <f>SUMIFS(EmploymentResults!$V:$V,EmploymentResults!$D:$D,B766,EmploymentResults!$F:$F,C766,EmploymentResults!$G:$G,D766,EmploymentResults!$H:$H,E766,EmploymentResults!$J:$J,G766,EmploymentResults!$K:$K,H766,EmploymentResults!$L:$L,I766)</f>
        <v>512.26514311387427</v>
      </c>
    </row>
    <row r="767" spans="1:12" x14ac:dyDescent="0.3">
      <c r="A767" t="str">
        <f t="shared" si="22"/>
        <v>PD|AccumulatedNewCapacity|RE1|PWRSOLRTP_ZNI|2033</v>
      </c>
      <c r="B767" t="s">
        <v>16</v>
      </c>
      <c r="C767" t="s">
        <v>19</v>
      </c>
      <c r="D767" t="s">
        <v>32</v>
      </c>
      <c r="E767">
        <v>2033</v>
      </c>
      <c r="F767" t="s">
        <v>18</v>
      </c>
      <c r="G767" t="s">
        <v>63</v>
      </c>
      <c r="H767" t="s">
        <v>64</v>
      </c>
      <c r="I767" t="s">
        <v>65</v>
      </c>
      <c r="J767">
        <f>SUMIFS(RawResultsLong!$P:$P,RawResultsLong!$A:$A,A767)</f>
        <v>0.69954823626465812</v>
      </c>
      <c r="K767">
        <f t="shared" si="23"/>
        <v>22.167345940903559</v>
      </c>
      <c r="L767">
        <f>SUMIFS(EmploymentResults!$V:$V,EmploymentResults!$D:$D,B767,EmploymentResults!$F:$F,C767,EmploymentResults!$G:$G,D767,EmploymentResults!$H:$H,E767,EmploymentResults!$J:$J,G767,EmploymentResults!$K:$K,H767,EmploymentResults!$L:$L,I767)</f>
        <v>5.5763914656540523</v>
      </c>
    </row>
    <row r="768" spans="1:12" x14ac:dyDescent="0.3">
      <c r="A768" t="str">
        <f t="shared" si="22"/>
        <v>PD|AccumulatedNewCapacity|RE1|PWRSOLRTP_ZNI|2034</v>
      </c>
      <c r="B768" t="s">
        <v>16</v>
      </c>
      <c r="C768" t="s">
        <v>19</v>
      </c>
      <c r="D768" t="s">
        <v>32</v>
      </c>
      <c r="E768">
        <v>2034</v>
      </c>
      <c r="F768" t="s">
        <v>18</v>
      </c>
      <c r="G768" t="s">
        <v>63</v>
      </c>
      <c r="H768" t="s">
        <v>64</v>
      </c>
      <c r="I768" t="s">
        <v>65</v>
      </c>
      <c r="J768">
        <f>SUMIFS(RawResultsLong!$P:$P,RawResultsLong!$A:$A,A768)</f>
        <v>0.73595292932613798</v>
      </c>
      <c r="K768">
        <f t="shared" si="23"/>
        <v>23.320941051478503</v>
      </c>
      <c r="L768">
        <f>SUMIFS(EmploymentResults!$V:$V,EmploymentResults!$D:$D,B768,EmploymentResults!$F:$F,C768,EmploymentResults!$G:$G,D768,EmploymentResults!$H:$H,E768,EmploymentResults!$J:$J,G768,EmploymentResults!$K:$K,H768,EmploymentResults!$L:$L,I768)</f>
        <v>5.8192607023816709</v>
      </c>
    </row>
    <row r="769" spans="1:12" x14ac:dyDescent="0.3">
      <c r="A769" t="str">
        <f t="shared" si="22"/>
        <v>PD|AccumulatedNewCapacity|RE1|PWRSOLRTP_ZNI|2035</v>
      </c>
      <c r="B769" t="s">
        <v>16</v>
      </c>
      <c r="C769" t="s">
        <v>19</v>
      </c>
      <c r="D769" t="s">
        <v>32</v>
      </c>
      <c r="E769">
        <v>2035</v>
      </c>
      <c r="F769" t="s">
        <v>18</v>
      </c>
      <c r="G769" t="s">
        <v>63</v>
      </c>
      <c r="H769" t="s">
        <v>64</v>
      </c>
      <c r="I769" t="s">
        <v>65</v>
      </c>
      <c r="J769">
        <f>SUMIFS(RawResultsLong!$P:$P,RawResultsLong!$A:$A,A769)</f>
        <v>0.77268918493450534</v>
      </c>
      <c r="K769">
        <f t="shared" si="23"/>
        <v>24.485042745155059</v>
      </c>
      <c r="L769">
        <f>SUMIFS(EmploymentResults!$V:$V,EmploymentResults!$D:$D,B769,EmploymentResults!$F:$F,C769,EmploymentResults!$G:$G,D769,EmploymentResults!$H:$H,E769,EmploymentResults!$J:$J,G769,EmploymentResults!$K:$K,H769,EmploymentResults!$L:$L,I769)</f>
        <v>6.0600480794258775</v>
      </c>
    </row>
    <row r="770" spans="1:12" x14ac:dyDescent="0.3">
      <c r="A770" t="str">
        <f t="shared" ref="A770:A833" si="24">B770&amp;"|"&amp;F770&amp;"|"&amp;C770&amp;"|"&amp;D770&amp;"|"&amp;E770</f>
        <v>PD|AccumulatedNewCapacity|RE1|PWRSOLRTP_ZNI|2036</v>
      </c>
      <c r="B770" t="s">
        <v>16</v>
      </c>
      <c r="C770" t="s">
        <v>19</v>
      </c>
      <c r="D770" t="s">
        <v>32</v>
      </c>
      <c r="E770">
        <v>2036</v>
      </c>
      <c r="F770" t="s">
        <v>18</v>
      </c>
      <c r="G770" t="s">
        <v>63</v>
      </c>
      <c r="H770" t="s">
        <v>64</v>
      </c>
      <c r="I770" t="s">
        <v>65</v>
      </c>
      <c r="J770">
        <f>SUMIFS(RawResultsLong!$P:$P,RawResultsLong!$A:$A,A770)</f>
        <v>0.81018116614467595</v>
      </c>
      <c r="K770">
        <f t="shared" ref="K770:K833" si="25">J770*1000/31.5576</f>
        <v>25.673091938064868</v>
      </c>
      <c r="L770">
        <f>SUMIFS(EmploymentResults!$V:$V,EmploymentResults!$D:$D,B770,EmploymentResults!$F:$F,C770,EmploymentResults!$G:$G,D770,EmploymentResults!$H:$H,E770,EmploymentResults!$J:$J,G770,EmploymentResults!$K:$K,H770,EmploymentResults!$L:$L,I770)</f>
        <v>6.3019889798480193</v>
      </c>
    </row>
    <row r="771" spans="1:12" x14ac:dyDescent="0.3">
      <c r="A771" t="str">
        <f t="shared" si="24"/>
        <v>PD|AccumulatedNewCapacity|RE1|PWRSOLRTP_ZNI|2037</v>
      </c>
      <c r="B771" t="s">
        <v>16</v>
      </c>
      <c r="C771" t="s">
        <v>19</v>
      </c>
      <c r="D771" t="s">
        <v>32</v>
      </c>
      <c r="E771">
        <v>2037</v>
      </c>
      <c r="F771" t="s">
        <v>18</v>
      </c>
      <c r="G771" t="s">
        <v>63</v>
      </c>
      <c r="H771" t="s">
        <v>64</v>
      </c>
      <c r="I771" t="s">
        <v>65</v>
      </c>
      <c r="J771">
        <f>SUMIFS(RawResultsLong!$P:$P,RawResultsLong!$A:$A,A771)</f>
        <v>0.84842468687030292</v>
      </c>
      <c r="K771">
        <f t="shared" si="25"/>
        <v>26.884955981136173</v>
      </c>
      <c r="L771">
        <f>SUMIFS(EmploymentResults!$V:$V,EmploymentResults!$D:$D,B771,EmploymentResults!$F:$F,C771,EmploymentResults!$G:$G,D771,EmploymentResults!$H:$H,E771,EmploymentResults!$J:$J,G771,EmploymentResults!$K:$K,H771,EmploymentResults!$L:$L,I771)</f>
        <v>6.5449053134188375</v>
      </c>
    </row>
    <row r="772" spans="1:12" x14ac:dyDescent="0.3">
      <c r="A772" t="str">
        <f t="shared" si="24"/>
        <v>PD|AccumulatedNewCapacity|RE1|PWRSOLRTP_ZNI|2038</v>
      </c>
      <c r="B772" t="s">
        <v>16</v>
      </c>
      <c r="C772" t="s">
        <v>19</v>
      </c>
      <c r="D772" t="s">
        <v>32</v>
      </c>
      <c r="E772">
        <v>2038</v>
      </c>
      <c r="F772" t="s">
        <v>18</v>
      </c>
      <c r="G772" t="s">
        <v>63</v>
      </c>
      <c r="H772" t="s">
        <v>64</v>
      </c>
      <c r="I772" t="s">
        <v>65</v>
      </c>
      <c r="J772">
        <f>SUMIFS(RawResultsLong!$P:$P,RawResultsLong!$A:$A,A772)</f>
        <v>0.88750826980907294</v>
      </c>
      <c r="K772">
        <f t="shared" si="25"/>
        <v>28.123439989386799</v>
      </c>
      <c r="L772">
        <f>SUMIFS(EmploymentResults!$V:$V,EmploymentResults!$D:$D,B772,EmploymentResults!$F:$F,C772,EmploymentResults!$G:$G,D772,EmploymentResults!$H:$H,E772,EmploymentResults!$J:$J,G772,EmploymentResults!$K:$K,H772,EmploymentResults!$L:$L,I772)</f>
        <v>6.7893292774411576</v>
      </c>
    </row>
    <row r="773" spans="1:12" x14ac:dyDescent="0.3">
      <c r="A773" t="str">
        <f t="shared" si="24"/>
        <v>PD|AccumulatedNewCapacity|RE1|PWRSOLRTP_ZNI|2039</v>
      </c>
      <c r="B773" t="s">
        <v>16</v>
      </c>
      <c r="C773" t="s">
        <v>19</v>
      </c>
      <c r="D773" t="s">
        <v>32</v>
      </c>
      <c r="E773">
        <v>2039</v>
      </c>
      <c r="F773" t="s">
        <v>18</v>
      </c>
      <c r="G773" t="s">
        <v>63</v>
      </c>
      <c r="H773" t="s">
        <v>64</v>
      </c>
      <c r="I773" t="s">
        <v>65</v>
      </c>
      <c r="J773">
        <f>SUMIFS(RawResultsLong!$P:$P,RawResultsLong!$A:$A,A773)</f>
        <v>0.88750826980907294</v>
      </c>
      <c r="K773">
        <f t="shared" si="25"/>
        <v>28.123439989386799</v>
      </c>
      <c r="L773">
        <f>SUMIFS(EmploymentResults!$V:$V,EmploymentResults!$D:$D,B773,EmploymentResults!$F:$F,C773,EmploymentResults!$G:$G,D773,EmploymentResults!$H:$H,E773,EmploymentResults!$J:$J,G773,EmploymentResults!$K:$K,H773,EmploymentResults!$L:$L,I773)</f>
        <v>6.7322552374544236</v>
      </c>
    </row>
    <row r="774" spans="1:12" x14ac:dyDescent="0.3">
      <c r="A774" t="str">
        <f t="shared" si="24"/>
        <v>PD|AccumulatedNewCapacity|RE1|PWRSOLRTP_ZNI|2040</v>
      </c>
      <c r="B774" t="s">
        <v>16</v>
      </c>
      <c r="C774" t="s">
        <v>19</v>
      </c>
      <c r="D774" t="s">
        <v>32</v>
      </c>
      <c r="E774">
        <v>2040</v>
      </c>
      <c r="F774" t="s">
        <v>18</v>
      </c>
      <c r="G774" t="s">
        <v>63</v>
      </c>
      <c r="H774" t="s">
        <v>64</v>
      </c>
      <c r="I774" t="s">
        <v>65</v>
      </c>
      <c r="J774">
        <f>SUMIFS(RawResultsLong!$P:$P,RawResultsLong!$A:$A,A774)</f>
        <v>0.88750826980907294</v>
      </c>
      <c r="K774">
        <f t="shared" si="25"/>
        <v>28.123439989386799</v>
      </c>
      <c r="L774">
        <f>SUMIFS(EmploymentResults!$V:$V,EmploymentResults!$D:$D,B774,EmploymentResults!$F:$F,C774,EmploymentResults!$G:$G,D774,EmploymentResults!$H:$H,E774,EmploymentResults!$J:$J,G774,EmploymentResults!$K:$K,H774,EmploymentResults!$L:$L,I774)</f>
        <v>6.6751811974676913</v>
      </c>
    </row>
    <row r="775" spans="1:12" x14ac:dyDescent="0.3">
      <c r="A775" t="str">
        <f t="shared" si="24"/>
        <v>PD|AccumulatedNewCapacity|RE1|PWRSOLRTP_ZNI|2041</v>
      </c>
      <c r="B775" t="s">
        <v>16</v>
      </c>
      <c r="C775" t="s">
        <v>19</v>
      </c>
      <c r="D775" t="s">
        <v>32</v>
      </c>
      <c r="E775">
        <v>2041</v>
      </c>
      <c r="F775" t="s">
        <v>18</v>
      </c>
      <c r="G775" t="s">
        <v>63</v>
      </c>
      <c r="H775" t="s">
        <v>64</v>
      </c>
      <c r="I775" t="s">
        <v>65</v>
      </c>
      <c r="J775">
        <f>SUMIFS(RawResultsLong!$P:$P,RawResultsLong!$A:$A,A775)</f>
        <v>0.88750826980907294</v>
      </c>
      <c r="K775">
        <f t="shared" si="25"/>
        <v>28.123439989386799</v>
      </c>
      <c r="L775">
        <f>SUMIFS(EmploymentResults!$V:$V,EmploymentResults!$D:$D,B775,EmploymentResults!$F:$F,C775,EmploymentResults!$G:$G,D775,EmploymentResults!$H:$H,E775,EmploymentResults!$J:$J,G775,EmploymentResults!$K:$K,H775,EmploymentResults!$L:$L,I775)</f>
        <v>6.6181071575090815</v>
      </c>
    </row>
    <row r="776" spans="1:12" x14ac:dyDescent="0.3">
      <c r="A776" t="str">
        <f t="shared" si="24"/>
        <v>PD|AccumulatedNewCapacity|RE1|PWRSOLRTP_ZNI|2042</v>
      </c>
      <c r="B776" t="s">
        <v>16</v>
      </c>
      <c r="C776" t="s">
        <v>19</v>
      </c>
      <c r="D776" t="s">
        <v>32</v>
      </c>
      <c r="E776">
        <v>2042</v>
      </c>
      <c r="F776" t="s">
        <v>18</v>
      </c>
      <c r="G776" t="s">
        <v>63</v>
      </c>
      <c r="H776" t="s">
        <v>64</v>
      </c>
      <c r="I776" t="s">
        <v>65</v>
      </c>
      <c r="J776">
        <f>SUMIFS(RawResultsLong!$P:$P,RawResultsLong!$A:$A,A776)</f>
        <v>0.88750826980907294</v>
      </c>
      <c r="K776">
        <f t="shared" si="25"/>
        <v>28.123439989386799</v>
      </c>
      <c r="L776">
        <f>SUMIFS(EmploymentResults!$V:$V,EmploymentResults!$D:$D,B776,EmploymentResults!$F:$F,C776,EmploymentResults!$G:$G,D776,EmploymentResults!$H:$H,E776,EmploymentResults!$J:$J,G776,EmploymentResults!$K:$K,H776,EmploymentResults!$L:$L,I776)</f>
        <v>6.5610331175223484</v>
      </c>
    </row>
    <row r="777" spans="1:12" x14ac:dyDescent="0.3">
      <c r="A777" t="str">
        <f t="shared" si="24"/>
        <v>PD|AccumulatedNewCapacity|RE1|PWRSOLRTP_ZNI|2043</v>
      </c>
      <c r="B777" t="s">
        <v>16</v>
      </c>
      <c r="C777" t="s">
        <v>19</v>
      </c>
      <c r="D777" t="s">
        <v>32</v>
      </c>
      <c r="E777">
        <v>2043</v>
      </c>
      <c r="F777" t="s">
        <v>18</v>
      </c>
      <c r="G777" t="s">
        <v>63</v>
      </c>
      <c r="H777" t="s">
        <v>64</v>
      </c>
      <c r="I777" t="s">
        <v>65</v>
      </c>
      <c r="J777">
        <f>SUMIFS(RawResultsLong!$P:$P,RawResultsLong!$A:$A,A777)</f>
        <v>0.88750826980907294</v>
      </c>
      <c r="K777">
        <f t="shared" si="25"/>
        <v>28.123439989386799</v>
      </c>
      <c r="L777">
        <f>SUMIFS(EmploymentResults!$V:$V,EmploymentResults!$D:$D,B777,EmploymentResults!$F:$F,C777,EmploymentResults!$G:$G,D777,EmploymentResults!$H:$H,E777,EmploymentResults!$J:$J,G777,EmploymentResults!$K:$K,H777,EmploymentResults!$L:$L,I777)</f>
        <v>6.5039590775356153</v>
      </c>
    </row>
    <row r="778" spans="1:12" x14ac:dyDescent="0.3">
      <c r="A778" t="str">
        <f t="shared" si="24"/>
        <v>PD|AccumulatedNewCapacity|RE1|PWRSOLRTP_ZNI|2044</v>
      </c>
      <c r="B778" t="s">
        <v>16</v>
      </c>
      <c r="C778" t="s">
        <v>19</v>
      </c>
      <c r="D778" t="s">
        <v>32</v>
      </c>
      <c r="E778">
        <v>2044</v>
      </c>
      <c r="F778" t="s">
        <v>18</v>
      </c>
      <c r="G778" t="s">
        <v>63</v>
      </c>
      <c r="H778" t="s">
        <v>64</v>
      </c>
      <c r="I778" t="s">
        <v>65</v>
      </c>
      <c r="J778">
        <f>SUMIFS(RawResultsLong!$P:$P,RawResultsLong!$A:$A,A778)</f>
        <v>0.88750826980907294</v>
      </c>
      <c r="K778">
        <f t="shared" si="25"/>
        <v>28.123439989386799</v>
      </c>
      <c r="L778">
        <f>SUMIFS(EmploymentResults!$V:$V,EmploymentResults!$D:$D,B778,EmploymentResults!$F:$F,C778,EmploymentResults!$G:$G,D778,EmploymentResults!$H:$H,E778,EmploymentResults!$J:$J,G778,EmploymentResults!$K:$K,H778,EmploymentResults!$L:$L,I778)</f>
        <v>6.4468850375770055</v>
      </c>
    </row>
    <row r="779" spans="1:12" x14ac:dyDescent="0.3">
      <c r="A779" t="str">
        <f t="shared" si="24"/>
        <v>PD|AccumulatedNewCapacity|RE1|PWRSOLRTP_ZNI|2045</v>
      </c>
      <c r="B779" t="s">
        <v>16</v>
      </c>
      <c r="C779" t="s">
        <v>19</v>
      </c>
      <c r="D779" t="s">
        <v>32</v>
      </c>
      <c r="E779">
        <v>2045</v>
      </c>
      <c r="F779" t="s">
        <v>18</v>
      </c>
      <c r="G779" t="s">
        <v>63</v>
      </c>
      <c r="H779" t="s">
        <v>64</v>
      </c>
      <c r="I779" t="s">
        <v>65</v>
      </c>
      <c r="J779">
        <f>SUMIFS(RawResultsLong!$P:$P,RawResultsLong!$A:$A,A779)</f>
        <v>0.88750826980907294</v>
      </c>
      <c r="K779">
        <f t="shared" si="25"/>
        <v>28.123439989386799</v>
      </c>
      <c r="L779">
        <f>SUMIFS(EmploymentResults!$V:$V,EmploymentResults!$D:$D,B779,EmploymentResults!$F:$F,C779,EmploymentResults!$G:$G,D779,EmploymentResults!$H:$H,E779,EmploymentResults!$J:$J,G779,EmploymentResults!$K:$K,H779,EmploymentResults!$L:$L,I779)</f>
        <v>6.3898109975902724</v>
      </c>
    </row>
    <row r="780" spans="1:12" x14ac:dyDescent="0.3">
      <c r="A780" t="str">
        <f t="shared" si="24"/>
        <v>PD|AccumulatedNewCapacity|RE1|PWRSOLRTP_ZNI|2046</v>
      </c>
      <c r="B780" t="s">
        <v>16</v>
      </c>
      <c r="C780" t="s">
        <v>19</v>
      </c>
      <c r="D780" t="s">
        <v>32</v>
      </c>
      <c r="E780">
        <v>2046</v>
      </c>
      <c r="F780" t="s">
        <v>18</v>
      </c>
      <c r="G780" t="s">
        <v>63</v>
      </c>
      <c r="H780" t="s">
        <v>64</v>
      </c>
      <c r="I780" t="s">
        <v>65</v>
      </c>
      <c r="J780">
        <f>SUMIFS(RawResultsLong!$P:$P,RawResultsLong!$A:$A,A780)</f>
        <v>0.88750826980907294</v>
      </c>
      <c r="K780">
        <f t="shared" si="25"/>
        <v>28.123439989386799</v>
      </c>
      <c r="L780">
        <f>SUMIFS(EmploymentResults!$V:$V,EmploymentResults!$D:$D,B780,EmploymentResults!$F:$F,C780,EmploymentResults!$G:$G,D780,EmploymentResults!$H:$H,E780,EmploymentResults!$J:$J,G780,EmploymentResults!$K:$K,H780,EmploymentResults!$L:$L,I780)</f>
        <v>6.3327369576035393</v>
      </c>
    </row>
    <row r="781" spans="1:12" x14ac:dyDescent="0.3">
      <c r="A781" t="str">
        <f t="shared" si="24"/>
        <v>PD|AccumulatedNewCapacity|RE1|PWRSOLRTP_ZNI|2047</v>
      </c>
      <c r="B781" t="s">
        <v>16</v>
      </c>
      <c r="C781" t="s">
        <v>19</v>
      </c>
      <c r="D781" t="s">
        <v>32</v>
      </c>
      <c r="E781">
        <v>2047</v>
      </c>
      <c r="F781" t="s">
        <v>18</v>
      </c>
      <c r="G781" t="s">
        <v>63</v>
      </c>
      <c r="H781" t="s">
        <v>64</v>
      </c>
      <c r="I781" t="s">
        <v>65</v>
      </c>
      <c r="J781">
        <f>SUMIFS(RawResultsLong!$P:$P,RawResultsLong!$A:$A,A781)</f>
        <v>0.88750826980907294</v>
      </c>
      <c r="K781">
        <f t="shared" si="25"/>
        <v>28.123439989386799</v>
      </c>
      <c r="L781">
        <f>SUMIFS(EmploymentResults!$V:$V,EmploymentResults!$D:$D,B781,EmploymentResults!$F:$F,C781,EmploymentResults!$G:$G,D781,EmploymentResults!$H:$H,E781,EmploymentResults!$J:$J,G781,EmploymentResults!$K:$K,H781,EmploymentResults!$L:$L,I781)</f>
        <v>6.2756629176449295</v>
      </c>
    </row>
    <row r="782" spans="1:12" x14ac:dyDescent="0.3">
      <c r="A782" t="str">
        <f t="shared" si="24"/>
        <v>PD|AccumulatedNewCapacity|RE1|PWRSOLRTP_ZNI|2048</v>
      </c>
      <c r="B782" t="s">
        <v>16</v>
      </c>
      <c r="C782" t="s">
        <v>19</v>
      </c>
      <c r="D782" t="s">
        <v>32</v>
      </c>
      <c r="E782">
        <v>2048</v>
      </c>
      <c r="F782" t="s">
        <v>18</v>
      </c>
      <c r="G782" t="s">
        <v>63</v>
      </c>
      <c r="H782" t="s">
        <v>64</v>
      </c>
      <c r="I782" t="s">
        <v>65</v>
      </c>
      <c r="J782">
        <f>SUMIFS(RawResultsLong!$P:$P,RawResultsLong!$A:$A,A782)</f>
        <v>0.88750826980907294</v>
      </c>
      <c r="K782">
        <f t="shared" si="25"/>
        <v>28.123439989386799</v>
      </c>
      <c r="L782">
        <f>SUMIFS(EmploymentResults!$V:$V,EmploymentResults!$D:$D,B782,EmploymentResults!$F:$F,C782,EmploymentResults!$G:$G,D782,EmploymentResults!$H:$H,E782,EmploymentResults!$J:$J,G782,EmploymentResults!$K:$K,H782,EmploymentResults!$L:$L,I782)</f>
        <v>6.2185888776581972</v>
      </c>
    </row>
    <row r="783" spans="1:12" x14ac:dyDescent="0.3">
      <c r="A783" t="str">
        <f t="shared" si="24"/>
        <v>PD|AccumulatedNewCapacity|RE1|PWRSOLRTP_ZNI|2049</v>
      </c>
      <c r="B783" t="s">
        <v>16</v>
      </c>
      <c r="C783" t="s">
        <v>19</v>
      </c>
      <c r="D783" t="s">
        <v>32</v>
      </c>
      <c r="E783">
        <v>2049</v>
      </c>
      <c r="F783" t="s">
        <v>18</v>
      </c>
      <c r="G783" t="s">
        <v>63</v>
      </c>
      <c r="H783" t="s">
        <v>64</v>
      </c>
      <c r="I783" t="s">
        <v>65</v>
      </c>
      <c r="J783">
        <f>SUMIFS(RawResultsLong!$P:$P,RawResultsLong!$A:$A,A783)</f>
        <v>0.88750826980907294</v>
      </c>
      <c r="K783">
        <f t="shared" si="25"/>
        <v>28.123439989386799</v>
      </c>
      <c r="L783">
        <f>SUMIFS(EmploymentResults!$V:$V,EmploymentResults!$D:$D,B783,EmploymentResults!$F:$F,C783,EmploymentResults!$G:$G,D783,EmploymentResults!$H:$H,E783,EmploymentResults!$J:$J,G783,EmploymentResults!$K:$K,H783,EmploymentResults!$L:$L,I783)</f>
        <v>6.1615148376714641</v>
      </c>
    </row>
    <row r="784" spans="1:12" x14ac:dyDescent="0.3">
      <c r="A784" t="str">
        <f t="shared" si="24"/>
        <v>PD|AccumulatedNewCapacity|RE1|PWRSOLRTP_ZNI|2050</v>
      </c>
      <c r="B784" t="s">
        <v>16</v>
      </c>
      <c r="C784" t="s">
        <v>19</v>
      </c>
      <c r="D784" t="s">
        <v>32</v>
      </c>
      <c r="E784">
        <v>2050</v>
      </c>
      <c r="F784" t="s">
        <v>18</v>
      </c>
      <c r="G784" t="s">
        <v>63</v>
      </c>
      <c r="H784" t="s">
        <v>64</v>
      </c>
      <c r="I784" t="s">
        <v>65</v>
      </c>
      <c r="J784">
        <f>SUMIFS(RawResultsLong!$P:$P,RawResultsLong!$A:$A,A784)</f>
        <v>0.88750826980907294</v>
      </c>
      <c r="K784">
        <f t="shared" si="25"/>
        <v>28.123439989386799</v>
      </c>
      <c r="L784">
        <f>SUMIFS(EmploymentResults!$V:$V,EmploymentResults!$D:$D,B784,EmploymentResults!$F:$F,C784,EmploymentResults!$G:$G,D784,EmploymentResults!$H:$H,E784,EmploymentResults!$J:$J,G784,EmploymentResults!$K:$K,H784,EmploymentResults!$L:$L,I784)</f>
        <v>6.104440797684731</v>
      </c>
    </row>
    <row r="785" spans="1:12" x14ac:dyDescent="0.3">
      <c r="A785" t="str">
        <f t="shared" si="24"/>
        <v>PD|AccumulatedNewCapacity|RE1|PWRSOLRTP_ZNI|2051</v>
      </c>
      <c r="B785" t="s">
        <v>16</v>
      </c>
      <c r="C785" t="s">
        <v>19</v>
      </c>
      <c r="D785" t="s">
        <v>32</v>
      </c>
      <c r="E785">
        <v>2051</v>
      </c>
      <c r="F785" t="s">
        <v>18</v>
      </c>
      <c r="G785" t="s">
        <v>63</v>
      </c>
      <c r="H785" t="s">
        <v>64</v>
      </c>
      <c r="I785" t="s">
        <v>65</v>
      </c>
      <c r="J785">
        <f>SUMIFS(RawResultsLong!$P:$P,RawResultsLong!$A:$A,A785)</f>
        <v>0.88750826980907294</v>
      </c>
      <c r="K785">
        <f t="shared" si="25"/>
        <v>28.123439989386799</v>
      </c>
      <c r="L785">
        <f>SUMIFS(EmploymentResults!$V:$V,EmploymentResults!$D:$D,B785,EmploymentResults!$F:$F,C785,EmploymentResults!$G:$G,D785,EmploymentResults!$H:$H,E785,EmploymentResults!$J:$J,G785,EmploymentResults!$K:$K,H785,EmploymentResults!$L:$L,I785)</f>
        <v>6.104440797684731</v>
      </c>
    </row>
    <row r="786" spans="1:12" x14ac:dyDescent="0.3">
      <c r="A786" t="str">
        <f t="shared" si="24"/>
        <v>PD|AccumulatedNewCapacity|RE1|PWRSOLRTP_ZNI|2052</v>
      </c>
      <c r="B786" t="s">
        <v>16</v>
      </c>
      <c r="C786" t="s">
        <v>19</v>
      </c>
      <c r="D786" t="s">
        <v>32</v>
      </c>
      <c r="E786">
        <v>2052</v>
      </c>
      <c r="F786" t="s">
        <v>18</v>
      </c>
      <c r="G786" t="s">
        <v>63</v>
      </c>
      <c r="H786" t="s">
        <v>64</v>
      </c>
      <c r="I786" t="s">
        <v>65</v>
      </c>
      <c r="J786">
        <f>SUMIFS(RawResultsLong!$P:$P,RawResultsLong!$A:$A,A786)</f>
        <v>0.88750826980907294</v>
      </c>
      <c r="K786">
        <f t="shared" si="25"/>
        <v>28.123439989386799</v>
      </c>
      <c r="L786">
        <f>SUMIFS(EmploymentResults!$V:$V,EmploymentResults!$D:$D,B786,EmploymentResults!$F:$F,C786,EmploymentResults!$G:$G,D786,EmploymentResults!$H:$H,E786,EmploymentResults!$J:$J,G786,EmploymentResults!$K:$K,H786,EmploymentResults!$L:$L,I786)</f>
        <v>6.104440797684731</v>
      </c>
    </row>
    <row r="787" spans="1:12" x14ac:dyDescent="0.3">
      <c r="A787" t="str">
        <f t="shared" si="24"/>
        <v>PD|AccumulatedNewCapacity|RE1|PWRSOLRTP_ZNI|2053</v>
      </c>
      <c r="B787" t="s">
        <v>16</v>
      </c>
      <c r="C787" t="s">
        <v>19</v>
      </c>
      <c r="D787" t="s">
        <v>32</v>
      </c>
      <c r="E787">
        <v>2053</v>
      </c>
      <c r="F787" t="s">
        <v>18</v>
      </c>
      <c r="G787" t="s">
        <v>63</v>
      </c>
      <c r="H787" t="s">
        <v>64</v>
      </c>
      <c r="I787" t="s">
        <v>65</v>
      </c>
      <c r="J787">
        <f>SUMIFS(RawResultsLong!$P:$P,RawResultsLong!$A:$A,A787)</f>
        <v>0.88750826980907294</v>
      </c>
      <c r="K787">
        <f t="shared" si="25"/>
        <v>28.123439989386799</v>
      </c>
      <c r="L787">
        <f>SUMIFS(EmploymentResults!$V:$V,EmploymentResults!$D:$D,B787,EmploymentResults!$F:$F,C787,EmploymentResults!$G:$G,D787,EmploymentResults!$H:$H,E787,EmploymentResults!$J:$J,G787,EmploymentResults!$K:$K,H787,EmploymentResults!$L:$L,I787)</f>
        <v>6.104440797684731</v>
      </c>
    </row>
    <row r="788" spans="1:12" x14ac:dyDescent="0.3">
      <c r="A788" t="str">
        <f t="shared" si="24"/>
        <v>PD|AccumulatedNewCapacity|RE1|PWRSOLRTP_ZNI|2054</v>
      </c>
      <c r="B788" t="s">
        <v>16</v>
      </c>
      <c r="C788" t="s">
        <v>19</v>
      </c>
      <c r="D788" t="s">
        <v>32</v>
      </c>
      <c r="E788">
        <v>2054</v>
      </c>
      <c r="F788" t="s">
        <v>18</v>
      </c>
      <c r="G788" t="s">
        <v>63</v>
      </c>
      <c r="H788" t="s">
        <v>64</v>
      </c>
      <c r="I788" t="s">
        <v>65</v>
      </c>
      <c r="J788">
        <f>SUMIFS(RawResultsLong!$P:$P,RawResultsLong!$A:$A,A788)</f>
        <v>0.88750826980907294</v>
      </c>
      <c r="K788">
        <f t="shared" si="25"/>
        <v>28.123439989386799</v>
      </c>
      <c r="L788">
        <f>SUMIFS(EmploymentResults!$V:$V,EmploymentResults!$D:$D,B788,EmploymentResults!$F:$F,C788,EmploymentResults!$G:$G,D788,EmploymentResults!$H:$H,E788,EmploymentResults!$J:$J,G788,EmploymentResults!$K:$K,H788,EmploymentResults!$L:$L,I788)</f>
        <v>6.104440797684731</v>
      </c>
    </row>
    <row r="789" spans="1:12" x14ac:dyDescent="0.3">
      <c r="A789" t="str">
        <f t="shared" si="24"/>
        <v>PD|AccumulatedNewCapacity|RE1|PWRSOLRTP_ZNI|2055</v>
      </c>
      <c r="B789" t="s">
        <v>16</v>
      </c>
      <c r="C789" t="s">
        <v>19</v>
      </c>
      <c r="D789" t="s">
        <v>32</v>
      </c>
      <c r="E789">
        <v>2055</v>
      </c>
      <c r="F789" t="s">
        <v>18</v>
      </c>
      <c r="G789" t="s">
        <v>63</v>
      </c>
      <c r="H789" t="s">
        <v>64</v>
      </c>
      <c r="I789" t="s">
        <v>65</v>
      </c>
      <c r="J789">
        <f>SUMIFS(RawResultsLong!$P:$P,RawResultsLong!$A:$A,A789)</f>
        <v>0.88750826980907294</v>
      </c>
      <c r="K789">
        <f t="shared" si="25"/>
        <v>28.123439989386799</v>
      </c>
      <c r="L789">
        <f>SUMIFS(EmploymentResults!$V:$V,EmploymentResults!$D:$D,B789,EmploymentResults!$F:$F,C789,EmploymentResults!$G:$G,D789,EmploymentResults!$H:$H,E789,EmploymentResults!$J:$J,G789,EmploymentResults!$K:$K,H789,EmploymentResults!$L:$L,I789)</f>
        <v>6.104440797684731</v>
      </c>
    </row>
    <row r="790" spans="1:12" x14ac:dyDescent="0.3">
      <c r="A790" t="str">
        <f t="shared" si="24"/>
        <v>PD|AccumulatedNewCapacity|RE1|PWRSOLUGE|2025</v>
      </c>
      <c r="B790" t="s">
        <v>16</v>
      </c>
      <c r="C790" t="s">
        <v>19</v>
      </c>
      <c r="D790" t="s">
        <v>33</v>
      </c>
      <c r="E790">
        <v>2025</v>
      </c>
      <c r="F790" t="s">
        <v>18</v>
      </c>
      <c r="G790" t="s">
        <v>63</v>
      </c>
      <c r="H790" t="s">
        <v>64</v>
      </c>
      <c r="I790" t="s">
        <v>65</v>
      </c>
      <c r="J790">
        <f>SUMIFS(RawResultsLong!$P:$P,RawResultsLong!$A:$A,A790)</f>
        <v>6.717168</v>
      </c>
      <c r="K790">
        <f t="shared" si="25"/>
        <v>212.85420944558521</v>
      </c>
      <c r="L790">
        <f>SUMIFS(EmploymentResults!$V:$V,EmploymentResults!$D:$D,B790,EmploymentResults!$F:$F,C790,EmploymentResults!$G:$G,D790,EmploymentResults!$H:$H,E790,EmploymentResults!$J:$J,G790,EmploymentResults!$K:$K,H790,EmploymentResults!$L:$L,I790)</f>
        <v>20.031546654450047</v>
      </c>
    </row>
    <row r="791" spans="1:12" x14ac:dyDescent="0.3">
      <c r="A791" t="str">
        <f t="shared" si="24"/>
        <v>PD|AccumulatedNewCapacity|RE1|PWRSOLUGE|2026</v>
      </c>
      <c r="B791" t="s">
        <v>16</v>
      </c>
      <c r="C791" t="s">
        <v>19</v>
      </c>
      <c r="D791" t="s">
        <v>33</v>
      </c>
      <c r="E791">
        <v>2026</v>
      </c>
      <c r="F791" t="s">
        <v>18</v>
      </c>
      <c r="G791" t="s">
        <v>63</v>
      </c>
      <c r="H791" t="s">
        <v>64</v>
      </c>
      <c r="I791" t="s">
        <v>65</v>
      </c>
      <c r="J791">
        <f>SUMIFS(RawResultsLong!$P:$P,RawResultsLong!$A:$A,A791)</f>
        <v>62.504351999999997</v>
      </c>
      <c r="K791">
        <f t="shared" si="25"/>
        <v>1980.643394934976</v>
      </c>
      <c r="L791">
        <f>SUMIFS(EmploymentResults!$V:$V,EmploymentResults!$D:$D,B791,EmploymentResults!$F:$F,C791,EmploymentResults!$G:$G,D791,EmploymentResults!$H:$H,E791,EmploymentResults!$J:$J,G791,EmploymentResults!$K:$K,H791,EmploymentResults!$L:$L,I791)</f>
        <v>181.66157876568639</v>
      </c>
    </row>
    <row r="792" spans="1:12" x14ac:dyDescent="0.3">
      <c r="A792" t="str">
        <f t="shared" si="24"/>
        <v>PD|AccumulatedNewCapacity|RE1|PWRSOLUGE|2027</v>
      </c>
      <c r="B792" t="s">
        <v>16</v>
      </c>
      <c r="C792" t="s">
        <v>19</v>
      </c>
      <c r="D792" t="s">
        <v>33</v>
      </c>
      <c r="E792">
        <v>2027</v>
      </c>
      <c r="F792" t="s">
        <v>18</v>
      </c>
      <c r="G792" t="s">
        <v>63</v>
      </c>
      <c r="H792" t="s">
        <v>64</v>
      </c>
      <c r="I792" t="s">
        <v>65</v>
      </c>
      <c r="J792">
        <f>SUMIFS(RawResultsLong!$P:$P,RawResultsLong!$A:$A,A792)</f>
        <v>135.51019199999999</v>
      </c>
      <c r="K792">
        <f t="shared" si="25"/>
        <v>4294.0588637919227</v>
      </c>
      <c r="L792">
        <f>SUMIFS(EmploymentResults!$V:$V,EmploymentResults!$D:$D,B792,EmploymentResults!$F:$F,C792,EmploymentResults!$G:$G,D792,EmploymentResults!$H:$H,E792,EmploymentResults!$J:$J,G792,EmploymentResults!$K:$K,H792,EmploymentResults!$L:$L,I792)</f>
        <v>383.57841357269865</v>
      </c>
    </row>
    <row r="793" spans="1:12" x14ac:dyDescent="0.3">
      <c r="A793" t="str">
        <f t="shared" si="24"/>
        <v>PD|AccumulatedNewCapacity|RE1|PWRSOLUGE|2028</v>
      </c>
      <c r="B793" t="s">
        <v>16</v>
      </c>
      <c r="C793" t="s">
        <v>19</v>
      </c>
      <c r="D793" t="s">
        <v>33</v>
      </c>
      <c r="E793">
        <v>2028</v>
      </c>
      <c r="F793" t="s">
        <v>18</v>
      </c>
      <c r="G793" t="s">
        <v>63</v>
      </c>
      <c r="H793" t="s">
        <v>64</v>
      </c>
      <c r="I793" t="s">
        <v>65</v>
      </c>
      <c r="J793">
        <f>SUMIFS(RawResultsLong!$P:$P,RawResultsLong!$A:$A,A793)</f>
        <v>135.51019199999999</v>
      </c>
      <c r="K793">
        <f t="shared" si="25"/>
        <v>4294.0588637919227</v>
      </c>
      <c r="L793">
        <f>SUMIFS(EmploymentResults!$V:$V,EmploymentResults!$D:$D,B793,EmploymentResults!$F:$F,C793,EmploymentResults!$G:$G,D793,EmploymentResults!$H:$H,E793,EmploymentResults!$J:$J,G793,EmploymentResults!$K:$K,H793,EmploymentResults!$L:$L,I793)</f>
        <v>373.31232464481485</v>
      </c>
    </row>
    <row r="794" spans="1:12" x14ac:dyDescent="0.3">
      <c r="A794" t="str">
        <f t="shared" si="24"/>
        <v>PD|AccumulatedNewCapacity|RE1|PWRSOLUGE|2029</v>
      </c>
      <c r="B794" t="s">
        <v>16</v>
      </c>
      <c r="C794" t="s">
        <v>19</v>
      </c>
      <c r="D794" t="s">
        <v>33</v>
      </c>
      <c r="E794">
        <v>2029</v>
      </c>
      <c r="F794" t="s">
        <v>18</v>
      </c>
      <c r="G794" t="s">
        <v>63</v>
      </c>
      <c r="H794" t="s">
        <v>64</v>
      </c>
      <c r="I794" t="s">
        <v>65</v>
      </c>
      <c r="J794">
        <f>SUMIFS(RawResultsLong!$P:$P,RawResultsLong!$A:$A,A794)</f>
        <v>135.51019199999999</v>
      </c>
      <c r="K794">
        <f t="shared" si="25"/>
        <v>4294.0588637919227</v>
      </c>
      <c r="L794">
        <f>SUMIFS(EmploymentResults!$V:$V,EmploymentResults!$D:$D,B794,EmploymentResults!$F:$F,C794,EmploymentResults!$G:$G,D794,EmploymentResults!$H:$H,E794,EmploymentResults!$J:$J,G794,EmploymentResults!$K:$K,H794,EmploymentResults!$L:$L,I794)</f>
        <v>363.0462357173605</v>
      </c>
    </row>
    <row r="795" spans="1:12" x14ac:dyDescent="0.3">
      <c r="A795" t="str">
        <f t="shared" si="24"/>
        <v>PD|AccumulatedNewCapacity|RE1|PWRSOLUGE|2030</v>
      </c>
      <c r="B795" t="s">
        <v>16</v>
      </c>
      <c r="C795" t="s">
        <v>19</v>
      </c>
      <c r="D795" t="s">
        <v>33</v>
      </c>
      <c r="E795">
        <v>2030</v>
      </c>
      <c r="F795" t="s">
        <v>18</v>
      </c>
      <c r="G795" t="s">
        <v>63</v>
      </c>
      <c r="H795" t="s">
        <v>64</v>
      </c>
      <c r="I795" t="s">
        <v>65</v>
      </c>
      <c r="J795">
        <f>SUMIFS(RawResultsLong!$P:$P,RawResultsLong!$A:$A,A795)</f>
        <v>143.394192</v>
      </c>
      <c r="K795">
        <f t="shared" si="25"/>
        <v>4543.8877481177278</v>
      </c>
      <c r="L795">
        <f>SUMIFS(EmploymentResults!$V:$V,EmploymentResults!$D:$D,B795,EmploymentResults!$F:$F,C795,EmploymentResults!$G:$G,D795,EmploymentResults!$H:$H,E795,EmploymentResults!$J:$J,G795,EmploymentResults!$K:$K,H795,EmploymentResults!$L:$L,I795)</f>
        <v>373.30494006324204</v>
      </c>
    </row>
    <row r="796" spans="1:12" x14ac:dyDescent="0.3">
      <c r="A796" t="str">
        <f t="shared" si="24"/>
        <v>PD|AccumulatedNewCapacity|RE1|PWRSOLUGE|2031</v>
      </c>
      <c r="B796" t="s">
        <v>16</v>
      </c>
      <c r="C796" t="s">
        <v>19</v>
      </c>
      <c r="D796" t="s">
        <v>33</v>
      </c>
      <c r="E796">
        <v>2031</v>
      </c>
      <c r="F796" t="s">
        <v>18</v>
      </c>
      <c r="G796" t="s">
        <v>63</v>
      </c>
      <c r="H796" t="s">
        <v>64</v>
      </c>
      <c r="I796" t="s">
        <v>65</v>
      </c>
      <c r="J796">
        <f>SUMIFS(RawResultsLong!$P:$P,RawResultsLong!$A:$A,A796)</f>
        <v>143.394192</v>
      </c>
      <c r="K796">
        <f t="shared" si="25"/>
        <v>4543.8877481177278</v>
      </c>
      <c r="L796">
        <f>SUMIFS(EmploymentResults!$V:$V,EmploymentResults!$D:$D,B796,EmploymentResults!$F:$F,C796,EmploymentResults!$G:$G,D796,EmploymentResults!$H:$H,E796,EmploymentResults!$J:$J,G796,EmploymentResults!$K:$K,H796,EmploymentResults!$L:$L,I796)</f>
        <v>370.6384762057578</v>
      </c>
    </row>
    <row r="797" spans="1:12" x14ac:dyDescent="0.3">
      <c r="A797" t="str">
        <f t="shared" si="24"/>
        <v>PD|AccumulatedNewCapacity|RE1|PWRSOLUGE|2032</v>
      </c>
      <c r="B797" t="s">
        <v>16</v>
      </c>
      <c r="C797" t="s">
        <v>19</v>
      </c>
      <c r="D797" t="s">
        <v>33</v>
      </c>
      <c r="E797">
        <v>2032</v>
      </c>
      <c r="F797" t="s">
        <v>18</v>
      </c>
      <c r="G797" t="s">
        <v>63</v>
      </c>
      <c r="H797" t="s">
        <v>64</v>
      </c>
      <c r="I797" t="s">
        <v>65</v>
      </c>
      <c r="J797">
        <f>SUMIFS(RawResultsLong!$P:$P,RawResultsLong!$A:$A,A797)</f>
        <v>143.394192</v>
      </c>
      <c r="K797">
        <f t="shared" si="25"/>
        <v>4543.8877481177278</v>
      </c>
      <c r="L797">
        <f>SUMIFS(EmploymentResults!$V:$V,EmploymentResults!$D:$D,B797,EmploymentResults!$F:$F,C797,EmploymentResults!$G:$G,D797,EmploymentResults!$H:$H,E797,EmploymentResults!$J:$J,G797,EmploymentResults!$K:$K,H797,EmploymentResults!$L:$L,I797)</f>
        <v>367.97201234827355</v>
      </c>
    </row>
    <row r="798" spans="1:12" x14ac:dyDescent="0.3">
      <c r="A798" t="str">
        <f t="shared" si="24"/>
        <v>PD|AccumulatedNewCapacity|RE1|PWRSOLUGE|2033</v>
      </c>
      <c r="B798" t="s">
        <v>16</v>
      </c>
      <c r="C798" t="s">
        <v>19</v>
      </c>
      <c r="D798" t="s">
        <v>33</v>
      </c>
      <c r="E798">
        <v>2033</v>
      </c>
      <c r="F798" t="s">
        <v>18</v>
      </c>
      <c r="G798" t="s">
        <v>63</v>
      </c>
      <c r="H798" t="s">
        <v>64</v>
      </c>
      <c r="I798" t="s">
        <v>65</v>
      </c>
      <c r="J798">
        <f>SUMIFS(RawResultsLong!$P:$P,RawResultsLong!$A:$A,A798)</f>
        <v>143.394192</v>
      </c>
      <c r="K798">
        <f t="shared" si="25"/>
        <v>4543.8877481177278</v>
      </c>
      <c r="L798">
        <f>SUMIFS(EmploymentResults!$V:$V,EmploymentResults!$D:$D,B798,EmploymentResults!$F:$F,C798,EmploymentResults!$G:$G,D798,EmploymentResults!$H:$H,E798,EmploymentResults!$J:$J,G798,EmploymentResults!$K:$K,H798,EmploymentResults!$L:$L,I798)</f>
        <v>365.3055484903349</v>
      </c>
    </row>
    <row r="799" spans="1:12" x14ac:dyDescent="0.3">
      <c r="A799" t="str">
        <f t="shared" si="24"/>
        <v>PD|AccumulatedNewCapacity|RE1|PWRSOLUGE|2034</v>
      </c>
      <c r="B799" t="s">
        <v>16</v>
      </c>
      <c r="C799" t="s">
        <v>19</v>
      </c>
      <c r="D799" t="s">
        <v>33</v>
      </c>
      <c r="E799">
        <v>2034</v>
      </c>
      <c r="F799" t="s">
        <v>18</v>
      </c>
      <c r="G799" t="s">
        <v>63</v>
      </c>
      <c r="H799" t="s">
        <v>64</v>
      </c>
      <c r="I799" t="s">
        <v>65</v>
      </c>
      <c r="J799">
        <f>SUMIFS(RawResultsLong!$P:$P,RawResultsLong!$A:$A,A799)</f>
        <v>143.394192</v>
      </c>
      <c r="K799">
        <f t="shared" si="25"/>
        <v>4543.8877481177278</v>
      </c>
      <c r="L799">
        <f>SUMIFS(EmploymentResults!$V:$V,EmploymentResults!$D:$D,B799,EmploymentResults!$F:$F,C799,EmploymentResults!$G:$G,D799,EmploymentResults!$H:$H,E799,EmploymentResults!$J:$J,G799,EmploymentResults!$K:$K,H799,EmploymentResults!$L:$L,I799)</f>
        <v>362.63908463285071</v>
      </c>
    </row>
    <row r="800" spans="1:12" x14ac:dyDescent="0.3">
      <c r="A800" t="str">
        <f t="shared" si="24"/>
        <v>PD|AccumulatedNewCapacity|RE1|PWRSOLUGE|2035</v>
      </c>
      <c r="B800" t="s">
        <v>16</v>
      </c>
      <c r="C800" t="s">
        <v>19</v>
      </c>
      <c r="D800" t="s">
        <v>33</v>
      </c>
      <c r="E800">
        <v>2035</v>
      </c>
      <c r="F800" t="s">
        <v>18</v>
      </c>
      <c r="G800" t="s">
        <v>63</v>
      </c>
      <c r="H800" t="s">
        <v>64</v>
      </c>
      <c r="I800" t="s">
        <v>65</v>
      </c>
      <c r="J800">
        <f>SUMIFS(RawResultsLong!$P:$P,RawResultsLong!$A:$A,A800)</f>
        <v>143.394192</v>
      </c>
      <c r="K800">
        <f t="shared" si="25"/>
        <v>4543.8877481177278</v>
      </c>
      <c r="L800">
        <f>SUMIFS(EmploymentResults!$V:$V,EmploymentResults!$D:$D,B800,EmploymentResults!$F:$F,C800,EmploymentResults!$G:$G,D800,EmploymentResults!$H:$H,E800,EmploymentResults!$J:$J,G800,EmploymentResults!$K:$K,H800,EmploymentResults!$L:$L,I800)</f>
        <v>359.97262077536647</v>
      </c>
    </row>
    <row r="801" spans="1:12" x14ac:dyDescent="0.3">
      <c r="A801" t="str">
        <f t="shared" si="24"/>
        <v>PD|AccumulatedNewCapacity|RE1|PWRSOLUGE|2036</v>
      </c>
      <c r="B801" t="s">
        <v>16</v>
      </c>
      <c r="C801" t="s">
        <v>19</v>
      </c>
      <c r="D801" t="s">
        <v>33</v>
      </c>
      <c r="E801">
        <v>2036</v>
      </c>
      <c r="F801" t="s">
        <v>18</v>
      </c>
      <c r="G801" t="s">
        <v>63</v>
      </c>
      <c r="H801" t="s">
        <v>64</v>
      </c>
      <c r="I801" t="s">
        <v>65</v>
      </c>
      <c r="J801">
        <f>SUMIFS(RawResultsLong!$P:$P,RawResultsLong!$A:$A,A801)</f>
        <v>143.394192</v>
      </c>
      <c r="K801">
        <f t="shared" si="25"/>
        <v>4543.8877481177278</v>
      </c>
      <c r="L801">
        <f>SUMIFS(EmploymentResults!$V:$V,EmploymentResults!$D:$D,B801,EmploymentResults!$F:$F,C801,EmploymentResults!$G:$G,D801,EmploymentResults!$H:$H,E801,EmploymentResults!$J:$J,G801,EmploymentResults!$K:$K,H801,EmploymentResults!$L:$L,I801)</f>
        <v>357.30615691788222</v>
      </c>
    </row>
    <row r="802" spans="1:12" x14ac:dyDescent="0.3">
      <c r="A802" t="str">
        <f t="shared" si="24"/>
        <v>PD|AccumulatedNewCapacity|RE1|PWRSOLUGE|2037</v>
      </c>
      <c r="B802" t="s">
        <v>16</v>
      </c>
      <c r="C802" t="s">
        <v>19</v>
      </c>
      <c r="D802" t="s">
        <v>33</v>
      </c>
      <c r="E802">
        <v>2037</v>
      </c>
      <c r="F802" t="s">
        <v>18</v>
      </c>
      <c r="G802" t="s">
        <v>63</v>
      </c>
      <c r="H802" t="s">
        <v>64</v>
      </c>
      <c r="I802" t="s">
        <v>65</v>
      </c>
      <c r="J802">
        <f>SUMIFS(RawResultsLong!$P:$P,RawResultsLong!$A:$A,A802)</f>
        <v>143.394192</v>
      </c>
      <c r="K802">
        <f t="shared" si="25"/>
        <v>4543.8877481177278</v>
      </c>
      <c r="L802">
        <f>SUMIFS(EmploymentResults!$V:$V,EmploymentResults!$D:$D,B802,EmploymentResults!$F:$F,C802,EmploymentResults!$G:$G,D802,EmploymentResults!$H:$H,E802,EmploymentResults!$J:$J,G802,EmploymentResults!$K:$K,H802,EmploymentResults!$L:$L,I802)</f>
        <v>354.63969305994362</v>
      </c>
    </row>
    <row r="803" spans="1:12" x14ac:dyDescent="0.3">
      <c r="A803" t="str">
        <f t="shared" si="24"/>
        <v>PD|AccumulatedNewCapacity|RE1|PWRSOLUGE|2038</v>
      </c>
      <c r="B803" t="s">
        <v>16</v>
      </c>
      <c r="C803" t="s">
        <v>19</v>
      </c>
      <c r="D803" t="s">
        <v>33</v>
      </c>
      <c r="E803">
        <v>2038</v>
      </c>
      <c r="F803" t="s">
        <v>18</v>
      </c>
      <c r="G803" t="s">
        <v>63</v>
      </c>
      <c r="H803" t="s">
        <v>64</v>
      </c>
      <c r="I803" t="s">
        <v>65</v>
      </c>
      <c r="J803">
        <f>SUMIFS(RawResultsLong!$P:$P,RawResultsLong!$A:$A,A803)</f>
        <v>143.394192</v>
      </c>
      <c r="K803">
        <f t="shared" si="25"/>
        <v>4543.8877481177278</v>
      </c>
      <c r="L803">
        <f>SUMIFS(EmploymentResults!$V:$V,EmploymentResults!$D:$D,B803,EmploymentResults!$F:$F,C803,EmploymentResults!$G:$G,D803,EmploymentResults!$H:$H,E803,EmploymentResults!$J:$J,G803,EmploymentResults!$K:$K,H803,EmploymentResults!$L:$L,I803)</f>
        <v>351.97322920245938</v>
      </c>
    </row>
    <row r="804" spans="1:12" x14ac:dyDescent="0.3">
      <c r="A804" t="str">
        <f t="shared" si="24"/>
        <v>PD|AccumulatedNewCapacity|RE1|PWRSOLUGE|2039</v>
      </c>
      <c r="B804" t="s">
        <v>16</v>
      </c>
      <c r="C804" t="s">
        <v>19</v>
      </c>
      <c r="D804" t="s">
        <v>33</v>
      </c>
      <c r="E804">
        <v>2039</v>
      </c>
      <c r="F804" t="s">
        <v>18</v>
      </c>
      <c r="G804" t="s">
        <v>63</v>
      </c>
      <c r="H804" t="s">
        <v>64</v>
      </c>
      <c r="I804" t="s">
        <v>65</v>
      </c>
      <c r="J804">
        <f>SUMIFS(RawResultsLong!$P:$P,RawResultsLong!$A:$A,A804)</f>
        <v>143.394192</v>
      </c>
      <c r="K804">
        <f t="shared" si="25"/>
        <v>4543.8877481177278</v>
      </c>
      <c r="L804">
        <f>SUMIFS(EmploymentResults!$V:$V,EmploymentResults!$D:$D,B804,EmploymentResults!$F:$F,C804,EmploymentResults!$G:$G,D804,EmploymentResults!$H:$H,E804,EmploymentResults!$J:$J,G804,EmploymentResults!$K:$K,H804,EmploymentResults!$L:$L,I804)</f>
        <v>349.30676534497513</v>
      </c>
    </row>
    <row r="805" spans="1:12" x14ac:dyDescent="0.3">
      <c r="A805" t="str">
        <f t="shared" si="24"/>
        <v>PD|AccumulatedNewCapacity|RE1|PWRSOLUGE|2040</v>
      </c>
      <c r="B805" t="s">
        <v>16</v>
      </c>
      <c r="C805" t="s">
        <v>19</v>
      </c>
      <c r="D805" t="s">
        <v>33</v>
      </c>
      <c r="E805">
        <v>2040</v>
      </c>
      <c r="F805" t="s">
        <v>18</v>
      </c>
      <c r="G805" t="s">
        <v>63</v>
      </c>
      <c r="H805" t="s">
        <v>64</v>
      </c>
      <c r="I805" t="s">
        <v>65</v>
      </c>
      <c r="J805">
        <f>SUMIFS(RawResultsLong!$P:$P,RawResultsLong!$A:$A,A805)</f>
        <v>143.394192</v>
      </c>
      <c r="K805">
        <f t="shared" si="25"/>
        <v>4543.8877481177278</v>
      </c>
      <c r="L805">
        <f>SUMIFS(EmploymentResults!$V:$V,EmploymentResults!$D:$D,B805,EmploymentResults!$F:$F,C805,EmploymentResults!$G:$G,D805,EmploymentResults!$H:$H,E805,EmploymentResults!$J:$J,G805,EmploymentResults!$K:$K,H805,EmploymentResults!$L:$L,I805)</f>
        <v>346.64030148749089</v>
      </c>
    </row>
    <row r="806" spans="1:12" x14ac:dyDescent="0.3">
      <c r="A806" t="str">
        <f t="shared" si="24"/>
        <v>PD|AccumulatedNewCapacity|RE1|PWRSOLUGE|2041</v>
      </c>
      <c r="B806" t="s">
        <v>16</v>
      </c>
      <c r="C806" t="s">
        <v>19</v>
      </c>
      <c r="D806" t="s">
        <v>33</v>
      </c>
      <c r="E806">
        <v>2041</v>
      </c>
      <c r="F806" t="s">
        <v>18</v>
      </c>
      <c r="G806" t="s">
        <v>63</v>
      </c>
      <c r="H806" t="s">
        <v>64</v>
      </c>
      <c r="I806" t="s">
        <v>65</v>
      </c>
      <c r="J806">
        <f>SUMIFS(RawResultsLong!$P:$P,RawResultsLong!$A:$A,A806)</f>
        <v>143.394192</v>
      </c>
      <c r="K806">
        <f t="shared" si="25"/>
        <v>4543.8877481177278</v>
      </c>
      <c r="L806">
        <f>SUMIFS(EmploymentResults!$V:$V,EmploymentResults!$D:$D,B806,EmploymentResults!$F:$F,C806,EmploymentResults!$G:$G,D806,EmploymentResults!$H:$H,E806,EmploymentResults!$J:$J,G806,EmploymentResults!$K:$K,H806,EmploymentResults!$L:$L,I806)</f>
        <v>343.97383762955229</v>
      </c>
    </row>
    <row r="807" spans="1:12" x14ac:dyDescent="0.3">
      <c r="A807" t="str">
        <f t="shared" si="24"/>
        <v>PD|AccumulatedNewCapacity|RE1|PWRSOLUGE|2042</v>
      </c>
      <c r="B807" t="s">
        <v>16</v>
      </c>
      <c r="C807" t="s">
        <v>19</v>
      </c>
      <c r="D807" t="s">
        <v>33</v>
      </c>
      <c r="E807">
        <v>2042</v>
      </c>
      <c r="F807" t="s">
        <v>18</v>
      </c>
      <c r="G807" t="s">
        <v>63</v>
      </c>
      <c r="H807" t="s">
        <v>64</v>
      </c>
      <c r="I807" t="s">
        <v>65</v>
      </c>
      <c r="J807">
        <f>SUMIFS(RawResultsLong!$P:$P,RawResultsLong!$A:$A,A807)</f>
        <v>143.394192</v>
      </c>
      <c r="K807">
        <f t="shared" si="25"/>
        <v>4543.8877481177278</v>
      </c>
      <c r="L807">
        <f>SUMIFS(EmploymentResults!$V:$V,EmploymentResults!$D:$D,B807,EmploymentResults!$F:$F,C807,EmploymentResults!$G:$G,D807,EmploymentResults!$H:$H,E807,EmploymentResults!$J:$J,G807,EmploymentResults!$K:$K,H807,EmploymentResults!$L:$L,I807)</f>
        <v>341.30737377206805</v>
      </c>
    </row>
    <row r="808" spans="1:12" x14ac:dyDescent="0.3">
      <c r="A808" t="str">
        <f t="shared" si="24"/>
        <v>PD|AccumulatedNewCapacity|RE1|PWRSOLUGE|2043</v>
      </c>
      <c r="B808" t="s">
        <v>16</v>
      </c>
      <c r="C808" t="s">
        <v>19</v>
      </c>
      <c r="D808" t="s">
        <v>33</v>
      </c>
      <c r="E808">
        <v>2043</v>
      </c>
      <c r="F808" t="s">
        <v>18</v>
      </c>
      <c r="G808" t="s">
        <v>63</v>
      </c>
      <c r="H808" t="s">
        <v>64</v>
      </c>
      <c r="I808" t="s">
        <v>65</v>
      </c>
      <c r="J808">
        <f>SUMIFS(RawResultsLong!$P:$P,RawResultsLong!$A:$A,A808)</f>
        <v>143.394192</v>
      </c>
      <c r="K808">
        <f t="shared" si="25"/>
        <v>4543.8877481177278</v>
      </c>
      <c r="L808">
        <f>SUMIFS(EmploymentResults!$V:$V,EmploymentResults!$D:$D,B808,EmploymentResults!$F:$F,C808,EmploymentResults!$G:$G,D808,EmploymentResults!$H:$H,E808,EmploymentResults!$J:$J,G808,EmploymentResults!$K:$K,H808,EmploymentResults!$L:$L,I808)</f>
        <v>338.6409099145838</v>
      </c>
    </row>
    <row r="809" spans="1:12" x14ac:dyDescent="0.3">
      <c r="A809" t="str">
        <f t="shared" si="24"/>
        <v>PD|AccumulatedNewCapacity|RE1|PWRSOLUGE|2044</v>
      </c>
      <c r="B809" t="s">
        <v>16</v>
      </c>
      <c r="C809" t="s">
        <v>19</v>
      </c>
      <c r="D809" t="s">
        <v>33</v>
      </c>
      <c r="E809">
        <v>2044</v>
      </c>
      <c r="F809" t="s">
        <v>18</v>
      </c>
      <c r="G809" t="s">
        <v>63</v>
      </c>
      <c r="H809" t="s">
        <v>64</v>
      </c>
      <c r="I809" t="s">
        <v>65</v>
      </c>
      <c r="J809">
        <f>SUMIFS(RawResultsLong!$P:$P,RawResultsLong!$A:$A,A809)</f>
        <v>143.394192</v>
      </c>
      <c r="K809">
        <f t="shared" si="25"/>
        <v>4543.8877481177278</v>
      </c>
      <c r="L809">
        <f>SUMIFS(EmploymentResults!$V:$V,EmploymentResults!$D:$D,B809,EmploymentResults!$F:$F,C809,EmploymentResults!$G:$G,D809,EmploymentResults!$H:$H,E809,EmploymentResults!$J:$J,G809,EmploymentResults!$K:$K,H809,EmploymentResults!$L:$L,I809)</f>
        <v>335.97444605709961</v>
      </c>
    </row>
    <row r="810" spans="1:12" x14ac:dyDescent="0.3">
      <c r="A810" t="str">
        <f t="shared" si="24"/>
        <v>PD|AccumulatedNewCapacity|RE1|PWRSOLUGE|2045</v>
      </c>
      <c r="B810" t="s">
        <v>16</v>
      </c>
      <c r="C810" t="s">
        <v>19</v>
      </c>
      <c r="D810" t="s">
        <v>33</v>
      </c>
      <c r="E810">
        <v>2045</v>
      </c>
      <c r="F810" t="s">
        <v>18</v>
      </c>
      <c r="G810" t="s">
        <v>63</v>
      </c>
      <c r="H810" t="s">
        <v>64</v>
      </c>
      <c r="I810" t="s">
        <v>65</v>
      </c>
      <c r="J810">
        <f>SUMIFS(RawResultsLong!$P:$P,RawResultsLong!$A:$A,A810)</f>
        <v>143.394192</v>
      </c>
      <c r="K810">
        <f t="shared" si="25"/>
        <v>4543.8877481177278</v>
      </c>
      <c r="L810">
        <f>SUMIFS(EmploymentResults!$V:$V,EmploymentResults!$D:$D,B810,EmploymentResults!$F:$F,C810,EmploymentResults!$G:$G,D810,EmploymentResults!$H:$H,E810,EmploymentResults!$J:$J,G810,EmploymentResults!$K:$K,H810,EmploymentResults!$L:$L,I810)</f>
        <v>333.30798219916096</v>
      </c>
    </row>
    <row r="811" spans="1:12" x14ac:dyDescent="0.3">
      <c r="A811" t="str">
        <f t="shared" si="24"/>
        <v>PD|AccumulatedNewCapacity|RE1|PWRSOLUGE|2046</v>
      </c>
      <c r="B811" t="s">
        <v>16</v>
      </c>
      <c r="C811" t="s">
        <v>19</v>
      </c>
      <c r="D811" t="s">
        <v>33</v>
      </c>
      <c r="E811">
        <v>2046</v>
      </c>
      <c r="F811" t="s">
        <v>18</v>
      </c>
      <c r="G811" t="s">
        <v>63</v>
      </c>
      <c r="H811" t="s">
        <v>64</v>
      </c>
      <c r="I811" t="s">
        <v>65</v>
      </c>
      <c r="J811">
        <f>SUMIFS(RawResultsLong!$P:$P,RawResultsLong!$A:$A,A811)</f>
        <v>143.394192</v>
      </c>
      <c r="K811">
        <f t="shared" si="25"/>
        <v>4543.8877481177278</v>
      </c>
      <c r="L811">
        <f>SUMIFS(EmploymentResults!$V:$V,EmploymentResults!$D:$D,B811,EmploymentResults!$F:$F,C811,EmploymentResults!$G:$G,D811,EmploymentResults!$H:$H,E811,EmploymentResults!$J:$J,G811,EmploymentResults!$K:$K,H811,EmploymentResults!$L:$L,I811)</f>
        <v>330.64151834167671</v>
      </c>
    </row>
    <row r="812" spans="1:12" x14ac:dyDescent="0.3">
      <c r="A812" t="str">
        <f t="shared" si="24"/>
        <v>PD|AccumulatedNewCapacity|RE1|PWRSOLUGE|2047</v>
      </c>
      <c r="B812" t="s">
        <v>16</v>
      </c>
      <c r="C812" t="s">
        <v>19</v>
      </c>
      <c r="D812" t="s">
        <v>33</v>
      </c>
      <c r="E812">
        <v>2047</v>
      </c>
      <c r="F812" t="s">
        <v>18</v>
      </c>
      <c r="G812" t="s">
        <v>63</v>
      </c>
      <c r="H812" t="s">
        <v>64</v>
      </c>
      <c r="I812" t="s">
        <v>65</v>
      </c>
      <c r="J812">
        <f>SUMIFS(RawResultsLong!$P:$P,RawResultsLong!$A:$A,A812)</f>
        <v>143.394192</v>
      </c>
      <c r="K812">
        <f t="shared" si="25"/>
        <v>4543.8877481177278</v>
      </c>
      <c r="L812">
        <f>SUMIFS(EmploymentResults!$V:$V,EmploymentResults!$D:$D,B812,EmploymentResults!$F:$F,C812,EmploymentResults!$G:$G,D812,EmploymentResults!$H:$H,E812,EmploymentResults!$J:$J,G812,EmploymentResults!$K:$K,H812,EmploymentResults!$L:$L,I812)</f>
        <v>327.97505448419247</v>
      </c>
    </row>
    <row r="813" spans="1:12" x14ac:dyDescent="0.3">
      <c r="A813" t="str">
        <f t="shared" si="24"/>
        <v>PD|AccumulatedNewCapacity|RE1|PWRSOLUGE|2048</v>
      </c>
      <c r="B813" t="s">
        <v>16</v>
      </c>
      <c r="C813" t="s">
        <v>19</v>
      </c>
      <c r="D813" t="s">
        <v>33</v>
      </c>
      <c r="E813">
        <v>2048</v>
      </c>
      <c r="F813" t="s">
        <v>18</v>
      </c>
      <c r="G813" t="s">
        <v>63</v>
      </c>
      <c r="H813" t="s">
        <v>64</v>
      </c>
      <c r="I813" t="s">
        <v>65</v>
      </c>
      <c r="J813">
        <f>SUMIFS(RawResultsLong!$P:$P,RawResultsLong!$A:$A,A813)</f>
        <v>143.394192</v>
      </c>
      <c r="K813">
        <f t="shared" si="25"/>
        <v>4543.8877481177278</v>
      </c>
      <c r="L813">
        <f>SUMIFS(EmploymentResults!$V:$V,EmploymentResults!$D:$D,B813,EmploymentResults!$F:$F,C813,EmploymentResults!$G:$G,D813,EmploymentResults!$H:$H,E813,EmploymentResults!$J:$J,G813,EmploymentResults!$K:$K,H813,EmploymentResults!$L:$L,I813)</f>
        <v>325.30859062670828</v>
      </c>
    </row>
    <row r="814" spans="1:12" x14ac:dyDescent="0.3">
      <c r="A814" t="str">
        <f t="shared" si="24"/>
        <v>PD|AccumulatedNewCapacity|RE1|PWRSOLUGE|2049</v>
      </c>
      <c r="B814" t="s">
        <v>16</v>
      </c>
      <c r="C814" t="s">
        <v>19</v>
      </c>
      <c r="D814" t="s">
        <v>33</v>
      </c>
      <c r="E814">
        <v>2049</v>
      </c>
      <c r="F814" t="s">
        <v>18</v>
      </c>
      <c r="G814" t="s">
        <v>63</v>
      </c>
      <c r="H814" t="s">
        <v>64</v>
      </c>
      <c r="I814" t="s">
        <v>65</v>
      </c>
      <c r="J814">
        <f>SUMIFS(RawResultsLong!$P:$P,RawResultsLong!$A:$A,A814)</f>
        <v>143.394192</v>
      </c>
      <c r="K814">
        <f t="shared" si="25"/>
        <v>4543.8877481177278</v>
      </c>
      <c r="L814">
        <f>SUMIFS(EmploymentResults!$V:$V,EmploymentResults!$D:$D,B814,EmploymentResults!$F:$F,C814,EmploymentResults!$G:$G,D814,EmploymentResults!$H:$H,E814,EmploymentResults!$J:$J,G814,EmploymentResults!$K:$K,H814,EmploymentResults!$L:$L,I814)</f>
        <v>322.64212676876963</v>
      </c>
    </row>
    <row r="815" spans="1:12" x14ac:dyDescent="0.3">
      <c r="A815" t="str">
        <f t="shared" si="24"/>
        <v>PD|AccumulatedNewCapacity|RE1|PWRSOLUGE|2050</v>
      </c>
      <c r="B815" t="s">
        <v>16</v>
      </c>
      <c r="C815" t="s">
        <v>19</v>
      </c>
      <c r="D815" t="s">
        <v>33</v>
      </c>
      <c r="E815">
        <v>2050</v>
      </c>
      <c r="F815" t="s">
        <v>18</v>
      </c>
      <c r="G815" t="s">
        <v>63</v>
      </c>
      <c r="H815" t="s">
        <v>64</v>
      </c>
      <c r="I815" t="s">
        <v>65</v>
      </c>
      <c r="J815">
        <f>SUMIFS(RawResultsLong!$P:$P,RawResultsLong!$A:$A,A815)</f>
        <v>143.394192</v>
      </c>
      <c r="K815">
        <f t="shared" si="25"/>
        <v>4543.8877481177278</v>
      </c>
      <c r="L815">
        <f>SUMIFS(EmploymentResults!$V:$V,EmploymentResults!$D:$D,B815,EmploymentResults!$F:$F,C815,EmploymentResults!$G:$G,D815,EmploymentResults!$H:$H,E815,EmploymentResults!$J:$J,G815,EmploymentResults!$K:$K,H815,EmploymentResults!$L:$L,I815)</f>
        <v>319.97566291128538</v>
      </c>
    </row>
    <row r="816" spans="1:12" x14ac:dyDescent="0.3">
      <c r="A816" t="str">
        <f t="shared" si="24"/>
        <v>PD|AccumulatedNewCapacity|RE1|PWRSOLUGE|2051</v>
      </c>
      <c r="B816" t="s">
        <v>16</v>
      </c>
      <c r="C816" t="s">
        <v>19</v>
      </c>
      <c r="D816" t="s">
        <v>33</v>
      </c>
      <c r="E816">
        <v>2051</v>
      </c>
      <c r="F816" t="s">
        <v>18</v>
      </c>
      <c r="G816" t="s">
        <v>63</v>
      </c>
      <c r="H816" t="s">
        <v>64</v>
      </c>
      <c r="I816" t="s">
        <v>65</v>
      </c>
      <c r="J816">
        <f>SUMIFS(RawResultsLong!$P:$P,RawResultsLong!$A:$A,A816)</f>
        <v>143.394192</v>
      </c>
      <c r="K816">
        <f t="shared" si="25"/>
        <v>4543.8877481177278</v>
      </c>
      <c r="L816">
        <f>SUMIFS(EmploymentResults!$V:$V,EmploymentResults!$D:$D,B816,EmploymentResults!$F:$F,C816,EmploymentResults!$G:$G,D816,EmploymentResults!$H:$H,E816,EmploymentResults!$J:$J,G816,EmploymentResults!$K:$K,H816,EmploymentResults!$L:$L,I816)</f>
        <v>319.97566291128538</v>
      </c>
    </row>
    <row r="817" spans="1:12" x14ac:dyDescent="0.3">
      <c r="A817" t="str">
        <f t="shared" si="24"/>
        <v>PD|AccumulatedNewCapacity|RE1|PWRSOLUGE|2052</v>
      </c>
      <c r="B817" t="s">
        <v>16</v>
      </c>
      <c r="C817" t="s">
        <v>19</v>
      </c>
      <c r="D817" t="s">
        <v>33</v>
      </c>
      <c r="E817">
        <v>2052</v>
      </c>
      <c r="F817" t="s">
        <v>18</v>
      </c>
      <c r="G817" t="s">
        <v>63</v>
      </c>
      <c r="H817" t="s">
        <v>64</v>
      </c>
      <c r="I817" t="s">
        <v>65</v>
      </c>
      <c r="J817">
        <f>SUMIFS(RawResultsLong!$P:$P,RawResultsLong!$A:$A,A817)</f>
        <v>143.394192</v>
      </c>
      <c r="K817">
        <f t="shared" si="25"/>
        <v>4543.8877481177278</v>
      </c>
      <c r="L817">
        <f>SUMIFS(EmploymentResults!$V:$V,EmploymentResults!$D:$D,B817,EmploymentResults!$F:$F,C817,EmploymentResults!$G:$G,D817,EmploymentResults!$H:$H,E817,EmploymentResults!$J:$J,G817,EmploymentResults!$K:$K,H817,EmploymentResults!$L:$L,I817)</f>
        <v>319.97566291128538</v>
      </c>
    </row>
    <row r="818" spans="1:12" x14ac:dyDescent="0.3">
      <c r="A818" t="str">
        <f t="shared" si="24"/>
        <v>PD|AccumulatedNewCapacity|RE1|PWRSOLUGE|2053</v>
      </c>
      <c r="B818" t="s">
        <v>16</v>
      </c>
      <c r="C818" t="s">
        <v>19</v>
      </c>
      <c r="D818" t="s">
        <v>33</v>
      </c>
      <c r="E818">
        <v>2053</v>
      </c>
      <c r="F818" t="s">
        <v>18</v>
      </c>
      <c r="G818" t="s">
        <v>63</v>
      </c>
      <c r="H818" t="s">
        <v>64</v>
      </c>
      <c r="I818" t="s">
        <v>65</v>
      </c>
      <c r="J818">
        <f>SUMIFS(RawResultsLong!$P:$P,RawResultsLong!$A:$A,A818)</f>
        <v>143.394192</v>
      </c>
      <c r="K818">
        <f t="shared" si="25"/>
        <v>4543.8877481177278</v>
      </c>
      <c r="L818">
        <f>SUMIFS(EmploymentResults!$V:$V,EmploymentResults!$D:$D,B818,EmploymentResults!$F:$F,C818,EmploymentResults!$G:$G,D818,EmploymentResults!$H:$H,E818,EmploymentResults!$J:$J,G818,EmploymentResults!$K:$K,H818,EmploymentResults!$L:$L,I818)</f>
        <v>319.97566291128538</v>
      </c>
    </row>
    <row r="819" spans="1:12" x14ac:dyDescent="0.3">
      <c r="A819" t="str">
        <f t="shared" si="24"/>
        <v>PD|AccumulatedNewCapacity|RE1|PWRSOLUGE|2054</v>
      </c>
      <c r="B819" t="s">
        <v>16</v>
      </c>
      <c r="C819" t="s">
        <v>19</v>
      </c>
      <c r="D819" t="s">
        <v>33</v>
      </c>
      <c r="E819">
        <v>2054</v>
      </c>
      <c r="F819" t="s">
        <v>18</v>
      </c>
      <c r="G819" t="s">
        <v>63</v>
      </c>
      <c r="H819" t="s">
        <v>64</v>
      </c>
      <c r="I819" t="s">
        <v>65</v>
      </c>
      <c r="J819">
        <f>SUMIFS(RawResultsLong!$P:$P,RawResultsLong!$A:$A,A819)</f>
        <v>143.394192</v>
      </c>
      <c r="K819">
        <f t="shared" si="25"/>
        <v>4543.8877481177278</v>
      </c>
      <c r="L819">
        <f>SUMIFS(EmploymentResults!$V:$V,EmploymentResults!$D:$D,B819,EmploymentResults!$F:$F,C819,EmploymentResults!$G:$G,D819,EmploymentResults!$H:$H,E819,EmploymentResults!$J:$J,G819,EmploymentResults!$K:$K,H819,EmploymentResults!$L:$L,I819)</f>
        <v>319.97566291128538</v>
      </c>
    </row>
    <row r="820" spans="1:12" x14ac:dyDescent="0.3">
      <c r="A820" t="str">
        <f t="shared" si="24"/>
        <v>PD|AccumulatedNewCapacity|RE1|PWRSOLUGE|2055</v>
      </c>
      <c r="B820" t="s">
        <v>16</v>
      </c>
      <c r="C820" t="s">
        <v>19</v>
      </c>
      <c r="D820" t="s">
        <v>33</v>
      </c>
      <c r="E820">
        <v>2055</v>
      </c>
      <c r="F820" t="s">
        <v>18</v>
      </c>
      <c r="G820" t="s">
        <v>63</v>
      </c>
      <c r="H820" t="s">
        <v>64</v>
      </c>
      <c r="I820" t="s">
        <v>65</v>
      </c>
      <c r="J820">
        <f>SUMIFS(RawResultsLong!$P:$P,RawResultsLong!$A:$A,A820)</f>
        <v>136.67702399999999</v>
      </c>
      <c r="K820">
        <f t="shared" si="25"/>
        <v>4331.0335386721417</v>
      </c>
      <c r="L820">
        <f>SUMIFS(EmploymentResults!$V:$V,EmploymentResults!$D:$D,B820,EmploymentResults!$F:$F,C820,EmploymentResults!$G:$G,D820,EmploymentResults!$H:$H,E820,EmploymentResults!$J:$J,G820,EmploymentResults!$K:$K,H820,EmploymentResults!$L:$L,I820)</f>
        <v>304.98669959479008</v>
      </c>
    </row>
    <row r="821" spans="1:12" x14ac:dyDescent="0.3">
      <c r="A821" t="str">
        <f t="shared" si="24"/>
        <v>PD|AccumulatedNewCapacity|RE1|PWRSOLUPE|2025</v>
      </c>
      <c r="B821" t="s">
        <v>16</v>
      </c>
      <c r="C821" t="s">
        <v>19</v>
      </c>
      <c r="D821" t="s">
        <v>34</v>
      </c>
      <c r="E821">
        <v>2025</v>
      </c>
      <c r="F821" t="s">
        <v>18</v>
      </c>
      <c r="G821" t="s">
        <v>63</v>
      </c>
      <c r="H821" t="s">
        <v>64</v>
      </c>
      <c r="I821" t="s">
        <v>65</v>
      </c>
      <c r="J821">
        <f>SUMIFS(RawResultsLong!$P:$P,RawResultsLong!$A:$A,A821)</f>
        <v>5.3106623999999574</v>
      </c>
      <c r="K821">
        <f t="shared" si="25"/>
        <v>168.28473648186039</v>
      </c>
      <c r="L821">
        <f>SUMIFS(EmploymentResults!$V:$V,EmploymentResults!$D:$D,B821,EmploymentResults!$F:$F,C821,EmploymentResults!$G:$G,D821,EmploymentResults!$H:$H,E821,EmploymentResults!$J:$J,G821,EmploymentResults!$K:$K,H821,EmploymentResults!$L:$L,I821)</f>
        <v>15.837147683612022</v>
      </c>
    </row>
    <row r="822" spans="1:12" x14ac:dyDescent="0.3">
      <c r="A822" t="str">
        <f t="shared" si="24"/>
        <v>PD|AccumulatedNewCapacity|RE1|PWRSOLUPE|2026</v>
      </c>
      <c r="B822" t="s">
        <v>16</v>
      </c>
      <c r="C822" t="s">
        <v>19</v>
      </c>
      <c r="D822" t="s">
        <v>34</v>
      </c>
      <c r="E822">
        <v>2026</v>
      </c>
      <c r="F822" t="s">
        <v>18</v>
      </c>
      <c r="G822" t="s">
        <v>63</v>
      </c>
      <c r="H822" t="s">
        <v>64</v>
      </c>
      <c r="I822" t="s">
        <v>65</v>
      </c>
      <c r="J822">
        <f>SUMIFS(RawResultsLong!$P:$P,RawResultsLong!$A:$A,A822)</f>
        <v>8.6752382399999313</v>
      </c>
      <c r="K822">
        <f t="shared" si="25"/>
        <v>274.90171115673979</v>
      </c>
      <c r="L822">
        <f>SUMIFS(EmploymentResults!$V:$V,EmploymentResults!$D:$D,B822,EmploymentResults!$F:$F,C822,EmploymentResults!$G:$G,D822,EmploymentResults!$H:$H,E822,EmploymentResults!$J:$J,G822,EmploymentResults!$K:$K,H822,EmploymentResults!$L:$L,I822)</f>
        <v>25.213563926666133</v>
      </c>
    </row>
    <row r="823" spans="1:12" x14ac:dyDescent="0.3">
      <c r="A823" t="str">
        <f t="shared" si="24"/>
        <v>PD|AccumulatedNewCapacity|RE1|PWRSOLUPE|2027</v>
      </c>
      <c r="B823" t="s">
        <v>16</v>
      </c>
      <c r="C823" t="s">
        <v>19</v>
      </c>
      <c r="D823" t="s">
        <v>34</v>
      </c>
      <c r="E823">
        <v>2027</v>
      </c>
      <c r="F823" t="s">
        <v>18</v>
      </c>
      <c r="G823" t="s">
        <v>63</v>
      </c>
      <c r="H823" t="s">
        <v>64</v>
      </c>
      <c r="I823" t="s">
        <v>65</v>
      </c>
      <c r="J823">
        <f>SUMIFS(RawResultsLong!$P:$P,RawResultsLong!$A:$A,A823)</f>
        <v>12.14419823999993</v>
      </c>
      <c r="K823">
        <f t="shared" si="25"/>
        <v>384.82642026009364</v>
      </c>
      <c r="L823">
        <f>SUMIFS(EmploymentResults!$V:$V,EmploymentResults!$D:$D,B823,EmploymentResults!$F:$F,C823,EmploymentResults!$G:$G,D823,EmploymentResults!$H:$H,E823,EmploymentResults!$J:$J,G823,EmploymentResults!$K:$K,H823,EmploymentResults!$L:$L,I823)</f>
        <v>34.375660061137935</v>
      </c>
    </row>
    <row r="824" spans="1:12" x14ac:dyDescent="0.3">
      <c r="A824" t="str">
        <f t="shared" si="24"/>
        <v>PD|AccumulatedNewCapacity|RE1|PWRSOLUPE|2028</v>
      </c>
      <c r="B824" t="s">
        <v>16</v>
      </c>
      <c r="C824" t="s">
        <v>19</v>
      </c>
      <c r="D824" t="s">
        <v>34</v>
      </c>
      <c r="E824">
        <v>2028</v>
      </c>
      <c r="F824" t="s">
        <v>18</v>
      </c>
      <c r="G824" t="s">
        <v>63</v>
      </c>
      <c r="H824" t="s">
        <v>64</v>
      </c>
      <c r="I824" t="s">
        <v>65</v>
      </c>
      <c r="J824">
        <f>SUMIFS(RawResultsLong!$P:$P,RawResultsLong!$A:$A,A824)</f>
        <v>12.14419823999993</v>
      </c>
      <c r="K824">
        <f t="shared" si="25"/>
        <v>384.82642026009364</v>
      </c>
      <c r="L824">
        <f>SUMIFS(EmploymentResults!$V:$V,EmploymentResults!$D:$D,B824,EmploymentResults!$F:$F,C824,EmploymentResults!$G:$G,D824,EmploymentResults!$H:$H,E824,EmploymentResults!$J:$J,G824,EmploymentResults!$K:$K,H824,EmploymentResults!$L:$L,I824)</f>
        <v>33.455630229804733</v>
      </c>
    </row>
    <row r="825" spans="1:12" x14ac:dyDescent="0.3">
      <c r="A825" t="str">
        <f t="shared" si="24"/>
        <v>PD|AccumulatedNewCapacity|RE1|PWRSOLUPE|2029</v>
      </c>
      <c r="B825" t="s">
        <v>16</v>
      </c>
      <c r="C825" t="s">
        <v>19</v>
      </c>
      <c r="D825" t="s">
        <v>34</v>
      </c>
      <c r="E825">
        <v>2029</v>
      </c>
      <c r="F825" t="s">
        <v>18</v>
      </c>
      <c r="G825" t="s">
        <v>63</v>
      </c>
      <c r="H825" t="s">
        <v>64</v>
      </c>
      <c r="I825" t="s">
        <v>65</v>
      </c>
      <c r="J825">
        <f>SUMIFS(RawResultsLong!$P:$P,RawResultsLong!$A:$A,A825)</f>
        <v>12.14419823999993</v>
      </c>
      <c r="K825">
        <f t="shared" si="25"/>
        <v>384.82642026009364</v>
      </c>
      <c r="L825">
        <f>SUMIFS(EmploymentResults!$V:$V,EmploymentResults!$D:$D,B825,EmploymentResults!$F:$F,C825,EmploymentResults!$G:$G,D825,EmploymentResults!$H:$H,E825,EmploymentResults!$J:$J,G825,EmploymentResults!$K:$K,H825,EmploymentResults!$L:$L,I825)</f>
        <v>32.535600398510027</v>
      </c>
    </row>
    <row r="826" spans="1:12" x14ac:dyDescent="0.3">
      <c r="A826" t="str">
        <f t="shared" si="24"/>
        <v>PD|AccumulatedNewCapacity|RE1|PWRSOLUPE|2030</v>
      </c>
      <c r="B826" t="s">
        <v>16</v>
      </c>
      <c r="C826" t="s">
        <v>19</v>
      </c>
      <c r="D826" t="s">
        <v>34</v>
      </c>
      <c r="E826">
        <v>2030</v>
      </c>
      <c r="F826" t="s">
        <v>18</v>
      </c>
      <c r="G826" t="s">
        <v>63</v>
      </c>
      <c r="H826" t="s">
        <v>64</v>
      </c>
      <c r="I826" t="s">
        <v>65</v>
      </c>
      <c r="J826">
        <f>SUMIFS(RawResultsLong!$P:$P,RawResultsLong!$A:$A,A826)</f>
        <v>12.14419823999993</v>
      </c>
      <c r="K826">
        <f t="shared" si="25"/>
        <v>384.82642026009364</v>
      </c>
      <c r="L826">
        <f>SUMIFS(EmploymentResults!$V:$V,EmploymentResults!$D:$D,B826,EmploymentResults!$F:$F,C826,EmploymentResults!$G:$G,D826,EmploymentResults!$H:$H,E826,EmploymentResults!$J:$J,G826,EmploymentResults!$K:$K,H826,EmploymentResults!$L:$L,I826)</f>
        <v>31.615570567176832</v>
      </c>
    </row>
    <row r="827" spans="1:12" x14ac:dyDescent="0.3">
      <c r="A827" t="str">
        <f t="shared" si="24"/>
        <v>PD|AccumulatedNewCapacity|RE1|PWRSOLUPE|2031</v>
      </c>
      <c r="B827" t="s">
        <v>16</v>
      </c>
      <c r="C827" t="s">
        <v>19</v>
      </c>
      <c r="D827" t="s">
        <v>34</v>
      </c>
      <c r="E827">
        <v>2031</v>
      </c>
      <c r="F827" t="s">
        <v>18</v>
      </c>
      <c r="G827" t="s">
        <v>63</v>
      </c>
      <c r="H827" t="s">
        <v>64</v>
      </c>
      <c r="I827" t="s">
        <v>65</v>
      </c>
      <c r="J827">
        <f>SUMIFS(RawResultsLong!$P:$P,RawResultsLong!$A:$A,A827)</f>
        <v>12.14419823999993</v>
      </c>
      <c r="K827">
        <f t="shared" si="25"/>
        <v>384.82642026009364</v>
      </c>
      <c r="L827">
        <f>SUMIFS(EmploymentResults!$V:$V,EmploymentResults!$D:$D,B827,EmploymentResults!$F:$F,C827,EmploymentResults!$G:$G,D827,EmploymentResults!$H:$H,E827,EmploymentResults!$J:$J,G827,EmploymentResults!$K:$K,H827,EmploymentResults!$L:$L,I827)</f>
        <v>31.389745063134914</v>
      </c>
    </row>
    <row r="828" spans="1:12" x14ac:dyDescent="0.3">
      <c r="A828" t="str">
        <f t="shared" si="24"/>
        <v>PD|AccumulatedNewCapacity|RE1|PWRSOLUPE|2032</v>
      </c>
      <c r="B828" t="s">
        <v>16</v>
      </c>
      <c r="C828" t="s">
        <v>19</v>
      </c>
      <c r="D828" t="s">
        <v>34</v>
      </c>
      <c r="E828">
        <v>2032</v>
      </c>
      <c r="F828" t="s">
        <v>18</v>
      </c>
      <c r="G828" t="s">
        <v>63</v>
      </c>
      <c r="H828" t="s">
        <v>64</v>
      </c>
      <c r="I828" t="s">
        <v>65</v>
      </c>
      <c r="J828">
        <f>SUMIFS(RawResultsLong!$P:$P,RawResultsLong!$A:$A,A828)</f>
        <v>12.14419823999993</v>
      </c>
      <c r="K828">
        <f t="shared" si="25"/>
        <v>384.82642026009364</v>
      </c>
      <c r="L828">
        <f>SUMIFS(EmploymentResults!$V:$V,EmploymentResults!$D:$D,B828,EmploymentResults!$F:$F,C828,EmploymentResults!$G:$G,D828,EmploymentResults!$H:$H,E828,EmploymentResults!$J:$J,G828,EmploymentResults!$K:$K,H828,EmploymentResults!$L:$L,I828)</f>
        <v>31.163919559092996</v>
      </c>
    </row>
    <row r="829" spans="1:12" x14ac:dyDescent="0.3">
      <c r="A829" t="str">
        <f t="shared" si="24"/>
        <v>PD|AccumulatedNewCapacity|RE1|PWRSOLUPE|2033</v>
      </c>
      <c r="B829" t="s">
        <v>16</v>
      </c>
      <c r="C829" t="s">
        <v>19</v>
      </c>
      <c r="D829" t="s">
        <v>34</v>
      </c>
      <c r="E829">
        <v>2033</v>
      </c>
      <c r="F829" t="s">
        <v>18</v>
      </c>
      <c r="G829" t="s">
        <v>63</v>
      </c>
      <c r="H829" t="s">
        <v>64</v>
      </c>
      <c r="I829" t="s">
        <v>65</v>
      </c>
      <c r="J829">
        <f>SUMIFS(RawResultsLong!$P:$P,RawResultsLong!$A:$A,A829)</f>
        <v>12.14419823999993</v>
      </c>
      <c r="K829">
        <f t="shared" si="25"/>
        <v>384.82642026009364</v>
      </c>
      <c r="L829">
        <f>SUMIFS(EmploymentResults!$V:$V,EmploymentResults!$D:$D,B829,EmploymentResults!$F:$F,C829,EmploymentResults!$G:$G,D829,EmploymentResults!$H:$H,E829,EmploymentResults!$J:$J,G829,EmploymentResults!$K:$K,H829,EmploymentResults!$L:$L,I829)</f>
        <v>30.938094055012591</v>
      </c>
    </row>
    <row r="830" spans="1:12" x14ac:dyDescent="0.3">
      <c r="A830" t="str">
        <f t="shared" si="24"/>
        <v>PD|AccumulatedNewCapacity|RE1|PWRSOLUPE|2034</v>
      </c>
      <c r="B830" t="s">
        <v>16</v>
      </c>
      <c r="C830" t="s">
        <v>19</v>
      </c>
      <c r="D830" t="s">
        <v>34</v>
      </c>
      <c r="E830">
        <v>2034</v>
      </c>
      <c r="F830" t="s">
        <v>18</v>
      </c>
      <c r="G830" t="s">
        <v>63</v>
      </c>
      <c r="H830" t="s">
        <v>64</v>
      </c>
      <c r="I830" t="s">
        <v>65</v>
      </c>
      <c r="J830">
        <f>SUMIFS(RawResultsLong!$P:$P,RawResultsLong!$A:$A,A830)</f>
        <v>12.14419823999993</v>
      </c>
      <c r="K830">
        <f t="shared" si="25"/>
        <v>384.82642026009364</v>
      </c>
      <c r="L830">
        <f>SUMIFS(EmploymentResults!$V:$V,EmploymentResults!$D:$D,B830,EmploymentResults!$F:$F,C830,EmploymentResults!$G:$G,D830,EmploymentResults!$H:$H,E830,EmploymentResults!$J:$J,G830,EmploymentResults!$K:$K,H830,EmploymentResults!$L:$L,I830)</f>
        <v>30.712268550970681</v>
      </c>
    </row>
    <row r="831" spans="1:12" x14ac:dyDescent="0.3">
      <c r="A831" t="str">
        <f t="shared" si="24"/>
        <v>PD|AccumulatedNewCapacity|RE1|PWRSOLUPE|2035</v>
      </c>
      <c r="B831" t="s">
        <v>16</v>
      </c>
      <c r="C831" t="s">
        <v>19</v>
      </c>
      <c r="D831" t="s">
        <v>34</v>
      </c>
      <c r="E831">
        <v>2035</v>
      </c>
      <c r="F831" t="s">
        <v>18</v>
      </c>
      <c r="G831" t="s">
        <v>63</v>
      </c>
      <c r="H831" t="s">
        <v>64</v>
      </c>
      <c r="I831" t="s">
        <v>65</v>
      </c>
      <c r="J831">
        <f>SUMIFS(RawResultsLong!$P:$P,RawResultsLong!$A:$A,A831)</f>
        <v>12.14419823999993</v>
      </c>
      <c r="K831">
        <f t="shared" si="25"/>
        <v>384.82642026009364</v>
      </c>
      <c r="L831">
        <f>SUMIFS(EmploymentResults!$V:$V,EmploymentResults!$D:$D,B831,EmploymentResults!$F:$F,C831,EmploymentResults!$G:$G,D831,EmploymentResults!$H:$H,E831,EmploymentResults!$J:$J,G831,EmploymentResults!$K:$K,H831,EmploymentResults!$L:$L,I831)</f>
        <v>30.486443046928759</v>
      </c>
    </row>
    <row r="832" spans="1:12" x14ac:dyDescent="0.3">
      <c r="A832" t="str">
        <f t="shared" si="24"/>
        <v>PD|AccumulatedNewCapacity|RE1|PWRSOLUPE|2036</v>
      </c>
      <c r="B832" t="s">
        <v>16</v>
      </c>
      <c r="C832" t="s">
        <v>19</v>
      </c>
      <c r="D832" t="s">
        <v>34</v>
      </c>
      <c r="E832">
        <v>2036</v>
      </c>
      <c r="F832" t="s">
        <v>18</v>
      </c>
      <c r="G832" t="s">
        <v>63</v>
      </c>
      <c r="H832" t="s">
        <v>64</v>
      </c>
      <c r="I832" t="s">
        <v>65</v>
      </c>
      <c r="J832">
        <f>SUMIFS(RawResultsLong!$P:$P,RawResultsLong!$A:$A,A832)</f>
        <v>12.14419823999993</v>
      </c>
      <c r="K832">
        <f t="shared" si="25"/>
        <v>384.82642026009364</v>
      </c>
      <c r="L832">
        <f>SUMIFS(EmploymentResults!$V:$V,EmploymentResults!$D:$D,B832,EmploymentResults!$F:$F,C832,EmploymentResults!$G:$G,D832,EmploymentResults!$H:$H,E832,EmploymentResults!$J:$J,G832,EmploymentResults!$K:$K,H832,EmploymentResults!$L:$L,I832)</f>
        <v>30.260617542886841</v>
      </c>
    </row>
    <row r="833" spans="1:12" x14ac:dyDescent="0.3">
      <c r="A833" t="str">
        <f t="shared" si="24"/>
        <v>PD|AccumulatedNewCapacity|RE1|PWRSOLUPE|2037</v>
      </c>
      <c r="B833" t="s">
        <v>16</v>
      </c>
      <c r="C833" t="s">
        <v>19</v>
      </c>
      <c r="D833" t="s">
        <v>34</v>
      </c>
      <c r="E833">
        <v>2037</v>
      </c>
      <c r="F833" t="s">
        <v>18</v>
      </c>
      <c r="G833" t="s">
        <v>63</v>
      </c>
      <c r="H833" t="s">
        <v>64</v>
      </c>
      <c r="I833" t="s">
        <v>65</v>
      </c>
      <c r="J833">
        <f>SUMIFS(RawResultsLong!$P:$P,RawResultsLong!$A:$A,A833)</f>
        <v>12.14419823999993</v>
      </c>
      <c r="K833">
        <f t="shared" si="25"/>
        <v>384.82642026009364</v>
      </c>
      <c r="L833">
        <f>SUMIFS(EmploymentResults!$V:$V,EmploymentResults!$D:$D,B833,EmploymentResults!$F:$F,C833,EmploymentResults!$G:$G,D833,EmploymentResults!$H:$H,E833,EmploymentResults!$J:$J,G833,EmploymentResults!$K:$K,H833,EmploymentResults!$L:$L,I833)</f>
        <v>30.034792038806444</v>
      </c>
    </row>
    <row r="834" spans="1:12" x14ac:dyDescent="0.3">
      <c r="A834" t="str">
        <f t="shared" ref="A834:A878" si="26">B834&amp;"|"&amp;F834&amp;"|"&amp;C834&amp;"|"&amp;D834&amp;"|"&amp;E834</f>
        <v>PD|AccumulatedNewCapacity|RE1|PWRSOLUPE|2038</v>
      </c>
      <c r="B834" t="s">
        <v>16</v>
      </c>
      <c r="C834" t="s">
        <v>19</v>
      </c>
      <c r="D834" t="s">
        <v>34</v>
      </c>
      <c r="E834">
        <v>2038</v>
      </c>
      <c r="F834" t="s">
        <v>18</v>
      </c>
      <c r="G834" t="s">
        <v>63</v>
      </c>
      <c r="H834" t="s">
        <v>64</v>
      </c>
      <c r="I834" t="s">
        <v>65</v>
      </c>
      <c r="J834">
        <f>SUMIFS(RawResultsLong!$P:$P,RawResultsLong!$A:$A,A834)</f>
        <v>12.14419823999993</v>
      </c>
      <c r="K834">
        <f t="shared" ref="K834:K878" si="27">J834*1000/31.5576</f>
        <v>384.82642026009364</v>
      </c>
      <c r="L834">
        <f>SUMIFS(EmploymentResults!$V:$V,EmploymentResults!$D:$D,B834,EmploymentResults!$F:$F,C834,EmploymentResults!$G:$G,D834,EmploymentResults!$H:$H,E834,EmploymentResults!$J:$J,G834,EmploymentResults!$K:$K,H834,EmploymentResults!$L:$L,I834)</f>
        <v>29.808966534764526</v>
      </c>
    </row>
    <row r="835" spans="1:12" x14ac:dyDescent="0.3">
      <c r="A835" t="str">
        <f t="shared" si="26"/>
        <v>PD|AccumulatedNewCapacity|RE1|PWRSOLUPE|2039</v>
      </c>
      <c r="B835" t="s">
        <v>16</v>
      </c>
      <c r="C835" t="s">
        <v>19</v>
      </c>
      <c r="D835" t="s">
        <v>34</v>
      </c>
      <c r="E835">
        <v>2039</v>
      </c>
      <c r="F835" t="s">
        <v>18</v>
      </c>
      <c r="G835" t="s">
        <v>63</v>
      </c>
      <c r="H835" t="s">
        <v>64</v>
      </c>
      <c r="I835" t="s">
        <v>65</v>
      </c>
      <c r="J835">
        <f>SUMIFS(RawResultsLong!$P:$P,RawResultsLong!$A:$A,A835)</f>
        <v>12.14419823999993</v>
      </c>
      <c r="K835">
        <f t="shared" si="27"/>
        <v>384.82642026009364</v>
      </c>
      <c r="L835">
        <f>SUMIFS(EmploymentResults!$V:$V,EmploymentResults!$D:$D,B835,EmploymentResults!$F:$F,C835,EmploymentResults!$G:$G,D835,EmploymentResults!$H:$H,E835,EmploymentResults!$J:$J,G835,EmploymentResults!$K:$K,H835,EmploymentResults!$L:$L,I835)</f>
        <v>29.583141030722608</v>
      </c>
    </row>
    <row r="836" spans="1:12" x14ac:dyDescent="0.3">
      <c r="A836" t="str">
        <f t="shared" si="26"/>
        <v>PD|AccumulatedNewCapacity|RE1|PWRSOLUPE|2040</v>
      </c>
      <c r="B836" t="s">
        <v>16</v>
      </c>
      <c r="C836" t="s">
        <v>19</v>
      </c>
      <c r="D836" t="s">
        <v>34</v>
      </c>
      <c r="E836">
        <v>2040</v>
      </c>
      <c r="F836" t="s">
        <v>18</v>
      </c>
      <c r="G836" t="s">
        <v>63</v>
      </c>
      <c r="H836" t="s">
        <v>64</v>
      </c>
      <c r="I836" t="s">
        <v>65</v>
      </c>
      <c r="J836">
        <f>SUMIFS(RawResultsLong!$P:$P,RawResultsLong!$A:$A,A836)</f>
        <v>12.14419823999993</v>
      </c>
      <c r="K836">
        <f t="shared" si="27"/>
        <v>384.82642026009364</v>
      </c>
      <c r="L836">
        <f>SUMIFS(EmploymentResults!$V:$V,EmploymentResults!$D:$D,B836,EmploymentResults!$F:$F,C836,EmploymentResults!$G:$G,D836,EmploymentResults!$H:$H,E836,EmploymentResults!$J:$J,G836,EmploymentResults!$K:$K,H836,EmploymentResults!$L:$L,I836)</f>
        <v>29.35731552668069</v>
      </c>
    </row>
    <row r="837" spans="1:12" x14ac:dyDescent="0.3">
      <c r="A837" t="str">
        <f t="shared" si="26"/>
        <v>PD|AccumulatedNewCapacity|RE1|PWRSOLUPE|2041</v>
      </c>
      <c r="B837" t="s">
        <v>16</v>
      </c>
      <c r="C837" t="s">
        <v>19</v>
      </c>
      <c r="D837" t="s">
        <v>34</v>
      </c>
      <c r="E837">
        <v>2041</v>
      </c>
      <c r="F837" t="s">
        <v>18</v>
      </c>
      <c r="G837" t="s">
        <v>63</v>
      </c>
      <c r="H837" t="s">
        <v>64</v>
      </c>
      <c r="I837" t="s">
        <v>65</v>
      </c>
      <c r="J837">
        <f>SUMIFS(RawResultsLong!$P:$P,RawResultsLong!$A:$A,A837)</f>
        <v>12.14419823999993</v>
      </c>
      <c r="K837">
        <f t="shared" si="27"/>
        <v>384.82642026009364</v>
      </c>
      <c r="L837">
        <f>SUMIFS(EmploymentResults!$V:$V,EmploymentResults!$D:$D,B837,EmploymentResults!$F:$F,C837,EmploymentResults!$G:$G,D837,EmploymentResults!$H:$H,E837,EmploymentResults!$J:$J,G837,EmploymentResults!$K:$K,H837,EmploymentResults!$L:$L,I837)</f>
        <v>29.131490022600293</v>
      </c>
    </row>
    <row r="838" spans="1:12" x14ac:dyDescent="0.3">
      <c r="A838" t="str">
        <f t="shared" si="26"/>
        <v>PD|AccumulatedNewCapacity|RE1|PWRSOLUPE|2042</v>
      </c>
      <c r="B838" t="s">
        <v>16</v>
      </c>
      <c r="C838" t="s">
        <v>19</v>
      </c>
      <c r="D838" t="s">
        <v>34</v>
      </c>
      <c r="E838">
        <v>2042</v>
      </c>
      <c r="F838" t="s">
        <v>18</v>
      </c>
      <c r="G838" t="s">
        <v>63</v>
      </c>
      <c r="H838" t="s">
        <v>64</v>
      </c>
      <c r="I838" t="s">
        <v>65</v>
      </c>
      <c r="J838">
        <f>SUMIFS(RawResultsLong!$P:$P,RawResultsLong!$A:$A,A838)</f>
        <v>12.14419823999993</v>
      </c>
      <c r="K838">
        <f t="shared" si="27"/>
        <v>384.82642026009364</v>
      </c>
      <c r="L838">
        <f>SUMIFS(EmploymentResults!$V:$V,EmploymentResults!$D:$D,B838,EmploymentResults!$F:$F,C838,EmploymentResults!$G:$G,D838,EmploymentResults!$H:$H,E838,EmploymentResults!$J:$J,G838,EmploymentResults!$K:$K,H838,EmploymentResults!$L:$L,I838)</f>
        <v>28.905664518558375</v>
      </c>
    </row>
    <row r="839" spans="1:12" x14ac:dyDescent="0.3">
      <c r="A839" t="str">
        <f t="shared" si="26"/>
        <v>PD|AccumulatedNewCapacity|RE1|PWRSOLUPE|2043</v>
      </c>
      <c r="B839" t="s">
        <v>16</v>
      </c>
      <c r="C839" t="s">
        <v>19</v>
      </c>
      <c r="D839" t="s">
        <v>34</v>
      </c>
      <c r="E839">
        <v>2043</v>
      </c>
      <c r="F839" t="s">
        <v>18</v>
      </c>
      <c r="G839" t="s">
        <v>63</v>
      </c>
      <c r="H839" t="s">
        <v>64</v>
      </c>
      <c r="I839" t="s">
        <v>65</v>
      </c>
      <c r="J839">
        <f>SUMIFS(RawResultsLong!$P:$P,RawResultsLong!$A:$A,A839)</f>
        <v>12.14419823999993</v>
      </c>
      <c r="K839">
        <f t="shared" si="27"/>
        <v>384.82642026009364</v>
      </c>
      <c r="L839">
        <f>SUMIFS(EmploymentResults!$V:$V,EmploymentResults!$D:$D,B839,EmploymentResults!$F:$F,C839,EmploymentResults!$G:$G,D839,EmploymentResults!$H:$H,E839,EmploymentResults!$J:$J,G839,EmploymentResults!$K:$K,H839,EmploymentResults!$L:$L,I839)</f>
        <v>28.679839014516457</v>
      </c>
    </row>
    <row r="840" spans="1:12" x14ac:dyDescent="0.3">
      <c r="A840" t="str">
        <f t="shared" si="26"/>
        <v>PD|AccumulatedNewCapacity|RE1|PWRSOLUPE|2044</v>
      </c>
      <c r="B840" t="s">
        <v>16</v>
      </c>
      <c r="C840" t="s">
        <v>19</v>
      </c>
      <c r="D840" t="s">
        <v>34</v>
      </c>
      <c r="E840">
        <v>2044</v>
      </c>
      <c r="F840" t="s">
        <v>18</v>
      </c>
      <c r="G840" t="s">
        <v>63</v>
      </c>
      <c r="H840" t="s">
        <v>64</v>
      </c>
      <c r="I840" t="s">
        <v>65</v>
      </c>
      <c r="J840">
        <f>SUMIFS(RawResultsLong!$P:$P,RawResultsLong!$A:$A,A840)</f>
        <v>12.14419823999993</v>
      </c>
      <c r="K840">
        <f t="shared" si="27"/>
        <v>384.82642026009364</v>
      </c>
      <c r="L840">
        <f>SUMIFS(EmploymentResults!$V:$V,EmploymentResults!$D:$D,B840,EmploymentResults!$F:$F,C840,EmploymentResults!$G:$G,D840,EmploymentResults!$H:$H,E840,EmploymentResults!$J:$J,G840,EmploymentResults!$K:$K,H840,EmploymentResults!$L:$L,I840)</f>
        <v>28.454013510474542</v>
      </c>
    </row>
    <row r="841" spans="1:12" x14ac:dyDescent="0.3">
      <c r="A841" t="str">
        <f t="shared" si="26"/>
        <v>PD|AccumulatedNewCapacity|RE1|PWRSOLUPE|2045</v>
      </c>
      <c r="B841" t="s">
        <v>16</v>
      </c>
      <c r="C841" t="s">
        <v>19</v>
      </c>
      <c r="D841" t="s">
        <v>34</v>
      </c>
      <c r="E841">
        <v>2045</v>
      </c>
      <c r="F841" t="s">
        <v>18</v>
      </c>
      <c r="G841" t="s">
        <v>63</v>
      </c>
      <c r="H841" t="s">
        <v>64</v>
      </c>
      <c r="I841" t="s">
        <v>65</v>
      </c>
      <c r="J841">
        <f>SUMIFS(RawResultsLong!$P:$P,RawResultsLong!$A:$A,A841)</f>
        <v>12.14419823999993</v>
      </c>
      <c r="K841">
        <f t="shared" si="27"/>
        <v>384.82642026009364</v>
      </c>
      <c r="L841">
        <f>SUMIFS(EmploymentResults!$V:$V,EmploymentResults!$D:$D,B841,EmploymentResults!$F:$F,C841,EmploymentResults!$G:$G,D841,EmploymentResults!$H:$H,E841,EmploymentResults!$J:$J,G841,EmploymentResults!$K:$K,H841,EmploymentResults!$L:$L,I841)</f>
        <v>28.228188006394138</v>
      </c>
    </row>
    <row r="842" spans="1:12" x14ac:dyDescent="0.3">
      <c r="A842" t="str">
        <f t="shared" si="26"/>
        <v>PD|AccumulatedNewCapacity|RE1|PWRSOLUPE|2046</v>
      </c>
      <c r="B842" t="s">
        <v>16</v>
      </c>
      <c r="C842" t="s">
        <v>19</v>
      </c>
      <c r="D842" t="s">
        <v>34</v>
      </c>
      <c r="E842">
        <v>2046</v>
      </c>
      <c r="F842" t="s">
        <v>18</v>
      </c>
      <c r="G842" t="s">
        <v>63</v>
      </c>
      <c r="H842" t="s">
        <v>64</v>
      </c>
      <c r="I842" t="s">
        <v>65</v>
      </c>
      <c r="J842">
        <f>SUMIFS(RawResultsLong!$P:$P,RawResultsLong!$A:$A,A842)</f>
        <v>12.14419823999993</v>
      </c>
      <c r="K842">
        <f t="shared" si="27"/>
        <v>384.82642026009364</v>
      </c>
      <c r="L842">
        <f>SUMIFS(EmploymentResults!$V:$V,EmploymentResults!$D:$D,B842,EmploymentResults!$F:$F,C842,EmploymentResults!$G:$G,D842,EmploymentResults!$H:$H,E842,EmploymentResults!$J:$J,G842,EmploymentResults!$K:$K,H842,EmploymentResults!$L:$L,I842)</f>
        <v>28.00236250235222</v>
      </c>
    </row>
    <row r="843" spans="1:12" x14ac:dyDescent="0.3">
      <c r="A843" t="str">
        <f t="shared" si="26"/>
        <v>PD|AccumulatedNewCapacity|RE1|PWRSOLUPE|2047</v>
      </c>
      <c r="B843" t="s">
        <v>16</v>
      </c>
      <c r="C843" t="s">
        <v>19</v>
      </c>
      <c r="D843" t="s">
        <v>34</v>
      </c>
      <c r="E843">
        <v>2047</v>
      </c>
      <c r="F843" t="s">
        <v>18</v>
      </c>
      <c r="G843" t="s">
        <v>63</v>
      </c>
      <c r="H843" t="s">
        <v>64</v>
      </c>
      <c r="I843" t="s">
        <v>65</v>
      </c>
      <c r="J843">
        <f>SUMIFS(RawResultsLong!$P:$P,RawResultsLong!$A:$A,A843)</f>
        <v>12.14419823999993</v>
      </c>
      <c r="K843">
        <f t="shared" si="27"/>
        <v>384.82642026009364</v>
      </c>
      <c r="L843">
        <f>SUMIFS(EmploymentResults!$V:$V,EmploymentResults!$D:$D,B843,EmploymentResults!$F:$F,C843,EmploymentResults!$G:$G,D843,EmploymentResults!$H:$H,E843,EmploymentResults!$J:$J,G843,EmploymentResults!$K:$K,H843,EmploymentResults!$L:$L,I843)</f>
        <v>27.776536998310302</v>
      </c>
    </row>
    <row r="844" spans="1:12" x14ac:dyDescent="0.3">
      <c r="A844" t="str">
        <f t="shared" si="26"/>
        <v>PD|AccumulatedNewCapacity|RE1|PWRSOLUPE|2048</v>
      </c>
      <c r="B844" t="s">
        <v>16</v>
      </c>
      <c r="C844" t="s">
        <v>19</v>
      </c>
      <c r="D844" t="s">
        <v>34</v>
      </c>
      <c r="E844">
        <v>2048</v>
      </c>
      <c r="F844" t="s">
        <v>18</v>
      </c>
      <c r="G844" t="s">
        <v>63</v>
      </c>
      <c r="H844" t="s">
        <v>64</v>
      </c>
      <c r="I844" t="s">
        <v>65</v>
      </c>
      <c r="J844">
        <f>SUMIFS(RawResultsLong!$P:$P,RawResultsLong!$A:$A,A844)</f>
        <v>12.14419823999993</v>
      </c>
      <c r="K844">
        <f t="shared" si="27"/>
        <v>384.82642026009364</v>
      </c>
      <c r="L844">
        <f>SUMIFS(EmploymentResults!$V:$V,EmploymentResults!$D:$D,B844,EmploymentResults!$F:$F,C844,EmploymentResults!$G:$G,D844,EmploymentResults!$H:$H,E844,EmploymentResults!$J:$J,G844,EmploymentResults!$K:$K,H844,EmploymentResults!$L:$L,I844)</f>
        <v>27.550711494268388</v>
      </c>
    </row>
    <row r="845" spans="1:12" x14ac:dyDescent="0.3">
      <c r="A845" t="str">
        <f t="shared" si="26"/>
        <v>PD|AccumulatedNewCapacity|RE1|PWRSOLUPE|2049</v>
      </c>
      <c r="B845" t="s">
        <v>16</v>
      </c>
      <c r="C845" t="s">
        <v>19</v>
      </c>
      <c r="D845" t="s">
        <v>34</v>
      </c>
      <c r="E845">
        <v>2049</v>
      </c>
      <c r="F845" t="s">
        <v>18</v>
      </c>
      <c r="G845" t="s">
        <v>63</v>
      </c>
      <c r="H845" t="s">
        <v>64</v>
      </c>
      <c r="I845" t="s">
        <v>65</v>
      </c>
      <c r="J845">
        <f>SUMIFS(RawResultsLong!$P:$P,RawResultsLong!$A:$A,A845)</f>
        <v>12.14419823999993</v>
      </c>
      <c r="K845">
        <f t="shared" si="27"/>
        <v>384.82642026009364</v>
      </c>
      <c r="L845">
        <f>SUMIFS(EmploymentResults!$V:$V,EmploymentResults!$D:$D,B845,EmploymentResults!$F:$F,C845,EmploymentResults!$G:$G,D845,EmploymentResults!$H:$H,E845,EmploymentResults!$J:$J,G845,EmploymentResults!$K:$K,H845,EmploymentResults!$L:$L,I845)</f>
        <v>27.324885990187987</v>
      </c>
    </row>
    <row r="846" spans="1:12" x14ac:dyDescent="0.3">
      <c r="A846" t="str">
        <f t="shared" si="26"/>
        <v>PD|AccumulatedNewCapacity|RE1|PWRSOLUPE|2050</v>
      </c>
      <c r="B846" t="s">
        <v>16</v>
      </c>
      <c r="C846" t="s">
        <v>19</v>
      </c>
      <c r="D846" t="s">
        <v>34</v>
      </c>
      <c r="E846">
        <v>2050</v>
      </c>
      <c r="F846" t="s">
        <v>18</v>
      </c>
      <c r="G846" t="s">
        <v>63</v>
      </c>
      <c r="H846" t="s">
        <v>64</v>
      </c>
      <c r="I846" t="s">
        <v>65</v>
      </c>
      <c r="J846">
        <f>SUMIFS(RawResultsLong!$P:$P,RawResultsLong!$A:$A,A846)</f>
        <v>6.833535839999973</v>
      </c>
      <c r="K846">
        <f t="shared" si="27"/>
        <v>216.54168377823322</v>
      </c>
      <c r="L846">
        <f>SUMIFS(EmploymentResults!$V:$V,EmploymentResults!$D:$D,B846,EmploymentResults!$F:$F,C846,EmploymentResults!$G:$G,D846,EmploymentResults!$H:$H,E846,EmploymentResults!$J:$J,G846,EmploymentResults!$K:$K,H846,EmploymentResults!$L:$L,I846)</f>
        <v>15.248631272541488</v>
      </c>
    </row>
    <row r="847" spans="1:12" x14ac:dyDescent="0.3">
      <c r="A847" t="str">
        <f t="shared" si="26"/>
        <v>PD|AccumulatedNewCapacity|RE1|PWRSOLUPE|2051</v>
      </c>
      <c r="B847" t="s">
        <v>16</v>
      </c>
      <c r="C847" t="s">
        <v>19</v>
      </c>
      <c r="D847" t="s">
        <v>34</v>
      </c>
      <c r="E847">
        <v>2051</v>
      </c>
      <c r="F847" t="s">
        <v>18</v>
      </c>
      <c r="G847" t="s">
        <v>63</v>
      </c>
      <c r="H847" t="s">
        <v>64</v>
      </c>
      <c r="I847" t="s">
        <v>65</v>
      </c>
      <c r="J847">
        <f>SUMIFS(RawResultsLong!$P:$P,RawResultsLong!$A:$A,A847)</f>
        <v>3.4689599999999992</v>
      </c>
      <c r="K847">
        <f t="shared" si="27"/>
        <v>109.92470910335383</v>
      </c>
      <c r="L847">
        <f>SUMIFS(EmploymentResults!$V:$V,EmploymentResults!$D:$D,B847,EmploymentResults!$F:$F,C847,EmploymentResults!$G:$G,D847,EmploymentResults!$H:$H,E847,EmploymentResults!$J:$J,G847,EmploymentResults!$K:$K,H847,EmploymentResults!$L:$L,I847)</f>
        <v>7.7407791775327421</v>
      </c>
    </row>
    <row r="848" spans="1:12" x14ac:dyDescent="0.3">
      <c r="A848" t="str">
        <f t="shared" si="26"/>
        <v>PD|AccumulatedNewCapacity|RE1|PWRWNDONS|2025</v>
      </c>
      <c r="B848" t="s">
        <v>16</v>
      </c>
      <c r="C848" t="s">
        <v>19</v>
      </c>
      <c r="D848" t="s">
        <v>36</v>
      </c>
      <c r="E848">
        <v>2025</v>
      </c>
      <c r="F848" t="s">
        <v>18</v>
      </c>
      <c r="G848" t="s">
        <v>63</v>
      </c>
      <c r="H848" t="s">
        <v>64</v>
      </c>
      <c r="I848" t="s">
        <v>65</v>
      </c>
      <c r="J848">
        <f>SUMIFS(RawResultsLong!$P:$P,RawResultsLong!$A:$A,A848)</f>
        <v>0.15362331428571441</v>
      </c>
      <c r="K848">
        <f t="shared" si="27"/>
        <v>4.8680290733678859</v>
      </c>
      <c r="L848">
        <f>SUMIFS(EmploymentResults!$V:$V,EmploymentResults!$D:$D,B848,EmploymentResults!$F:$F,C848,EmploymentResults!$G:$G,D848,EmploymentResults!$H:$H,E848,EmploymentResults!$J:$J,G848,EmploymentResults!$K:$K,H848,EmploymentResults!$L:$L,I848)</f>
        <v>0.14479721513827704</v>
      </c>
    </row>
    <row r="849" spans="1:12" x14ac:dyDescent="0.3">
      <c r="A849" t="str">
        <f t="shared" si="26"/>
        <v>PD|AccumulatedNewCapacity|RE1|PWRWNDONS|2026</v>
      </c>
      <c r="B849" t="s">
        <v>16</v>
      </c>
      <c r="C849" t="s">
        <v>19</v>
      </c>
      <c r="D849" t="s">
        <v>36</v>
      </c>
      <c r="E849">
        <v>2026</v>
      </c>
      <c r="F849" t="s">
        <v>18</v>
      </c>
      <c r="G849" t="s">
        <v>63</v>
      </c>
      <c r="H849" t="s">
        <v>64</v>
      </c>
      <c r="I849" t="s">
        <v>65</v>
      </c>
      <c r="J849">
        <f>SUMIFS(RawResultsLong!$P:$P,RawResultsLong!$A:$A,A849)</f>
        <v>0.15362331428571441</v>
      </c>
      <c r="K849">
        <f t="shared" si="27"/>
        <v>4.8680290733678859</v>
      </c>
      <c r="L849">
        <f>SUMIFS(EmploymentResults!$V:$V,EmploymentResults!$D:$D,B849,EmploymentResults!$F:$F,C849,EmploymentResults!$G:$G,D849,EmploymentResults!$H:$H,E849,EmploymentResults!$J:$J,G849,EmploymentResults!$K:$K,H849,EmploymentResults!$L:$L,I849)</f>
        <v>0.14355355807600428</v>
      </c>
    </row>
    <row r="850" spans="1:12" x14ac:dyDescent="0.3">
      <c r="A850" t="str">
        <f t="shared" si="26"/>
        <v>PD|AccumulatedNewCapacity|RE1|PWRWNDONS|2027</v>
      </c>
      <c r="B850" t="s">
        <v>16</v>
      </c>
      <c r="C850" t="s">
        <v>19</v>
      </c>
      <c r="D850" t="s">
        <v>36</v>
      </c>
      <c r="E850">
        <v>2027</v>
      </c>
      <c r="F850" t="s">
        <v>18</v>
      </c>
      <c r="G850" t="s">
        <v>63</v>
      </c>
      <c r="H850" t="s">
        <v>64</v>
      </c>
      <c r="I850" t="s">
        <v>65</v>
      </c>
      <c r="J850">
        <f>SUMIFS(RawResultsLong!$P:$P,RawResultsLong!$A:$A,A850)</f>
        <v>17.46688731428571</v>
      </c>
      <c r="K850">
        <f t="shared" si="27"/>
        <v>553.4922590528339</v>
      </c>
      <c r="L850">
        <f>SUMIFS(EmploymentResults!$V:$V,EmploymentResults!$D:$D,B850,EmploymentResults!$F:$F,C850,EmploymentResults!$G:$G,D850,EmploymentResults!$H:$H,E850,EmploymentResults!$J:$J,G850,EmploymentResults!$K:$K,H850,EmploymentResults!$L:$L,I850)</f>
        <v>16.180558375940784</v>
      </c>
    </row>
    <row r="851" spans="1:12" x14ac:dyDescent="0.3">
      <c r="A851" t="str">
        <f t="shared" si="26"/>
        <v>PD|AccumulatedNewCapacity|RE1|PWRWNDONS|2028</v>
      </c>
      <c r="B851" t="s">
        <v>16</v>
      </c>
      <c r="C851" t="s">
        <v>19</v>
      </c>
      <c r="D851" t="s">
        <v>36</v>
      </c>
      <c r="E851">
        <v>2028</v>
      </c>
      <c r="F851" t="s">
        <v>18</v>
      </c>
      <c r="G851" t="s">
        <v>63</v>
      </c>
      <c r="H851" t="s">
        <v>64</v>
      </c>
      <c r="I851" t="s">
        <v>65</v>
      </c>
      <c r="J851">
        <f>SUMIFS(RawResultsLong!$P:$P,RawResultsLong!$A:$A,A851)</f>
        <v>23.805623314285711</v>
      </c>
      <c r="K851">
        <f t="shared" si="27"/>
        <v>754.35468205078053</v>
      </c>
      <c r="L851">
        <f>SUMIFS(EmploymentResults!$V:$V,EmploymentResults!$D:$D,B851,EmploymentResults!$F:$F,C851,EmploymentResults!$G:$G,D851,EmploymentResults!$H:$H,E851,EmploymentResults!$J:$J,G851,EmploymentResults!$K:$K,H851,EmploymentResults!$L:$L,I851)</f>
        <v>21.859767063821607</v>
      </c>
    </row>
    <row r="852" spans="1:12" x14ac:dyDescent="0.3">
      <c r="A852" t="str">
        <f t="shared" si="26"/>
        <v>PD|AccumulatedNewCapacity|RE1|PWRWNDONS|2029</v>
      </c>
      <c r="B852" t="s">
        <v>16</v>
      </c>
      <c r="C852" t="s">
        <v>19</v>
      </c>
      <c r="D852" t="s">
        <v>36</v>
      </c>
      <c r="E852">
        <v>2029</v>
      </c>
      <c r="F852" t="s">
        <v>18</v>
      </c>
      <c r="G852" t="s">
        <v>63</v>
      </c>
      <c r="H852" t="s">
        <v>64</v>
      </c>
      <c r="I852" t="s">
        <v>65</v>
      </c>
      <c r="J852">
        <f>SUMIFS(RawResultsLong!$P:$P,RawResultsLong!$A:$A,A852)</f>
        <v>33.266423314285717</v>
      </c>
      <c r="K852">
        <f t="shared" si="27"/>
        <v>1054.1493432417458</v>
      </c>
      <c r="L852">
        <f>SUMIFS(EmploymentResults!$V:$V,EmploymentResults!$D:$D,B852,EmploymentResults!$F:$F,C852,EmploymentResults!$G:$G,D852,EmploymentResults!$H:$H,E852,EmploymentResults!$J:$J,G852,EmploymentResults!$K:$K,H852,EmploymentResults!$L:$L,I852)</f>
        <v>30.277939165346531</v>
      </c>
    </row>
    <row r="853" spans="1:12" x14ac:dyDescent="0.3">
      <c r="A853" t="str">
        <f t="shared" si="26"/>
        <v>PD|AccumulatedNewCapacity|RE1|PWRWNDONS|2030</v>
      </c>
      <c r="B853" t="s">
        <v>16</v>
      </c>
      <c r="C853" t="s">
        <v>19</v>
      </c>
      <c r="D853" t="s">
        <v>36</v>
      </c>
      <c r="E853">
        <v>2030</v>
      </c>
      <c r="F853" t="s">
        <v>18</v>
      </c>
      <c r="G853" t="s">
        <v>63</v>
      </c>
      <c r="H853" t="s">
        <v>64</v>
      </c>
      <c r="I853" t="s">
        <v>65</v>
      </c>
      <c r="J853">
        <f>SUMIFS(RawResultsLong!$P:$P,RawResultsLong!$A:$A,A853)</f>
        <v>33.266423314285717</v>
      </c>
      <c r="K853">
        <f t="shared" si="27"/>
        <v>1054.1493432417458</v>
      </c>
      <c r="L853">
        <f>SUMIFS(EmploymentResults!$V:$V,EmploymentResults!$D:$D,B853,EmploymentResults!$F:$F,C853,EmploymentResults!$G:$G,D853,EmploymentResults!$H:$H,E853,EmploymentResults!$J:$J,G853,EmploymentResults!$K:$K,H853,EmploymentResults!$L:$L,I853)</f>
        <v>30.008630939028613</v>
      </c>
    </row>
    <row r="854" spans="1:12" x14ac:dyDescent="0.3">
      <c r="A854" t="str">
        <f t="shared" si="26"/>
        <v>PD|AccumulatedNewCapacity|RE1|PWRWNDONS|2031</v>
      </c>
      <c r="B854" t="s">
        <v>16</v>
      </c>
      <c r="C854" t="s">
        <v>19</v>
      </c>
      <c r="D854" t="s">
        <v>36</v>
      </c>
      <c r="E854">
        <v>2031</v>
      </c>
      <c r="F854" t="s">
        <v>18</v>
      </c>
      <c r="G854" t="s">
        <v>63</v>
      </c>
      <c r="H854" t="s">
        <v>64</v>
      </c>
      <c r="I854" t="s">
        <v>65</v>
      </c>
      <c r="J854">
        <f>SUMIFS(RawResultsLong!$P:$P,RawResultsLong!$A:$A,A854)</f>
        <v>33.266423314285717</v>
      </c>
      <c r="K854">
        <f t="shared" si="27"/>
        <v>1054.1493432417458</v>
      </c>
      <c r="L854">
        <f>SUMIFS(EmploymentResults!$V:$V,EmploymentResults!$D:$D,B854,EmploymentResults!$F:$F,C854,EmploymentResults!$G:$G,D854,EmploymentResults!$H:$H,E854,EmploymentResults!$J:$J,G854,EmploymentResults!$K:$K,H854,EmploymentResults!$L:$L,I854)</f>
        <v>29.927838471080531</v>
      </c>
    </row>
    <row r="855" spans="1:12" x14ac:dyDescent="0.3">
      <c r="A855" t="str">
        <f t="shared" si="26"/>
        <v>PD|AccumulatedNewCapacity|RE1|PWRWNDONS|2032</v>
      </c>
      <c r="B855" t="s">
        <v>16</v>
      </c>
      <c r="C855" t="s">
        <v>19</v>
      </c>
      <c r="D855" t="s">
        <v>36</v>
      </c>
      <c r="E855">
        <v>2032</v>
      </c>
      <c r="F855" t="s">
        <v>18</v>
      </c>
      <c r="G855" t="s">
        <v>63</v>
      </c>
      <c r="H855" t="s">
        <v>64</v>
      </c>
      <c r="I855" t="s">
        <v>65</v>
      </c>
      <c r="J855">
        <f>SUMIFS(RawResultsLong!$P:$P,RawResultsLong!$A:$A,A855)</f>
        <v>33.266423314285717</v>
      </c>
      <c r="K855">
        <f t="shared" si="27"/>
        <v>1054.1493432417458</v>
      </c>
      <c r="L855">
        <f>SUMIFS(EmploymentResults!$V:$V,EmploymentResults!$D:$D,B855,EmploymentResults!$F:$F,C855,EmploymentResults!$G:$G,D855,EmploymentResults!$H:$H,E855,EmploymentResults!$J:$J,G855,EmploymentResults!$K:$K,H855,EmploymentResults!$L:$L,I855)</f>
        <v>29.847046003132444</v>
      </c>
    </row>
    <row r="856" spans="1:12" x14ac:dyDescent="0.3">
      <c r="A856" t="str">
        <f t="shared" si="26"/>
        <v>PD|AccumulatedNewCapacity|RE1|PWRWNDONS|2033</v>
      </c>
      <c r="B856" t="s">
        <v>16</v>
      </c>
      <c r="C856" t="s">
        <v>19</v>
      </c>
      <c r="D856" t="s">
        <v>36</v>
      </c>
      <c r="E856">
        <v>2033</v>
      </c>
      <c r="F856" t="s">
        <v>18</v>
      </c>
      <c r="G856" t="s">
        <v>63</v>
      </c>
      <c r="H856" t="s">
        <v>64</v>
      </c>
      <c r="I856" t="s">
        <v>65</v>
      </c>
      <c r="J856">
        <f>SUMIFS(RawResultsLong!$P:$P,RawResultsLong!$A:$A,A856)</f>
        <v>33.266423314285717</v>
      </c>
      <c r="K856">
        <f t="shared" si="27"/>
        <v>1054.1493432417458</v>
      </c>
      <c r="L856">
        <f>SUMIFS(EmploymentResults!$V:$V,EmploymentResults!$D:$D,B856,EmploymentResults!$F:$F,C856,EmploymentResults!$G:$G,D856,EmploymentResults!$H:$H,E856,EmploymentResults!$J:$J,G856,EmploymentResults!$K:$K,H856,EmploymentResults!$L:$L,I856)</f>
        <v>29.766253535289774</v>
      </c>
    </row>
    <row r="857" spans="1:12" x14ac:dyDescent="0.3">
      <c r="A857" t="str">
        <f t="shared" si="26"/>
        <v>PD|AccumulatedNewCapacity|RE1|PWRWNDONS|2034</v>
      </c>
      <c r="B857" t="s">
        <v>16</v>
      </c>
      <c r="C857" t="s">
        <v>19</v>
      </c>
      <c r="D857" t="s">
        <v>36</v>
      </c>
      <c r="E857">
        <v>2034</v>
      </c>
      <c r="F857" t="s">
        <v>18</v>
      </c>
      <c r="G857" t="s">
        <v>63</v>
      </c>
      <c r="H857" t="s">
        <v>64</v>
      </c>
      <c r="I857" t="s">
        <v>65</v>
      </c>
      <c r="J857">
        <f>SUMIFS(RawResultsLong!$P:$P,RawResultsLong!$A:$A,A857)</f>
        <v>33.266423314285717</v>
      </c>
      <c r="K857">
        <f t="shared" si="27"/>
        <v>1054.1493432417458</v>
      </c>
      <c r="L857">
        <f>SUMIFS(EmploymentResults!$V:$V,EmploymentResults!$D:$D,B857,EmploymentResults!$F:$F,C857,EmploymentResults!$G:$G,D857,EmploymentResults!$H:$H,E857,EmploymentResults!$J:$J,G857,EmploymentResults!$K:$K,H857,EmploymentResults!$L:$L,I857)</f>
        <v>29.685461067341691</v>
      </c>
    </row>
    <row r="858" spans="1:12" x14ac:dyDescent="0.3">
      <c r="A858" t="str">
        <f t="shared" si="26"/>
        <v>PD|AccumulatedNewCapacity|RE1|PWRWNDONS|2035</v>
      </c>
      <c r="B858" t="s">
        <v>16</v>
      </c>
      <c r="C858" t="s">
        <v>19</v>
      </c>
      <c r="D858" t="s">
        <v>36</v>
      </c>
      <c r="E858">
        <v>2035</v>
      </c>
      <c r="F858" t="s">
        <v>18</v>
      </c>
      <c r="G858" t="s">
        <v>63</v>
      </c>
      <c r="H858" t="s">
        <v>64</v>
      </c>
      <c r="I858" t="s">
        <v>65</v>
      </c>
      <c r="J858">
        <f>SUMIFS(RawResultsLong!$P:$P,RawResultsLong!$A:$A,A858)</f>
        <v>80.576423314285719</v>
      </c>
      <c r="K858">
        <f t="shared" si="27"/>
        <v>2553.3127777234558</v>
      </c>
      <c r="L858">
        <f>SUMIFS(EmploymentResults!$V:$V,EmploymentResults!$D:$D,B858,EmploymentResults!$F:$F,C858,EmploymentResults!$G:$G,D858,EmploymentResults!$H:$H,E858,EmploymentResults!$J:$J,G858,EmploymentResults!$K:$K,H858,EmploymentResults!$L:$L,I858)</f>
        <v>71.707086950928527</v>
      </c>
    </row>
    <row r="859" spans="1:12" x14ac:dyDescent="0.3">
      <c r="A859" t="str">
        <f t="shared" si="26"/>
        <v>PD|AccumulatedNewCapacity|RE1|PWRWNDONS|2036</v>
      </c>
      <c r="B859" t="s">
        <v>16</v>
      </c>
      <c r="C859" t="s">
        <v>19</v>
      </c>
      <c r="D859" t="s">
        <v>36</v>
      </c>
      <c r="E859">
        <v>2036</v>
      </c>
      <c r="F859" t="s">
        <v>18</v>
      </c>
      <c r="G859" t="s">
        <v>63</v>
      </c>
      <c r="H859" t="s">
        <v>64</v>
      </c>
      <c r="I859" t="s">
        <v>65</v>
      </c>
      <c r="J859">
        <f>SUMIFS(RawResultsLong!$P:$P,RawResultsLong!$A:$A,A859)</f>
        <v>127.44667009523739</v>
      </c>
      <c r="K859">
        <f t="shared" si="27"/>
        <v>4038.5412735834598</v>
      </c>
      <c r="L859">
        <f>SUMIFS(EmploymentResults!$V:$V,EmploymentResults!$D:$D,B859,EmploymentResults!$F:$F,C859,EmploymentResults!$G:$G,D859,EmploymentResults!$H:$H,E859,EmploymentResults!$J:$J,G859,EmploymentResults!$K:$K,H859,EmploymentResults!$L:$L,I859)</f>
        <v>113.10863406390276</v>
      </c>
    </row>
    <row r="860" spans="1:12" x14ac:dyDescent="0.3">
      <c r="A860" t="str">
        <f t="shared" si="26"/>
        <v>PD|AccumulatedNewCapacity|RE1|PWRWNDONS|2037</v>
      </c>
      <c r="B860" t="s">
        <v>16</v>
      </c>
      <c r="C860" t="s">
        <v>19</v>
      </c>
      <c r="D860" t="s">
        <v>36</v>
      </c>
      <c r="E860">
        <v>2037</v>
      </c>
      <c r="F860" t="s">
        <v>18</v>
      </c>
      <c r="G860" t="s">
        <v>63</v>
      </c>
      <c r="H860" t="s">
        <v>64</v>
      </c>
      <c r="I860" t="s">
        <v>65</v>
      </c>
      <c r="J860">
        <f>SUMIFS(RawResultsLong!$P:$P,RawResultsLong!$A:$A,A860)</f>
        <v>127.44667009523739</v>
      </c>
      <c r="K860">
        <f t="shared" si="27"/>
        <v>4038.5412735834598</v>
      </c>
      <c r="L860">
        <f>SUMIFS(EmploymentResults!$V:$V,EmploymentResults!$D:$D,B860,EmploymentResults!$F:$F,C860,EmploymentResults!$G:$G,D860,EmploymentResults!$H:$H,E860,EmploymentResults!$J:$J,G860,EmploymentResults!$K:$K,H860,EmploymentResults!$L:$L,I860)</f>
        <v>112.79911082747061</v>
      </c>
    </row>
    <row r="861" spans="1:12" x14ac:dyDescent="0.3">
      <c r="A861" t="str">
        <f t="shared" si="26"/>
        <v>PD|AccumulatedNewCapacity|RE1|PWRWNDONS|2038</v>
      </c>
      <c r="B861" t="s">
        <v>16</v>
      </c>
      <c r="C861" t="s">
        <v>19</v>
      </c>
      <c r="D861" t="s">
        <v>36</v>
      </c>
      <c r="E861">
        <v>2038</v>
      </c>
      <c r="F861" t="s">
        <v>18</v>
      </c>
      <c r="G861" t="s">
        <v>63</v>
      </c>
      <c r="H861" t="s">
        <v>64</v>
      </c>
      <c r="I861" t="s">
        <v>65</v>
      </c>
      <c r="J861">
        <f>SUMIFS(RawResultsLong!$P:$P,RawResultsLong!$A:$A,A861)</f>
        <v>127.44667009523739</v>
      </c>
      <c r="K861">
        <f t="shared" si="27"/>
        <v>4038.5412735834598</v>
      </c>
      <c r="L861">
        <f>SUMIFS(EmploymentResults!$V:$V,EmploymentResults!$D:$D,B861,EmploymentResults!$F:$F,C861,EmploymentResults!$G:$G,D861,EmploymentResults!$H:$H,E861,EmploymentResults!$J:$J,G861,EmploymentResults!$K:$K,H861,EmploymentResults!$L:$L,I861)</f>
        <v>112.48958759103847</v>
      </c>
    </row>
    <row r="862" spans="1:12" x14ac:dyDescent="0.3">
      <c r="A862" t="str">
        <f t="shared" si="26"/>
        <v>PD|AccumulatedNewCapacity|RE1|PWRWNDONS|2039</v>
      </c>
      <c r="B862" t="s">
        <v>16</v>
      </c>
      <c r="C862" t="s">
        <v>19</v>
      </c>
      <c r="D862" t="s">
        <v>36</v>
      </c>
      <c r="E862">
        <v>2039</v>
      </c>
      <c r="F862" t="s">
        <v>18</v>
      </c>
      <c r="G862" t="s">
        <v>63</v>
      </c>
      <c r="H862" t="s">
        <v>64</v>
      </c>
      <c r="I862" t="s">
        <v>65</v>
      </c>
      <c r="J862">
        <f>SUMIFS(RawResultsLong!$P:$P,RawResultsLong!$A:$A,A862)</f>
        <v>127.44667009523739</v>
      </c>
      <c r="K862">
        <f t="shared" si="27"/>
        <v>4038.5412735834598</v>
      </c>
      <c r="L862">
        <f>SUMIFS(EmploymentResults!$V:$V,EmploymentResults!$D:$D,B862,EmploymentResults!$F:$F,C862,EmploymentResults!$G:$G,D862,EmploymentResults!$H:$H,E862,EmploymentResults!$J:$J,G862,EmploymentResults!$K:$K,H862,EmploymentResults!$L:$L,I862)</f>
        <v>112.18006435501017</v>
      </c>
    </row>
    <row r="863" spans="1:12" x14ac:dyDescent="0.3">
      <c r="A863" t="str">
        <f t="shared" si="26"/>
        <v>PD|AccumulatedNewCapacity|RE1|PWRWNDONS|2040</v>
      </c>
      <c r="B863" t="s">
        <v>16</v>
      </c>
      <c r="C863" t="s">
        <v>19</v>
      </c>
      <c r="D863" t="s">
        <v>36</v>
      </c>
      <c r="E863">
        <v>2040</v>
      </c>
      <c r="F863" t="s">
        <v>18</v>
      </c>
      <c r="G863" t="s">
        <v>63</v>
      </c>
      <c r="H863" t="s">
        <v>64</v>
      </c>
      <c r="I863" t="s">
        <v>65</v>
      </c>
      <c r="J863">
        <f>SUMIFS(RawResultsLong!$P:$P,RawResultsLong!$A:$A,A863)</f>
        <v>164.9085388437972</v>
      </c>
      <c r="K863">
        <f t="shared" si="27"/>
        <v>5225.63626016545</v>
      </c>
      <c r="L863">
        <f>SUMIFS(EmploymentResults!$V:$V,EmploymentResults!$D:$D,B863,EmploymentResults!$F:$F,C863,EmploymentResults!$G:$G,D863,EmploymentResults!$H:$H,E863,EmploymentResults!$J:$J,G863,EmploymentResults!$K:$K,H863,EmploymentResults!$L:$L,I863)</f>
        <v>144.75393873958146</v>
      </c>
    </row>
    <row r="864" spans="1:12" x14ac:dyDescent="0.3">
      <c r="A864" t="str">
        <f t="shared" si="26"/>
        <v>PD|AccumulatedNewCapacity|RE1|PWRWNDONS|2041</v>
      </c>
      <c r="B864" t="s">
        <v>16</v>
      </c>
      <c r="C864" t="s">
        <v>19</v>
      </c>
      <c r="D864" t="s">
        <v>36</v>
      </c>
      <c r="E864">
        <v>2041</v>
      </c>
      <c r="F864" t="s">
        <v>18</v>
      </c>
      <c r="G864" t="s">
        <v>63</v>
      </c>
      <c r="H864" t="s">
        <v>64</v>
      </c>
      <c r="I864" t="s">
        <v>65</v>
      </c>
      <c r="J864">
        <f>SUMIFS(RawResultsLong!$P:$P,RawResultsLong!$A:$A,A864)</f>
        <v>212.21853884379721</v>
      </c>
      <c r="K864">
        <f t="shared" si="27"/>
        <v>6724.7996946471594</v>
      </c>
      <c r="L864">
        <f>SUMIFS(EmploymentResults!$V:$V,EmploymentResults!$D:$D,B864,EmploymentResults!$F:$F,C864,EmploymentResults!$G:$G,D864,EmploymentResults!$H:$H,E864,EmploymentResults!$J:$J,G864,EmploymentResults!$K:$K,H864,EmploymentResults!$L:$L,I864)</f>
        <v>185.76645579820814</v>
      </c>
    </row>
    <row r="865" spans="1:12" x14ac:dyDescent="0.3">
      <c r="A865" t="str">
        <f t="shared" si="26"/>
        <v>PD|AccumulatedNewCapacity|RE1|PWRWNDONS|2042</v>
      </c>
      <c r="B865" t="s">
        <v>16</v>
      </c>
      <c r="C865" t="s">
        <v>19</v>
      </c>
      <c r="D865" t="s">
        <v>36</v>
      </c>
      <c r="E865">
        <v>2042</v>
      </c>
      <c r="F865" t="s">
        <v>18</v>
      </c>
      <c r="G865" t="s">
        <v>63</v>
      </c>
      <c r="H865" t="s">
        <v>64</v>
      </c>
      <c r="I865" t="s">
        <v>65</v>
      </c>
      <c r="J865">
        <f>SUMIFS(RawResultsLong!$P:$P,RawResultsLong!$A:$A,A865)</f>
        <v>259.52853884379721</v>
      </c>
      <c r="K865">
        <f t="shared" si="27"/>
        <v>8223.9631291288697</v>
      </c>
      <c r="L865">
        <f>SUMIFS(EmploymentResults!$V:$V,EmploymentResults!$D:$D,B865,EmploymentResults!$F:$F,C865,EmploymentResults!$G:$G,D865,EmploymentResults!$H:$H,E865,EmploymentResults!$J:$J,G865,EmploymentResults!$K:$K,H865,EmploymentResults!$L:$L,I865)</f>
        <v>226.549174082928</v>
      </c>
    </row>
    <row r="866" spans="1:12" x14ac:dyDescent="0.3">
      <c r="A866" t="str">
        <f t="shared" si="26"/>
        <v>PD|AccumulatedNewCapacity|RE1|PWRWNDONS|2043</v>
      </c>
      <c r="B866" t="s">
        <v>16</v>
      </c>
      <c r="C866" t="s">
        <v>19</v>
      </c>
      <c r="D866" t="s">
        <v>36</v>
      </c>
      <c r="E866">
        <v>2043</v>
      </c>
      <c r="F866" t="s">
        <v>18</v>
      </c>
      <c r="G866" t="s">
        <v>63</v>
      </c>
      <c r="H866" t="s">
        <v>64</v>
      </c>
      <c r="I866" t="s">
        <v>65</v>
      </c>
      <c r="J866">
        <f>SUMIFS(RawResultsLong!$P:$P,RawResultsLong!$A:$A,A866)</f>
        <v>278.13010083100028</v>
      </c>
      <c r="K866">
        <f t="shared" si="27"/>
        <v>8813.4110588574622</v>
      </c>
      <c r="L866">
        <f>SUMIFS(EmploymentResults!$V:$V,EmploymentResults!$D:$D,B866,EmploymentResults!$F:$F,C866,EmploymentResults!$G:$G,D866,EmploymentResults!$H:$H,E866,EmploymentResults!$J:$J,G866,EmploymentResults!$K:$K,H866,EmploymentResults!$L:$L,I866)</f>
        <v>242.11147824817783</v>
      </c>
    </row>
    <row r="867" spans="1:12" x14ac:dyDescent="0.3">
      <c r="A867" t="str">
        <f t="shared" si="26"/>
        <v>PD|AccumulatedNewCapacity|RE1|PWRWNDONS|2044</v>
      </c>
      <c r="B867" t="s">
        <v>16</v>
      </c>
      <c r="C867" t="s">
        <v>19</v>
      </c>
      <c r="D867" t="s">
        <v>36</v>
      </c>
      <c r="E867">
        <v>2044</v>
      </c>
      <c r="F867" t="s">
        <v>18</v>
      </c>
      <c r="G867" t="s">
        <v>63</v>
      </c>
      <c r="H867" t="s">
        <v>64</v>
      </c>
      <c r="I867" t="s">
        <v>65</v>
      </c>
      <c r="J867">
        <f>SUMIFS(RawResultsLong!$P:$P,RawResultsLong!$A:$A,A867)</f>
        <v>278.13010083100028</v>
      </c>
      <c r="K867">
        <f t="shared" si="27"/>
        <v>8813.4110588574622</v>
      </c>
      <c r="L867">
        <f>SUMIFS(EmploymentResults!$V:$V,EmploymentResults!$D:$D,B867,EmploymentResults!$F:$F,C867,EmploymentResults!$G:$G,D867,EmploymentResults!$H:$H,E867,EmploymentResults!$J:$J,G867,EmploymentResults!$K:$K,H867,EmploymentResults!$L:$L,I867)</f>
        <v>241.43599783826144</v>
      </c>
    </row>
    <row r="868" spans="1:12" x14ac:dyDescent="0.3">
      <c r="A868" t="str">
        <f t="shared" si="26"/>
        <v>PD|AccumulatedNewCapacity|RE1|PWRWNDONS|2045</v>
      </c>
      <c r="B868" t="s">
        <v>16</v>
      </c>
      <c r="C868" t="s">
        <v>19</v>
      </c>
      <c r="D868" t="s">
        <v>36</v>
      </c>
      <c r="E868">
        <v>2045</v>
      </c>
      <c r="F868" t="s">
        <v>18</v>
      </c>
      <c r="G868" t="s">
        <v>63</v>
      </c>
      <c r="H868" t="s">
        <v>64</v>
      </c>
      <c r="I868" t="s">
        <v>65</v>
      </c>
      <c r="J868">
        <f>SUMIFS(RawResultsLong!$P:$P,RawResultsLong!$A:$A,A868)</f>
        <v>297.11073660181569</v>
      </c>
      <c r="K868">
        <f t="shared" si="27"/>
        <v>9414.8711119291602</v>
      </c>
      <c r="L868">
        <f>SUMIFS(EmploymentResults!$V:$V,EmploymentResults!$D:$D,B868,EmploymentResults!$F:$F,C868,EmploymentResults!$G:$G,D868,EmploymentResults!$H:$H,E868,EmploymentResults!$J:$J,G868,EmploymentResults!$K:$K,H868,EmploymentResults!$L:$L,I868)</f>
        <v>257.19091340457589</v>
      </c>
    </row>
    <row r="869" spans="1:12" x14ac:dyDescent="0.3">
      <c r="A869" t="str">
        <f t="shared" si="26"/>
        <v>PD|AccumulatedNewCapacity|RE1|PWRWNDONS|2046</v>
      </c>
      <c r="B869" t="s">
        <v>16</v>
      </c>
      <c r="C869" t="s">
        <v>19</v>
      </c>
      <c r="D869" t="s">
        <v>36</v>
      </c>
      <c r="E869">
        <v>2046</v>
      </c>
      <c r="F869" t="s">
        <v>18</v>
      </c>
      <c r="G869" t="s">
        <v>63</v>
      </c>
      <c r="H869" t="s">
        <v>64</v>
      </c>
      <c r="I869" t="s">
        <v>65</v>
      </c>
      <c r="J869">
        <f>SUMIFS(RawResultsLong!$P:$P,RawResultsLong!$A:$A,A869)</f>
        <v>344.42073660181569</v>
      </c>
      <c r="K869">
        <f t="shared" si="27"/>
        <v>10914.03454641087</v>
      </c>
      <c r="L869">
        <f>SUMIFS(EmploymentResults!$V:$V,EmploymentResults!$D:$D,B869,EmploymentResults!$F:$F,C869,EmploymentResults!$G:$G,D869,EmploymentResults!$H:$H,E869,EmploymentResults!$J:$J,G869,EmploymentResults!$K:$K,H869,EmploymentResults!$L:$L,I869)</f>
        <v>297.30786078242534</v>
      </c>
    </row>
    <row r="870" spans="1:12" x14ac:dyDescent="0.3">
      <c r="A870" t="str">
        <f t="shared" si="26"/>
        <v>PD|AccumulatedNewCapacity|RE1|PWRWNDONS|2047</v>
      </c>
      <c r="B870" t="s">
        <v>16</v>
      </c>
      <c r="C870" t="s">
        <v>19</v>
      </c>
      <c r="D870" t="s">
        <v>36</v>
      </c>
      <c r="E870">
        <v>2047</v>
      </c>
      <c r="F870" t="s">
        <v>18</v>
      </c>
      <c r="G870" t="s">
        <v>63</v>
      </c>
      <c r="H870" t="s">
        <v>64</v>
      </c>
      <c r="I870" t="s">
        <v>65</v>
      </c>
      <c r="J870">
        <f>SUMIFS(RawResultsLong!$P:$P,RawResultsLong!$A:$A,A870)</f>
        <v>391.73073660181569</v>
      </c>
      <c r="K870">
        <f t="shared" si="27"/>
        <v>12413.197980892579</v>
      </c>
      <c r="L870">
        <f>SUMIFS(EmploymentResults!$V:$V,EmploymentResults!$D:$D,B870,EmploymentResults!$F:$F,C870,EmploymentResults!$G:$G,D870,EmploymentResults!$H:$H,E870,EmploymentResults!$J:$J,G870,EmploymentResults!$K:$K,H870,EmploymentResults!$L:$L,I870)</f>
        <v>337.19500938554552</v>
      </c>
    </row>
    <row r="871" spans="1:12" x14ac:dyDescent="0.3">
      <c r="A871" t="str">
        <f t="shared" si="26"/>
        <v>PD|AccumulatedNewCapacity|RE1|PWRWNDONS|2048</v>
      </c>
      <c r="B871" t="s">
        <v>16</v>
      </c>
      <c r="C871" t="s">
        <v>19</v>
      </c>
      <c r="D871" t="s">
        <v>36</v>
      </c>
      <c r="E871">
        <v>2048</v>
      </c>
      <c r="F871" t="s">
        <v>18</v>
      </c>
      <c r="G871" t="s">
        <v>63</v>
      </c>
      <c r="H871" t="s">
        <v>64</v>
      </c>
      <c r="I871" t="s">
        <v>65</v>
      </c>
      <c r="J871">
        <f>SUMIFS(RawResultsLong!$P:$P,RawResultsLong!$A:$A,A871)</f>
        <v>439.04073660181581</v>
      </c>
      <c r="K871">
        <f t="shared" si="27"/>
        <v>13912.361415374293</v>
      </c>
      <c r="L871">
        <f>SUMIFS(EmploymentResults!$V:$V,EmploymentResults!$D:$D,B871,EmploymentResults!$F:$F,C871,EmploymentResults!$G:$G,D871,EmploymentResults!$H:$H,E871,EmploymentResults!$J:$J,G871,EmploymentResults!$K:$K,H871,EmploymentResults!$L:$L,I871)</f>
        <v>376.85235921532779</v>
      </c>
    </row>
    <row r="872" spans="1:12" x14ac:dyDescent="0.3">
      <c r="A872" t="str">
        <f t="shared" si="26"/>
        <v>PD|AccumulatedNewCapacity|RE1|PWRWNDONS|2049</v>
      </c>
      <c r="B872" t="s">
        <v>16</v>
      </c>
      <c r="C872" t="s">
        <v>19</v>
      </c>
      <c r="D872" t="s">
        <v>36</v>
      </c>
      <c r="E872">
        <v>2049</v>
      </c>
      <c r="F872" t="s">
        <v>18</v>
      </c>
      <c r="G872" t="s">
        <v>63</v>
      </c>
      <c r="H872" t="s">
        <v>64</v>
      </c>
      <c r="I872" t="s">
        <v>65</v>
      </c>
      <c r="J872">
        <f>SUMIFS(RawResultsLong!$P:$P,RawResultsLong!$A:$A,A872)</f>
        <v>439.04073660181581</v>
      </c>
      <c r="K872">
        <f t="shared" si="27"/>
        <v>13912.361415374293</v>
      </c>
      <c r="L872">
        <f>SUMIFS(EmploymentResults!$V:$V,EmploymentResults!$D:$D,B872,EmploymentResults!$F:$F,C872,EmploymentResults!$G:$G,D872,EmploymentResults!$H:$H,E872,EmploymentResults!$J:$J,G872,EmploymentResults!$K:$K,H872,EmploymentResults!$L:$L,I872)</f>
        <v>375.7860833399597</v>
      </c>
    </row>
    <row r="873" spans="1:12" x14ac:dyDescent="0.3">
      <c r="A873" t="str">
        <f t="shared" si="26"/>
        <v>PD|AccumulatedNewCapacity|RE1|PWRWNDONS|2050</v>
      </c>
      <c r="B873" t="s">
        <v>16</v>
      </c>
      <c r="C873" t="s">
        <v>19</v>
      </c>
      <c r="D873" t="s">
        <v>36</v>
      </c>
      <c r="E873">
        <v>2050</v>
      </c>
      <c r="F873" t="s">
        <v>18</v>
      </c>
      <c r="G873" t="s">
        <v>63</v>
      </c>
      <c r="H873" t="s">
        <v>64</v>
      </c>
      <c r="I873" t="s">
        <v>65</v>
      </c>
      <c r="J873">
        <f>SUMIFS(RawResultsLong!$P:$P,RawResultsLong!$A:$A,A873)</f>
        <v>439.04073660181581</v>
      </c>
      <c r="K873">
        <f t="shared" si="27"/>
        <v>13912.361415374293</v>
      </c>
      <c r="L873">
        <f>SUMIFS(EmploymentResults!$V:$V,EmploymentResults!$D:$D,B873,EmploymentResults!$F:$F,C873,EmploymentResults!$G:$G,D873,EmploymentResults!$H:$H,E873,EmploymentResults!$J:$J,G873,EmploymentResults!$K:$K,H873,EmploymentResults!$L:$L,I873)</f>
        <v>374.71980746459167</v>
      </c>
    </row>
    <row r="874" spans="1:12" x14ac:dyDescent="0.3">
      <c r="A874" t="str">
        <f t="shared" si="26"/>
        <v>PD|AccumulatedNewCapacity|RE1|PWRWNDONS|2051</v>
      </c>
      <c r="B874" t="s">
        <v>16</v>
      </c>
      <c r="C874" t="s">
        <v>19</v>
      </c>
      <c r="D874" t="s">
        <v>36</v>
      </c>
      <c r="E874">
        <v>2051</v>
      </c>
      <c r="F874" t="s">
        <v>18</v>
      </c>
      <c r="G874" t="s">
        <v>63</v>
      </c>
      <c r="H874" t="s">
        <v>64</v>
      </c>
      <c r="I874" t="s">
        <v>65</v>
      </c>
      <c r="J874">
        <f>SUMIFS(RawResultsLong!$P:$P,RawResultsLong!$A:$A,A874)</f>
        <v>439.04073660181581</v>
      </c>
      <c r="K874">
        <f t="shared" si="27"/>
        <v>13912.361415374293</v>
      </c>
      <c r="L874">
        <f>SUMIFS(EmploymentResults!$V:$V,EmploymentResults!$D:$D,B874,EmploymentResults!$F:$F,C874,EmploymentResults!$G:$G,D874,EmploymentResults!$H:$H,E874,EmploymentResults!$J:$J,G874,EmploymentResults!$K:$K,H874,EmploymentResults!$L:$L,I874)</f>
        <v>374.71980746459167</v>
      </c>
    </row>
    <row r="875" spans="1:12" x14ac:dyDescent="0.3">
      <c r="A875" t="str">
        <f t="shared" si="26"/>
        <v>PD|AccumulatedNewCapacity|RE1|PWRWNDONS|2052</v>
      </c>
      <c r="B875" t="s">
        <v>16</v>
      </c>
      <c r="C875" t="s">
        <v>19</v>
      </c>
      <c r="D875" t="s">
        <v>36</v>
      </c>
      <c r="E875">
        <v>2052</v>
      </c>
      <c r="F875" t="s">
        <v>18</v>
      </c>
      <c r="G875" t="s">
        <v>63</v>
      </c>
      <c r="H875" t="s">
        <v>64</v>
      </c>
      <c r="I875" t="s">
        <v>65</v>
      </c>
      <c r="J875">
        <f>SUMIFS(RawResultsLong!$P:$P,RawResultsLong!$A:$A,A875)</f>
        <v>486.35073660181581</v>
      </c>
      <c r="K875">
        <f t="shared" si="27"/>
        <v>15411.524849856003</v>
      </c>
      <c r="L875">
        <f>SUMIFS(EmploymentResults!$V:$V,EmploymentResults!$D:$D,B875,EmploymentResults!$F:$F,C875,EmploymentResults!$G:$G,D875,EmploymentResults!$H:$H,E875,EmploymentResults!$J:$J,G875,EmploymentResults!$K:$K,H875,EmploymentResults!$L:$L,I875)</f>
        <v>415.09873500640674</v>
      </c>
    </row>
    <row r="876" spans="1:12" x14ac:dyDescent="0.3">
      <c r="A876" t="str">
        <f t="shared" si="26"/>
        <v>PD|AccumulatedNewCapacity|RE1|PWRWNDONS|2053</v>
      </c>
      <c r="B876" t="s">
        <v>16</v>
      </c>
      <c r="C876" t="s">
        <v>19</v>
      </c>
      <c r="D876" t="s">
        <v>36</v>
      </c>
      <c r="E876">
        <v>2053</v>
      </c>
      <c r="F876" t="s">
        <v>18</v>
      </c>
      <c r="G876" t="s">
        <v>63</v>
      </c>
      <c r="H876" t="s">
        <v>64</v>
      </c>
      <c r="I876" t="s">
        <v>65</v>
      </c>
      <c r="J876">
        <f>SUMIFS(RawResultsLong!$P:$P,RawResultsLong!$A:$A,A876)</f>
        <v>533.66073660181576</v>
      </c>
      <c r="K876">
        <f t="shared" si="27"/>
        <v>16910.688284337713</v>
      </c>
      <c r="L876">
        <f>SUMIFS(EmploymentResults!$V:$V,EmploymentResults!$D:$D,B876,EmploymentResults!$F:$F,C876,EmploymentResults!$G:$G,D876,EmploymentResults!$H:$H,E876,EmploymentResults!$J:$J,G876,EmploymentResults!$K:$K,H876,EmploymentResults!$L:$L,I876)</f>
        <v>455.47766254822182</v>
      </c>
    </row>
    <row r="877" spans="1:12" x14ac:dyDescent="0.3">
      <c r="A877" t="str">
        <f t="shared" si="26"/>
        <v>PD|AccumulatedNewCapacity|RE1|PWRWNDONS|2054</v>
      </c>
      <c r="B877" t="s">
        <v>16</v>
      </c>
      <c r="C877" t="s">
        <v>19</v>
      </c>
      <c r="D877" t="s">
        <v>36</v>
      </c>
      <c r="E877">
        <v>2054</v>
      </c>
      <c r="F877" t="s">
        <v>18</v>
      </c>
      <c r="G877" t="s">
        <v>63</v>
      </c>
      <c r="H877" t="s">
        <v>64</v>
      </c>
      <c r="I877" t="s">
        <v>65</v>
      </c>
      <c r="J877">
        <f>SUMIFS(RawResultsLong!$P:$P,RawResultsLong!$A:$A,A877)</f>
        <v>580.97073660181582</v>
      </c>
      <c r="K877">
        <f t="shared" si="27"/>
        <v>18409.85171881942</v>
      </c>
      <c r="L877">
        <f>SUMIFS(EmploymentResults!$V:$V,EmploymentResults!$D:$D,B877,EmploymentResults!$F:$F,C877,EmploymentResults!$G:$G,D877,EmploymentResults!$H:$H,E877,EmploymentResults!$J:$J,G877,EmploymentResults!$K:$K,H877,EmploymentResults!$L:$L,I877)</f>
        <v>495.85659009003683</v>
      </c>
    </row>
    <row r="878" spans="1:12" x14ac:dyDescent="0.3">
      <c r="A878" t="str">
        <f t="shared" si="26"/>
        <v>PD|AccumulatedNewCapacity|RE1|PWRWNDONS|2055</v>
      </c>
      <c r="B878" t="s">
        <v>16</v>
      </c>
      <c r="C878" t="s">
        <v>19</v>
      </c>
      <c r="D878" t="s">
        <v>36</v>
      </c>
      <c r="E878">
        <v>2055</v>
      </c>
      <c r="F878" t="s">
        <v>18</v>
      </c>
      <c r="G878" t="s">
        <v>63</v>
      </c>
      <c r="H878" t="s">
        <v>64</v>
      </c>
      <c r="I878" t="s">
        <v>65</v>
      </c>
      <c r="J878">
        <f>SUMIFS(RawResultsLong!$P:$P,RawResultsLong!$A:$A,A878)</f>
        <v>621.5943202703611</v>
      </c>
      <c r="K878">
        <f t="shared" si="27"/>
        <v>19697.135405428839</v>
      </c>
      <c r="L878">
        <f>SUMIFS(EmploymentResults!$V:$V,EmploymentResults!$D:$D,B878,EmploymentResults!$F:$F,C878,EmploymentResults!$G:$G,D878,EmploymentResults!$H:$H,E878,EmploymentResults!$J:$J,G878,EmploymentResults!$K:$K,H878,EmploymentResults!$L:$L,I878)</f>
        <v>530.52868354683358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88"/>
  <sheetViews>
    <sheetView zoomScale="70" zoomScaleNormal="70" workbookViewId="0">
      <pane ySplit="1" topLeftCell="A829" activePane="bottomLeft" state="frozen"/>
      <selection pane="bottomLeft" activeCell="A888" sqref="A888"/>
    </sheetView>
  </sheetViews>
  <sheetFormatPr defaultRowHeight="14.4" x14ac:dyDescent="0.3"/>
  <cols>
    <col min="1" max="1" width="52.109375" bestFit="1" customWidth="1"/>
    <col min="2" max="2" width="56.77734375" bestFit="1" customWidth="1"/>
    <col min="3" max="3" width="37.33203125" bestFit="1" customWidth="1"/>
    <col min="4" max="4" width="10.21875" bestFit="1" customWidth="1"/>
    <col min="5" max="5" width="34.33203125" bestFit="1" customWidth="1"/>
    <col min="6" max="6" width="8.5546875" bestFit="1" customWidth="1"/>
    <col min="7" max="7" width="16.6640625" bestFit="1" customWidth="1"/>
    <col min="8" max="8" width="6.88671875" bestFit="1" customWidth="1"/>
    <col min="9" max="9" width="22.6640625" bestFit="1" customWidth="1"/>
    <col min="10" max="10" width="39.21875" bestFit="1" customWidth="1"/>
    <col min="11" max="11" width="25" bestFit="1" customWidth="1"/>
    <col min="12" max="12" width="10.77734375" bestFit="1" customWidth="1"/>
    <col min="13" max="13" width="19" bestFit="1" customWidth="1"/>
    <col min="14" max="14" width="14.33203125" bestFit="1" customWidth="1"/>
    <col min="15" max="15" width="24.77734375" bestFit="1" customWidth="1"/>
    <col min="16" max="16" width="22.21875" bestFit="1" customWidth="1"/>
    <col min="17" max="17" width="25.44140625" bestFit="1" customWidth="1"/>
    <col min="18" max="18" width="13.77734375" bestFit="1" customWidth="1"/>
    <col min="19" max="19" width="12.5546875" bestFit="1" customWidth="1"/>
    <col min="20" max="20" width="14.77734375" bestFit="1" customWidth="1"/>
    <col min="21" max="21" width="15.88671875" bestFit="1" customWidth="1"/>
    <col min="22" max="22" width="17.44140625" bestFit="1" customWidth="1"/>
    <col min="23" max="23" width="67.33203125" bestFit="1" customWidth="1"/>
  </cols>
  <sheetData>
    <row r="1" spans="1:23" x14ac:dyDescent="0.3">
      <c r="A1" t="s">
        <v>0</v>
      </c>
      <c r="B1" t="s">
        <v>48</v>
      </c>
      <c r="C1" t="s">
        <v>49</v>
      </c>
      <c r="D1" t="s">
        <v>1</v>
      </c>
      <c r="E1" t="s">
        <v>2</v>
      </c>
      <c r="F1" t="s">
        <v>4</v>
      </c>
      <c r="G1" t="s">
        <v>5</v>
      </c>
      <c r="H1" t="s">
        <v>14</v>
      </c>
      <c r="I1" t="s">
        <v>3</v>
      </c>
      <c r="J1" t="s">
        <v>50</v>
      </c>
      <c r="K1" t="s">
        <v>51</v>
      </c>
      <c r="L1" t="s">
        <v>52</v>
      </c>
      <c r="M1" t="s">
        <v>15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</row>
    <row r="2" spans="1:23" x14ac:dyDescent="0.3">
      <c r="A2" t="str">
        <f t="shared" ref="A2:A65" si="0">D2&amp;"|"&amp;I2&amp;"|"&amp;F2&amp;"|"&amp;G2&amp;"|"&amp;H2</f>
        <v>PD|AccumulatedNewCapacity|RE1|PWRSOLUGE|2025</v>
      </c>
      <c r="B2" t="str">
        <f t="shared" ref="B2:B65" si="1">O2&amp;"|"&amp;H2&amp;"|"&amp;K2&amp;"|"&amp;L2</f>
        <v>Utility-scale solar PV|2025|O&amp;M|Direct</v>
      </c>
      <c r="C2" t="str">
        <f t="shared" ref="C2:C65" si="2">G2&amp;"|"&amp;O2</f>
        <v>PWRSOLUGE|Utility-scale solar PV</v>
      </c>
      <c r="D2" t="s">
        <v>16</v>
      </c>
      <c r="E2" t="s">
        <v>17</v>
      </c>
      <c r="F2" t="s">
        <v>19</v>
      </c>
      <c r="G2" t="s">
        <v>33</v>
      </c>
      <c r="H2">
        <v>2025</v>
      </c>
      <c r="I2" t="s">
        <v>18</v>
      </c>
      <c r="J2" t="s">
        <v>63</v>
      </c>
      <c r="K2" t="s">
        <v>64</v>
      </c>
      <c r="L2" t="s">
        <v>65</v>
      </c>
      <c r="M2">
        <f>SUMIFS(RawResultsLong!$P:$P,RawResultsLong!$A:$A,A2)</f>
        <v>6.717168</v>
      </c>
      <c r="N2">
        <f t="shared" ref="N2:N65" si="3">M2*1000/31.5576</f>
        <v>212.85420944558521</v>
      </c>
      <c r="O2" t="s">
        <v>66</v>
      </c>
      <c r="P2">
        <f>SUMIFS(TechnologyMapping!$D:$D,TechnologyMapping!$A:$A,C2)</f>
        <v>1</v>
      </c>
      <c r="Q2">
        <f t="shared" ref="Q2:Q65" si="4">N2*P2</f>
        <v>212.85420944558521</v>
      </c>
      <c r="R2">
        <f>SUMIFS(FactorInputs!$I:$I,FactorInputs!$A:$A,B2)</f>
        <v>9.4109234234200007E-2</v>
      </c>
      <c r="S2" t="str">
        <f>_xlfn.XLOOKUP(B2,FactorInputs!$A$2:$A$888,FactorInputs!$F$2:$F$888,"")</f>
        <v>job/MW</v>
      </c>
      <c r="T2" t="str">
        <f>_xlfn.XLOOKUP(B2,FactorInputs!$A$2:$A$888,FactorInputs!$B$2:$B$888,"")</f>
        <v>I-JEDI</v>
      </c>
      <c r="U2" t="str">
        <f>_xlfn.XLOOKUP(B2,FactorInputs!$A$2:$A$888,FactorInputs!$T$2:$T$888,"")</f>
        <v>I-JEDI</v>
      </c>
      <c r="V2">
        <f t="shared" ref="V2:V65" si="5">Q2*R2</f>
        <v>20.031546654450047</v>
      </c>
    </row>
    <row r="3" spans="1:23" x14ac:dyDescent="0.3">
      <c r="A3" t="str">
        <f t="shared" si="0"/>
        <v>PD|AccumulatedNewCapacity|RE1|PWRSOLUPE|2025</v>
      </c>
      <c r="B3" t="str">
        <f t="shared" si="1"/>
        <v>Utility-scale solar PV|2025|O&amp;M|Direct</v>
      </c>
      <c r="C3" t="str">
        <f t="shared" si="2"/>
        <v>PWRSOLUPE|Utility-scale solar PV</v>
      </c>
      <c r="D3" t="s">
        <v>16</v>
      </c>
      <c r="E3" t="s">
        <v>17</v>
      </c>
      <c r="F3" t="s">
        <v>19</v>
      </c>
      <c r="G3" t="s">
        <v>34</v>
      </c>
      <c r="H3">
        <v>2025</v>
      </c>
      <c r="I3" t="s">
        <v>18</v>
      </c>
      <c r="J3" t="s">
        <v>63</v>
      </c>
      <c r="K3" t="s">
        <v>64</v>
      </c>
      <c r="L3" t="s">
        <v>65</v>
      </c>
      <c r="M3">
        <f>SUMIFS(RawResultsLong!$P:$P,RawResultsLong!$A:$A,A3)</f>
        <v>5.3106623999999574</v>
      </c>
      <c r="N3">
        <f t="shared" si="3"/>
        <v>168.28473648186039</v>
      </c>
      <c r="O3" t="s">
        <v>66</v>
      </c>
      <c r="P3">
        <f>SUMIFS(TechnologyMapping!$D:$D,TechnologyMapping!$A:$A,C3)</f>
        <v>1</v>
      </c>
      <c r="Q3">
        <f t="shared" si="4"/>
        <v>168.28473648186039</v>
      </c>
      <c r="R3">
        <f>SUMIFS(FactorInputs!$I:$I,FactorInputs!$A:$A,B3)</f>
        <v>9.4109234234200007E-2</v>
      </c>
      <c r="S3" t="str">
        <f>_xlfn.XLOOKUP(B3,FactorInputs!$A$2:$A$888,FactorInputs!$F$2:$F$888,"")</f>
        <v>job/MW</v>
      </c>
      <c r="T3" t="str">
        <f>_xlfn.XLOOKUP(B3,FactorInputs!$A$2:$A$888,FactorInputs!$B$2:$B$888,"")</f>
        <v>I-JEDI</v>
      </c>
      <c r="U3" t="str">
        <f>_xlfn.XLOOKUP(B3,FactorInputs!$A$2:$A$888,FactorInputs!$T$2:$T$888,"")</f>
        <v>I-JEDI</v>
      </c>
      <c r="V3">
        <f t="shared" si="5"/>
        <v>15.837147683612022</v>
      </c>
      <c r="W3" t="s">
        <v>67</v>
      </c>
    </row>
    <row r="4" spans="1:23" x14ac:dyDescent="0.3">
      <c r="A4" t="str">
        <f t="shared" si="0"/>
        <v>PD|AccumulatedNewCapacity|RE1|PWRWNDONS|2025</v>
      </c>
      <c r="B4" t="str">
        <f t="shared" si="1"/>
        <v>Onshore wind|2025|O&amp;M|Direct</v>
      </c>
      <c r="C4" t="str">
        <f t="shared" si="2"/>
        <v>PWRWNDONS|Onshore wind</v>
      </c>
      <c r="D4" t="s">
        <v>16</v>
      </c>
      <c r="E4" t="s">
        <v>17</v>
      </c>
      <c r="F4" t="s">
        <v>19</v>
      </c>
      <c r="G4" t="s">
        <v>36</v>
      </c>
      <c r="H4">
        <v>2025</v>
      </c>
      <c r="I4" t="s">
        <v>18</v>
      </c>
      <c r="J4" t="s">
        <v>63</v>
      </c>
      <c r="K4" t="s">
        <v>64</v>
      </c>
      <c r="L4" t="s">
        <v>65</v>
      </c>
      <c r="M4">
        <f>SUMIFS(RawResultsLong!$P:$P,RawResultsLong!$A:$A,A4)</f>
        <v>0.15362331428571441</v>
      </c>
      <c r="N4">
        <f t="shared" si="3"/>
        <v>4.8680290733678859</v>
      </c>
      <c r="O4" t="s">
        <v>68</v>
      </c>
      <c r="P4">
        <f>SUMIFS(TechnologyMapping!$D:$D,TechnologyMapping!$A:$A,C4)</f>
        <v>1</v>
      </c>
      <c r="Q4">
        <f t="shared" si="4"/>
        <v>4.8680290733678859</v>
      </c>
      <c r="R4">
        <f>SUMIFS(FactorInputs!$I:$I,FactorInputs!$A:$A,B4)</f>
        <v>2.9744525547400001E-2</v>
      </c>
      <c r="S4" t="str">
        <f>_xlfn.XLOOKUP(B4,FactorInputs!$A$2:$A$888,FactorInputs!$F$2:$F$888,"")</f>
        <v>job/MW</v>
      </c>
      <c r="T4" t="str">
        <f>_xlfn.XLOOKUP(B4,FactorInputs!$A$2:$A$888,FactorInputs!$B$2:$B$888,"")</f>
        <v>I-JEDI</v>
      </c>
      <c r="U4" t="str">
        <f>_xlfn.XLOOKUP(B4,FactorInputs!$A$2:$A$888,FactorInputs!$T$2:$T$888,"")</f>
        <v>I-JEDI</v>
      </c>
      <c r="V4">
        <f t="shared" si="5"/>
        <v>0.14479721513827704</v>
      </c>
    </row>
    <row r="5" spans="1:23" x14ac:dyDescent="0.3">
      <c r="A5" t="str">
        <f t="shared" si="0"/>
        <v>PD|NewCapacity|RE1|PWRSOLUGE|2025</v>
      </c>
      <c r="B5" t="str">
        <f t="shared" si="1"/>
        <v>Utility-scale solar PV|2025|Construction&amp;Manufacturing|Direct</v>
      </c>
      <c r="C5" t="str">
        <f t="shared" si="2"/>
        <v>PWRSOLUGE|Utility-scale solar PV</v>
      </c>
      <c r="D5" t="s">
        <v>16</v>
      </c>
      <c r="E5" t="s">
        <v>17</v>
      </c>
      <c r="F5" t="s">
        <v>19</v>
      </c>
      <c r="G5" t="s">
        <v>33</v>
      </c>
      <c r="H5">
        <v>2025</v>
      </c>
      <c r="I5" t="s">
        <v>37</v>
      </c>
      <c r="J5" t="s">
        <v>69</v>
      </c>
      <c r="K5" t="s">
        <v>70</v>
      </c>
      <c r="L5" t="s">
        <v>65</v>
      </c>
      <c r="M5">
        <f>SUMIFS(RawResultsLong!$P:$P,RawResultsLong!$A:$A,A5)</f>
        <v>6.717168</v>
      </c>
      <c r="N5">
        <f t="shared" si="3"/>
        <v>212.85420944558521</v>
      </c>
      <c r="O5" t="s">
        <v>66</v>
      </c>
      <c r="P5">
        <f>SUMIFS(TechnologyMapping!$D:$D,TechnologyMapping!$A:$A,C5)</f>
        <v>1</v>
      </c>
      <c r="Q5">
        <f t="shared" si="4"/>
        <v>212.85420944558521</v>
      </c>
      <c r="R5">
        <f>SUMIFS(FactorInputs!$I:$I,FactorInputs!$A:$A,B5)</f>
        <v>9.4551514256299996</v>
      </c>
      <c r="S5" t="str">
        <f>_xlfn.XLOOKUP(B5,FactorInputs!$A$2:$A$888,FactorInputs!$F$2:$F$888,"")</f>
        <v>job-yr/MW</v>
      </c>
      <c r="T5" t="str">
        <f>_xlfn.XLOOKUP(B5,FactorInputs!$A$2:$A$888,FactorInputs!$B$2:$B$888,"")</f>
        <v>I-JEDI</v>
      </c>
      <c r="U5" t="str">
        <f>_xlfn.XLOOKUP(B5,FactorInputs!$A$2:$A$888,FactorInputs!$T$2:$T$888,"")</f>
        <v>I-JEDI</v>
      </c>
      <c r="V5">
        <f t="shared" si="5"/>
        <v>2012.5687818907716</v>
      </c>
    </row>
    <row r="6" spans="1:23" x14ac:dyDescent="0.3">
      <c r="A6" t="str">
        <f t="shared" si="0"/>
        <v>PD|NewCapacity|RE1|PWRSOLUPE|2025</v>
      </c>
      <c r="B6" t="str">
        <f t="shared" si="1"/>
        <v>Utility-scale solar PV|2025|Construction&amp;Manufacturing|Direct</v>
      </c>
      <c r="C6" t="str">
        <f t="shared" si="2"/>
        <v>PWRSOLUPE|Utility-scale solar PV</v>
      </c>
      <c r="D6" t="s">
        <v>16</v>
      </c>
      <c r="E6" t="s">
        <v>17</v>
      </c>
      <c r="F6" t="s">
        <v>19</v>
      </c>
      <c r="G6" t="s">
        <v>34</v>
      </c>
      <c r="H6">
        <v>2025</v>
      </c>
      <c r="I6" t="s">
        <v>37</v>
      </c>
      <c r="J6" t="s">
        <v>69</v>
      </c>
      <c r="K6" t="s">
        <v>70</v>
      </c>
      <c r="L6" t="s">
        <v>65</v>
      </c>
      <c r="M6">
        <f>SUMIFS(RawResultsLong!$P:$P,RawResultsLong!$A:$A,A6)</f>
        <v>5.3106623999999574</v>
      </c>
      <c r="N6">
        <f t="shared" si="3"/>
        <v>168.28473648186039</v>
      </c>
      <c r="O6" t="s">
        <v>66</v>
      </c>
      <c r="P6">
        <f>SUMIFS(TechnologyMapping!$D:$D,TechnologyMapping!$A:$A,C6)</f>
        <v>1</v>
      </c>
      <c r="Q6">
        <f t="shared" si="4"/>
        <v>168.28473648186039</v>
      </c>
      <c r="R6">
        <f>SUMIFS(FactorInputs!$I:$I,FactorInputs!$A:$A,B6)</f>
        <v>9.4551514256299996</v>
      </c>
      <c r="S6" t="str">
        <f>_xlfn.XLOOKUP(B6,FactorInputs!$A$2:$A$888,FactorInputs!$F$2:$F$888,"")</f>
        <v>job-yr/MW</v>
      </c>
      <c r="T6" t="str">
        <f>_xlfn.XLOOKUP(B6,FactorInputs!$A$2:$A$888,FactorInputs!$B$2:$B$888,"")</f>
        <v>I-JEDI</v>
      </c>
      <c r="U6" t="str">
        <f>_xlfn.XLOOKUP(B6,FactorInputs!$A$2:$A$888,FactorInputs!$T$2:$T$888,"")</f>
        <v>I-JEDI</v>
      </c>
      <c r="V6">
        <f t="shared" si="5"/>
        <v>1591.1576660582311</v>
      </c>
      <c r="W6" t="s">
        <v>67</v>
      </c>
    </row>
    <row r="7" spans="1:23" x14ac:dyDescent="0.3">
      <c r="A7" t="str">
        <f t="shared" si="0"/>
        <v>PD|NewCapacity|RE1|PWRWNDONS|2025</v>
      </c>
      <c r="B7" t="str">
        <f t="shared" si="1"/>
        <v>Onshore wind|2025|Construction&amp;Manufacturing|Direct</v>
      </c>
      <c r="C7" t="str">
        <f t="shared" si="2"/>
        <v>PWRWNDONS|Onshore wind</v>
      </c>
      <c r="D7" t="s">
        <v>16</v>
      </c>
      <c r="E7" t="s">
        <v>17</v>
      </c>
      <c r="F7" t="s">
        <v>19</v>
      </c>
      <c r="G7" t="s">
        <v>36</v>
      </c>
      <c r="H7">
        <v>2025</v>
      </c>
      <c r="I7" t="s">
        <v>37</v>
      </c>
      <c r="J7" t="s">
        <v>69</v>
      </c>
      <c r="K7" t="s">
        <v>70</v>
      </c>
      <c r="L7" t="s">
        <v>65</v>
      </c>
      <c r="M7">
        <f>SUMIFS(RawResultsLong!$P:$P,RawResultsLong!$A:$A,A7)</f>
        <v>0.15362331428571441</v>
      </c>
      <c r="N7">
        <f t="shared" si="3"/>
        <v>4.8680290733678859</v>
      </c>
      <c r="O7" t="s">
        <v>68</v>
      </c>
      <c r="P7">
        <f>SUMIFS(TechnologyMapping!$D:$D,TechnologyMapping!$A:$A,C7)</f>
        <v>1</v>
      </c>
      <c r="Q7">
        <f t="shared" si="4"/>
        <v>4.8680290733678859</v>
      </c>
      <c r="R7">
        <f>SUMIFS(FactorInputs!$I:$I,FactorInputs!$A:$A,B7)</f>
        <v>7.1854324967599998</v>
      </c>
      <c r="S7" t="str">
        <f>_xlfn.XLOOKUP(B7,FactorInputs!$A$2:$A$888,FactorInputs!$F$2:$F$888,"")</f>
        <v>job-yr/MW</v>
      </c>
      <c r="T7" t="str">
        <f>_xlfn.XLOOKUP(B7,FactorInputs!$A$2:$A$888,FactorInputs!$B$2:$B$888,"")</f>
        <v>I-JEDI</v>
      </c>
      <c r="U7" t="str">
        <f>_xlfn.XLOOKUP(B7,FactorInputs!$A$2:$A$888,FactorInputs!$T$2:$T$888,"")</f>
        <v>I-JEDI</v>
      </c>
      <c r="V7">
        <f t="shared" si="5"/>
        <v>34.978894298950074</v>
      </c>
    </row>
    <row r="8" spans="1:23" x14ac:dyDescent="0.3">
      <c r="A8" t="str">
        <f t="shared" si="0"/>
        <v>PD|AccumulatedNewCapacity|RE1|PWRSOLRTP|2026</v>
      </c>
      <c r="B8" t="str">
        <f t="shared" si="1"/>
        <v>Rooftop solar PV|2026|O&amp;M|Direct</v>
      </c>
      <c r="C8" t="str">
        <f t="shared" si="2"/>
        <v>PWRSOLRTP|Rooftop solar PV</v>
      </c>
      <c r="D8" t="s">
        <v>16</v>
      </c>
      <c r="E8" t="s">
        <v>17</v>
      </c>
      <c r="F8" t="s">
        <v>19</v>
      </c>
      <c r="G8" t="s">
        <v>31</v>
      </c>
      <c r="H8">
        <v>2026</v>
      </c>
      <c r="I8" t="s">
        <v>18</v>
      </c>
      <c r="J8" t="s">
        <v>63</v>
      </c>
      <c r="K8" t="s">
        <v>64</v>
      </c>
      <c r="L8" t="s">
        <v>65</v>
      </c>
      <c r="M8">
        <f>SUMIFS(RawResultsLong!$P:$P,RawResultsLong!$A:$A,A8)</f>
        <v>7.9387888395688</v>
      </c>
      <c r="N8">
        <f t="shared" si="3"/>
        <v>251.56503788528912</v>
      </c>
      <c r="O8" t="s">
        <v>71</v>
      </c>
      <c r="P8">
        <f>SUMIFS(TechnologyMapping!$D:$D,TechnologyMapping!$A:$A,C8)</f>
        <v>1</v>
      </c>
      <c r="Q8">
        <f t="shared" si="4"/>
        <v>251.56503788528912</v>
      </c>
      <c r="R8">
        <f>SUMIFS(FactorInputs!$I:$I,FactorInputs!$A:$A,B8)</f>
        <v>0.28588235294100001</v>
      </c>
      <c r="S8" t="str">
        <f>_xlfn.XLOOKUP(B8,FactorInputs!$A$2:$A$888,FactorInputs!$F$2:$F$888,"")</f>
        <v>job/MW</v>
      </c>
      <c r="T8" t="str">
        <f>_xlfn.XLOOKUP(B8,FactorInputs!$A$2:$A$888,FactorInputs!$B$2:$B$888,"")</f>
        <v>JEDI-US</v>
      </c>
      <c r="U8" t="str">
        <f>_xlfn.XLOOKUP(B8,FactorInputs!$A$2:$A$888,FactorInputs!$T$2:$T$888,"")</f>
        <v>JEDI-US</v>
      </c>
      <c r="V8">
        <f t="shared" si="5"/>
        <v>71.918004948338265</v>
      </c>
    </row>
    <row r="9" spans="1:23" x14ac:dyDescent="0.3">
      <c r="A9" t="str">
        <f t="shared" si="0"/>
        <v>PD|AccumulatedNewCapacity|RE1|PWRSOLUGE|2026</v>
      </c>
      <c r="B9" t="str">
        <f t="shared" si="1"/>
        <v>Utility-scale solar PV|2026|O&amp;M|Direct</v>
      </c>
      <c r="C9" t="str">
        <f t="shared" si="2"/>
        <v>PWRSOLUGE|Utility-scale solar PV</v>
      </c>
      <c r="D9" t="s">
        <v>16</v>
      </c>
      <c r="E9" t="s">
        <v>17</v>
      </c>
      <c r="F9" t="s">
        <v>19</v>
      </c>
      <c r="G9" t="s">
        <v>33</v>
      </c>
      <c r="H9">
        <v>2026</v>
      </c>
      <c r="I9" t="s">
        <v>18</v>
      </c>
      <c r="J9" t="s">
        <v>63</v>
      </c>
      <c r="K9" t="s">
        <v>64</v>
      </c>
      <c r="L9" t="s">
        <v>65</v>
      </c>
      <c r="M9">
        <f>SUMIFS(RawResultsLong!$P:$P,RawResultsLong!$A:$A,A9)</f>
        <v>62.504351999999997</v>
      </c>
      <c r="N9">
        <f t="shared" si="3"/>
        <v>1980.643394934976</v>
      </c>
      <c r="O9" t="s">
        <v>66</v>
      </c>
      <c r="P9">
        <f>SUMIFS(TechnologyMapping!$D:$D,TechnologyMapping!$A:$A,C9)</f>
        <v>1</v>
      </c>
      <c r="Q9">
        <f t="shared" si="4"/>
        <v>1980.643394934976</v>
      </c>
      <c r="R9">
        <f>SUMIFS(FactorInputs!$I:$I,FactorInputs!$A:$A,B9)</f>
        <v>9.17184684685E-2</v>
      </c>
      <c r="S9" t="str">
        <f>_xlfn.XLOOKUP(B9,FactorInputs!$A$2:$A$888,FactorInputs!$F$2:$F$888,"")</f>
        <v>job/MW</v>
      </c>
      <c r="T9" t="str">
        <f>_xlfn.XLOOKUP(B9,FactorInputs!$A$2:$A$888,FactorInputs!$B$2:$B$888,"")</f>
        <v>I-JEDI</v>
      </c>
      <c r="U9" t="str">
        <f>_xlfn.XLOOKUP(B9,FactorInputs!$A$2:$A$888,FactorInputs!$T$2:$T$888,"")</f>
        <v>I-JEDI</v>
      </c>
      <c r="V9">
        <f t="shared" si="5"/>
        <v>181.66157876568639</v>
      </c>
    </row>
    <row r="10" spans="1:23" x14ac:dyDescent="0.3">
      <c r="A10" t="str">
        <f t="shared" si="0"/>
        <v>PD|AccumulatedNewCapacity|RE1|PWRSOLUPE|2026</v>
      </c>
      <c r="B10" t="str">
        <f t="shared" si="1"/>
        <v>Utility-scale solar PV|2026|O&amp;M|Direct</v>
      </c>
      <c r="C10" t="str">
        <f t="shared" si="2"/>
        <v>PWRSOLUPE|Utility-scale solar PV</v>
      </c>
      <c r="D10" t="s">
        <v>16</v>
      </c>
      <c r="E10" t="s">
        <v>17</v>
      </c>
      <c r="F10" t="s">
        <v>19</v>
      </c>
      <c r="G10" t="s">
        <v>34</v>
      </c>
      <c r="H10">
        <v>2026</v>
      </c>
      <c r="I10" t="s">
        <v>18</v>
      </c>
      <c r="J10" t="s">
        <v>63</v>
      </c>
      <c r="K10" t="s">
        <v>64</v>
      </c>
      <c r="L10" t="s">
        <v>65</v>
      </c>
      <c r="M10">
        <f>SUMIFS(RawResultsLong!$P:$P,RawResultsLong!$A:$A,A10)</f>
        <v>8.6752382399999313</v>
      </c>
      <c r="N10">
        <f t="shared" si="3"/>
        <v>274.90171115673979</v>
      </c>
      <c r="O10" t="s">
        <v>66</v>
      </c>
      <c r="P10">
        <f>SUMIFS(TechnologyMapping!$D:$D,TechnologyMapping!$A:$A,C10)</f>
        <v>1</v>
      </c>
      <c r="Q10">
        <f t="shared" si="4"/>
        <v>274.90171115673979</v>
      </c>
      <c r="R10">
        <f>SUMIFS(FactorInputs!$I:$I,FactorInputs!$A:$A,B10)</f>
        <v>9.17184684685E-2</v>
      </c>
      <c r="S10" t="str">
        <f>_xlfn.XLOOKUP(B10,FactorInputs!$A$2:$A$888,FactorInputs!$F$2:$F$888,"")</f>
        <v>job/MW</v>
      </c>
      <c r="T10" t="str">
        <f>_xlfn.XLOOKUP(B10,FactorInputs!$A$2:$A$888,FactorInputs!$B$2:$B$888,"")</f>
        <v>I-JEDI</v>
      </c>
      <c r="U10" t="str">
        <f>_xlfn.XLOOKUP(B10,FactorInputs!$A$2:$A$888,FactorInputs!$T$2:$T$888,"")</f>
        <v>I-JEDI</v>
      </c>
      <c r="V10">
        <f t="shared" si="5"/>
        <v>25.213563926666133</v>
      </c>
      <c r="W10" t="s">
        <v>67</v>
      </c>
    </row>
    <row r="11" spans="1:23" x14ac:dyDescent="0.3">
      <c r="A11" t="str">
        <f t="shared" si="0"/>
        <v>PD|AccumulatedNewCapacity|RE1|PWRWNDONS|2026</v>
      </c>
      <c r="B11" t="str">
        <f t="shared" si="1"/>
        <v>Onshore wind|2026|O&amp;M|Direct</v>
      </c>
      <c r="C11" t="str">
        <f t="shared" si="2"/>
        <v>PWRWNDONS|Onshore wind</v>
      </c>
      <c r="D11" t="s">
        <v>16</v>
      </c>
      <c r="E11" t="s">
        <v>17</v>
      </c>
      <c r="F11" t="s">
        <v>19</v>
      </c>
      <c r="G11" t="s">
        <v>36</v>
      </c>
      <c r="H11">
        <v>2026</v>
      </c>
      <c r="I11" t="s">
        <v>18</v>
      </c>
      <c r="J11" t="s">
        <v>63</v>
      </c>
      <c r="K11" t="s">
        <v>64</v>
      </c>
      <c r="L11" t="s">
        <v>65</v>
      </c>
      <c r="M11">
        <f>SUMIFS(RawResultsLong!$P:$P,RawResultsLong!$A:$A,A11)</f>
        <v>0.15362331428571441</v>
      </c>
      <c r="N11">
        <f t="shared" si="3"/>
        <v>4.8680290733678859</v>
      </c>
      <c r="O11" t="s">
        <v>68</v>
      </c>
      <c r="P11">
        <f>SUMIFS(TechnologyMapping!$D:$D,TechnologyMapping!$A:$A,C11)</f>
        <v>1</v>
      </c>
      <c r="Q11">
        <f t="shared" si="4"/>
        <v>4.8680290733678859</v>
      </c>
      <c r="R11">
        <f>SUMIFS(FactorInputs!$I:$I,FactorInputs!$A:$A,B11)</f>
        <v>2.94890510949E-2</v>
      </c>
      <c r="S11" t="str">
        <f>_xlfn.XLOOKUP(B11,FactorInputs!$A$2:$A$888,FactorInputs!$F$2:$F$888,"")</f>
        <v>job/MW</v>
      </c>
      <c r="T11" t="str">
        <f>_xlfn.XLOOKUP(B11,FactorInputs!$A$2:$A$888,FactorInputs!$B$2:$B$888,"")</f>
        <v>I-JEDI</v>
      </c>
      <c r="U11" t="str">
        <f>_xlfn.XLOOKUP(B11,FactorInputs!$A$2:$A$888,FactorInputs!$T$2:$T$888,"")</f>
        <v>I-JEDI</v>
      </c>
      <c r="V11">
        <f t="shared" si="5"/>
        <v>0.14355355807600428</v>
      </c>
    </row>
    <row r="12" spans="1:23" x14ac:dyDescent="0.3">
      <c r="A12" t="str">
        <f t="shared" si="0"/>
        <v>PD|NewCapacity|RE1|PWRSOLRTP|2026</v>
      </c>
      <c r="B12" t="str">
        <f t="shared" si="1"/>
        <v>Rooftop solar PV|2026|Construction&amp;Manufacturing|Direct</v>
      </c>
      <c r="C12" t="str">
        <f t="shared" si="2"/>
        <v>PWRSOLRTP|Rooftop solar PV</v>
      </c>
      <c r="D12" t="s">
        <v>16</v>
      </c>
      <c r="E12" t="s">
        <v>17</v>
      </c>
      <c r="F12" t="s">
        <v>19</v>
      </c>
      <c r="G12" t="s">
        <v>31</v>
      </c>
      <c r="H12">
        <v>2026</v>
      </c>
      <c r="I12" t="s">
        <v>37</v>
      </c>
      <c r="J12" t="s">
        <v>69</v>
      </c>
      <c r="K12" t="s">
        <v>70</v>
      </c>
      <c r="L12" t="s">
        <v>65</v>
      </c>
      <c r="M12">
        <f>SUMIFS(RawResultsLong!$P:$P,RawResultsLong!$A:$A,A12)</f>
        <v>7.9387888395688</v>
      </c>
      <c r="N12">
        <f t="shared" si="3"/>
        <v>251.56503788528912</v>
      </c>
      <c r="O12" t="s">
        <v>71</v>
      </c>
      <c r="P12">
        <f>SUMIFS(TechnologyMapping!$D:$D,TechnologyMapping!$A:$A,C12)</f>
        <v>1</v>
      </c>
      <c r="Q12">
        <f t="shared" si="4"/>
        <v>251.56503788528912</v>
      </c>
      <c r="R12">
        <f>SUMIFS(FactorInputs!$I:$I,FactorInputs!$A:$A,B12)</f>
        <v>8.3634066920999999</v>
      </c>
      <c r="S12" t="str">
        <f>_xlfn.XLOOKUP(B12,FactorInputs!$A$2:$A$888,FactorInputs!$F$2:$F$888,"")</f>
        <v>job-yr/MW</v>
      </c>
      <c r="T12" t="str">
        <f>_xlfn.XLOOKUP(B12,FactorInputs!$A$2:$A$888,FactorInputs!$B$2:$B$888,"")</f>
        <v>JEDI-US</v>
      </c>
      <c r="U12" t="str">
        <f>_xlfn.XLOOKUP(B12,FactorInputs!$A$2:$A$888,FactorInputs!$T$2:$T$888,"")</f>
        <v>JEDI-US</v>
      </c>
      <c r="V12">
        <f t="shared" si="5"/>
        <v>2103.9407213482168</v>
      </c>
    </row>
    <row r="13" spans="1:23" x14ac:dyDescent="0.3">
      <c r="A13" t="str">
        <f t="shared" si="0"/>
        <v>PD|NewCapacity|RE1|PWRSOLUGE|2026</v>
      </c>
      <c r="B13" t="str">
        <f t="shared" si="1"/>
        <v>Utility-scale solar PV|2026|Construction&amp;Manufacturing|Direct</v>
      </c>
      <c r="C13" t="str">
        <f t="shared" si="2"/>
        <v>PWRSOLUGE|Utility-scale solar PV</v>
      </c>
      <c r="D13" t="s">
        <v>16</v>
      </c>
      <c r="E13" t="s">
        <v>17</v>
      </c>
      <c r="F13" t="s">
        <v>19</v>
      </c>
      <c r="G13" t="s">
        <v>33</v>
      </c>
      <c r="H13">
        <v>2026</v>
      </c>
      <c r="I13" t="s">
        <v>37</v>
      </c>
      <c r="J13" t="s">
        <v>69</v>
      </c>
      <c r="K13" t="s">
        <v>70</v>
      </c>
      <c r="L13" t="s">
        <v>65</v>
      </c>
      <c r="M13">
        <f>SUMIFS(RawResultsLong!$P:$P,RawResultsLong!$A:$A,A13)</f>
        <v>55.787184000000003</v>
      </c>
      <c r="N13">
        <f t="shared" si="3"/>
        <v>1767.7891854893908</v>
      </c>
      <c r="O13" t="s">
        <v>66</v>
      </c>
      <c r="P13">
        <f>SUMIFS(TechnologyMapping!$D:$D,TechnologyMapping!$A:$A,C13)</f>
        <v>1</v>
      </c>
      <c r="Q13">
        <f t="shared" si="4"/>
        <v>1767.7891854893908</v>
      </c>
      <c r="R13">
        <f>SUMIFS(FactorInputs!$I:$I,FactorInputs!$A:$A,B13)</f>
        <v>8.9403028512499993</v>
      </c>
      <c r="S13" t="str">
        <f>_xlfn.XLOOKUP(B13,FactorInputs!$A$2:$A$888,FactorInputs!$F$2:$F$888,"")</f>
        <v>job-yr/MW</v>
      </c>
      <c r="T13" t="str">
        <f>_xlfn.XLOOKUP(B13,FactorInputs!$A$2:$A$888,FactorInputs!$B$2:$B$888,"")</f>
        <v>I-JEDI</v>
      </c>
      <c r="U13" t="str">
        <f>_xlfn.XLOOKUP(B13,FactorInputs!$A$2:$A$888,FactorInputs!$T$2:$T$888,"")</f>
        <v>I-JEDI</v>
      </c>
      <c r="V13">
        <f t="shared" si="5"/>
        <v>15804.570695439714</v>
      </c>
    </row>
    <row r="14" spans="1:23" x14ac:dyDescent="0.3">
      <c r="A14" t="str">
        <f t="shared" si="0"/>
        <v>PD|NewCapacity|RE1|PWRSOLUPE|2026</v>
      </c>
      <c r="B14" t="str">
        <f t="shared" si="1"/>
        <v>Utility-scale solar PV|2026|Construction&amp;Manufacturing|Direct</v>
      </c>
      <c r="C14" t="str">
        <f t="shared" si="2"/>
        <v>PWRSOLUPE|Utility-scale solar PV</v>
      </c>
      <c r="D14" t="s">
        <v>16</v>
      </c>
      <c r="E14" t="s">
        <v>17</v>
      </c>
      <c r="F14" t="s">
        <v>19</v>
      </c>
      <c r="G14" t="s">
        <v>34</v>
      </c>
      <c r="H14">
        <v>2026</v>
      </c>
      <c r="I14" t="s">
        <v>37</v>
      </c>
      <c r="J14" t="s">
        <v>69</v>
      </c>
      <c r="K14" t="s">
        <v>70</v>
      </c>
      <c r="L14" t="s">
        <v>65</v>
      </c>
      <c r="M14">
        <f>SUMIFS(RawResultsLong!$P:$P,RawResultsLong!$A:$A,A14)</f>
        <v>3.364575839999973</v>
      </c>
      <c r="N14">
        <f t="shared" si="3"/>
        <v>106.61697467487936</v>
      </c>
      <c r="O14" t="s">
        <v>66</v>
      </c>
      <c r="P14">
        <f>SUMIFS(TechnologyMapping!$D:$D,TechnologyMapping!$A:$A,C14)</f>
        <v>1</v>
      </c>
      <c r="Q14">
        <f t="shared" si="4"/>
        <v>106.61697467487936</v>
      </c>
      <c r="R14">
        <f>SUMIFS(FactorInputs!$I:$I,FactorInputs!$A:$A,B14)</f>
        <v>8.9403028512499993</v>
      </c>
      <c r="S14" t="str">
        <f>_xlfn.XLOOKUP(B14,FactorInputs!$A$2:$A$888,FactorInputs!$F$2:$F$888,"")</f>
        <v>job-yr/MW</v>
      </c>
      <c r="T14" t="str">
        <f>_xlfn.XLOOKUP(B14,FactorInputs!$A$2:$A$888,FactorInputs!$B$2:$B$888,"")</f>
        <v>I-JEDI</v>
      </c>
      <c r="U14" t="str">
        <f>_xlfn.XLOOKUP(B14,FactorInputs!$A$2:$A$888,FactorInputs!$T$2:$T$888,"")</f>
        <v>I-JEDI</v>
      </c>
      <c r="V14">
        <f t="shared" si="5"/>
        <v>953.18804267747294</v>
      </c>
      <c r="W14" t="s">
        <v>67</v>
      </c>
    </row>
    <row r="15" spans="1:23" x14ac:dyDescent="0.3">
      <c r="A15" t="str">
        <f t="shared" si="0"/>
        <v>PD|AccumulatedNewCapacity|RE1|PWRSOLRTP|2027</v>
      </c>
      <c r="B15" t="str">
        <f t="shared" si="1"/>
        <v>Rooftop solar PV|2027|O&amp;M|Direct</v>
      </c>
      <c r="C15" t="str">
        <f t="shared" si="2"/>
        <v>PWRSOLRTP|Rooftop solar PV</v>
      </c>
      <c r="D15" t="s">
        <v>16</v>
      </c>
      <c r="E15" t="s">
        <v>17</v>
      </c>
      <c r="F15" t="s">
        <v>19</v>
      </c>
      <c r="G15" t="s">
        <v>31</v>
      </c>
      <c r="H15">
        <v>2027</v>
      </c>
      <c r="I15" t="s">
        <v>18</v>
      </c>
      <c r="J15" t="s">
        <v>63</v>
      </c>
      <c r="K15" t="s">
        <v>64</v>
      </c>
      <c r="L15" t="s">
        <v>65</v>
      </c>
      <c r="M15">
        <f>SUMIFS(RawResultsLong!$P:$P,RawResultsLong!$A:$A,A15)</f>
        <v>18.718750792644261</v>
      </c>
      <c r="N15">
        <f t="shared" si="3"/>
        <v>593.16141888623542</v>
      </c>
      <c r="O15" t="s">
        <v>71</v>
      </c>
      <c r="P15">
        <f>SUMIFS(TechnologyMapping!$D:$D,TechnologyMapping!$A:$A,C15)</f>
        <v>1</v>
      </c>
      <c r="Q15">
        <f t="shared" si="4"/>
        <v>593.16141888623542</v>
      </c>
      <c r="R15">
        <f>SUMIFS(FactorInputs!$I:$I,FactorInputs!$A:$A,B15)</f>
        <v>0.278823529412</v>
      </c>
      <c r="S15" t="str">
        <f>_xlfn.XLOOKUP(B15,FactorInputs!$A$2:$A$888,FactorInputs!$F$2:$F$888,"")</f>
        <v>job/MW</v>
      </c>
      <c r="T15" t="str">
        <f>_xlfn.XLOOKUP(B15,FactorInputs!$A$2:$A$888,FactorInputs!$B$2:$B$888,"")</f>
        <v>JEDI-US</v>
      </c>
      <c r="U15" t="str">
        <f>_xlfn.XLOOKUP(B15,FactorInputs!$A$2:$A$888,FactorInputs!$T$2:$T$888,"")</f>
        <v>JEDI-US</v>
      </c>
      <c r="V15">
        <f t="shared" si="5"/>
        <v>165.38736032488993</v>
      </c>
    </row>
    <row r="16" spans="1:23" x14ac:dyDescent="0.3">
      <c r="A16" t="str">
        <f t="shared" si="0"/>
        <v>PD|AccumulatedNewCapacity|RE1|PWRSOLUGE|2027</v>
      </c>
      <c r="B16" t="str">
        <f t="shared" si="1"/>
        <v>Utility-scale solar PV|2027|O&amp;M|Direct</v>
      </c>
      <c r="C16" t="str">
        <f t="shared" si="2"/>
        <v>PWRSOLUGE|Utility-scale solar PV</v>
      </c>
      <c r="D16" t="s">
        <v>16</v>
      </c>
      <c r="E16" t="s">
        <v>17</v>
      </c>
      <c r="F16" t="s">
        <v>19</v>
      </c>
      <c r="G16" t="s">
        <v>33</v>
      </c>
      <c r="H16">
        <v>2027</v>
      </c>
      <c r="I16" t="s">
        <v>18</v>
      </c>
      <c r="J16" t="s">
        <v>63</v>
      </c>
      <c r="K16" t="s">
        <v>64</v>
      </c>
      <c r="L16" t="s">
        <v>65</v>
      </c>
      <c r="M16">
        <f>SUMIFS(RawResultsLong!$P:$P,RawResultsLong!$A:$A,A16)</f>
        <v>135.51019199999999</v>
      </c>
      <c r="N16">
        <f t="shared" si="3"/>
        <v>4294.0588637919227</v>
      </c>
      <c r="O16" t="s">
        <v>66</v>
      </c>
      <c r="P16">
        <f>SUMIFS(TechnologyMapping!$D:$D,TechnologyMapping!$A:$A,C16)</f>
        <v>1</v>
      </c>
      <c r="Q16">
        <f t="shared" si="4"/>
        <v>4294.0588637919227</v>
      </c>
      <c r="R16">
        <f>SUMIFS(FactorInputs!$I:$I,FactorInputs!$A:$A,B16)</f>
        <v>8.9327702702700004E-2</v>
      </c>
      <c r="S16" t="str">
        <f>_xlfn.XLOOKUP(B16,FactorInputs!$A$2:$A$888,FactorInputs!$F$2:$F$888,"")</f>
        <v>job/MW</v>
      </c>
      <c r="T16" t="str">
        <f>_xlfn.XLOOKUP(B16,FactorInputs!$A$2:$A$888,FactorInputs!$B$2:$B$888,"")</f>
        <v>I-JEDI</v>
      </c>
      <c r="U16" t="str">
        <f>_xlfn.XLOOKUP(B16,FactorInputs!$A$2:$A$888,FactorInputs!$T$2:$T$888,"")</f>
        <v>I-JEDI</v>
      </c>
      <c r="V16">
        <f t="shared" si="5"/>
        <v>383.57841357269865</v>
      </c>
    </row>
    <row r="17" spans="1:23" x14ac:dyDescent="0.3">
      <c r="A17" t="str">
        <f t="shared" si="0"/>
        <v>PD|AccumulatedNewCapacity|RE1|PWRSOLUPE|2027</v>
      </c>
      <c r="B17" t="str">
        <f t="shared" si="1"/>
        <v>Utility-scale solar PV|2027|O&amp;M|Direct</v>
      </c>
      <c r="C17" t="str">
        <f t="shared" si="2"/>
        <v>PWRSOLUPE|Utility-scale solar PV</v>
      </c>
      <c r="D17" t="s">
        <v>16</v>
      </c>
      <c r="E17" t="s">
        <v>17</v>
      </c>
      <c r="F17" t="s">
        <v>19</v>
      </c>
      <c r="G17" t="s">
        <v>34</v>
      </c>
      <c r="H17">
        <v>2027</v>
      </c>
      <c r="I17" t="s">
        <v>18</v>
      </c>
      <c r="J17" t="s">
        <v>63</v>
      </c>
      <c r="K17" t="s">
        <v>64</v>
      </c>
      <c r="L17" t="s">
        <v>65</v>
      </c>
      <c r="M17">
        <f>SUMIFS(RawResultsLong!$P:$P,RawResultsLong!$A:$A,A17)</f>
        <v>12.14419823999993</v>
      </c>
      <c r="N17">
        <f t="shared" si="3"/>
        <v>384.82642026009364</v>
      </c>
      <c r="O17" t="s">
        <v>66</v>
      </c>
      <c r="P17">
        <f>SUMIFS(TechnologyMapping!$D:$D,TechnologyMapping!$A:$A,C17)</f>
        <v>1</v>
      </c>
      <c r="Q17">
        <f t="shared" si="4"/>
        <v>384.82642026009364</v>
      </c>
      <c r="R17">
        <f>SUMIFS(FactorInputs!$I:$I,FactorInputs!$A:$A,B17)</f>
        <v>8.9327702702700004E-2</v>
      </c>
      <c r="S17" t="str">
        <f>_xlfn.XLOOKUP(B17,FactorInputs!$A$2:$A$888,FactorInputs!$F$2:$F$888,"")</f>
        <v>job/MW</v>
      </c>
      <c r="T17" t="str">
        <f>_xlfn.XLOOKUP(B17,FactorInputs!$A$2:$A$888,FactorInputs!$B$2:$B$888,"")</f>
        <v>I-JEDI</v>
      </c>
      <c r="U17" t="str">
        <f>_xlfn.XLOOKUP(B17,FactorInputs!$A$2:$A$888,FactorInputs!$T$2:$T$888,"")</f>
        <v>I-JEDI</v>
      </c>
      <c r="V17">
        <f t="shared" si="5"/>
        <v>34.375660061137935</v>
      </c>
      <c r="W17" t="s">
        <v>67</v>
      </c>
    </row>
    <row r="18" spans="1:23" x14ac:dyDescent="0.3">
      <c r="A18" t="str">
        <f t="shared" si="0"/>
        <v>PD|AccumulatedNewCapacity|RE1|PWRWNDONS|2027</v>
      </c>
      <c r="B18" t="str">
        <f t="shared" si="1"/>
        <v>Onshore wind|2027|O&amp;M|Direct</v>
      </c>
      <c r="C18" t="str">
        <f t="shared" si="2"/>
        <v>PWRWNDONS|Onshore wind</v>
      </c>
      <c r="D18" t="s">
        <v>16</v>
      </c>
      <c r="E18" t="s">
        <v>17</v>
      </c>
      <c r="F18" t="s">
        <v>19</v>
      </c>
      <c r="G18" t="s">
        <v>36</v>
      </c>
      <c r="H18">
        <v>2027</v>
      </c>
      <c r="I18" t="s">
        <v>18</v>
      </c>
      <c r="J18" t="s">
        <v>63</v>
      </c>
      <c r="K18" t="s">
        <v>64</v>
      </c>
      <c r="L18" t="s">
        <v>65</v>
      </c>
      <c r="M18">
        <f>SUMIFS(RawResultsLong!$P:$P,RawResultsLong!$A:$A,A18)</f>
        <v>17.46688731428571</v>
      </c>
      <c r="N18">
        <f t="shared" si="3"/>
        <v>553.4922590528339</v>
      </c>
      <c r="O18" t="s">
        <v>68</v>
      </c>
      <c r="P18">
        <f>SUMIFS(TechnologyMapping!$D:$D,TechnologyMapping!$A:$A,C18)</f>
        <v>1</v>
      </c>
      <c r="Q18">
        <f t="shared" si="4"/>
        <v>553.4922590528339</v>
      </c>
      <c r="R18">
        <f>SUMIFS(FactorInputs!$I:$I,FactorInputs!$A:$A,B18)</f>
        <v>2.9233576642299999E-2</v>
      </c>
      <c r="S18" t="str">
        <f>_xlfn.XLOOKUP(B18,FactorInputs!$A$2:$A$888,FactorInputs!$F$2:$F$888,"")</f>
        <v>job/MW</v>
      </c>
      <c r="T18" t="str">
        <f>_xlfn.XLOOKUP(B18,FactorInputs!$A$2:$A$888,FactorInputs!$B$2:$B$888,"")</f>
        <v>I-JEDI</v>
      </c>
      <c r="U18" t="str">
        <f>_xlfn.XLOOKUP(B18,FactorInputs!$A$2:$A$888,FactorInputs!$T$2:$T$888,"")</f>
        <v>I-JEDI</v>
      </c>
      <c r="V18">
        <f t="shared" si="5"/>
        <v>16.180558375940784</v>
      </c>
    </row>
    <row r="19" spans="1:23" x14ac:dyDescent="0.3">
      <c r="A19" t="str">
        <f t="shared" si="0"/>
        <v>PD|NewCapacity|RE1|PWRSOLRTP|2027</v>
      </c>
      <c r="B19" t="str">
        <f t="shared" si="1"/>
        <v>Rooftop solar PV|2027|Construction&amp;Manufacturing|Direct</v>
      </c>
      <c r="C19" t="str">
        <f t="shared" si="2"/>
        <v>PWRSOLRTP|Rooftop solar PV</v>
      </c>
      <c r="D19" t="s">
        <v>16</v>
      </c>
      <c r="E19" t="s">
        <v>17</v>
      </c>
      <c r="F19" t="s">
        <v>19</v>
      </c>
      <c r="G19" t="s">
        <v>31</v>
      </c>
      <c r="H19">
        <v>2027</v>
      </c>
      <c r="I19" t="s">
        <v>37</v>
      </c>
      <c r="J19" t="s">
        <v>69</v>
      </c>
      <c r="K19" t="s">
        <v>70</v>
      </c>
      <c r="L19" t="s">
        <v>65</v>
      </c>
      <c r="M19">
        <f>SUMIFS(RawResultsLong!$P:$P,RawResultsLong!$A:$A,A19)</f>
        <v>10.77996195307546</v>
      </c>
      <c r="N19">
        <f t="shared" si="3"/>
        <v>341.59638100094622</v>
      </c>
      <c r="O19" t="s">
        <v>71</v>
      </c>
      <c r="P19">
        <f>SUMIFS(TechnologyMapping!$D:$D,TechnologyMapping!$A:$A,C19)</f>
        <v>1</v>
      </c>
      <c r="Q19">
        <f t="shared" si="4"/>
        <v>341.59638100094622</v>
      </c>
      <c r="R19">
        <f>SUMIFS(FactorInputs!$I:$I,FactorInputs!$A:$A,B19)</f>
        <v>7.8811100381600001</v>
      </c>
      <c r="S19" t="str">
        <f>_xlfn.XLOOKUP(B19,FactorInputs!$A$2:$A$888,FactorInputs!$F$2:$F$888,"")</f>
        <v>job-yr/MW</v>
      </c>
      <c r="T19" t="str">
        <f>_xlfn.XLOOKUP(B19,FactorInputs!$A$2:$A$888,FactorInputs!$B$2:$B$888,"")</f>
        <v>JEDI-US</v>
      </c>
      <c r="U19" t="str">
        <f>_xlfn.XLOOKUP(B19,FactorInputs!$A$2:$A$888,FactorInputs!$T$2:$T$888,"")</f>
        <v>JEDI-US</v>
      </c>
      <c r="V19">
        <f t="shared" si="5"/>
        <v>2692.1586673056854</v>
      </c>
    </row>
    <row r="20" spans="1:23" x14ac:dyDescent="0.3">
      <c r="A20" t="str">
        <f t="shared" si="0"/>
        <v>PD|NewCapacity|RE1|PWRSOLUGE|2027</v>
      </c>
      <c r="B20" t="str">
        <f t="shared" si="1"/>
        <v>Utility-scale solar PV|2027|Construction&amp;Manufacturing|Direct</v>
      </c>
      <c r="C20" t="str">
        <f t="shared" si="2"/>
        <v>PWRSOLUGE|Utility-scale solar PV</v>
      </c>
      <c r="D20" t="s">
        <v>16</v>
      </c>
      <c r="E20" t="s">
        <v>17</v>
      </c>
      <c r="F20" t="s">
        <v>19</v>
      </c>
      <c r="G20" t="s">
        <v>33</v>
      </c>
      <c r="H20">
        <v>2027</v>
      </c>
      <c r="I20" t="s">
        <v>37</v>
      </c>
      <c r="J20" t="s">
        <v>69</v>
      </c>
      <c r="K20" t="s">
        <v>70</v>
      </c>
      <c r="L20" t="s">
        <v>65</v>
      </c>
      <c r="M20">
        <f>SUMIFS(RawResultsLong!$P:$P,RawResultsLong!$A:$A,A20)</f>
        <v>73.005840000000006</v>
      </c>
      <c r="N20">
        <f t="shared" si="3"/>
        <v>2313.4154688569474</v>
      </c>
      <c r="O20" t="s">
        <v>66</v>
      </c>
      <c r="P20">
        <f>SUMIFS(TechnologyMapping!$D:$D,TechnologyMapping!$A:$A,C20)</f>
        <v>1</v>
      </c>
      <c r="Q20">
        <f t="shared" si="4"/>
        <v>2313.4154688569474</v>
      </c>
      <c r="R20">
        <f>SUMIFS(FactorInputs!$I:$I,FactorInputs!$A:$A,B20)</f>
        <v>8.42545427688</v>
      </c>
      <c r="S20" t="str">
        <f>_xlfn.XLOOKUP(B20,FactorInputs!$A$2:$A$888,FactorInputs!$F$2:$F$888,"")</f>
        <v>job-yr/MW</v>
      </c>
      <c r="T20" t="str">
        <f>_xlfn.XLOOKUP(B20,FactorInputs!$A$2:$A$888,FactorInputs!$B$2:$B$888,"")</f>
        <v>I-JEDI</v>
      </c>
      <c r="U20" t="str">
        <f>_xlfn.XLOOKUP(B20,FactorInputs!$A$2:$A$888,FactorInputs!$T$2:$T$888,"")</f>
        <v>I-JEDI</v>
      </c>
      <c r="V20">
        <f t="shared" si="5"/>
        <v>19491.576256281118</v>
      </c>
    </row>
    <row r="21" spans="1:23" x14ac:dyDescent="0.3">
      <c r="A21" t="str">
        <f t="shared" si="0"/>
        <v>PD|NewCapacity|RE1|PWRSOLUPE|2027</v>
      </c>
      <c r="B21" t="str">
        <f t="shared" si="1"/>
        <v>Utility-scale solar PV|2027|Construction&amp;Manufacturing|Direct</v>
      </c>
      <c r="C21" t="str">
        <f t="shared" si="2"/>
        <v>PWRSOLUPE|Utility-scale solar PV</v>
      </c>
      <c r="D21" t="s">
        <v>16</v>
      </c>
      <c r="E21" t="s">
        <v>17</v>
      </c>
      <c r="F21" t="s">
        <v>19</v>
      </c>
      <c r="G21" t="s">
        <v>34</v>
      </c>
      <c r="H21">
        <v>2027</v>
      </c>
      <c r="I21" t="s">
        <v>37</v>
      </c>
      <c r="J21" t="s">
        <v>69</v>
      </c>
      <c r="K21" t="s">
        <v>70</v>
      </c>
      <c r="L21" t="s">
        <v>65</v>
      </c>
      <c r="M21">
        <f>SUMIFS(RawResultsLong!$P:$P,RawResultsLong!$A:$A,A21)</f>
        <v>3.46896</v>
      </c>
      <c r="N21">
        <f t="shared" si="3"/>
        <v>109.92470910335386</v>
      </c>
      <c r="O21" t="s">
        <v>66</v>
      </c>
      <c r="P21">
        <f>SUMIFS(TechnologyMapping!$D:$D,TechnologyMapping!$A:$A,C21)</f>
        <v>1</v>
      </c>
      <c r="Q21">
        <f t="shared" si="4"/>
        <v>109.92470910335386</v>
      </c>
      <c r="R21">
        <f>SUMIFS(FactorInputs!$I:$I,FactorInputs!$A:$A,B21)</f>
        <v>8.42545427688</v>
      </c>
      <c r="S21" t="str">
        <f>_xlfn.XLOOKUP(B21,FactorInputs!$A$2:$A$888,FactorInputs!$F$2:$F$888,"")</f>
        <v>job-yr/MW</v>
      </c>
      <c r="T21" t="str">
        <f>_xlfn.XLOOKUP(B21,FactorInputs!$A$2:$A$888,FactorInputs!$B$2:$B$888,"")</f>
        <v>I-JEDI</v>
      </c>
      <c r="U21" t="str">
        <f>_xlfn.XLOOKUP(B21,FactorInputs!$A$2:$A$888,FactorInputs!$T$2:$T$888,"")</f>
        <v>I-JEDI</v>
      </c>
      <c r="V21">
        <f t="shared" si="5"/>
        <v>926.16561044964271</v>
      </c>
      <c r="W21" t="s">
        <v>67</v>
      </c>
    </row>
    <row r="22" spans="1:23" x14ac:dyDescent="0.3">
      <c r="A22" t="str">
        <f t="shared" si="0"/>
        <v>PD|NewCapacity|RE1|PWRWNDONS|2027</v>
      </c>
      <c r="B22" t="str">
        <f t="shared" si="1"/>
        <v>Onshore wind|2027|Construction&amp;Manufacturing|Direct</v>
      </c>
      <c r="C22" t="str">
        <f t="shared" si="2"/>
        <v>PWRWNDONS|Onshore wind</v>
      </c>
      <c r="D22" t="s">
        <v>16</v>
      </c>
      <c r="E22" t="s">
        <v>17</v>
      </c>
      <c r="F22" t="s">
        <v>19</v>
      </c>
      <c r="G22" t="s">
        <v>36</v>
      </c>
      <c r="H22">
        <v>2027</v>
      </c>
      <c r="I22" t="s">
        <v>37</v>
      </c>
      <c r="J22" t="s">
        <v>69</v>
      </c>
      <c r="K22" t="s">
        <v>70</v>
      </c>
      <c r="L22" t="s">
        <v>65</v>
      </c>
      <c r="M22">
        <f>SUMIFS(RawResultsLong!$P:$P,RawResultsLong!$A:$A,A22)</f>
        <v>17.313264</v>
      </c>
      <c r="N22">
        <f t="shared" si="3"/>
        <v>548.62422997946612</v>
      </c>
      <c r="O22" t="s">
        <v>68</v>
      </c>
      <c r="P22">
        <f>SUMIFS(TechnologyMapping!$D:$D,TechnologyMapping!$A:$A,C22)</f>
        <v>1</v>
      </c>
      <c r="Q22">
        <f t="shared" si="4"/>
        <v>548.62422997946612</v>
      </c>
      <c r="R22">
        <f>SUMIFS(FactorInputs!$I:$I,FactorInputs!$A:$A,B22)</f>
        <v>7.0622974902899998</v>
      </c>
      <c r="S22" t="str">
        <f>_xlfn.XLOOKUP(B22,FactorInputs!$A$2:$A$888,FactorInputs!$F$2:$F$888,"")</f>
        <v>job-yr/MW</v>
      </c>
      <c r="T22" t="str">
        <f>_xlfn.XLOOKUP(B22,FactorInputs!$A$2:$A$888,FactorInputs!$B$2:$B$888,"")</f>
        <v>I-JEDI</v>
      </c>
      <c r="U22" t="str">
        <f>_xlfn.XLOOKUP(B22,FactorInputs!$A$2:$A$888,FactorInputs!$T$2:$T$888,"")</f>
        <v>I-JEDI</v>
      </c>
      <c r="V22">
        <f t="shared" si="5"/>
        <v>3874.5475224962674</v>
      </c>
    </row>
    <row r="23" spans="1:23" x14ac:dyDescent="0.3">
      <c r="A23" t="str">
        <f t="shared" si="0"/>
        <v>PD|AccumulatedNewCapacity|RE1|PWRHYDDAM|2028</v>
      </c>
      <c r="B23" t="str">
        <f t="shared" si="1"/>
        <v>Hydro (large)|2028|O&amp;M|Direct</v>
      </c>
      <c r="C23" t="str">
        <f t="shared" si="2"/>
        <v>PWRHYDDAM|Hydro (large)</v>
      </c>
      <c r="D23" t="s">
        <v>16</v>
      </c>
      <c r="E23" t="s">
        <v>17</v>
      </c>
      <c r="F23" t="s">
        <v>19</v>
      </c>
      <c r="G23" t="s">
        <v>24</v>
      </c>
      <c r="H23">
        <v>2028</v>
      </c>
      <c r="I23" t="s">
        <v>18</v>
      </c>
      <c r="J23" t="s">
        <v>63</v>
      </c>
      <c r="K23" t="s">
        <v>64</v>
      </c>
      <c r="L23" t="s">
        <v>65</v>
      </c>
      <c r="M23">
        <f>SUMIFS(RawResultsLong!$P:$P,RawResultsLong!$A:$A,A23)</f>
        <v>37.840000000000003</v>
      </c>
      <c r="N23">
        <f t="shared" si="3"/>
        <v>1199.0772428828554</v>
      </c>
      <c r="O23" t="s">
        <v>72</v>
      </c>
      <c r="P23">
        <f>SUMIFS(TechnologyMapping!$D:$D,TechnologyMapping!$A:$A,C23)</f>
        <v>1</v>
      </c>
      <c r="Q23">
        <f t="shared" si="4"/>
        <v>1199.0772428828554</v>
      </c>
      <c r="R23">
        <f>SUMIFS(FactorInputs!$I:$I,FactorInputs!$A:$A,B23)</f>
        <v>0.63639999999999997</v>
      </c>
      <c r="S23" t="str">
        <f>_xlfn.XLOOKUP(B23,FactorInputs!$A$2:$A$888,FactorInputs!$F$2:$F$888,"")</f>
        <v>job/MW</v>
      </c>
      <c r="T23" t="str">
        <f>_xlfn.XLOOKUP(B23,FactorInputs!$A$2:$A$888,FactorInputs!$B$2:$B$888,"")</f>
        <v>Rutovitz 2015</v>
      </c>
      <c r="U23" t="str">
        <f>_xlfn.XLOOKUP(B23,FactorInputs!$A$2:$A$888,FactorInputs!$T$2:$T$888,"")</f>
        <v>Rutovitz 2015</v>
      </c>
      <c r="V23">
        <f t="shared" si="5"/>
        <v>763.09275737064911</v>
      </c>
    </row>
    <row r="24" spans="1:23" x14ac:dyDescent="0.3">
      <c r="A24" t="str">
        <f t="shared" si="0"/>
        <v>PD|AccumulatedNewCapacity|RE1|PWRSOLRTP|2028</v>
      </c>
      <c r="B24" t="str">
        <f t="shared" si="1"/>
        <v>Rooftop solar PV|2028|O&amp;M|Direct</v>
      </c>
      <c r="C24" t="str">
        <f t="shared" si="2"/>
        <v>PWRSOLRTP|Rooftop solar PV</v>
      </c>
      <c r="D24" t="s">
        <v>16</v>
      </c>
      <c r="E24" t="s">
        <v>17</v>
      </c>
      <c r="F24" t="s">
        <v>19</v>
      </c>
      <c r="G24" t="s">
        <v>31</v>
      </c>
      <c r="H24">
        <v>2028</v>
      </c>
      <c r="I24" t="s">
        <v>18</v>
      </c>
      <c r="J24" t="s">
        <v>63</v>
      </c>
      <c r="K24" t="s">
        <v>64</v>
      </c>
      <c r="L24" t="s">
        <v>65</v>
      </c>
      <c r="M24">
        <f>SUMIFS(RawResultsLong!$P:$P,RawResultsLong!$A:$A,A24)</f>
        <v>30.132828154724159</v>
      </c>
      <c r="N24">
        <f t="shared" si="3"/>
        <v>954.85170465194312</v>
      </c>
      <c r="O24" t="s">
        <v>71</v>
      </c>
      <c r="P24">
        <f>SUMIFS(TechnologyMapping!$D:$D,TechnologyMapping!$A:$A,C24)</f>
        <v>1</v>
      </c>
      <c r="Q24">
        <f t="shared" si="4"/>
        <v>954.85170465194312</v>
      </c>
      <c r="R24">
        <f>SUMIFS(FactorInputs!$I:$I,FactorInputs!$A:$A,B24)</f>
        <v>0.27176470588200002</v>
      </c>
      <c r="S24" t="str">
        <f>_xlfn.XLOOKUP(B24,FactorInputs!$A$2:$A$888,FactorInputs!$F$2:$F$888,"")</f>
        <v>job/MW</v>
      </c>
      <c r="T24" t="str">
        <f>_xlfn.XLOOKUP(B24,FactorInputs!$A$2:$A$888,FactorInputs!$B$2:$B$888,"")</f>
        <v>JEDI-US</v>
      </c>
      <c r="U24" t="str">
        <f>_xlfn.XLOOKUP(B24,FactorInputs!$A$2:$A$888,FactorInputs!$T$2:$T$888,"")</f>
        <v>JEDI-US</v>
      </c>
      <c r="V24">
        <f t="shared" si="5"/>
        <v>259.49499267566165</v>
      </c>
    </row>
    <row r="25" spans="1:23" x14ac:dyDescent="0.3">
      <c r="A25" t="str">
        <f t="shared" si="0"/>
        <v>PD|AccumulatedNewCapacity|RE1|PWRSOLUGE|2028</v>
      </c>
      <c r="B25" t="str">
        <f t="shared" si="1"/>
        <v>Utility-scale solar PV|2028|O&amp;M|Direct</v>
      </c>
      <c r="C25" t="str">
        <f t="shared" si="2"/>
        <v>PWRSOLUGE|Utility-scale solar PV</v>
      </c>
      <c r="D25" t="s">
        <v>16</v>
      </c>
      <c r="E25" t="s">
        <v>17</v>
      </c>
      <c r="F25" t="s">
        <v>19</v>
      </c>
      <c r="G25" t="s">
        <v>33</v>
      </c>
      <c r="H25">
        <v>2028</v>
      </c>
      <c r="I25" t="s">
        <v>18</v>
      </c>
      <c r="J25" t="s">
        <v>63</v>
      </c>
      <c r="K25" t="s">
        <v>64</v>
      </c>
      <c r="L25" t="s">
        <v>65</v>
      </c>
      <c r="M25">
        <f>SUMIFS(RawResultsLong!$P:$P,RawResultsLong!$A:$A,A25)</f>
        <v>135.51019199999999</v>
      </c>
      <c r="N25">
        <f t="shared" si="3"/>
        <v>4294.0588637919227</v>
      </c>
      <c r="O25" t="s">
        <v>66</v>
      </c>
      <c r="P25">
        <f>SUMIFS(TechnologyMapping!$D:$D,TechnologyMapping!$A:$A,C25)</f>
        <v>1</v>
      </c>
      <c r="Q25">
        <f t="shared" si="4"/>
        <v>4294.0588637919227</v>
      </c>
      <c r="R25">
        <f>SUMIFS(FactorInputs!$I:$I,FactorInputs!$A:$A,B25)</f>
        <v>8.6936936936899994E-2</v>
      </c>
      <c r="S25" t="str">
        <f>_xlfn.XLOOKUP(B25,FactorInputs!$A$2:$A$888,FactorInputs!$F$2:$F$888,"")</f>
        <v>job/MW</v>
      </c>
      <c r="T25" t="str">
        <f>_xlfn.XLOOKUP(B25,FactorInputs!$A$2:$A$888,FactorInputs!$B$2:$B$888,"")</f>
        <v>I-JEDI</v>
      </c>
      <c r="U25" t="str">
        <f>_xlfn.XLOOKUP(B25,FactorInputs!$A$2:$A$888,FactorInputs!$T$2:$T$888,"")</f>
        <v>I-JEDI</v>
      </c>
      <c r="V25">
        <f t="shared" si="5"/>
        <v>373.31232464481485</v>
      </c>
    </row>
    <row r="26" spans="1:23" x14ac:dyDescent="0.3">
      <c r="A26" t="str">
        <f t="shared" si="0"/>
        <v>PD|AccumulatedNewCapacity|RE1|PWRSOLUPE|2028</v>
      </c>
      <c r="B26" t="str">
        <f t="shared" si="1"/>
        <v>Utility-scale solar PV|2028|O&amp;M|Direct</v>
      </c>
      <c r="C26" t="str">
        <f t="shared" si="2"/>
        <v>PWRSOLUPE|Utility-scale solar PV</v>
      </c>
      <c r="D26" t="s">
        <v>16</v>
      </c>
      <c r="E26" t="s">
        <v>17</v>
      </c>
      <c r="F26" t="s">
        <v>19</v>
      </c>
      <c r="G26" t="s">
        <v>34</v>
      </c>
      <c r="H26">
        <v>2028</v>
      </c>
      <c r="I26" t="s">
        <v>18</v>
      </c>
      <c r="J26" t="s">
        <v>63</v>
      </c>
      <c r="K26" t="s">
        <v>64</v>
      </c>
      <c r="L26" t="s">
        <v>65</v>
      </c>
      <c r="M26">
        <f>SUMIFS(RawResultsLong!$P:$P,RawResultsLong!$A:$A,A26)</f>
        <v>12.14419823999993</v>
      </c>
      <c r="N26">
        <f t="shared" si="3"/>
        <v>384.82642026009364</v>
      </c>
      <c r="O26" t="s">
        <v>66</v>
      </c>
      <c r="P26">
        <f>SUMIFS(TechnologyMapping!$D:$D,TechnologyMapping!$A:$A,C26)</f>
        <v>1</v>
      </c>
      <c r="Q26">
        <f t="shared" si="4"/>
        <v>384.82642026009364</v>
      </c>
      <c r="R26">
        <f>SUMIFS(FactorInputs!$I:$I,FactorInputs!$A:$A,B26)</f>
        <v>8.6936936936899994E-2</v>
      </c>
      <c r="S26" t="str">
        <f>_xlfn.XLOOKUP(B26,FactorInputs!$A$2:$A$888,FactorInputs!$F$2:$F$888,"")</f>
        <v>job/MW</v>
      </c>
      <c r="T26" t="str">
        <f>_xlfn.XLOOKUP(B26,FactorInputs!$A$2:$A$888,FactorInputs!$B$2:$B$888,"")</f>
        <v>I-JEDI</v>
      </c>
      <c r="U26" t="str">
        <f>_xlfn.XLOOKUP(B26,FactorInputs!$A$2:$A$888,FactorInputs!$T$2:$T$888,"")</f>
        <v>I-JEDI</v>
      </c>
      <c r="V26">
        <f t="shared" si="5"/>
        <v>33.455630229804733</v>
      </c>
      <c r="W26" t="s">
        <v>67</v>
      </c>
    </row>
    <row r="27" spans="1:23" x14ac:dyDescent="0.3">
      <c r="A27" t="str">
        <f t="shared" si="0"/>
        <v>PD|AccumulatedNewCapacity|RE1|PWRWNDONS|2028</v>
      </c>
      <c r="B27" t="str">
        <f t="shared" si="1"/>
        <v>Onshore wind|2028|O&amp;M|Direct</v>
      </c>
      <c r="C27" t="str">
        <f t="shared" si="2"/>
        <v>PWRWNDONS|Onshore wind</v>
      </c>
      <c r="D27" t="s">
        <v>16</v>
      </c>
      <c r="E27" t="s">
        <v>17</v>
      </c>
      <c r="F27" t="s">
        <v>19</v>
      </c>
      <c r="G27" t="s">
        <v>36</v>
      </c>
      <c r="H27">
        <v>2028</v>
      </c>
      <c r="I27" t="s">
        <v>18</v>
      </c>
      <c r="J27" t="s">
        <v>63</v>
      </c>
      <c r="K27" t="s">
        <v>64</v>
      </c>
      <c r="L27" t="s">
        <v>65</v>
      </c>
      <c r="M27">
        <f>SUMIFS(RawResultsLong!$P:$P,RawResultsLong!$A:$A,A27)</f>
        <v>23.805623314285711</v>
      </c>
      <c r="N27">
        <f t="shared" si="3"/>
        <v>754.35468205078053</v>
      </c>
      <c r="O27" t="s">
        <v>68</v>
      </c>
      <c r="P27">
        <f>SUMIFS(TechnologyMapping!$D:$D,TechnologyMapping!$A:$A,C27)</f>
        <v>1</v>
      </c>
      <c r="Q27">
        <f t="shared" si="4"/>
        <v>754.35468205078053</v>
      </c>
      <c r="R27">
        <f>SUMIFS(FactorInputs!$I:$I,FactorInputs!$A:$A,B27)</f>
        <v>2.8978102189800001E-2</v>
      </c>
      <c r="S27" t="str">
        <f>_xlfn.XLOOKUP(B27,FactorInputs!$A$2:$A$888,FactorInputs!$F$2:$F$888,"")</f>
        <v>job/MW</v>
      </c>
      <c r="T27" t="str">
        <f>_xlfn.XLOOKUP(B27,FactorInputs!$A$2:$A$888,FactorInputs!$B$2:$B$888,"")</f>
        <v>I-JEDI</v>
      </c>
      <c r="U27" t="str">
        <f>_xlfn.XLOOKUP(B27,FactorInputs!$A$2:$A$888,FactorInputs!$T$2:$T$888,"")</f>
        <v>I-JEDI</v>
      </c>
      <c r="V27">
        <f t="shared" si="5"/>
        <v>21.859767063821607</v>
      </c>
    </row>
    <row r="28" spans="1:23" x14ac:dyDescent="0.3">
      <c r="A28" t="str">
        <f t="shared" si="0"/>
        <v>PD|NewCapacity|RE1|PWRHYDDAM|2028</v>
      </c>
      <c r="B28" t="str">
        <f t="shared" si="1"/>
        <v>Hydro (large)|2028|Construction&amp;Manufacturing|Direct</v>
      </c>
      <c r="C28" t="str">
        <f t="shared" si="2"/>
        <v>PWRHYDDAM|Hydro (large)</v>
      </c>
      <c r="D28" t="s">
        <v>16</v>
      </c>
      <c r="E28" t="s">
        <v>17</v>
      </c>
      <c r="F28" t="s">
        <v>19</v>
      </c>
      <c r="G28" t="s">
        <v>24</v>
      </c>
      <c r="H28">
        <v>2028</v>
      </c>
      <c r="I28" t="s">
        <v>37</v>
      </c>
      <c r="J28" t="s">
        <v>69</v>
      </c>
      <c r="K28" t="s">
        <v>70</v>
      </c>
      <c r="L28" t="s">
        <v>65</v>
      </c>
      <c r="M28">
        <f>SUMIFS(RawResultsLong!$P:$P,RawResultsLong!$A:$A,A28)</f>
        <v>37.840000000000003</v>
      </c>
      <c r="N28">
        <f t="shared" si="3"/>
        <v>1199.0772428828554</v>
      </c>
      <c r="O28" t="s">
        <v>72</v>
      </c>
      <c r="P28">
        <f>SUMIFS(TechnologyMapping!$D:$D,TechnologyMapping!$A:$A,C28)</f>
        <v>1</v>
      </c>
      <c r="Q28">
        <f t="shared" si="4"/>
        <v>1199.0772428828554</v>
      </c>
      <c r="R28">
        <f>SUMIFS(FactorInputs!$I:$I,FactorInputs!$A:$A,B28)</f>
        <v>11.5612666667</v>
      </c>
      <c r="S28" t="str">
        <f>_xlfn.XLOOKUP(B28,FactorInputs!$A$2:$A$888,FactorInputs!$F$2:$F$888,"")</f>
        <v>job-yr/MW</v>
      </c>
      <c r="T28" t="str">
        <f>_xlfn.XLOOKUP(B28,FactorInputs!$A$2:$A$888,FactorInputs!$B$2:$B$888,"")</f>
        <v>Rutovitz 2015</v>
      </c>
      <c r="U28" t="str">
        <f>_xlfn.XLOOKUP(B28,FactorInputs!$A$2:$A$888,FactorInputs!$T$2:$T$888,"")</f>
        <v>Rutovitz 2015</v>
      </c>
      <c r="V28">
        <f t="shared" si="5"/>
        <v>13862.851758940096</v>
      </c>
    </row>
    <row r="29" spans="1:23" x14ac:dyDescent="0.3">
      <c r="A29" t="str">
        <f t="shared" si="0"/>
        <v>PD|NewCapacity|RE1|PWRSOLRTP|2028</v>
      </c>
      <c r="B29" t="str">
        <f t="shared" si="1"/>
        <v>Rooftop solar PV|2028|Construction&amp;Manufacturing|Direct</v>
      </c>
      <c r="C29" t="str">
        <f t="shared" si="2"/>
        <v>PWRSOLRTP|Rooftop solar PV</v>
      </c>
      <c r="D29" t="s">
        <v>16</v>
      </c>
      <c r="E29" t="s">
        <v>17</v>
      </c>
      <c r="F29" t="s">
        <v>19</v>
      </c>
      <c r="G29" t="s">
        <v>31</v>
      </c>
      <c r="H29">
        <v>2028</v>
      </c>
      <c r="I29" t="s">
        <v>37</v>
      </c>
      <c r="J29" t="s">
        <v>69</v>
      </c>
      <c r="K29" t="s">
        <v>70</v>
      </c>
      <c r="L29" t="s">
        <v>65</v>
      </c>
      <c r="M29">
        <f>SUMIFS(RawResultsLong!$P:$P,RawResultsLong!$A:$A,A29)</f>
        <v>11.414077362079899</v>
      </c>
      <c r="N29">
        <f t="shared" si="3"/>
        <v>361.69028576570776</v>
      </c>
      <c r="O29" t="s">
        <v>71</v>
      </c>
      <c r="P29">
        <f>SUMIFS(TechnologyMapping!$D:$D,TechnologyMapping!$A:$A,C29)</f>
        <v>1</v>
      </c>
      <c r="Q29">
        <f t="shared" si="4"/>
        <v>361.69028576570776</v>
      </c>
      <c r="R29">
        <f>SUMIFS(FactorInputs!$I:$I,FactorInputs!$A:$A,B29)</f>
        <v>7.3988133842100003</v>
      </c>
      <c r="S29" t="str">
        <f>_xlfn.XLOOKUP(B29,FactorInputs!$A$2:$A$888,FactorInputs!$F$2:$F$888,"")</f>
        <v>job-yr/MW</v>
      </c>
      <c r="T29" t="str">
        <f>_xlfn.XLOOKUP(B29,FactorInputs!$A$2:$A$888,FactorInputs!$B$2:$B$888,"")</f>
        <v>JEDI-US</v>
      </c>
      <c r="U29" t="str">
        <f>_xlfn.XLOOKUP(B29,FactorInputs!$A$2:$A$888,FactorInputs!$T$2:$T$888,"")</f>
        <v>JEDI-US</v>
      </c>
      <c r="V29">
        <f t="shared" si="5"/>
        <v>2676.0789272620582</v>
      </c>
    </row>
    <row r="30" spans="1:23" x14ac:dyDescent="0.3">
      <c r="A30" t="str">
        <f t="shared" si="0"/>
        <v>PD|NewCapacity|RE1|PWRWNDONS|2028</v>
      </c>
      <c r="B30" t="str">
        <f t="shared" si="1"/>
        <v>Onshore wind|2028|Construction&amp;Manufacturing|Direct</v>
      </c>
      <c r="C30" t="str">
        <f t="shared" si="2"/>
        <v>PWRWNDONS|Onshore wind</v>
      </c>
      <c r="D30" t="s">
        <v>16</v>
      </c>
      <c r="E30" t="s">
        <v>17</v>
      </c>
      <c r="F30" t="s">
        <v>19</v>
      </c>
      <c r="G30" t="s">
        <v>36</v>
      </c>
      <c r="H30">
        <v>2028</v>
      </c>
      <c r="I30" t="s">
        <v>37</v>
      </c>
      <c r="J30" t="s">
        <v>69</v>
      </c>
      <c r="K30" t="s">
        <v>70</v>
      </c>
      <c r="L30" t="s">
        <v>65</v>
      </c>
      <c r="M30">
        <f>SUMIFS(RawResultsLong!$P:$P,RawResultsLong!$A:$A,A30)</f>
        <v>6.3387359999999999</v>
      </c>
      <c r="N30">
        <f t="shared" si="3"/>
        <v>200.8624229979466</v>
      </c>
      <c r="O30" t="s">
        <v>68</v>
      </c>
      <c r="P30">
        <f>SUMIFS(TechnologyMapping!$D:$D,TechnologyMapping!$A:$A,C30)</f>
        <v>1</v>
      </c>
      <c r="Q30">
        <f t="shared" si="4"/>
        <v>200.8624229979466</v>
      </c>
      <c r="R30">
        <f>SUMIFS(FactorInputs!$I:$I,FactorInputs!$A:$A,B30)</f>
        <v>7.0007299870599997</v>
      </c>
      <c r="S30" t="str">
        <f>_xlfn.XLOOKUP(B30,FactorInputs!$A$2:$A$888,FactorInputs!$F$2:$F$888,"")</f>
        <v>job-yr/MW</v>
      </c>
      <c r="T30" t="str">
        <f>_xlfn.XLOOKUP(B30,FactorInputs!$A$2:$A$888,FactorInputs!$B$2:$B$888,"")</f>
        <v>I-JEDI</v>
      </c>
      <c r="U30" t="str">
        <f>_xlfn.XLOOKUP(B30,FactorInputs!$A$2:$A$888,FactorInputs!$T$2:$T$888,"")</f>
        <v>I-JEDI</v>
      </c>
      <c r="V30">
        <f t="shared" si="5"/>
        <v>1406.1835879552548</v>
      </c>
    </row>
    <row r="31" spans="1:23" x14ac:dyDescent="0.3">
      <c r="A31" t="str">
        <f t="shared" si="0"/>
        <v>PD|AccumulatedNewCapacity|RE1|PWRHYDDAM|2029</v>
      </c>
      <c r="B31" t="str">
        <f t="shared" si="1"/>
        <v>Hydro (large)|2029|O&amp;M|Direct</v>
      </c>
      <c r="C31" t="str">
        <f t="shared" si="2"/>
        <v>PWRHYDDAM|Hydro (large)</v>
      </c>
      <c r="D31" t="s">
        <v>16</v>
      </c>
      <c r="E31" t="s">
        <v>17</v>
      </c>
      <c r="F31" t="s">
        <v>19</v>
      </c>
      <c r="G31" t="s">
        <v>24</v>
      </c>
      <c r="H31">
        <v>2029</v>
      </c>
      <c r="I31" t="s">
        <v>18</v>
      </c>
      <c r="J31" t="s">
        <v>63</v>
      </c>
      <c r="K31" t="s">
        <v>64</v>
      </c>
      <c r="L31" t="s">
        <v>65</v>
      </c>
      <c r="M31">
        <f>SUMIFS(RawResultsLong!$P:$P,RawResultsLong!$A:$A,A31)</f>
        <v>37.840000000000003</v>
      </c>
      <c r="N31">
        <f t="shared" si="3"/>
        <v>1199.0772428828554</v>
      </c>
      <c r="O31" t="s">
        <v>72</v>
      </c>
      <c r="P31">
        <f>SUMIFS(TechnologyMapping!$D:$D,TechnologyMapping!$A:$A,C31)</f>
        <v>1</v>
      </c>
      <c r="Q31">
        <f t="shared" si="4"/>
        <v>1199.0772428828554</v>
      </c>
      <c r="R31">
        <f>SUMIFS(FactorInputs!$I:$I,FactorInputs!$A:$A,B31)</f>
        <v>0.63919999999999999</v>
      </c>
      <c r="S31" t="str">
        <f>_xlfn.XLOOKUP(B31,FactorInputs!$A$2:$A$888,FactorInputs!$F$2:$F$888,"")</f>
        <v>job/MW</v>
      </c>
      <c r="T31" t="str">
        <f>_xlfn.XLOOKUP(B31,FactorInputs!$A$2:$A$888,FactorInputs!$B$2:$B$888,"")</f>
        <v>Rutovitz 2015</v>
      </c>
      <c r="U31" t="str">
        <f>_xlfn.XLOOKUP(B31,FactorInputs!$A$2:$A$888,FactorInputs!$T$2:$T$888,"")</f>
        <v>Rutovitz 2015</v>
      </c>
      <c r="V31">
        <f t="shared" si="5"/>
        <v>766.45017365072124</v>
      </c>
    </row>
    <row r="32" spans="1:23" x14ac:dyDescent="0.3">
      <c r="A32" t="str">
        <f t="shared" si="0"/>
        <v>PD|AccumulatedNewCapacity|RE1|PWRSOLRTP|2029</v>
      </c>
      <c r="B32" t="str">
        <f t="shared" si="1"/>
        <v>Rooftop solar PV|2029|O&amp;M|Direct</v>
      </c>
      <c r="C32" t="str">
        <f t="shared" si="2"/>
        <v>PWRSOLRTP|Rooftop solar PV</v>
      </c>
      <c r="D32" t="s">
        <v>16</v>
      </c>
      <c r="E32" t="s">
        <v>17</v>
      </c>
      <c r="F32" t="s">
        <v>19</v>
      </c>
      <c r="G32" t="s">
        <v>31</v>
      </c>
      <c r="H32">
        <v>2029</v>
      </c>
      <c r="I32" t="s">
        <v>18</v>
      </c>
      <c r="J32" t="s">
        <v>63</v>
      </c>
      <c r="K32" t="s">
        <v>64</v>
      </c>
      <c r="L32" t="s">
        <v>65</v>
      </c>
      <c r="M32">
        <f>SUMIFS(RawResultsLong!$P:$P,RawResultsLong!$A:$A,A32)</f>
        <v>41.388376664552951</v>
      </c>
      <c r="N32">
        <f t="shared" si="3"/>
        <v>1311.5185142264606</v>
      </c>
      <c r="O32" t="s">
        <v>71</v>
      </c>
      <c r="P32">
        <f>SUMIFS(TechnologyMapping!$D:$D,TechnologyMapping!$A:$A,C32)</f>
        <v>1</v>
      </c>
      <c r="Q32">
        <f t="shared" si="4"/>
        <v>1311.5185142264606</v>
      </c>
      <c r="R32">
        <f>SUMIFS(FactorInputs!$I:$I,FactorInputs!$A:$A,B32)</f>
        <v>0.26470588235300002</v>
      </c>
      <c r="S32" t="str">
        <f>_xlfn.XLOOKUP(B32,FactorInputs!$A$2:$A$888,FactorInputs!$F$2:$F$888,"")</f>
        <v>job/MW</v>
      </c>
      <c r="T32" t="str">
        <f>_xlfn.XLOOKUP(B32,FactorInputs!$A$2:$A$888,FactorInputs!$B$2:$B$888,"")</f>
        <v>JEDI-US</v>
      </c>
      <c r="U32" t="str">
        <f>_xlfn.XLOOKUP(B32,FactorInputs!$A$2:$A$888,FactorInputs!$T$2:$T$888,"")</f>
        <v>JEDI-US</v>
      </c>
      <c r="V32">
        <f t="shared" si="5"/>
        <v>347.16666553061089</v>
      </c>
    </row>
    <row r="33" spans="1:23" x14ac:dyDescent="0.3">
      <c r="A33" t="str">
        <f t="shared" si="0"/>
        <v>PD|AccumulatedNewCapacity|RE1|PWRSOLUGE|2029</v>
      </c>
      <c r="B33" t="str">
        <f t="shared" si="1"/>
        <v>Utility-scale solar PV|2029|O&amp;M|Direct</v>
      </c>
      <c r="C33" t="str">
        <f t="shared" si="2"/>
        <v>PWRSOLUGE|Utility-scale solar PV</v>
      </c>
      <c r="D33" t="s">
        <v>16</v>
      </c>
      <c r="E33" t="s">
        <v>17</v>
      </c>
      <c r="F33" t="s">
        <v>19</v>
      </c>
      <c r="G33" t="s">
        <v>33</v>
      </c>
      <c r="H33">
        <v>2029</v>
      </c>
      <c r="I33" t="s">
        <v>18</v>
      </c>
      <c r="J33" t="s">
        <v>63</v>
      </c>
      <c r="K33" t="s">
        <v>64</v>
      </c>
      <c r="L33" t="s">
        <v>65</v>
      </c>
      <c r="M33">
        <f>SUMIFS(RawResultsLong!$P:$P,RawResultsLong!$A:$A,A33)</f>
        <v>135.51019199999999</v>
      </c>
      <c r="N33">
        <f t="shared" si="3"/>
        <v>4294.0588637919227</v>
      </c>
      <c r="O33" t="s">
        <v>66</v>
      </c>
      <c r="P33">
        <f>SUMIFS(TechnologyMapping!$D:$D,TechnologyMapping!$A:$A,C33)</f>
        <v>1</v>
      </c>
      <c r="Q33">
        <f t="shared" si="4"/>
        <v>4294.0588637919227</v>
      </c>
      <c r="R33">
        <f>SUMIFS(FactorInputs!$I:$I,FactorInputs!$A:$A,B33)</f>
        <v>8.4546171171200002E-2</v>
      </c>
      <c r="S33" t="str">
        <f>_xlfn.XLOOKUP(B33,FactorInputs!$A$2:$A$888,FactorInputs!$F$2:$F$888,"")</f>
        <v>job/MW</v>
      </c>
      <c r="T33" t="str">
        <f>_xlfn.XLOOKUP(B33,FactorInputs!$A$2:$A$888,FactorInputs!$B$2:$B$888,"")</f>
        <v>I-JEDI</v>
      </c>
      <c r="U33" t="str">
        <f>_xlfn.XLOOKUP(B33,FactorInputs!$A$2:$A$888,FactorInputs!$T$2:$T$888,"")</f>
        <v>I-JEDI</v>
      </c>
      <c r="V33">
        <f t="shared" si="5"/>
        <v>363.0462357173605</v>
      </c>
    </row>
    <row r="34" spans="1:23" x14ac:dyDescent="0.3">
      <c r="A34" t="str">
        <f t="shared" si="0"/>
        <v>PD|AccumulatedNewCapacity|RE1|PWRSOLUPE|2029</v>
      </c>
      <c r="B34" t="str">
        <f t="shared" si="1"/>
        <v>Utility-scale solar PV|2029|O&amp;M|Direct</v>
      </c>
      <c r="C34" t="str">
        <f t="shared" si="2"/>
        <v>PWRSOLUPE|Utility-scale solar PV</v>
      </c>
      <c r="D34" t="s">
        <v>16</v>
      </c>
      <c r="E34" t="s">
        <v>17</v>
      </c>
      <c r="F34" t="s">
        <v>19</v>
      </c>
      <c r="G34" t="s">
        <v>34</v>
      </c>
      <c r="H34">
        <v>2029</v>
      </c>
      <c r="I34" t="s">
        <v>18</v>
      </c>
      <c r="J34" t="s">
        <v>63</v>
      </c>
      <c r="K34" t="s">
        <v>64</v>
      </c>
      <c r="L34" t="s">
        <v>65</v>
      </c>
      <c r="M34">
        <f>SUMIFS(RawResultsLong!$P:$P,RawResultsLong!$A:$A,A34)</f>
        <v>12.14419823999993</v>
      </c>
      <c r="N34">
        <f t="shared" si="3"/>
        <v>384.82642026009364</v>
      </c>
      <c r="O34" t="s">
        <v>66</v>
      </c>
      <c r="P34">
        <f>SUMIFS(TechnologyMapping!$D:$D,TechnologyMapping!$A:$A,C34)</f>
        <v>1</v>
      </c>
      <c r="Q34">
        <f t="shared" si="4"/>
        <v>384.82642026009364</v>
      </c>
      <c r="R34">
        <f>SUMIFS(FactorInputs!$I:$I,FactorInputs!$A:$A,B34)</f>
        <v>8.4546171171200002E-2</v>
      </c>
      <c r="S34" t="str">
        <f>_xlfn.XLOOKUP(B34,FactorInputs!$A$2:$A$888,FactorInputs!$F$2:$F$888,"")</f>
        <v>job/MW</v>
      </c>
      <c r="T34" t="str">
        <f>_xlfn.XLOOKUP(B34,FactorInputs!$A$2:$A$888,FactorInputs!$B$2:$B$888,"")</f>
        <v>I-JEDI</v>
      </c>
      <c r="U34" t="str">
        <f>_xlfn.XLOOKUP(B34,FactorInputs!$A$2:$A$888,FactorInputs!$T$2:$T$888,"")</f>
        <v>I-JEDI</v>
      </c>
      <c r="V34">
        <f t="shared" si="5"/>
        <v>32.535600398510027</v>
      </c>
      <c r="W34" t="s">
        <v>67</v>
      </c>
    </row>
    <row r="35" spans="1:23" x14ac:dyDescent="0.3">
      <c r="A35" t="str">
        <f t="shared" si="0"/>
        <v>PD|AccumulatedNewCapacity|RE1|PWRWNDONS|2029</v>
      </c>
      <c r="B35" t="str">
        <f t="shared" si="1"/>
        <v>Onshore wind|2029|O&amp;M|Direct</v>
      </c>
      <c r="C35" t="str">
        <f t="shared" si="2"/>
        <v>PWRWNDONS|Onshore wind</v>
      </c>
      <c r="D35" t="s">
        <v>16</v>
      </c>
      <c r="E35" t="s">
        <v>17</v>
      </c>
      <c r="F35" t="s">
        <v>19</v>
      </c>
      <c r="G35" t="s">
        <v>36</v>
      </c>
      <c r="H35">
        <v>2029</v>
      </c>
      <c r="I35" t="s">
        <v>18</v>
      </c>
      <c r="J35" t="s">
        <v>63</v>
      </c>
      <c r="K35" t="s">
        <v>64</v>
      </c>
      <c r="L35" t="s">
        <v>65</v>
      </c>
      <c r="M35">
        <f>SUMIFS(RawResultsLong!$P:$P,RawResultsLong!$A:$A,A35)</f>
        <v>33.266423314285717</v>
      </c>
      <c r="N35">
        <f t="shared" si="3"/>
        <v>1054.1493432417458</v>
      </c>
      <c r="O35" t="s">
        <v>68</v>
      </c>
      <c r="P35">
        <f>SUMIFS(TechnologyMapping!$D:$D,TechnologyMapping!$A:$A,C35)</f>
        <v>1</v>
      </c>
      <c r="Q35">
        <f t="shared" si="4"/>
        <v>1054.1493432417458</v>
      </c>
      <c r="R35">
        <f>SUMIFS(FactorInputs!$I:$I,FactorInputs!$A:$A,B35)</f>
        <v>2.87226277372E-2</v>
      </c>
      <c r="S35" t="str">
        <f>_xlfn.XLOOKUP(B35,FactorInputs!$A$2:$A$888,FactorInputs!$F$2:$F$888,"")</f>
        <v>job/MW</v>
      </c>
      <c r="T35" t="str">
        <f>_xlfn.XLOOKUP(B35,FactorInputs!$A$2:$A$888,FactorInputs!$B$2:$B$888,"")</f>
        <v>I-JEDI</v>
      </c>
      <c r="U35" t="str">
        <f>_xlfn.XLOOKUP(B35,FactorInputs!$A$2:$A$888,FactorInputs!$T$2:$T$888,"")</f>
        <v>I-JEDI</v>
      </c>
      <c r="V35">
        <f t="shared" si="5"/>
        <v>30.277939165346531</v>
      </c>
    </row>
    <row r="36" spans="1:23" x14ac:dyDescent="0.3">
      <c r="A36" t="str">
        <f t="shared" si="0"/>
        <v>PD|NewCapacity|RE1|PWRSOLRTP|2029</v>
      </c>
      <c r="B36" t="str">
        <f t="shared" si="1"/>
        <v>Rooftop solar PV|2029|Construction&amp;Manufacturing|Direct</v>
      </c>
      <c r="C36" t="str">
        <f t="shared" si="2"/>
        <v>PWRSOLRTP|Rooftop solar PV</v>
      </c>
      <c r="D36" t="s">
        <v>16</v>
      </c>
      <c r="E36" t="s">
        <v>17</v>
      </c>
      <c r="F36" t="s">
        <v>19</v>
      </c>
      <c r="G36" t="s">
        <v>31</v>
      </c>
      <c r="H36">
        <v>2029</v>
      </c>
      <c r="I36" t="s">
        <v>37</v>
      </c>
      <c r="J36" t="s">
        <v>69</v>
      </c>
      <c r="K36" t="s">
        <v>70</v>
      </c>
      <c r="L36" t="s">
        <v>65</v>
      </c>
      <c r="M36">
        <f>SUMIFS(RawResultsLong!$P:$P,RawResultsLong!$A:$A,A36)</f>
        <v>11.25554850982879</v>
      </c>
      <c r="N36">
        <f t="shared" si="3"/>
        <v>356.6668095745174</v>
      </c>
      <c r="O36" t="s">
        <v>71</v>
      </c>
      <c r="P36">
        <f>SUMIFS(TechnologyMapping!$D:$D,TechnologyMapping!$A:$A,C36)</f>
        <v>1</v>
      </c>
      <c r="Q36">
        <f t="shared" si="4"/>
        <v>356.6668095745174</v>
      </c>
      <c r="R36">
        <f>SUMIFS(FactorInputs!$I:$I,FactorInputs!$A:$A,B36)</f>
        <v>6.9165167302599997</v>
      </c>
      <c r="S36" t="str">
        <f>_xlfn.XLOOKUP(B36,FactorInputs!$A$2:$A$888,FactorInputs!$F$2:$F$888,"")</f>
        <v>job-yr/MW</v>
      </c>
      <c r="T36" t="str">
        <f>_xlfn.XLOOKUP(B36,FactorInputs!$A$2:$A$888,FactorInputs!$B$2:$B$888,"")</f>
        <v>JEDI-US</v>
      </c>
      <c r="U36" t="str">
        <f>_xlfn.XLOOKUP(B36,FactorInputs!$A$2:$A$888,FactorInputs!$T$2:$T$888,"")</f>
        <v>JEDI-US</v>
      </c>
      <c r="V36">
        <f t="shared" si="5"/>
        <v>2466.8919555506072</v>
      </c>
    </row>
    <row r="37" spans="1:23" x14ac:dyDescent="0.3">
      <c r="A37" t="str">
        <f t="shared" si="0"/>
        <v>PD|NewCapacity|RE1|PWRWNDONS|2029</v>
      </c>
      <c r="B37" t="str">
        <f t="shared" si="1"/>
        <v>Onshore wind|2029|Construction&amp;Manufacturing|Direct</v>
      </c>
      <c r="C37" t="str">
        <f t="shared" si="2"/>
        <v>PWRWNDONS|Onshore wind</v>
      </c>
      <c r="D37" t="s">
        <v>16</v>
      </c>
      <c r="E37" t="s">
        <v>17</v>
      </c>
      <c r="F37" t="s">
        <v>19</v>
      </c>
      <c r="G37" t="s">
        <v>36</v>
      </c>
      <c r="H37">
        <v>2029</v>
      </c>
      <c r="I37" t="s">
        <v>37</v>
      </c>
      <c r="J37" t="s">
        <v>69</v>
      </c>
      <c r="K37" t="s">
        <v>70</v>
      </c>
      <c r="L37" t="s">
        <v>65</v>
      </c>
      <c r="M37">
        <f>SUMIFS(RawResultsLong!$P:$P,RawResultsLong!$A:$A,A37)</f>
        <v>9.4608000000000008</v>
      </c>
      <c r="N37">
        <f t="shared" si="3"/>
        <v>299.79466119096514</v>
      </c>
      <c r="O37" t="s">
        <v>68</v>
      </c>
      <c r="P37">
        <f>SUMIFS(TechnologyMapping!$D:$D,TechnologyMapping!$A:$A,C37)</f>
        <v>1</v>
      </c>
      <c r="Q37">
        <f t="shared" si="4"/>
        <v>299.79466119096514</v>
      </c>
      <c r="R37">
        <f>SUMIFS(FactorInputs!$I:$I,FactorInputs!$A:$A,B37)</f>
        <v>6.9391624838199997</v>
      </c>
      <c r="S37" t="str">
        <f>_xlfn.XLOOKUP(B37,FactorInputs!$A$2:$A$888,FactorInputs!$F$2:$F$888,"")</f>
        <v>job-yr/MW</v>
      </c>
      <c r="T37" t="str">
        <f>_xlfn.XLOOKUP(B37,FactorInputs!$A$2:$A$888,FactorInputs!$B$2:$B$888,"")</f>
        <v>I-JEDI</v>
      </c>
      <c r="U37" t="str">
        <f>_xlfn.XLOOKUP(B37,FactorInputs!$A$2:$A$888,FactorInputs!$T$2:$T$888,"")</f>
        <v>I-JEDI</v>
      </c>
      <c r="V37">
        <f t="shared" si="5"/>
        <v>2080.3238657858728</v>
      </c>
    </row>
    <row r="38" spans="1:23" x14ac:dyDescent="0.3">
      <c r="A38" t="str">
        <f t="shared" si="0"/>
        <v>PD|AccumulatedNewCapacity|RE1|PWRHYDDAM|2030</v>
      </c>
      <c r="B38" t="str">
        <f t="shared" si="1"/>
        <v>Hydro (large)|2030|O&amp;M|Direct</v>
      </c>
      <c r="C38" t="str">
        <f t="shared" si="2"/>
        <v>PWRHYDDAM|Hydro (large)</v>
      </c>
      <c r="D38" t="s">
        <v>16</v>
      </c>
      <c r="E38" t="s">
        <v>17</v>
      </c>
      <c r="F38" t="s">
        <v>19</v>
      </c>
      <c r="G38" t="s">
        <v>24</v>
      </c>
      <c r="H38">
        <v>2030</v>
      </c>
      <c r="I38" t="s">
        <v>18</v>
      </c>
      <c r="J38" t="s">
        <v>63</v>
      </c>
      <c r="K38" t="s">
        <v>64</v>
      </c>
      <c r="L38" t="s">
        <v>65</v>
      </c>
      <c r="M38">
        <f>SUMIFS(RawResultsLong!$P:$P,RawResultsLong!$A:$A,A38)</f>
        <v>37.840000000000003</v>
      </c>
      <c r="N38">
        <f t="shared" si="3"/>
        <v>1199.0772428828554</v>
      </c>
      <c r="O38" t="s">
        <v>72</v>
      </c>
      <c r="P38">
        <f>SUMIFS(TechnologyMapping!$D:$D,TechnologyMapping!$A:$A,C38)</f>
        <v>1</v>
      </c>
      <c r="Q38">
        <f t="shared" si="4"/>
        <v>1199.0772428828554</v>
      </c>
      <c r="R38">
        <f>SUMIFS(FactorInputs!$I:$I,FactorInputs!$A:$A,B38)</f>
        <v>0.64200000000000002</v>
      </c>
      <c r="S38" t="str">
        <f>_xlfn.XLOOKUP(B38,FactorInputs!$A$2:$A$888,FactorInputs!$F$2:$F$888,"")</f>
        <v>job/MW</v>
      </c>
      <c r="T38" t="str">
        <f>_xlfn.XLOOKUP(B38,FactorInputs!$A$2:$A$888,FactorInputs!$B$2:$B$888,"")</f>
        <v>Rutovitz 2015</v>
      </c>
      <c r="U38" t="str">
        <f>_xlfn.XLOOKUP(B38,FactorInputs!$A$2:$A$888,FactorInputs!$T$2:$T$888,"")</f>
        <v>Rutovitz 2015</v>
      </c>
      <c r="V38">
        <f t="shared" si="5"/>
        <v>769.80758993079326</v>
      </c>
    </row>
    <row r="39" spans="1:23" x14ac:dyDescent="0.3">
      <c r="A39" t="str">
        <f t="shared" si="0"/>
        <v>PD|AccumulatedNewCapacity|RE1|PWRSOLRTP|2030</v>
      </c>
      <c r="B39" t="str">
        <f t="shared" si="1"/>
        <v>Rooftop solar PV|2030|O&amp;M|Direct</v>
      </c>
      <c r="C39" t="str">
        <f t="shared" si="2"/>
        <v>PWRSOLRTP|Rooftop solar PV</v>
      </c>
      <c r="D39" t="s">
        <v>16</v>
      </c>
      <c r="E39" t="s">
        <v>17</v>
      </c>
      <c r="F39" t="s">
        <v>19</v>
      </c>
      <c r="G39" t="s">
        <v>31</v>
      </c>
      <c r="H39">
        <v>2030</v>
      </c>
      <c r="I39" t="s">
        <v>18</v>
      </c>
      <c r="J39" t="s">
        <v>63</v>
      </c>
      <c r="K39" t="s">
        <v>64</v>
      </c>
      <c r="L39" t="s">
        <v>65</v>
      </c>
      <c r="M39">
        <f>SUMIFS(RawResultsLong!$P:$P,RawResultsLong!$A:$A,A39)</f>
        <v>52.009809765377298</v>
      </c>
      <c r="N39">
        <f t="shared" si="3"/>
        <v>1648.0914190362164</v>
      </c>
      <c r="O39" t="s">
        <v>71</v>
      </c>
      <c r="P39">
        <f>SUMIFS(TechnologyMapping!$D:$D,TechnologyMapping!$A:$A,C39)</f>
        <v>1</v>
      </c>
      <c r="Q39">
        <f t="shared" si="4"/>
        <v>1648.0914190362164</v>
      </c>
      <c r="R39">
        <f>SUMIFS(FactorInputs!$I:$I,FactorInputs!$A:$A,B39)</f>
        <v>0.25764705882400002</v>
      </c>
      <c r="S39" t="str">
        <f>_xlfn.XLOOKUP(B39,FactorInputs!$A$2:$A$888,FactorInputs!$F$2:$F$888,"")</f>
        <v>job/MW</v>
      </c>
      <c r="T39" t="str">
        <f>_xlfn.XLOOKUP(B39,FactorInputs!$A$2:$A$888,FactorInputs!$B$2:$B$888,"")</f>
        <v>JEDI-US</v>
      </c>
      <c r="U39" t="str">
        <f>_xlfn.XLOOKUP(B39,FactorInputs!$A$2:$A$888,FactorInputs!$T$2:$T$888,"")</f>
        <v>JEDI-US</v>
      </c>
      <c r="V39">
        <f t="shared" si="5"/>
        <v>424.62590678775371</v>
      </c>
    </row>
    <row r="40" spans="1:23" x14ac:dyDescent="0.3">
      <c r="A40" t="str">
        <f t="shared" si="0"/>
        <v>PD|AccumulatedNewCapacity|RE1|PWRSOLUGE|2030</v>
      </c>
      <c r="B40" t="str">
        <f t="shared" si="1"/>
        <v>Utility-scale solar PV|2030|O&amp;M|Direct</v>
      </c>
      <c r="C40" t="str">
        <f t="shared" si="2"/>
        <v>PWRSOLUGE|Utility-scale solar PV</v>
      </c>
      <c r="D40" t="s">
        <v>16</v>
      </c>
      <c r="E40" t="s">
        <v>17</v>
      </c>
      <c r="F40" t="s">
        <v>19</v>
      </c>
      <c r="G40" t="s">
        <v>33</v>
      </c>
      <c r="H40">
        <v>2030</v>
      </c>
      <c r="I40" t="s">
        <v>18</v>
      </c>
      <c r="J40" t="s">
        <v>63</v>
      </c>
      <c r="K40" t="s">
        <v>64</v>
      </c>
      <c r="L40" t="s">
        <v>65</v>
      </c>
      <c r="M40">
        <f>SUMIFS(RawResultsLong!$P:$P,RawResultsLong!$A:$A,A40)</f>
        <v>143.394192</v>
      </c>
      <c r="N40">
        <f t="shared" si="3"/>
        <v>4543.8877481177278</v>
      </c>
      <c r="O40" t="s">
        <v>66</v>
      </c>
      <c r="P40">
        <f>SUMIFS(TechnologyMapping!$D:$D,TechnologyMapping!$A:$A,C40)</f>
        <v>1</v>
      </c>
      <c r="Q40">
        <f t="shared" si="4"/>
        <v>4543.8877481177278</v>
      </c>
      <c r="R40">
        <f>SUMIFS(FactorInputs!$I:$I,FactorInputs!$A:$A,B40)</f>
        <v>8.2155405405400006E-2</v>
      </c>
      <c r="S40" t="str">
        <f>_xlfn.XLOOKUP(B40,FactorInputs!$A$2:$A$888,FactorInputs!$F$2:$F$888,"")</f>
        <v>job/MW</v>
      </c>
      <c r="T40" t="str">
        <f>_xlfn.XLOOKUP(B40,FactorInputs!$A$2:$A$888,FactorInputs!$B$2:$B$888,"")</f>
        <v>I-JEDI</v>
      </c>
      <c r="U40" t="str">
        <f>_xlfn.XLOOKUP(B40,FactorInputs!$A$2:$A$888,FactorInputs!$T$2:$T$888,"")</f>
        <v>I-JEDI</v>
      </c>
      <c r="V40">
        <f t="shared" si="5"/>
        <v>373.30494006324204</v>
      </c>
    </row>
    <row r="41" spans="1:23" x14ac:dyDescent="0.3">
      <c r="A41" t="str">
        <f t="shared" si="0"/>
        <v>PD|AccumulatedNewCapacity|RE1|PWRSOLUPE|2030</v>
      </c>
      <c r="B41" t="str">
        <f t="shared" si="1"/>
        <v>Utility-scale solar PV|2030|O&amp;M|Direct</v>
      </c>
      <c r="C41" t="str">
        <f t="shared" si="2"/>
        <v>PWRSOLUPE|Utility-scale solar PV</v>
      </c>
      <c r="D41" t="s">
        <v>16</v>
      </c>
      <c r="E41" t="s">
        <v>17</v>
      </c>
      <c r="F41" t="s">
        <v>19</v>
      </c>
      <c r="G41" t="s">
        <v>34</v>
      </c>
      <c r="H41">
        <v>2030</v>
      </c>
      <c r="I41" t="s">
        <v>18</v>
      </c>
      <c r="J41" t="s">
        <v>63</v>
      </c>
      <c r="K41" t="s">
        <v>64</v>
      </c>
      <c r="L41" t="s">
        <v>65</v>
      </c>
      <c r="M41">
        <f>SUMIFS(RawResultsLong!$P:$P,RawResultsLong!$A:$A,A41)</f>
        <v>12.14419823999993</v>
      </c>
      <c r="N41">
        <f t="shared" si="3"/>
        <v>384.82642026009364</v>
      </c>
      <c r="O41" t="s">
        <v>66</v>
      </c>
      <c r="P41">
        <f>SUMIFS(TechnologyMapping!$D:$D,TechnologyMapping!$A:$A,C41)</f>
        <v>1</v>
      </c>
      <c r="Q41">
        <f t="shared" si="4"/>
        <v>384.82642026009364</v>
      </c>
      <c r="R41">
        <f>SUMIFS(FactorInputs!$I:$I,FactorInputs!$A:$A,B41)</f>
        <v>8.2155405405400006E-2</v>
      </c>
      <c r="S41" t="str">
        <f>_xlfn.XLOOKUP(B41,FactorInputs!$A$2:$A$888,FactorInputs!$F$2:$F$888,"")</f>
        <v>job/MW</v>
      </c>
      <c r="T41" t="str">
        <f>_xlfn.XLOOKUP(B41,FactorInputs!$A$2:$A$888,FactorInputs!$B$2:$B$888,"")</f>
        <v>I-JEDI</v>
      </c>
      <c r="U41" t="str">
        <f>_xlfn.XLOOKUP(B41,FactorInputs!$A$2:$A$888,FactorInputs!$T$2:$T$888,"")</f>
        <v>I-JEDI</v>
      </c>
      <c r="V41">
        <f t="shared" si="5"/>
        <v>31.615570567176832</v>
      </c>
      <c r="W41" t="s">
        <v>67</v>
      </c>
    </row>
    <row r="42" spans="1:23" x14ac:dyDescent="0.3">
      <c r="A42" t="str">
        <f t="shared" si="0"/>
        <v>PD|AccumulatedNewCapacity|RE1|PWRWNDONS|2030</v>
      </c>
      <c r="B42" t="str">
        <f t="shared" si="1"/>
        <v>Onshore wind|2030|O&amp;M|Direct</v>
      </c>
      <c r="C42" t="str">
        <f t="shared" si="2"/>
        <v>PWRWNDONS|Onshore wind</v>
      </c>
      <c r="D42" t="s">
        <v>16</v>
      </c>
      <c r="E42" t="s">
        <v>17</v>
      </c>
      <c r="F42" t="s">
        <v>19</v>
      </c>
      <c r="G42" t="s">
        <v>36</v>
      </c>
      <c r="H42">
        <v>2030</v>
      </c>
      <c r="I42" t="s">
        <v>18</v>
      </c>
      <c r="J42" t="s">
        <v>63</v>
      </c>
      <c r="K42" t="s">
        <v>64</v>
      </c>
      <c r="L42" t="s">
        <v>65</v>
      </c>
      <c r="M42">
        <f>SUMIFS(RawResultsLong!$P:$P,RawResultsLong!$A:$A,A42)</f>
        <v>33.266423314285717</v>
      </c>
      <c r="N42">
        <f t="shared" si="3"/>
        <v>1054.1493432417458</v>
      </c>
      <c r="O42" t="s">
        <v>68</v>
      </c>
      <c r="P42">
        <f>SUMIFS(TechnologyMapping!$D:$D,TechnologyMapping!$A:$A,C42)</f>
        <v>1</v>
      </c>
      <c r="Q42">
        <f t="shared" si="4"/>
        <v>1054.1493432417458</v>
      </c>
      <c r="R42">
        <f>SUMIFS(FactorInputs!$I:$I,FactorInputs!$A:$A,B42)</f>
        <v>2.8467153284700002E-2</v>
      </c>
      <c r="S42" t="str">
        <f>_xlfn.XLOOKUP(B42,FactorInputs!$A$2:$A$888,FactorInputs!$F$2:$F$888,"")</f>
        <v>job/MW</v>
      </c>
      <c r="T42" t="str">
        <f>_xlfn.XLOOKUP(B42,FactorInputs!$A$2:$A$888,FactorInputs!$B$2:$B$888,"")</f>
        <v>I-JEDI</v>
      </c>
      <c r="U42" t="str">
        <f>_xlfn.XLOOKUP(B42,FactorInputs!$A$2:$A$888,FactorInputs!$T$2:$T$888,"")</f>
        <v>I-JEDI</v>
      </c>
      <c r="V42">
        <f t="shared" si="5"/>
        <v>30.008630939028613</v>
      </c>
    </row>
    <row r="43" spans="1:23" x14ac:dyDescent="0.3">
      <c r="A43" t="str">
        <f t="shared" si="0"/>
        <v>PD|NewCapacity|RE1|PWRSOLRTP|2030</v>
      </c>
      <c r="B43" t="str">
        <f t="shared" si="1"/>
        <v>Rooftop solar PV|2030|Construction&amp;Manufacturing|Direct</v>
      </c>
      <c r="C43" t="str">
        <f t="shared" si="2"/>
        <v>PWRSOLRTP|Rooftop solar PV</v>
      </c>
      <c r="D43" t="s">
        <v>16</v>
      </c>
      <c r="E43" t="s">
        <v>17</v>
      </c>
      <c r="F43" t="s">
        <v>19</v>
      </c>
      <c r="G43" t="s">
        <v>31</v>
      </c>
      <c r="H43">
        <v>2030</v>
      </c>
      <c r="I43" t="s">
        <v>37</v>
      </c>
      <c r="J43" t="s">
        <v>69</v>
      </c>
      <c r="K43" t="s">
        <v>70</v>
      </c>
      <c r="L43" t="s">
        <v>65</v>
      </c>
      <c r="M43">
        <f>SUMIFS(RawResultsLong!$P:$P,RawResultsLong!$A:$A,A43)</f>
        <v>10.621433100824349</v>
      </c>
      <c r="N43">
        <f t="shared" si="3"/>
        <v>336.57290480975581</v>
      </c>
      <c r="O43" t="s">
        <v>71</v>
      </c>
      <c r="P43">
        <f>SUMIFS(TechnologyMapping!$D:$D,TechnologyMapping!$A:$A,C43)</f>
        <v>1</v>
      </c>
      <c r="Q43">
        <f t="shared" si="4"/>
        <v>336.57290480975581</v>
      </c>
      <c r="R43">
        <f>SUMIFS(FactorInputs!$I:$I,FactorInputs!$A:$A,B43)</f>
        <v>6.4342200763099999</v>
      </c>
      <c r="S43" t="str">
        <f>_xlfn.XLOOKUP(B43,FactorInputs!$A$2:$A$888,FactorInputs!$F$2:$F$888,"")</f>
        <v>job-yr/MW</v>
      </c>
      <c r="T43" t="str">
        <f>_xlfn.XLOOKUP(B43,FactorInputs!$A$2:$A$888,FactorInputs!$B$2:$B$888,"")</f>
        <v>JEDI-US</v>
      </c>
      <c r="U43" t="str">
        <f>_xlfn.XLOOKUP(B43,FactorInputs!$A$2:$A$888,FactorInputs!$T$2:$T$888,"")</f>
        <v>JEDI-US</v>
      </c>
      <c r="V43">
        <f t="shared" si="5"/>
        <v>2165.5841412689056</v>
      </c>
    </row>
    <row r="44" spans="1:23" x14ac:dyDescent="0.3">
      <c r="A44" t="str">
        <f t="shared" si="0"/>
        <v>PD|NewCapacity|RE1|PWRSOLUGE|2030</v>
      </c>
      <c r="B44" t="str">
        <f t="shared" si="1"/>
        <v>Utility-scale solar PV|2030|Construction&amp;Manufacturing|Direct</v>
      </c>
      <c r="C44" t="str">
        <f t="shared" si="2"/>
        <v>PWRSOLUGE|Utility-scale solar PV</v>
      </c>
      <c r="D44" t="s">
        <v>16</v>
      </c>
      <c r="E44" t="s">
        <v>17</v>
      </c>
      <c r="F44" t="s">
        <v>19</v>
      </c>
      <c r="G44" t="s">
        <v>33</v>
      </c>
      <c r="H44">
        <v>2030</v>
      </c>
      <c r="I44" t="s">
        <v>37</v>
      </c>
      <c r="J44" t="s">
        <v>69</v>
      </c>
      <c r="K44" t="s">
        <v>70</v>
      </c>
      <c r="L44" t="s">
        <v>65</v>
      </c>
      <c r="M44">
        <f>SUMIFS(RawResultsLong!$P:$P,RawResultsLong!$A:$A,A44)</f>
        <v>7.8840000000000003</v>
      </c>
      <c r="N44">
        <f t="shared" si="3"/>
        <v>249.82888432580424</v>
      </c>
      <c r="O44" t="s">
        <v>66</v>
      </c>
      <c r="P44">
        <f>SUMIFS(TechnologyMapping!$D:$D,TechnologyMapping!$A:$A,C44)</f>
        <v>1</v>
      </c>
      <c r="Q44">
        <f t="shared" si="4"/>
        <v>249.82888432580424</v>
      </c>
      <c r="R44">
        <f>SUMIFS(FactorInputs!$I:$I,FactorInputs!$A:$A,B44)</f>
        <v>6.8809085537600003</v>
      </c>
      <c r="S44" t="str">
        <f>_xlfn.XLOOKUP(B44,FactorInputs!$A$2:$A$888,FactorInputs!$F$2:$F$888,"")</f>
        <v>job-yr/MW</v>
      </c>
      <c r="T44" t="str">
        <f>_xlfn.XLOOKUP(B44,FactorInputs!$A$2:$A$888,FactorInputs!$B$2:$B$888,"")</f>
        <v>I-JEDI</v>
      </c>
      <c r="U44" t="str">
        <f>_xlfn.XLOOKUP(B44,FactorInputs!$A$2:$A$888,FactorInputs!$T$2:$T$888,"")</f>
        <v>I-JEDI</v>
      </c>
      <c r="V44">
        <f t="shared" si="5"/>
        <v>1719.0497071337441</v>
      </c>
    </row>
    <row r="45" spans="1:23" x14ac:dyDescent="0.3">
      <c r="A45" t="str">
        <f t="shared" si="0"/>
        <v>PD|AccumulatedNewCapacity|RE1|PWRHYDDAM|2031</v>
      </c>
      <c r="B45" t="str">
        <f t="shared" si="1"/>
        <v>Hydro (large)|2031|O&amp;M|Direct</v>
      </c>
      <c r="C45" t="str">
        <f t="shared" si="2"/>
        <v>PWRHYDDAM|Hydro (large)</v>
      </c>
      <c r="D45" t="s">
        <v>16</v>
      </c>
      <c r="E45" t="s">
        <v>17</v>
      </c>
      <c r="F45" t="s">
        <v>19</v>
      </c>
      <c r="G45" t="s">
        <v>24</v>
      </c>
      <c r="H45">
        <v>2031</v>
      </c>
      <c r="I45" t="s">
        <v>18</v>
      </c>
      <c r="J45" t="s">
        <v>63</v>
      </c>
      <c r="K45" t="s">
        <v>64</v>
      </c>
      <c r="L45" t="s">
        <v>65</v>
      </c>
      <c r="M45">
        <f>SUMIFS(RawResultsLong!$P:$P,RawResultsLong!$A:$A,A45)</f>
        <v>37.840000000000003</v>
      </c>
      <c r="N45">
        <f t="shared" si="3"/>
        <v>1199.0772428828554</v>
      </c>
      <c r="O45" t="s">
        <v>72</v>
      </c>
      <c r="P45">
        <f>SUMIFS(TechnologyMapping!$D:$D,TechnologyMapping!$A:$A,C45)</f>
        <v>1</v>
      </c>
      <c r="Q45">
        <f t="shared" si="4"/>
        <v>1199.0772428828554</v>
      </c>
      <c r="R45">
        <f>SUMIFS(FactorInputs!$I:$I,FactorInputs!$A:$A,B45)</f>
        <v>0.64182459016399995</v>
      </c>
      <c r="S45" t="str">
        <f>_xlfn.XLOOKUP(B45,FactorInputs!$A$2:$A$888,FactorInputs!$F$2:$F$888,"")</f>
        <v>job/MW</v>
      </c>
      <c r="T45" t="str">
        <f>_xlfn.XLOOKUP(B45,FactorInputs!$A$2:$A$888,FactorInputs!$B$2:$B$888,"")</f>
        <v>Rutovitz 2015</v>
      </c>
      <c r="U45" t="str">
        <f>_xlfn.XLOOKUP(B45,FactorInputs!$A$2:$A$888,FactorInputs!$T$2:$T$888,"")</f>
        <v>Rutovitz 2015</v>
      </c>
      <c r="V45">
        <f t="shared" si="5"/>
        <v>769.59725998826775</v>
      </c>
    </row>
    <row r="46" spans="1:23" x14ac:dyDescent="0.3">
      <c r="A46" t="str">
        <f t="shared" si="0"/>
        <v>PD|AccumulatedNewCapacity|RE1|PWRSOLRTP|2031</v>
      </c>
      <c r="B46" t="str">
        <f t="shared" si="1"/>
        <v>Rooftop solar PV|2031|O&amp;M|Direct</v>
      </c>
      <c r="C46" t="str">
        <f t="shared" si="2"/>
        <v>PWRSOLRTP|Rooftop solar PV</v>
      </c>
      <c r="D46" t="s">
        <v>16</v>
      </c>
      <c r="E46" t="s">
        <v>17</v>
      </c>
      <c r="F46" t="s">
        <v>19</v>
      </c>
      <c r="G46" t="s">
        <v>31</v>
      </c>
      <c r="H46">
        <v>2031</v>
      </c>
      <c r="I46" t="s">
        <v>18</v>
      </c>
      <c r="J46" t="s">
        <v>63</v>
      </c>
      <c r="K46" t="s">
        <v>64</v>
      </c>
      <c r="L46" t="s">
        <v>65</v>
      </c>
      <c r="M46">
        <f>SUMIFS(RawResultsLong!$P:$P,RawResultsLong!$A:$A,A46)</f>
        <v>61.68006975269499</v>
      </c>
      <c r="N46">
        <f t="shared" si="3"/>
        <v>1954.5234666988297</v>
      </c>
      <c r="O46" t="s">
        <v>71</v>
      </c>
      <c r="P46">
        <f>SUMIFS(TechnologyMapping!$D:$D,TechnologyMapping!$A:$A,C46)</f>
        <v>1</v>
      </c>
      <c r="Q46">
        <f t="shared" si="4"/>
        <v>1954.5234666988297</v>
      </c>
      <c r="R46">
        <f>SUMIFS(FactorInputs!$I:$I,FactorInputs!$A:$A,B46)</f>
        <v>0.25561764705899997</v>
      </c>
      <c r="S46" t="str">
        <f>_xlfn.XLOOKUP(B46,FactorInputs!$A$2:$A$888,FactorInputs!$F$2:$F$888,"")</f>
        <v>job/MW</v>
      </c>
      <c r="T46" t="str">
        <f>_xlfn.XLOOKUP(B46,FactorInputs!$A$2:$A$888,FactorInputs!$B$2:$B$888,"")</f>
        <v>JEDI-US</v>
      </c>
      <c r="U46" t="str">
        <f>_xlfn.XLOOKUP(B46,FactorInputs!$A$2:$A$888,FactorInputs!$T$2:$T$888,"")</f>
        <v>JEDI-US</v>
      </c>
      <c r="V46">
        <f t="shared" si="5"/>
        <v>499.61068967915452</v>
      </c>
    </row>
    <row r="47" spans="1:23" x14ac:dyDescent="0.3">
      <c r="A47" t="str">
        <f t="shared" si="0"/>
        <v>PD|AccumulatedNewCapacity|RE1|PWRSOLUGE|2031</v>
      </c>
      <c r="B47" t="str">
        <f t="shared" si="1"/>
        <v>Utility-scale solar PV|2031|O&amp;M|Direct</v>
      </c>
      <c r="C47" t="str">
        <f t="shared" si="2"/>
        <v>PWRSOLUGE|Utility-scale solar PV</v>
      </c>
      <c r="D47" t="s">
        <v>16</v>
      </c>
      <c r="E47" t="s">
        <v>17</v>
      </c>
      <c r="F47" t="s">
        <v>19</v>
      </c>
      <c r="G47" t="s">
        <v>33</v>
      </c>
      <c r="H47">
        <v>2031</v>
      </c>
      <c r="I47" t="s">
        <v>18</v>
      </c>
      <c r="J47" t="s">
        <v>63</v>
      </c>
      <c r="K47" t="s">
        <v>64</v>
      </c>
      <c r="L47" t="s">
        <v>65</v>
      </c>
      <c r="M47">
        <f>SUMIFS(RawResultsLong!$P:$P,RawResultsLong!$A:$A,A47)</f>
        <v>143.394192</v>
      </c>
      <c r="N47">
        <f t="shared" si="3"/>
        <v>4543.8877481177278</v>
      </c>
      <c r="O47" t="s">
        <v>66</v>
      </c>
      <c r="P47">
        <f>SUMIFS(TechnologyMapping!$D:$D,TechnologyMapping!$A:$A,C47)</f>
        <v>1</v>
      </c>
      <c r="Q47">
        <f t="shared" si="4"/>
        <v>4543.8877481177278</v>
      </c>
      <c r="R47">
        <f>SUMIFS(FactorInputs!$I:$I,FactorInputs!$A:$A,B47)</f>
        <v>8.1568581081100003E-2</v>
      </c>
      <c r="S47" t="str">
        <f>_xlfn.XLOOKUP(B47,FactorInputs!$A$2:$A$888,FactorInputs!$F$2:$F$888,"")</f>
        <v>job/MW</v>
      </c>
      <c r="T47" t="str">
        <f>_xlfn.XLOOKUP(B47,FactorInputs!$A$2:$A$888,FactorInputs!$B$2:$B$888,"")</f>
        <v>I-JEDI</v>
      </c>
      <c r="U47" t="str">
        <f>_xlfn.XLOOKUP(B47,FactorInputs!$A$2:$A$888,FactorInputs!$T$2:$T$888,"")</f>
        <v>I-JEDI</v>
      </c>
      <c r="V47">
        <f t="shared" si="5"/>
        <v>370.6384762057578</v>
      </c>
    </row>
    <row r="48" spans="1:23" x14ac:dyDescent="0.3">
      <c r="A48" t="str">
        <f t="shared" si="0"/>
        <v>PD|AccumulatedNewCapacity|RE1|PWRSOLUPE|2031</v>
      </c>
      <c r="B48" t="str">
        <f t="shared" si="1"/>
        <v>Utility-scale solar PV|2031|O&amp;M|Direct</v>
      </c>
      <c r="C48" t="str">
        <f t="shared" si="2"/>
        <v>PWRSOLUPE|Utility-scale solar PV</v>
      </c>
      <c r="D48" t="s">
        <v>16</v>
      </c>
      <c r="E48" t="s">
        <v>17</v>
      </c>
      <c r="F48" t="s">
        <v>19</v>
      </c>
      <c r="G48" t="s">
        <v>34</v>
      </c>
      <c r="H48">
        <v>2031</v>
      </c>
      <c r="I48" t="s">
        <v>18</v>
      </c>
      <c r="J48" t="s">
        <v>63</v>
      </c>
      <c r="K48" t="s">
        <v>64</v>
      </c>
      <c r="L48" t="s">
        <v>65</v>
      </c>
      <c r="M48">
        <f>SUMIFS(RawResultsLong!$P:$P,RawResultsLong!$A:$A,A48)</f>
        <v>12.14419823999993</v>
      </c>
      <c r="N48">
        <f t="shared" si="3"/>
        <v>384.82642026009364</v>
      </c>
      <c r="O48" t="s">
        <v>66</v>
      </c>
      <c r="P48">
        <f>SUMIFS(TechnologyMapping!$D:$D,TechnologyMapping!$A:$A,C48)</f>
        <v>1</v>
      </c>
      <c r="Q48">
        <f t="shared" si="4"/>
        <v>384.82642026009364</v>
      </c>
      <c r="R48">
        <f>SUMIFS(FactorInputs!$I:$I,FactorInputs!$A:$A,B48)</f>
        <v>8.1568581081100003E-2</v>
      </c>
      <c r="S48" t="str">
        <f>_xlfn.XLOOKUP(B48,FactorInputs!$A$2:$A$888,FactorInputs!$F$2:$F$888,"")</f>
        <v>job/MW</v>
      </c>
      <c r="T48" t="str">
        <f>_xlfn.XLOOKUP(B48,FactorInputs!$A$2:$A$888,FactorInputs!$B$2:$B$888,"")</f>
        <v>I-JEDI</v>
      </c>
      <c r="U48" t="str">
        <f>_xlfn.XLOOKUP(B48,FactorInputs!$A$2:$A$888,FactorInputs!$T$2:$T$888,"")</f>
        <v>I-JEDI</v>
      </c>
      <c r="V48">
        <f t="shared" si="5"/>
        <v>31.389745063134914</v>
      </c>
      <c r="W48" t="s">
        <v>67</v>
      </c>
    </row>
    <row r="49" spans="1:23" x14ac:dyDescent="0.3">
      <c r="A49" t="str">
        <f t="shared" si="0"/>
        <v>PD|AccumulatedNewCapacity|RE1|PWRWNDONS|2031</v>
      </c>
      <c r="B49" t="str">
        <f t="shared" si="1"/>
        <v>Onshore wind|2031|O&amp;M|Direct</v>
      </c>
      <c r="C49" t="str">
        <f t="shared" si="2"/>
        <v>PWRWNDONS|Onshore wind</v>
      </c>
      <c r="D49" t="s">
        <v>16</v>
      </c>
      <c r="E49" t="s">
        <v>17</v>
      </c>
      <c r="F49" t="s">
        <v>19</v>
      </c>
      <c r="G49" t="s">
        <v>36</v>
      </c>
      <c r="H49">
        <v>2031</v>
      </c>
      <c r="I49" t="s">
        <v>18</v>
      </c>
      <c r="J49" t="s">
        <v>63</v>
      </c>
      <c r="K49" t="s">
        <v>64</v>
      </c>
      <c r="L49" t="s">
        <v>65</v>
      </c>
      <c r="M49">
        <f>SUMIFS(RawResultsLong!$P:$P,RawResultsLong!$A:$A,A49)</f>
        <v>33.266423314285717</v>
      </c>
      <c r="N49">
        <f t="shared" si="3"/>
        <v>1054.1493432417458</v>
      </c>
      <c r="O49" t="s">
        <v>68</v>
      </c>
      <c r="P49">
        <f>SUMIFS(TechnologyMapping!$D:$D,TechnologyMapping!$A:$A,C49)</f>
        <v>1</v>
      </c>
      <c r="Q49">
        <f t="shared" si="4"/>
        <v>1054.1493432417458</v>
      </c>
      <c r="R49">
        <f>SUMIFS(FactorInputs!$I:$I,FactorInputs!$A:$A,B49)</f>
        <v>2.8390510948900001E-2</v>
      </c>
      <c r="S49" t="str">
        <f>_xlfn.XLOOKUP(B49,FactorInputs!$A$2:$A$888,FactorInputs!$F$2:$F$888,"")</f>
        <v>job/MW</v>
      </c>
      <c r="T49" t="str">
        <f>_xlfn.XLOOKUP(B49,FactorInputs!$A$2:$A$888,FactorInputs!$B$2:$B$888,"")</f>
        <v>I-JEDI</v>
      </c>
      <c r="U49" t="str">
        <f>_xlfn.XLOOKUP(B49,FactorInputs!$A$2:$A$888,FactorInputs!$T$2:$T$888,"")</f>
        <v>I-JEDI</v>
      </c>
      <c r="V49">
        <f t="shared" si="5"/>
        <v>29.927838471080531</v>
      </c>
    </row>
    <row r="50" spans="1:23" x14ac:dyDescent="0.3">
      <c r="A50" t="str">
        <f t="shared" si="0"/>
        <v>PD|NewCapacity|RE1|PWRSOLRTP|2031</v>
      </c>
      <c r="B50" t="str">
        <f t="shared" si="1"/>
        <v>Rooftop solar PV|2031|Construction&amp;Manufacturing|Direct</v>
      </c>
      <c r="C50" t="str">
        <f t="shared" si="2"/>
        <v>PWRSOLRTP|Rooftop solar PV</v>
      </c>
      <c r="D50" t="s">
        <v>16</v>
      </c>
      <c r="E50" t="s">
        <v>17</v>
      </c>
      <c r="F50" t="s">
        <v>19</v>
      </c>
      <c r="G50" t="s">
        <v>31</v>
      </c>
      <c r="H50">
        <v>2031</v>
      </c>
      <c r="I50" t="s">
        <v>37</v>
      </c>
      <c r="J50" t="s">
        <v>69</v>
      </c>
      <c r="K50" t="s">
        <v>70</v>
      </c>
      <c r="L50" t="s">
        <v>65</v>
      </c>
      <c r="M50">
        <f>SUMIFS(RawResultsLong!$P:$P,RawResultsLong!$A:$A,A50)</f>
        <v>9.6702599873176922</v>
      </c>
      <c r="N50">
        <f t="shared" si="3"/>
        <v>306.43204766261346</v>
      </c>
      <c r="O50" t="s">
        <v>71</v>
      </c>
      <c r="P50">
        <f>SUMIFS(TechnologyMapping!$D:$D,TechnologyMapping!$A:$A,C50)</f>
        <v>1</v>
      </c>
      <c r="Q50">
        <f t="shared" si="4"/>
        <v>306.43204766261346</v>
      </c>
      <c r="R50">
        <f>SUMIFS(FactorInputs!$I:$I,FactorInputs!$A:$A,B50)</f>
        <v>6.3285371255299996</v>
      </c>
      <c r="S50" t="str">
        <f>_xlfn.XLOOKUP(B50,FactorInputs!$A$2:$A$888,FactorInputs!$F$2:$F$888,"")</f>
        <v>job-yr/MW</v>
      </c>
      <c r="T50" t="str">
        <f>_xlfn.XLOOKUP(B50,FactorInputs!$A$2:$A$888,FactorInputs!$B$2:$B$888,"")</f>
        <v>JEDI-US</v>
      </c>
      <c r="U50" t="str">
        <f>_xlfn.XLOOKUP(B50,FactorInputs!$A$2:$A$888,FactorInputs!$T$2:$T$888,"")</f>
        <v>JEDI-US</v>
      </c>
      <c r="V50">
        <f t="shared" si="5"/>
        <v>1939.2665900850277</v>
      </c>
    </row>
    <row r="51" spans="1:23" x14ac:dyDescent="0.3">
      <c r="A51" t="str">
        <f t="shared" si="0"/>
        <v>PD|AccumulatedNewCapacity|RE1|PWRHYDDAM|2032</v>
      </c>
      <c r="B51" t="str">
        <f t="shared" si="1"/>
        <v>Hydro (large)|2032|O&amp;M|Direct</v>
      </c>
      <c r="C51" t="str">
        <f t="shared" si="2"/>
        <v>PWRHYDDAM|Hydro (large)</v>
      </c>
      <c r="D51" t="s">
        <v>16</v>
      </c>
      <c r="E51" t="s">
        <v>17</v>
      </c>
      <c r="F51" t="s">
        <v>19</v>
      </c>
      <c r="G51" t="s">
        <v>24</v>
      </c>
      <c r="H51">
        <v>2032</v>
      </c>
      <c r="I51" t="s">
        <v>18</v>
      </c>
      <c r="J51" t="s">
        <v>63</v>
      </c>
      <c r="K51" t="s">
        <v>64</v>
      </c>
      <c r="L51" t="s">
        <v>65</v>
      </c>
      <c r="M51">
        <f>SUMIFS(RawResultsLong!$P:$P,RawResultsLong!$A:$A,A51)</f>
        <v>37.840000000000003</v>
      </c>
      <c r="N51">
        <f t="shared" si="3"/>
        <v>1199.0772428828554</v>
      </c>
      <c r="O51" t="s">
        <v>72</v>
      </c>
      <c r="P51">
        <f>SUMIFS(TechnologyMapping!$D:$D,TechnologyMapping!$A:$A,C51)</f>
        <v>1</v>
      </c>
      <c r="Q51">
        <f t="shared" si="4"/>
        <v>1199.0772428828554</v>
      </c>
      <c r="R51">
        <f>SUMIFS(FactorInputs!$I:$I,FactorInputs!$A:$A,B51)</f>
        <v>0.641649180328</v>
      </c>
      <c r="S51" t="str">
        <f>_xlfn.XLOOKUP(B51,FactorInputs!$A$2:$A$888,FactorInputs!$F$2:$F$888,"")</f>
        <v>job/MW</v>
      </c>
      <c r="T51" t="str">
        <f>_xlfn.XLOOKUP(B51,FactorInputs!$A$2:$A$888,FactorInputs!$B$2:$B$888,"")</f>
        <v>Rutovitz 2015</v>
      </c>
      <c r="U51" t="str">
        <f>_xlfn.XLOOKUP(B51,FactorInputs!$A$2:$A$888,FactorInputs!$T$2:$T$888,"")</f>
        <v>Rutovitz 2015</v>
      </c>
      <c r="V51">
        <f t="shared" si="5"/>
        <v>769.38693004574236</v>
      </c>
    </row>
    <row r="52" spans="1:23" x14ac:dyDescent="0.3">
      <c r="A52" t="str">
        <f t="shared" si="0"/>
        <v>PD|AccumulatedNewCapacity|RE1|PWRSOLRTP|2032</v>
      </c>
      <c r="B52" t="str">
        <f t="shared" si="1"/>
        <v>Rooftop solar PV|2032|O&amp;M|Direct</v>
      </c>
      <c r="C52" t="str">
        <f t="shared" si="2"/>
        <v>PWRSOLRTP|Rooftop solar PV</v>
      </c>
      <c r="D52" t="s">
        <v>16</v>
      </c>
      <c r="E52" t="s">
        <v>17</v>
      </c>
      <c r="F52" t="s">
        <v>19</v>
      </c>
      <c r="G52" t="s">
        <v>31</v>
      </c>
      <c r="H52">
        <v>2032</v>
      </c>
      <c r="I52" t="s">
        <v>18</v>
      </c>
      <c r="J52" t="s">
        <v>63</v>
      </c>
      <c r="K52" t="s">
        <v>64</v>
      </c>
      <c r="L52" t="s">
        <v>65</v>
      </c>
      <c r="M52">
        <f>SUMIFS(RawResultsLong!$P:$P,RawResultsLong!$A:$A,A52)</f>
        <v>70.240627774254918</v>
      </c>
      <c r="N52">
        <f t="shared" si="3"/>
        <v>2225.7911810231103</v>
      </c>
      <c r="O52" t="s">
        <v>71</v>
      </c>
      <c r="P52">
        <f>SUMIFS(TechnologyMapping!$D:$D,TechnologyMapping!$A:$A,C52)</f>
        <v>1</v>
      </c>
      <c r="Q52">
        <f t="shared" si="4"/>
        <v>2225.7911810231103</v>
      </c>
      <c r="R52">
        <f>SUMIFS(FactorInputs!$I:$I,FactorInputs!$A:$A,B52)</f>
        <v>0.25358823529399999</v>
      </c>
      <c r="S52" t="str">
        <f>_xlfn.XLOOKUP(B52,FactorInputs!$A$2:$A$888,FactorInputs!$F$2:$F$888,"")</f>
        <v>job/MW</v>
      </c>
      <c r="T52" t="str">
        <f>_xlfn.XLOOKUP(B52,FactorInputs!$A$2:$A$888,FactorInputs!$B$2:$B$888,"")</f>
        <v>JEDI-US</v>
      </c>
      <c r="U52" t="str">
        <f>_xlfn.XLOOKUP(B52,FactorInputs!$A$2:$A$888,FactorInputs!$T$2:$T$888,"")</f>
        <v>JEDI-US</v>
      </c>
      <c r="V52">
        <f t="shared" si="5"/>
        <v>564.43445772859866</v>
      </c>
    </row>
    <row r="53" spans="1:23" x14ac:dyDescent="0.3">
      <c r="A53" t="str">
        <f t="shared" si="0"/>
        <v>PD|AccumulatedNewCapacity|RE1|PWRSOLUGE|2032</v>
      </c>
      <c r="B53" t="str">
        <f t="shared" si="1"/>
        <v>Utility-scale solar PV|2032|O&amp;M|Direct</v>
      </c>
      <c r="C53" t="str">
        <f t="shared" si="2"/>
        <v>PWRSOLUGE|Utility-scale solar PV</v>
      </c>
      <c r="D53" t="s">
        <v>16</v>
      </c>
      <c r="E53" t="s">
        <v>17</v>
      </c>
      <c r="F53" t="s">
        <v>19</v>
      </c>
      <c r="G53" t="s">
        <v>33</v>
      </c>
      <c r="H53">
        <v>2032</v>
      </c>
      <c r="I53" t="s">
        <v>18</v>
      </c>
      <c r="J53" t="s">
        <v>63</v>
      </c>
      <c r="K53" t="s">
        <v>64</v>
      </c>
      <c r="L53" t="s">
        <v>65</v>
      </c>
      <c r="M53">
        <f>SUMIFS(RawResultsLong!$P:$P,RawResultsLong!$A:$A,A53)</f>
        <v>143.394192</v>
      </c>
      <c r="N53">
        <f t="shared" si="3"/>
        <v>4543.8877481177278</v>
      </c>
      <c r="O53" t="s">
        <v>66</v>
      </c>
      <c r="P53">
        <f>SUMIFS(TechnologyMapping!$D:$D,TechnologyMapping!$A:$A,C53)</f>
        <v>1</v>
      </c>
      <c r="Q53">
        <f t="shared" si="4"/>
        <v>4543.8877481177278</v>
      </c>
      <c r="R53">
        <f>SUMIFS(FactorInputs!$I:$I,FactorInputs!$A:$A,B53)</f>
        <v>8.09817567568E-2</v>
      </c>
      <c r="S53" t="str">
        <f>_xlfn.XLOOKUP(B53,FactorInputs!$A$2:$A$888,FactorInputs!$F$2:$F$888,"")</f>
        <v>job/MW</v>
      </c>
      <c r="T53" t="str">
        <f>_xlfn.XLOOKUP(B53,FactorInputs!$A$2:$A$888,FactorInputs!$B$2:$B$888,"")</f>
        <v>I-JEDI</v>
      </c>
      <c r="U53" t="str">
        <f>_xlfn.XLOOKUP(B53,FactorInputs!$A$2:$A$888,FactorInputs!$T$2:$T$888,"")</f>
        <v>I-JEDI</v>
      </c>
      <c r="V53">
        <f t="shared" si="5"/>
        <v>367.97201234827355</v>
      </c>
    </row>
    <row r="54" spans="1:23" x14ac:dyDescent="0.3">
      <c r="A54" t="str">
        <f t="shared" si="0"/>
        <v>PD|AccumulatedNewCapacity|RE1|PWRSOLUPE|2032</v>
      </c>
      <c r="B54" t="str">
        <f t="shared" si="1"/>
        <v>Utility-scale solar PV|2032|O&amp;M|Direct</v>
      </c>
      <c r="C54" t="str">
        <f t="shared" si="2"/>
        <v>PWRSOLUPE|Utility-scale solar PV</v>
      </c>
      <c r="D54" t="s">
        <v>16</v>
      </c>
      <c r="E54" t="s">
        <v>17</v>
      </c>
      <c r="F54" t="s">
        <v>19</v>
      </c>
      <c r="G54" t="s">
        <v>34</v>
      </c>
      <c r="H54">
        <v>2032</v>
      </c>
      <c r="I54" t="s">
        <v>18</v>
      </c>
      <c r="J54" t="s">
        <v>63</v>
      </c>
      <c r="K54" t="s">
        <v>64</v>
      </c>
      <c r="L54" t="s">
        <v>65</v>
      </c>
      <c r="M54">
        <f>SUMIFS(RawResultsLong!$P:$P,RawResultsLong!$A:$A,A54)</f>
        <v>12.14419823999993</v>
      </c>
      <c r="N54">
        <f t="shared" si="3"/>
        <v>384.82642026009364</v>
      </c>
      <c r="O54" t="s">
        <v>66</v>
      </c>
      <c r="P54">
        <f>SUMIFS(TechnologyMapping!$D:$D,TechnologyMapping!$A:$A,C54)</f>
        <v>1</v>
      </c>
      <c r="Q54">
        <f t="shared" si="4"/>
        <v>384.82642026009364</v>
      </c>
      <c r="R54">
        <f>SUMIFS(FactorInputs!$I:$I,FactorInputs!$A:$A,B54)</f>
        <v>8.09817567568E-2</v>
      </c>
      <c r="S54" t="str">
        <f>_xlfn.XLOOKUP(B54,FactorInputs!$A$2:$A$888,FactorInputs!$F$2:$F$888,"")</f>
        <v>job/MW</v>
      </c>
      <c r="T54" t="str">
        <f>_xlfn.XLOOKUP(B54,FactorInputs!$A$2:$A$888,FactorInputs!$B$2:$B$888,"")</f>
        <v>I-JEDI</v>
      </c>
      <c r="U54" t="str">
        <f>_xlfn.XLOOKUP(B54,FactorInputs!$A$2:$A$888,FactorInputs!$T$2:$T$888,"")</f>
        <v>I-JEDI</v>
      </c>
      <c r="V54">
        <f t="shared" si="5"/>
        <v>31.163919559092996</v>
      </c>
      <c r="W54" t="s">
        <v>67</v>
      </c>
    </row>
    <row r="55" spans="1:23" x14ac:dyDescent="0.3">
      <c r="A55" t="str">
        <f t="shared" si="0"/>
        <v>PD|AccumulatedNewCapacity|RE1|PWRWNDONS|2032</v>
      </c>
      <c r="B55" t="str">
        <f t="shared" si="1"/>
        <v>Onshore wind|2032|O&amp;M|Direct</v>
      </c>
      <c r="C55" t="str">
        <f t="shared" si="2"/>
        <v>PWRWNDONS|Onshore wind</v>
      </c>
      <c r="D55" t="s">
        <v>16</v>
      </c>
      <c r="E55" t="s">
        <v>17</v>
      </c>
      <c r="F55" t="s">
        <v>19</v>
      </c>
      <c r="G55" t="s">
        <v>36</v>
      </c>
      <c r="H55">
        <v>2032</v>
      </c>
      <c r="I55" t="s">
        <v>18</v>
      </c>
      <c r="J55" t="s">
        <v>63</v>
      </c>
      <c r="K55" t="s">
        <v>64</v>
      </c>
      <c r="L55" t="s">
        <v>65</v>
      </c>
      <c r="M55">
        <f>SUMIFS(RawResultsLong!$P:$P,RawResultsLong!$A:$A,A55)</f>
        <v>33.266423314285717</v>
      </c>
      <c r="N55">
        <f t="shared" si="3"/>
        <v>1054.1493432417458</v>
      </c>
      <c r="O55" t="s">
        <v>68</v>
      </c>
      <c r="P55">
        <f>SUMIFS(TechnologyMapping!$D:$D,TechnologyMapping!$A:$A,C55)</f>
        <v>1</v>
      </c>
      <c r="Q55">
        <f t="shared" si="4"/>
        <v>1054.1493432417458</v>
      </c>
      <c r="R55">
        <f>SUMIFS(FactorInputs!$I:$I,FactorInputs!$A:$A,B55)</f>
        <v>2.83138686131E-2</v>
      </c>
      <c r="S55" t="str">
        <f>_xlfn.XLOOKUP(B55,FactorInputs!$A$2:$A$888,FactorInputs!$F$2:$F$888,"")</f>
        <v>job/MW</v>
      </c>
      <c r="T55" t="str">
        <f>_xlfn.XLOOKUP(B55,FactorInputs!$A$2:$A$888,FactorInputs!$B$2:$B$888,"")</f>
        <v>I-JEDI</v>
      </c>
      <c r="U55" t="str">
        <f>_xlfn.XLOOKUP(B55,FactorInputs!$A$2:$A$888,FactorInputs!$T$2:$T$888,"")</f>
        <v>I-JEDI</v>
      </c>
      <c r="V55">
        <f t="shared" si="5"/>
        <v>29.847046003132444</v>
      </c>
    </row>
    <row r="56" spans="1:23" x14ac:dyDescent="0.3">
      <c r="A56" t="str">
        <f t="shared" si="0"/>
        <v>PD|NewCapacity|RE1|PWRSOLRTP|2032</v>
      </c>
      <c r="B56" t="str">
        <f t="shared" si="1"/>
        <v>Rooftop solar PV|2032|Construction&amp;Manufacturing|Direct</v>
      </c>
      <c r="C56" t="str">
        <f t="shared" si="2"/>
        <v>PWRSOLRTP|Rooftop solar PV</v>
      </c>
      <c r="D56" t="s">
        <v>16</v>
      </c>
      <c r="E56" t="s">
        <v>17</v>
      </c>
      <c r="F56" t="s">
        <v>19</v>
      </c>
      <c r="G56" t="s">
        <v>31</v>
      </c>
      <c r="H56">
        <v>2032</v>
      </c>
      <c r="I56" t="s">
        <v>37</v>
      </c>
      <c r="J56" t="s">
        <v>69</v>
      </c>
      <c r="K56" t="s">
        <v>70</v>
      </c>
      <c r="L56" t="s">
        <v>65</v>
      </c>
      <c r="M56">
        <f>SUMIFS(RawResultsLong!$P:$P,RawResultsLong!$A:$A,A56)</f>
        <v>8.560558021559924</v>
      </c>
      <c r="N56">
        <f t="shared" si="3"/>
        <v>271.2677143242808</v>
      </c>
      <c r="O56" t="s">
        <v>71</v>
      </c>
      <c r="P56">
        <f>SUMIFS(TechnologyMapping!$D:$D,TechnologyMapping!$A:$A,C56)</f>
        <v>1</v>
      </c>
      <c r="Q56">
        <f t="shared" si="4"/>
        <v>271.2677143242808</v>
      </c>
      <c r="R56">
        <f>SUMIFS(FactorInputs!$I:$I,FactorInputs!$A:$A,B56)</f>
        <v>6.2228541747400001</v>
      </c>
      <c r="S56" t="str">
        <f>_xlfn.XLOOKUP(B56,FactorInputs!$A$2:$A$888,FactorInputs!$F$2:$F$888,"")</f>
        <v>job-yr/MW</v>
      </c>
      <c r="T56" t="str">
        <f>_xlfn.XLOOKUP(B56,FactorInputs!$A$2:$A$888,FactorInputs!$B$2:$B$888,"")</f>
        <v>JEDI-US</v>
      </c>
      <c r="U56" t="str">
        <f>_xlfn.XLOOKUP(B56,FactorInputs!$A$2:$A$888,FactorInputs!$T$2:$T$888,"")</f>
        <v>JEDI-US</v>
      </c>
      <c r="V56">
        <f t="shared" si="5"/>
        <v>1688.0594285550285</v>
      </c>
    </row>
    <row r="57" spans="1:23" x14ac:dyDescent="0.3">
      <c r="A57" t="str">
        <f t="shared" si="0"/>
        <v>PD|AccumulatedNewCapacity|RE1|PWRHYDDAM|2033</v>
      </c>
      <c r="B57" t="str">
        <f t="shared" si="1"/>
        <v>Hydro (large)|2033|O&amp;M|Direct</v>
      </c>
      <c r="C57" t="str">
        <f t="shared" si="2"/>
        <v>PWRHYDDAM|Hydro (large)</v>
      </c>
      <c r="D57" t="s">
        <v>16</v>
      </c>
      <c r="E57" t="s">
        <v>17</v>
      </c>
      <c r="F57" t="s">
        <v>19</v>
      </c>
      <c r="G57" t="s">
        <v>24</v>
      </c>
      <c r="H57">
        <v>2033</v>
      </c>
      <c r="I57" t="s">
        <v>18</v>
      </c>
      <c r="J57" t="s">
        <v>63</v>
      </c>
      <c r="K57" t="s">
        <v>64</v>
      </c>
      <c r="L57" t="s">
        <v>65</v>
      </c>
      <c r="M57">
        <f>SUMIFS(RawResultsLong!$P:$P,RawResultsLong!$A:$A,A57)</f>
        <v>37.840000000000003</v>
      </c>
      <c r="N57">
        <f t="shared" si="3"/>
        <v>1199.0772428828554</v>
      </c>
      <c r="O57" t="s">
        <v>72</v>
      </c>
      <c r="P57">
        <f>SUMIFS(TechnologyMapping!$D:$D,TechnologyMapping!$A:$A,C57)</f>
        <v>1</v>
      </c>
      <c r="Q57">
        <f t="shared" si="4"/>
        <v>1199.0772428828554</v>
      </c>
      <c r="R57">
        <f>SUMIFS(FactorInputs!$I:$I,FactorInputs!$A:$A,B57)</f>
        <v>0.64147377049200005</v>
      </c>
      <c r="S57" t="str">
        <f>_xlfn.XLOOKUP(B57,FactorInputs!$A$2:$A$888,FactorInputs!$F$2:$F$888,"")</f>
        <v>job/MW</v>
      </c>
      <c r="T57" t="str">
        <f>_xlfn.XLOOKUP(B57,FactorInputs!$A$2:$A$888,FactorInputs!$B$2:$B$888,"")</f>
        <v>Rutovitz 2015</v>
      </c>
      <c r="U57" t="str">
        <f>_xlfn.XLOOKUP(B57,FactorInputs!$A$2:$A$888,FactorInputs!$T$2:$T$888,"")</f>
        <v>Rutovitz 2015</v>
      </c>
      <c r="V57">
        <f t="shared" si="5"/>
        <v>769.17660010321697</v>
      </c>
    </row>
    <row r="58" spans="1:23" x14ac:dyDescent="0.3">
      <c r="A58" t="str">
        <f t="shared" si="0"/>
        <v>PD|AccumulatedNewCapacity|RE1|PWRSOLRTP|2033</v>
      </c>
      <c r="B58" t="str">
        <f t="shared" si="1"/>
        <v>Rooftop solar PV|2033|O&amp;M|Direct</v>
      </c>
      <c r="C58" t="str">
        <f t="shared" si="2"/>
        <v>PWRSOLRTP|Rooftop solar PV</v>
      </c>
      <c r="D58" t="s">
        <v>16</v>
      </c>
      <c r="E58" t="s">
        <v>17</v>
      </c>
      <c r="F58" t="s">
        <v>19</v>
      </c>
      <c r="G58" t="s">
        <v>31</v>
      </c>
      <c r="H58">
        <v>2033</v>
      </c>
      <c r="I58" t="s">
        <v>18</v>
      </c>
      <c r="J58" t="s">
        <v>63</v>
      </c>
      <c r="K58" t="s">
        <v>64</v>
      </c>
      <c r="L58" t="s">
        <v>65</v>
      </c>
      <c r="M58">
        <f>SUMIFS(RawResultsLong!$P:$P,RawResultsLong!$A:$A,A58)</f>
        <v>77.691483830057081</v>
      </c>
      <c r="N58">
        <f t="shared" si="3"/>
        <v>2461.894562009059</v>
      </c>
      <c r="O58" t="s">
        <v>71</v>
      </c>
      <c r="P58">
        <f>SUMIFS(TechnologyMapping!$D:$D,TechnologyMapping!$A:$A,C58)</f>
        <v>1</v>
      </c>
      <c r="Q58">
        <f t="shared" si="4"/>
        <v>2461.894562009059</v>
      </c>
      <c r="R58">
        <f>SUMIFS(FactorInputs!$I:$I,FactorInputs!$A:$A,B58)</f>
        <v>0.251558823529</v>
      </c>
      <c r="S58" t="str">
        <f>_xlfn.XLOOKUP(B58,FactorInputs!$A$2:$A$888,FactorInputs!$F$2:$F$888,"")</f>
        <v>job/MW</v>
      </c>
      <c r="T58" t="str">
        <f>_xlfn.XLOOKUP(B58,FactorInputs!$A$2:$A$888,FactorInputs!$B$2:$B$888,"")</f>
        <v>JEDI-US</v>
      </c>
      <c r="U58" t="str">
        <f>_xlfn.XLOOKUP(B58,FactorInputs!$A$2:$A$888,FactorInputs!$T$2:$T$888,"")</f>
        <v>JEDI-US</v>
      </c>
      <c r="V58">
        <f t="shared" si="5"/>
        <v>619.31129967144159</v>
      </c>
    </row>
    <row r="59" spans="1:23" x14ac:dyDescent="0.3">
      <c r="A59" t="str">
        <f t="shared" si="0"/>
        <v>PD|AccumulatedNewCapacity|RE1|PWRSOLRTP_ZNI|2033</v>
      </c>
      <c r="B59" t="str">
        <f t="shared" si="1"/>
        <v>Rooftop solar PV|2033|O&amp;M|Direct</v>
      </c>
      <c r="C59" t="str">
        <f t="shared" si="2"/>
        <v>PWRSOLRTP_ZNI|Rooftop solar PV</v>
      </c>
      <c r="D59" t="s">
        <v>16</v>
      </c>
      <c r="E59" t="s">
        <v>17</v>
      </c>
      <c r="F59" t="s">
        <v>19</v>
      </c>
      <c r="G59" t="s">
        <v>32</v>
      </c>
      <c r="H59">
        <v>2033</v>
      </c>
      <c r="I59" t="s">
        <v>18</v>
      </c>
      <c r="J59" t="s">
        <v>63</v>
      </c>
      <c r="K59" t="s">
        <v>64</v>
      </c>
      <c r="L59" t="s">
        <v>65</v>
      </c>
      <c r="M59">
        <f>SUMIFS(RawResultsLong!$P:$P,RawResultsLong!$A:$A,A59)</f>
        <v>0.69954823626465812</v>
      </c>
      <c r="N59">
        <f t="shared" si="3"/>
        <v>22.167345940903559</v>
      </c>
      <c r="O59" t="s">
        <v>71</v>
      </c>
      <c r="P59">
        <f>SUMIFS(TechnologyMapping!$D:$D,TechnologyMapping!$A:$A,C59)</f>
        <v>1</v>
      </c>
      <c r="Q59">
        <f t="shared" si="4"/>
        <v>22.167345940903559</v>
      </c>
      <c r="R59">
        <f>SUMIFS(FactorInputs!$I:$I,FactorInputs!$A:$A,B59)</f>
        <v>0.251558823529</v>
      </c>
      <c r="S59" t="str">
        <f>_xlfn.XLOOKUP(B59,FactorInputs!$A$2:$A$888,FactorInputs!$F$2:$F$888,"")</f>
        <v>job/MW</v>
      </c>
      <c r="T59" t="str">
        <f>_xlfn.XLOOKUP(B59,FactorInputs!$A$2:$A$888,FactorInputs!$B$2:$B$888,"")</f>
        <v>JEDI-US</v>
      </c>
      <c r="U59" t="str">
        <f>_xlfn.XLOOKUP(B59,FactorInputs!$A$2:$A$888,FactorInputs!$T$2:$T$888,"")</f>
        <v>JEDI-US</v>
      </c>
      <c r="V59">
        <f t="shared" si="5"/>
        <v>5.5763914656540523</v>
      </c>
      <c r="W59" t="s">
        <v>73</v>
      </c>
    </row>
    <row r="60" spans="1:23" x14ac:dyDescent="0.3">
      <c r="A60" t="str">
        <f t="shared" si="0"/>
        <v>PD|AccumulatedNewCapacity|RE1|PWRSOLUGE|2033</v>
      </c>
      <c r="B60" t="str">
        <f t="shared" si="1"/>
        <v>Utility-scale solar PV|2033|O&amp;M|Direct</v>
      </c>
      <c r="C60" t="str">
        <f t="shared" si="2"/>
        <v>PWRSOLUGE|Utility-scale solar PV</v>
      </c>
      <c r="D60" t="s">
        <v>16</v>
      </c>
      <c r="E60" t="s">
        <v>17</v>
      </c>
      <c r="F60" t="s">
        <v>19</v>
      </c>
      <c r="G60" t="s">
        <v>33</v>
      </c>
      <c r="H60">
        <v>2033</v>
      </c>
      <c r="I60" t="s">
        <v>18</v>
      </c>
      <c r="J60" t="s">
        <v>63</v>
      </c>
      <c r="K60" t="s">
        <v>64</v>
      </c>
      <c r="L60" t="s">
        <v>65</v>
      </c>
      <c r="M60">
        <f>SUMIFS(RawResultsLong!$P:$P,RawResultsLong!$A:$A,A60)</f>
        <v>143.394192</v>
      </c>
      <c r="N60">
        <f t="shared" si="3"/>
        <v>4543.8877481177278</v>
      </c>
      <c r="O60" t="s">
        <v>66</v>
      </c>
      <c r="P60">
        <f>SUMIFS(TechnologyMapping!$D:$D,TechnologyMapping!$A:$A,C60)</f>
        <v>1</v>
      </c>
      <c r="Q60">
        <f t="shared" si="4"/>
        <v>4543.8877481177278</v>
      </c>
      <c r="R60">
        <f>SUMIFS(FactorInputs!$I:$I,FactorInputs!$A:$A,B60)</f>
        <v>8.0394932432399993E-2</v>
      </c>
      <c r="S60" t="str">
        <f>_xlfn.XLOOKUP(B60,FactorInputs!$A$2:$A$888,FactorInputs!$F$2:$F$888,"")</f>
        <v>job/MW</v>
      </c>
      <c r="T60" t="str">
        <f>_xlfn.XLOOKUP(B60,FactorInputs!$A$2:$A$888,FactorInputs!$B$2:$B$888,"")</f>
        <v>I-JEDI</v>
      </c>
      <c r="U60" t="str">
        <f>_xlfn.XLOOKUP(B60,FactorInputs!$A$2:$A$888,FactorInputs!$T$2:$T$888,"")</f>
        <v>I-JEDI</v>
      </c>
      <c r="V60">
        <f t="shared" si="5"/>
        <v>365.3055484903349</v>
      </c>
    </row>
    <row r="61" spans="1:23" x14ac:dyDescent="0.3">
      <c r="A61" t="str">
        <f t="shared" si="0"/>
        <v>PD|AccumulatedNewCapacity|RE1|PWRSOLUPE|2033</v>
      </c>
      <c r="B61" t="str">
        <f t="shared" si="1"/>
        <v>Utility-scale solar PV|2033|O&amp;M|Direct</v>
      </c>
      <c r="C61" t="str">
        <f t="shared" si="2"/>
        <v>PWRSOLUPE|Utility-scale solar PV</v>
      </c>
      <c r="D61" t="s">
        <v>16</v>
      </c>
      <c r="E61" t="s">
        <v>17</v>
      </c>
      <c r="F61" t="s">
        <v>19</v>
      </c>
      <c r="G61" t="s">
        <v>34</v>
      </c>
      <c r="H61">
        <v>2033</v>
      </c>
      <c r="I61" t="s">
        <v>18</v>
      </c>
      <c r="J61" t="s">
        <v>63</v>
      </c>
      <c r="K61" t="s">
        <v>64</v>
      </c>
      <c r="L61" t="s">
        <v>65</v>
      </c>
      <c r="M61">
        <f>SUMIFS(RawResultsLong!$P:$P,RawResultsLong!$A:$A,A61)</f>
        <v>12.14419823999993</v>
      </c>
      <c r="N61">
        <f t="shared" si="3"/>
        <v>384.82642026009364</v>
      </c>
      <c r="O61" t="s">
        <v>66</v>
      </c>
      <c r="P61">
        <f>SUMIFS(TechnologyMapping!$D:$D,TechnologyMapping!$A:$A,C61)</f>
        <v>1</v>
      </c>
      <c r="Q61">
        <f t="shared" si="4"/>
        <v>384.82642026009364</v>
      </c>
      <c r="R61">
        <f>SUMIFS(FactorInputs!$I:$I,FactorInputs!$A:$A,B61)</f>
        <v>8.0394932432399993E-2</v>
      </c>
      <c r="S61" t="str">
        <f>_xlfn.XLOOKUP(B61,FactorInputs!$A$2:$A$888,FactorInputs!$F$2:$F$888,"")</f>
        <v>job/MW</v>
      </c>
      <c r="T61" t="str">
        <f>_xlfn.XLOOKUP(B61,FactorInputs!$A$2:$A$888,FactorInputs!$B$2:$B$888,"")</f>
        <v>I-JEDI</v>
      </c>
      <c r="U61" t="str">
        <f>_xlfn.XLOOKUP(B61,FactorInputs!$A$2:$A$888,FactorInputs!$T$2:$T$888,"")</f>
        <v>I-JEDI</v>
      </c>
      <c r="V61">
        <f t="shared" si="5"/>
        <v>30.938094055012591</v>
      </c>
      <c r="W61" t="s">
        <v>67</v>
      </c>
    </row>
    <row r="62" spans="1:23" x14ac:dyDescent="0.3">
      <c r="A62" t="str">
        <f t="shared" si="0"/>
        <v>PD|AccumulatedNewCapacity|RE1|PWRWNDONS|2033</v>
      </c>
      <c r="B62" t="str">
        <f t="shared" si="1"/>
        <v>Onshore wind|2033|O&amp;M|Direct</v>
      </c>
      <c r="C62" t="str">
        <f t="shared" si="2"/>
        <v>PWRWNDONS|Onshore wind</v>
      </c>
      <c r="D62" t="s">
        <v>16</v>
      </c>
      <c r="E62" t="s">
        <v>17</v>
      </c>
      <c r="F62" t="s">
        <v>19</v>
      </c>
      <c r="G62" t="s">
        <v>36</v>
      </c>
      <c r="H62">
        <v>2033</v>
      </c>
      <c r="I62" t="s">
        <v>18</v>
      </c>
      <c r="J62" t="s">
        <v>63</v>
      </c>
      <c r="K62" t="s">
        <v>64</v>
      </c>
      <c r="L62" t="s">
        <v>65</v>
      </c>
      <c r="M62">
        <f>SUMIFS(RawResultsLong!$P:$P,RawResultsLong!$A:$A,A62)</f>
        <v>33.266423314285717</v>
      </c>
      <c r="N62">
        <f t="shared" si="3"/>
        <v>1054.1493432417458</v>
      </c>
      <c r="O62" t="s">
        <v>68</v>
      </c>
      <c r="P62">
        <f>SUMIFS(TechnologyMapping!$D:$D,TechnologyMapping!$A:$A,C62)</f>
        <v>1</v>
      </c>
      <c r="Q62">
        <f t="shared" si="4"/>
        <v>1054.1493432417458</v>
      </c>
      <c r="R62">
        <f>SUMIFS(FactorInputs!$I:$I,FactorInputs!$A:$A,B62)</f>
        <v>2.8237226277399999E-2</v>
      </c>
      <c r="S62" t="str">
        <f>_xlfn.XLOOKUP(B62,FactorInputs!$A$2:$A$888,FactorInputs!$F$2:$F$888,"")</f>
        <v>job/MW</v>
      </c>
      <c r="T62" t="str">
        <f>_xlfn.XLOOKUP(B62,FactorInputs!$A$2:$A$888,FactorInputs!$B$2:$B$888,"")</f>
        <v>I-JEDI</v>
      </c>
      <c r="U62" t="str">
        <f>_xlfn.XLOOKUP(B62,FactorInputs!$A$2:$A$888,FactorInputs!$T$2:$T$888,"")</f>
        <v>I-JEDI</v>
      </c>
      <c r="V62">
        <f t="shared" si="5"/>
        <v>29.766253535289774</v>
      </c>
    </row>
    <row r="63" spans="1:23" x14ac:dyDescent="0.3">
      <c r="A63" t="str">
        <f t="shared" si="0"/>
        <v>PD|NewCapacity|RE1|PWRSOLRTP|2033</v>
      </c>
      <c r="B63" t="str">
        <f t="shared" si="1"/>
        <v>Rooftop solar PV|2033|Construction&amp;Manufacturing|Direct</v>
      </c>
      <c r="C63" t="str">
        <f t="shared" si="2"/>
        <v>PWRSOLRTP|Rooftop solar PV</v>
      </c>
      <c r="D63" t="s">
        <v>16</v>
      </c>
      <c r="E63" t="s">
        <v>17</v>
      </c>
      <c r="F63" t="s">
        <v>19</v>
      </c>
      <c r="G63" t="s">
        <v>31</v>
      </c>
      <c r="H63">
        <v>2033</v>
      </c>
      <c r="I63" t="s">
        <v>37</v>
      </c>
      <c r="J63" t="s">
        <v>69</v>
      </c>
      <c r="K63" t="s">
        <v>70</v>
      </c>
      <c r="L63" t="s">
        <v>65</v>
      </c>
      <c r="M63">
        <f>SUMIFS(RawResultsLong!$P:$P,RawResultsLong!$A:$A,A63)</f>
        <v>7.4508560558021566</v>
      </c>
      <c r="N63">
        <f t="shared" si="3"/>
        <v>236.10338098594812</v>
      </c>
      <c r="O63" t="s">
        <v>71</v>
      </c>
      <c r="P63">
        <f>SUMIFS(TechnologyMapping!$D:$D,TechnologyMapping!$A:$A,C63)</f>
        <v>1</v>
      </c>
      <c r="Q63">
        <f t="shared" si="4"/>
        <v>236.10338098594812</v>
      </c>
      <c r="R63">
        <f>SUMIFS(FactorInputs!$I:$I,FactorInputs!$A:$A,B63)</f>
        <v>6.1171712239499998</v>
      </c>
      <c r="S63" t="str">
        <f>_xlfn.XLOOKUP(B63,FactorInputs!$A$2:$A$888,FactorInputs!$F$2:$F$888,"")</f>
        <v>job-yr/MW</v>
      </c>
      <c r="T63" t="str">
        <f>_xlfn.XLOOKUP(B63,FactorInputs!$A$2:$A$888,FactorInputs!$B$2:$B$888,"")</f>
        <v>JEDI-US</v>
      </c>
      <c r="U63" t="str">
        <f>_xlfn.XLOOKUP(B63,FactorInputs!$A$2:$A$888,FactorInputs!$T$2:$T$888,"")</f>
        <v>JEDI-US</v>
      </c>
      <c r="V63">
        <f t="shared" si="5"/>
        <v>1444.2848080445453</v>
      </c>
    </row>
    <row r="64" spans="1:23" x14ac:dyDescent="0.3">
      <c r="A64" t="str">
        <f t="shared" si="0"/>
        <v>PD|NewCapacity|RE1|PWRSOLRTP_ZNI|2033</v>
      </c>
      <c r="B64" t="str">
        <f t="shared" si="1"/>
        <v>Rooftop solar PV|2033|Construction&amp;Manufacturing|Direct</v>
      </c>
      <c r="C64" t="str">
        <f t="shared" si="2"/>
        <v>PWRSOLRTP_ZNI|Rooftop solar PV</v>
      </c>
      <c r="D64" t="s">
        <v>16</v>
      </c>
      <c r="E64" t="s">
        <v>17</v>
      </c>
      <c r="F64" t="s">
        <v>19</v>
      </c>
      <c r="G64" t="s">
        <v>32</v>
      </c>
      <c r="H64">
        <v>2033</v>
      </c>
      <c r="I64" t="s">
        <v>37</v>
      </c>
      <c r="J64" t="s">
        <v>69</v>
      </c>
      <c r="K64" t="s">
        <v>70</v>
      </c>
      <c r="L64" t="s">
        <v>65</v>
      </c>
      <c r="M64">
        <f>SUMIFS(RawResultsLong!$P:$P,RawResultsLong!$A:$A,A64)</f>
        <v>0.69954823626465812</v>
      </c>
      <c r="N64">
        <f t="shared" si="3"/>
        <v>22.167345940903559</v>
      </c>
      <c r="O64" t="s">
        <v>71</v>
      </c>
      <c r="P64">
        <f>SUMIFS(TechnologyMapping!$D:$D,TechnologyMapping!$A:$A,C64)</f>
        <v>1</v>
      </c>
      <c r="Q64">
        <f t="shared" si="4"/>
        <v>22.167345940903559</v>
      </c>
      <c r="R64">
        <f>SUMIFS(FactorInputs!$I:$I,FactorInputs!$A:$A,B64)</f>
        <v>6.1171712239499998</v>
      </c>
      <c r="S64" t="str">
        <f>_xlfn.XLOOKUP(B64,FactorInputs!$A$2:$A$888,FactorInputs!$F$2:$F$888,"")</f>
        <v>job-yr/MW</v>
      </c>
      <c r="T64" t="str">
        <f>_xlfn.XLOOKUP(B64,FactorInputs!$A$2:$A$888,FactorInputs!$B$2:$B$888,"")</f>
        <v>JEDI-US</v>
      </c>
      <c r="U64" t="str">
        <f>_xlfn.XLOOKUP(B64,FactorInputs!$A$2:$A$888,FactorInputs!$T$2:$T$888,"")</f>
        <v>JEDI-US</v>
      </c>
      <c r="V64">
        <f t="shared" si="5"/>
        <v>135.60145070104008</v>
      </c>
      <c r="W64" t="s">
        <v>73</v>
      </c>
    </row>
    <row r="65" spans="1:23" x14ac:dyDescent="0.3">
      <c r="A65" t="str">
        <f t="shared" si="0"/>
        <v>PD|AccumulatedNewCapacity|RE1|PWRHYDDAM|2034</v>
      </c>
      <c r="B65" t="str">
        <f t="shared" si="1"/>
        <v>Hydro (large)|2034|O&amp;M|Direct</v>
      </c>
      <c r="C65" t="str">
        <f t="shared" si="2"/>
        <v>PWRHYDDAM|Hydro (large)</v>
      </c>
      <c r="D65" t="s">
        <v>16</v>
      </c>
      <c r="E65" t="s">
        <v>17</v>
      </c>
      <c r="F65" t="s">
        <v>19</v>
      </c>
      <c r="G65" t="s">
        <v>24</v>
      </c>
      <c r="H65">
        <v>2034</v>
      </c>
      <c r="I65" t="s">
        <v>18</v>
      </c>
      <c r="J65" t="s">
        <v>63</v>
      </c>
      <c r="K65" t="s">
        <v>64</v>
      </c>
      <c r="L65" t="s">
        <v>65</v>
      </c>
      <c r="M65">
        <f>SUMIFS(RawResultsLong!$P:$P,RawResultsLong!$A:$A,A65)</f>
        <v>37.840000000000003</v>
      </c>
      <c r="N65">
        <f t="shared" si="3"/>
        <v>1199.0772428828554</v>
      </c>
      <c r="O65" t="s">
        <v>72</v>
      </c>
      <c r="P65">
        <f>SUMIFS(TechnologyMapping!$D:$D,TechnologyMapping!$A:$A,C65)</f>
        <v>1</v>
      </c>
      <c r="Q65">
        <f t="shared" si="4"/>
        <v>1199.0772428828554</v>
      </c>
      <c r="R65">
        <f>SUMIFS(FactorInputs!$I:$I,FactorInputs!$A:$A,B65)</f>
        <v>0.64129836065599999</v>
      </c>
      <c r="S65" t="str">
        <f>_xlfn.XLOOKUP(B65,FactorInputs!$A$2:$A$888,FactorInputs!$F$2:$F$888,"")</f>
        <v>job/MW</v>
      </c>
      <c r="T65" t="str">
        <f>_xlfn.XLOOKUP(B65,FactorInputs!$A$2:$A$888,FactorInputs!$B$2:$B$888,"")</f>
        <v>Rutovitz 2015</v>
      </c>
      <c r="U65" t="str">
        <f>_xlfn.XLOOKUP(B65,FactorInputs!$A$2:$A$888,FactorInputs!$T$2:$T$888,"")</f>
        <v>Rutovitz 2015</v>
      </c>
      <c r="V65">
        <f t="shared" si="5"/>
        <v>768.96627016069158</v>
      </c>
    </row>
    <row r="66" spans="1:23" x14ac:dyDescent="0.3">
      <c r="A66" t="str">
        <f t="shared" ref="A66:A129" si="6">D66&amp;"|"&amp;I66&amp;"|"&amp;F66&amp;"|"&amp;G66&amp;"|"&amp;H66</f>
        <v>PD|AccumulatedNewCapacity|RE1|PWRSOLRTP|2034</v>
      </c>
      <c r="B66" t="str">
        <f t="shared" ref="B66:B129" si="7">O66&amp;"|"&amp;H66&amp;"|"&amp;K66&amp;"|"&amp;L66</f>
        <v>Rooftop solar PV|2034|O&amp;M|Direct</v>
      </c>
      <c r="C66" t="str">
        <f t="shared" ref="C66:C129" si="8">G66&amp;"|"&amp;O66</f>
        <v>PWRSOLRTP|Rooftop solar PV</v>
      </c>
      <c r="D66" t="s">
        <v>16</v>
      </c>
      <c r="E66" t="s">
        <v>17</v>
      </c>
      <c r="F66" t="s">
        <v>19</v>
      </c>
      <c r="G66" t="s">
        <v>31</v>
      </c>
      <c r="H66">
        <v>2034</v>
      </c>
      <c r="I66" t="s">
        <v>18</v>
      </c>
      <c r="J66" t="s">
        <v>63</v>
      </c>
      <c r="K66" t="s">
        <v>64</v>
      </c>
      <c r="L66" t="s">
        <v>65</v>
      </c>
      <c r="M66">
        <f>SUMIFS(RawResultsLong!$P:$P,RawResultsLong!$A:$A,A66)</f>
        <v>84.032637920101465</v>
      </c>
      <c r="N66">
        <f t="shared" ref="N66:N129" si="9">M66*1000/31.5576</f>
        <v>2662.8336096566741</v>
      </c>
      <c r="O66" t="s">
        <v>71</v>
      </c>
      <c r="P66">
        <f>SUMIFS(TechnologyMapping!$D:$D,TechnologyMapping!$A:$A,C66)</f>
        <v>1</v>
      </c>
      <c r="Q66">
        <f t="shared" ref="Q66:Q129" si="10">N66*P66</f>
        <v>2662.8336096566741</v>
      </c>
      <c r="R66">
        <f>SUMIFS(FactorInputs!$I:$I,FactorInputs!$A:$A,B66)</f>
        <v>0.24952941176499999</v>
      </c>
      <c r="S66" t="str">
        <f>_xlfn.XLOOKUP(B66,FactorInputs!$A$2:$A$888,FactorInputs!$F$2:$F$888,"")</f>
        <v>job/MW</v>
      </c>
      <c r="T66" t="str">
        <f>_xlfn.XLOOKUP(B66,FactorInputs!$A$2:$A$888,FactorInputs!$B$2:$B$888,"")</f>
        <v>JEDI-US</v>
      </c>
      <c r="U66" t="str">
        <f>_xlfn.XLOOKUP(B66,FactorInputs!$A$2:$A$888,FactorInputs!$T$2:$T$888,"")</f>
        <v>JEDI-US</v>
      </c>
      <c r="V66">
        <f t="shared" ref="V66:V129" si="11">Q66*R66</f>
        <v>664.45530424570143</v>
      </c>
    </row>
    <row r="67" spans="1:23" x14ac:dyDescent="0.3">
      <c r="A67" t="str">
        <f t="shared" si="6"/>
        <v>PD|AccumulatedNewCapacity|RE1|PWRSOLRTP_ZNI|2034</v>
      </c>
      <c r="B67" t="str">
        <f t="shared" si="7"/>
        <v>Rooftop solar PV|2034|O&amp;M|Direct</v>
      </c>
      <c r="C67" t="str">
        <f t="shared" si="8"/>
        <v>PWRSOLRTP_ZNI|Rooftop solar PV</v>
      </c>
      <c r="D67" t="s">
        <v>16</v>
      </c>
      <c r="E67" t="s">
        <v>17</v>
      </c>
      <c r="F67" t="s">
        <v>19</v>
      </c>
      <c r="G67" t="s">
        <v>32</v>
      </c>
      <c r="H67">
        <v>2034</v>
      </c>
      <c r="I67" t="s">
        <v>18</v>
      </c>
      <c r="J67" t="s">
        <v>63</v>
      </c>
      <c r="K67" t="s">
        <v>64</v>
      </c>
      <c r="L67" t="s">
        <v>65</v>
      </c>
      <c r="M67">
        <f>SUMIFS(RawResultsLong!$P:$P,RawResultsLong!$A:$A,A67)</f>
        <v>0.73595292932613798</v>
      </c>
      <c r="N67">
        <f t="shared" si="9"/>
        <v>23.320941051478503</v>
      </c>
      <c r="O67" t="s">
        <v>71</v>
      </c>
      <c r="P67">
        <f>SUMIFS(TechnologyMapping!$D:$D,TechnologyMapping!$A:$A,C67)</f>
        <v>1</v>
      </c>
      <c r="Q67">
        <f t="shared" si="10"/>
        <v>23.320941051478503</v>
      </c>
      <c r="R67">
        <f>SUMIFS(FactorInputs!$I:$I,FactorInputs!$A:$A,B67)</f>
        <v>0.24952941176499999</v>
      </c>
      <c r="S67" t="str">
        <f>_xlfn.XLOOKUP(B67,FactorInputs!$A$2:$A$888,FactorInputs!$F$2:$F$888,"")</f>
        <v>job/MW</v>
      </c>
      <c r="T67" t="str">
        <f>_xlfn.XLOOKUP(B67,FactorInputs!$A$2:$A$888,FactorInputs!$B$2:$B$888,"")</f>
        <v>JEDI-US</v>
      </c>
      <c r="U67" t="str">
        <f>_xlfn.XLOOKUP(B67,FactorInputs!$A$2:$A$888,FactorInputs!$T$2:$T$888,"")</f>
        <v>JEDI-US</v>
      </c>
      <c r="V67">
        <f t="shared" si="11"/>
        <v>5.8192607023816709</v>
      </c>
      <c r="W67" t="s">
        <v>73</v>
      </c>
    </row>
    <row r="68" spans="1:23" x14ac:dyDescent="0.3">
      <c r="A68" t="str">
        <f t="shared" si="6"/>
        <v>PD|AccumulatedNewCapacity|RE1|PWRSOLUGE|2034</v>
      </c>
      <c r="B68" t="str">
        <f t="shared" si="7"/>
        <v>Utility-scale solar PV|2034|O&amp;M|Direct</v>
      </c>
      <c r="C68" t="str">
        <f t="shared" si="8"/>
        <v>PWRSOLUGE|Utility-scale solar PV</v>
      </c>
      <c r="D68" t="s">
        <v>16</v>
      </c>
      <c r="E68" t="s">
        <v>17</v>
      </c>
      <c r="F68" t="s">
        <v>19</v>
      </c>
      <c r="G68" t="s">
        <v>33</v>
      </c>
      <c r="H68">
        <v>2034</v>
      </c>
      <c r="I68" t="s">
        <v>18</v>
      </c>
      <c r="J68" t="s">
        <v>63</v>
      </c>
      <c r="K68" t="s">
        <v>64</v>
      </c>
      <c r="L68" t="s">
        <v>65</v>
      </c>
      <c r="M68">
        <f>SUMIFS(RawResultsLong!$P:$P,RawResultsLong!$A:$A,A68)</f>
        <v>143.394192</v>
      </c>
      <c r="N68">
        <f t="shared" si="9"/>
        <v>4543.8877481177278</v>
      </c>
      <c r="O68" t="s">
        <v>66</v>
      </c>
      <c r="P68">
        <f>SUMIFS(TechnologyMapping!$D:$D,TechnologyMapping!$A:$A,C68)</f>
        <v>1</v>
      </c>
      <c r="Q68">
        <f t="shared" si="10"/>
        <v>4543.8877481177278</v>
      </c>
      <c r="R68">
        <f>SUMIFS(FactorInputs!$I:$I,FactorInputs!$A:$A,B68)</f>
        <v>7.9808108108100004E-2</v>
      </c>
      <c r="S68" t="str">
        <f>_xlfn.XLOOKUP(B68,FactorInputs!$A$2:$A$888,FactorInputs!$F$2:$F$888,"")</f>
        <v>job/MW</v>
      </c>
      <c r="T68" t="str">
        <f>_xlfn.XLOOKUP(B68,FactorInputs!$A$2:$A$888,FactorInputs!$B$2:$B$888,"")</f>
        <v>I-JEDI</v>
      </c>
      <c r="U68" t="str">
        <f>_xlfn.XLOOKUP(B68,FactorInputs!$A$2:$A$888,FactorInputs!$T$2:$T$888,"")</f>
        <v>I-JEDI</v>
      </c>
      <c r="V68">
        <f t="shared" si="11"/>
        <v>362.63908463285071</v>
      </c>
    </row>
    <row r="69" spans="1:23" x14ac:dyDescent="0.3">
      <c r="A69" t="str">
        <f t="shared" si="6"/>
        <v>PD|AccumulatedNewCapacity|RE1|PWRSOLUPE|2034</v>
      </c>
      <c r="B69" t="str">
        <f t="shared" si="7"/>
        <v>Utility-scale solar PV|2034|O&amp;M|Direct</v>
      </c>
      <c r="C69" t="str">
        <f t="shared" si="8"/>
        <v>PWRSOLUPE|Utility-scale solar PV</v>
      </c>
      <c r="D69" t="s">
        <v>16</v>
      </c>
      <c r="E69" t="s">
        <v>17</v>
      </c>
      <c r="F69" t="s">
        <v>19</v>
      </c>
      <c r="G69" t="s">
        <v>34</v>
      </c>
      <c r="H69">
        <v>2034</v>
      </c>
      <c r="I69" t="s">
        <v>18</v>
      </c>
      <c r="J69" t="s">
        <v>63</v>
      </c>
      <c r="K69" t="s">
        <v>64</v>
      </c>
      <c r="L69" t="s">
        <v>65</v>
      </c>
      <c r="M69">
        <f>SUMIFS(RawResultsLong!$P:$P,RawResultsLong!$A:$A,A69)</f>
        <v>12.14419823999993</v>
      </c>
      <c r="N69">
        <f t="shared" si="9"/>
        <v>384.82642026009364</v>
      </c>
      <c r="O69" t="s">
        <v>66</v>
      </c>
      <c r="P69">
        <f>SUMIFS(TechnologyMapping!$D:$D,TechnologyMapping!$A:$A,C69)</f>
        <v>1</v>
      </c>
      <c r="Q69">
        <f t="shared" si="10"/>
        <v>384.82642026009364</v>
      </c>
      <c r="R69">
        <f>SUMIFS(FactorInputs!$I:$I,FactorInputs!$A:$A,B69)</f>
        <v>7.9808108108100004E-2</v>
      </c>
      <c r="S69" t="str">
        <f>_xlfn.XLOOKUP(B69,FactorInputs!$A$2:$A$888,FactorInputs!$F$2:$F$888,"")</f>
        <v>job/MW</v>
      </c>
      <c r="T69" t="str">
        <f>_xlfn.XLOOKUP(B69,FactorInputs!$A$2:$A$888,FactorInputs!$B$2:$B$888,"")</f>
        <v>I-JEDI</v>
      </c>
      <c r="U69" t="str">
        <f>_xlfn.XLOOKUP(B69,FactorInputs!$A$2:$A$888,FactorInputs!$T$2:$T$888,"")</f>
        <v>I-JEDI</v>
      </c>
      <c r="V69">
        <f t="shared" si="11"/>
        <v>30.712268550970681</v>
      </c>
      <c r="W69" t="s">
        <v>67</v>
      </c>
    </row>
    <row r="70" spans="1:23" x14ac:dyDescent="0.3">
      <c r="A70" t="str">
        <f t="shared" si="6"/>
        <v>PD|AccumulatedNewCapacity|RE1|PWRWNDONS|2034</v>
      </c>
      <c r="B70" t="str">
        <f t="shared" si="7"/>
        <v>Onshore wind|2034|O&amp;M|Direct</v>
      </c>
      <c r="C70" t="str">
        <f t="shared" si="8"/>
        <v>PWRWNDONS|Onshore wind</v>
      </c>
      <c r="D70" t="s">
        <v>16</v>
      </c>
      <c r="E70" t="s">
        <v>17</v>
      </c>
      <c r="F70" t="s">
        <v>19</v>
      </c>
      <c r="G70" t="s">
        <v>36</v>
      </c>
      <c r="H70">
        <v>2034</v>
      </c>
      <c r="I70" t="s">
        <v>18</v>
      </c>
      <c r="J70" t="s">
        <v>63</v>
      </c>
      <c r="K70" t="s">
        <v>64</v>
      </c>
      <c r="L70" t="s">
        <v>65</v>
      </c>
      <c r="M70">
        <f>SUMIFS(RawResultsLong!$P:$P,RawResultsLong!$A:$A,A70)</f>
        <v>33.266423314285717</v>
      </c>
      <c r="N70">
        <f t="shared" si="9"/>
        <v>1054.1493432417458</v>
      </c>
      <c r="O70" t="s">
        <v>68</v>
      </c>
      <c r="P70">
        <f>SUMIFS(TechnologyMapping!$D:$D,TechnologyMapping!$A:$A,C70)</f>
        <v>1</v>
      </c>
      <c r="Q70">
        <f t="shared" si="10"/>
        <v>1054.1493432417458</v>
      </c>
      <c r="R70">
        <f>SUMIFS(FactorInputs!$I:$I,FactorInputs!$A:$A,B70)</f>
        <v>2.8160583941599999E-2</v>
      </c>
      <c r="S70" t="str">
        <f>_xlfn.XLOOKUP(B70,FactorInputs!$A$2:$A$888,FactorInputs!$F$2:$F$888,"")</f>
        <v>job/MW</v>
      </c>
      <c r="T70" t="str">
        <f>_xlfn.XLOOKUP(B70,FactorInputs!$A$2:$A$888,FactorInputs!$B$2:$B$888,"")</f>
        <v>I-JEDI</v>
      </c>
      <c r="U70" t="str">
        <f>_xlfn.XLOOKUP(B70,FactorInputs!$A$2:$A$888,FactorInputs!$T$2:$T$888,"")</f>
        <v>I-JEDI</v>
      </c>
      <c r="V70">
        <f t="shared" si="11"/>
        <v>29.685461067341691</v>
      </c>
    </row>
    <row r="71" spans="1:23" x14ac:dyDescent="0.3">
      <c r="A71" t="str">
        <f t="shared" si="6"/>
        <v>PD|NewCapacity|RE1|PWRSOLRTP|2034</v>
      </c>
      <c r="B71" t="str">
        <f t="shared" si="7"/>
        <v>Rooftop solar PV|2034|Construction&amp;Manufacturing|Direct</v>
      </c>
      <c r="C71" t="str">
        <f t="shared" si="8"/>
        <v>PWRSOLRTP|Rooftop solar PV</v>
      </c>
      <c r="D71" t="s">
        <v>16</v>
      </c>
      <c r="E71" t="s">
        <v>17</v>
      </c>
      <c r="F71" t="s">
        <v>19</v>
      </c>
      <c r="G71" t="s">
        <v>31</v>
      </c>
      <c r="H71">
        <v>2034</v>
      </c>
      <c r="I71" t="s">
        <v>37</v>
      </c>
      <c r="J71" t="s">
        <v>69</v>
      </c>
      <c r="K71" t="s">
        <v>70</v>
      </c>
      <c r="L71" t="s">
        <v>65</v>
      </c>
      <c r="M71">
        <f>SUMIFS(RawResultsLong!$P:$P,RawResultsLong!$A:$A,A71)</f>
        <v>6.3411540900443883</v>
      </c>
      <c r="N71">
        <f t="shared" si="9"/>
        <v>200.93904764761544</v>
      </c>
      <c r="O71" t="s">
        <v>71</v>
      </c>
      <c r="P71">
        <f>SUMIFS(TechnologyMapping!$D:$D,TechnologyMapping!$A:$A,C71)</f>
        <v>1</v>
      </c>
      <c r="Q71">
        <f t="shared" si="10"/>
        <v>200.93904764761544</v>
      </c>
      <c r="R71">
        <f>SUMIFS(FactorInputs!$I:$I,FactorInputs!$A:$A,B71)</f>
        <v>6.0114882731600003</v>
      </c>
      <c r="S71" t="str">
        <f>_xlfn.XLOOKUP(B71,FactorInputs!$A$2:$A$888,FactorInputs!$F$2:$F$888,"")</f>
        <v>job-yr/MW</v>
      </c>
      <c r="T71" t="str">
        <f>_xlfn.XLOOKUP(B71,FactorInputs!$A$2:$A$888,FactorInputs!$B$2:$B$888,"")</f>
        <v>JEDI-US</v>
      </c>
      <c r="U71" t="str">
        <f>_xlfn.XLOOKUP(B71,FactorInputs!$A$2:$A$888,FactorInputs!$T$2:$T$888,"")</f>
        <v>JEDI-US</v>
      </c>
      <c r="V71">
        <f t="shared" si="11"/>
        <v>1207.9427285535787</v>
      </c>
    </row>
    <row r="72" spans="1:23" x14ac:dyDescent="0.3">
      <c r="A72" t="str">
        <f t="shared" si="6"/>
        <v>PD|NewCapacity|RE1|PWRSOLRTP_ZNI|2034</v>
      </c>
      <c r="B72" t="str">
        <f t="shared" si="7"/>
        <v>Rooftop solar PV|2034|Construction&amp;Manufacturing|Direct</v>
      </c>
      <c r="C72" t="str">
        <f t="shared" si="8"/>
        <v>PWRSOLRTP_ZNI|Rooftop solar PV</v>
      </c>
      <c r="D72" t="s">
        <v>16</v>
      </c>
      <c r="E72" t="s">
        <v>17</v>
      </c>
      <c r="F72" t="s">
        <v>19</v>
      </c>
      <c r="G72" t="s">
        <v>32</v>
      </c>
      <c r="H72">
        <v>2034</v>
      </c>
      <c r="I72" t="s">
        <v>37</v>
      </c>
      <c r="J72" t="s">
        <v>69</v>
      </c>
      <c r="K72" t="s">
        <v>70</v>
      </c>
      <c r="L72" t="s">
        <v>65</v>
      </c>
      <c r="M72">
        <f>SUMIFS(RawResultsLong!$P:$P,RawResultsLong!$A:$A,A72)</f>
        <v>3.640469306147992E-2</v>
      </c>
      <c r="N72">
        <f t="shared" si="9"/>
        <v>1.153595110574946</v>
      </c>
      <c r="O72" t="s">
        <v>71</v>
      </c>
      <c r="P72">
        <f>SUMIFS(TechnologyMapping!$D:$D,TechnologyMapping!$A:$A,C72)</f>
        <v>1</v>
      </c>
      <c r="Q72">
        <f t="shared" si="10"/>
        <v>1.153595110574946</v>
      </c>
      <c r="R72">
        <f>SUMIFS(FactorInputs!$I:$I,FactorInputs!$A:$A,B72)</f>
        <v>6.0114882731600003</v>
      </c>
      <c r="S72" t="str">
        <f>_xlfn.XLOOKUP(B72,FactorInputs!$A$2:$A$888,FactorInputs!$F$2:$F$888,"")</f>
        <v>job-yr/MW</v>
      </c>
      <c r="T72" t="str">
        <f>_xlfn.XLOOKUP(B72,FactorInputs!$A$2:$A$888,FactorInputs!$B$2:$B$888,"")</f>
        <v>JEDI-US</v>
      </c>
      <c r="U72" t="str">
        <f>_xlfn.XLOOKUP(B72,FactorInputs!$A$2:$A$888,FactorInputs!$T$2:$T$888,"")</f>
        <v>JEDI-US</v>
      </c>
      <c r="V72">
        <f t="shared" si="11"/>
        <v>6.9348234791960017</v>
      </c>
      <c r="W72" t="s">
        <v>73</v>
      </c>
    </row>
    <row r="73" spans="1:23" x14ac:dyDescent="0.3">
      <c r="A73" t="str">
        <f t="shared" si="6"/>
        <v>PD|AccumulatedNewCapacity|RE1|PWRHYDDAM|2035</v>
      </c>
      <c r="B73" t="str">
        <f t="shared" si="7"/>
        <v>Hydro (large)|2035|O&amp;M|Direct</v>
      </c>
      <c r="C73" t="str">
        <f t="shared" si="8"/>
        <v>PWRHYDDAM|Hydro (large)</v>
      </c>
      <c r="D73" t="s">
        <v>16</v>
      </c>
      <c r="E73" t="s">
        <v>17</v>
      </c>
      <c r="F73" t="s">
        <v>19</v>
      </c>
      <c r="G73" t="s">
        <v>24</v>
      </c>
      <c r="H73">
        <v>2035</v>
      </c>
      <c r="I73" t="s">
        <v>18</v>
      </c>
      <c r="J73" t="s">
        <v>63</v>
      </c>
      <c r="K73" t="s">
        <v>64</v>
      </c>
      <c r="L73" t="s">
        <v>65</v>
      </c>
      <c r="M73">
        <f>SUMIFS(RawResultsLong!$P:$P,RawResultsLong!$A:$A,A73)</f>
        <v>37.840000000000003</v>
      </c>
      <c r="N73">
        <f t="shared" si="9"/>
        <v>1199.0772428828554</v>
      </c>
      <c r="O73" t="s">
        <v>72</v>
      </c>
      <c r="P73">
        <f>SUMIFS(TechnologyMapping!$D:$D,TechnologyMapping!$A:$A,C73)</f>
        <v>1</v>
      </c>
      <c r="Q73">
        <f t="shared" si="10"/>
        <v>1199.0772428828554</v>
      </c>
      <c r="R73">
        <f>SUMIFS(FactorInputs!$I:$I,FactorInputs!$A:$A,B73)</f>
        <v>0.64112295082000004</v>
      </c>
      <c r="S73" t="str">
        <f>_xlfn.XLOOKUP(B73,FactorInputs!$A$2:$A$888,FactorInputs!$F$2:$F$888,"")</f>
        <v>job/MW</v>
      </c>
      <c r="T73" t="str">
        <f>_xlfn.XLOOKUP(B73,FactorInputs!$A$2:$A$888,FactorInputs!$B$2:$B$888,"")</f>
        <v>Rutovitz 2015</v>
      </c>
      <c r="U73" t="str">
        <f>_xlfn.XLOOKUP(B73,FactorInputs!$A$2:$A$888,FactorInputs!$T$2:$T$888,"")</f>
        <v>Rutovitz 2015</v>
      </c>
      <c r="V73">
        <f t="shared" si="11"/>
        <v>768.75594021816619</v>
      </c>
    </row>
    <row r="74" spans="1:23" x14ac:dyDescent="0.3">
      <c r="A74" t="str">
        <f t="shared" si="6"/>
        <v>PD|AccumulatedNewCapacity|RE1|PWRSOLRTP|2035</v>
      </c>
      <c r="B74" t="str">
        <f t="shared" si="7"/>
        <v>Rooftop solar PV|2035|O&amp;M|Direct</v>
      </c>
      <c r="C74" t="str">
        <f t="shared" si="8"/>
        <v>PWRSOLRTP|Rooftop solar PV</v>
      </c>
      <c r="D74" t="s">
        <v>16</v>
      </c>
      <c r="E74" t="s">
        <v>17</v>
      </c>
      <c r="F74" t="s">
        <v>19</v>
      </c>
      <c r="G74" t="s">
        <v>31</v>
      </c>
      <c r="H74">
        <v>2035</v>
      </c>
      <c r="I74" t="s">
        <v>18</v>
      </c>
      <c r="J74" t="s">
        <v>63</v>
      </c>
      <c r="K74" t="s">
        <v>64</v>
      </c>
      <c r="L74" t="s">
        <v>65</v>
      </c>
      <c r="M74">
        <f>SUMIFS(RawResultsLong!$P:$P,RawResultsLong!$A:$A,A74)</f>
        <v>89.264090044388084</v>
      </c>
      <c r="N74">
        <f t="shared" si="9"/>
        <v>2828.608323965957</v>
      </c>
      <c r="O74" t="s">
        <v>71</v>
      </c>
      <c r="P74">
        <f>SUMIFS(TechnologyMapping!$D:$D,TechnologyMapping!$A:$A,C74)</f>
        <v>1</v>
      </c>
      <c r="Q74">
        <f t="shared" si="10"/>
        <v>2828.608323965957</v>
      </c>
      <c r="R74">
        <f>SUMIFS(FactorInputs!$I:$I,FactorInputs!$A:$A,B74)</f>
        <v>0.2475</v>
      </c>
      <c r="S74" t="str">
        <f>_xlfn.XLOOKUP(B74,FactorInputs!$A$2:$A$888,FactorInputs!$F$2:$F$888,"")</f>
        <v>job/MW</v>
      </c>
      <c r="T74" t="str">
        <f>_xlfn.XLOOKUP(B74,FactorInputs!$A$2:$A$888,FactorInputs!$B$2:$B$888,"")</f>
        <v>JEDI-US</v>
      </c>
      <c r="U74" t="str">
        <f>_xlfn.XLOOKUP(B74,FactorInputs!$A$2:$A$888,FactorInputs!$T$2:$T$888,"")</f>
        <v>JEDI-US</v>
      </c>
      <c r="V74">
        <f t="shared" si="11"/>
        <v>700.08056018157436</v>
      </c>
    </row>
    <row r="75" spans="1:23" x14ac:dyDescent="0.3">
      <c r="A75" t="str">
        <f t="shared" si="6"/>
        <v>PD|AccumulatedNewCapacity|RE1|PWRSOLRTP_ZNI|2035</v>
      </c>
      <c r="B75" t="str">
        <f t="shared" si="7"/>
        <v>Rooftop solar PV|2035|O&amp;M|Direct</v>
      </c>
      <c r="C75" t="str">
        <f t="shared" si="8"/>
        <v>PWRSOLRTP_ZNI|Rooftop solar PV</v>
      </c>
      <c r="D75" t="s">
        <v>16</v>
      </c>
      <c r="E75" t="s">
        <v>17</v>
      </c>
      <c r="F75" t="s">
        <v>19</v>
      </c>
      <c r="G75" t="s">
        <v>32</v>
      </c>
      <c r="H75">
        <v>2035</v>
      </c>
      <c r="I75" t="s">
        <v>18</v>
      </c>
      <c r="J75" t="s">
        <v>63</v>
      </c>
      <c r="K75" t="s">
        <v>64</v>
      </c>
      <c r="L75" t="s">
        <v>65</v>
      </c>
      <c r="M75">
        <f>SUMIFS(RawResultsLong!$P:$P,RawResultsLong!$A:$A,A75)</f>
        <v>0.77268918493450534</v>
      </c>
      <c r="N75">
        <f t="shared" si="9"/>
        <v>24.485042745155059</v>
      </c>
      <c r="O75" t="s">
        <v>71</v>
      </c>
      <c r="P75">
        <f>SUMIFS(TechnologyMapping!$D:$D,TechnologyMapping!$A:$A,C75)</f>
        <v>1</v>
      </c>
      <c r="Q75">
        <f t="shared" si="10"/>
        <v>24.485042745155059</v>
      </c>
      <c r="R75">
        <f>SUMIFS(FactorInputs!$I:$I,FactorInputs!$A:$A,B75)</f>
        <v>0.2475</v>
      </c>
      <c r="S75" t="str">
        <f>_xlfn.XLOOKUP(B75,FactorInputs!$A$2:$A$888,FactorInputs!$F$2:$F$888,"")</f>
        <v>job/MW</v>
      </c>
      <c r="T75" t="str">
        <f>_xlfn.XLOOKUP(B75,FactorInputs!$A$2:$A$888,FactorInputs!$B$2:$B$888,"")</f>
        <v>JEDI-US</v>
      </c>
      <c r="U75" t="str">
        <f>_xlfn.XLOOKUP(B75,FactorInputs!$A$2:$A$888,FactorInputs!$T$2:$T$888,"")</f>
        <v>JEDI-US</v>
      </c>
      <c r="V75">
        <f t="shared" si="11"/>
        <v>6.0600480794258775</v>
      </c>
      <c r="W75" t="s">
        <v>73</v>
      </c>
    </row>
    <row r="76" spans="1:23" x14ac:dyDescent="0.3">
      <c r="A76" t="str">
        <f t="shared" si="6"/>
        <v>PD|AccumulatedNewCapacity|RE1|PWRSOLUGE|2035</v>
      </c>
      <c r="B76" t="str">
        <f t="shared" si="7"/>
        <v>Utility-scale solar PV|2035|O&amp;M|Direct</v>
      </c>
      <c r="C76" t="str">
        <f t="shared" si="8"/>
        <v>PWRSOLUGE|Utility-scale solar PV</v>
      </c>
      <c r="D76" t="s">
        <v>16</v>
      </c>
      <c r="E76" t="s">
        <v>17</v>
      </c>
      <c r="F76" t="s">
        <v>19</v>
      </c>
      <c r="G76" t="s">
        <v>33</v>
      </c>
      <c r="H76">
        <v>2035</v>
      </c>
      <c r="I76" t="s">
        <v>18</v>
      </c>
      <c r="J76" t="s">
        <v>63</v>
      </c>
      <c r="K76" t="s">
        <v>64</v>
      </c>
      <c r="L76" t="s">
        <v>65</v>
      </c>
      <c r="M76">
        <f>SUMIFS(RawResultsLong!$P:$P,RawResultsLong!$A:$A,A76)</f>
        <v>143.394192</v>
      </c>
      <c r="N76">
        <f t="shared" si="9"/>
        <v>4543.8877481177278</v>
      </c>
      <c r="O76" t="s">
        <v>66</v>
      </c>
      <c r="P76">
        <f>SUMIFS(TechnologyMapping!$D:$D,TechnologyMapping!$A:$A,C76)</f>
        <v>1</v>
      </c>
      <c r="Q76">
        <f t="shared" si="10"/>
        <v>4543.8877481177278</v>
      </c>
      <c r="R76">
        <f>SUMIFS(FactorInputs!$I:$I,FactorInputs!$A:$A,B76)</f>
        <v>7.9221283783800001E-2</v>
      </c>
      <c r="S76" t="str">
        <f>_xlfn.XLOOKUP(B76,FactorInputs!$A$2:$A$888,FactorInputs!$F$2:$F$888,"")</f>
        <v>job/MW</v>
      </c>
      <c r="T76" t="str">
        <f>_xlfn.XLOOKUP(B76,FactorInputs!$A$2:$A$888,FactorInputs!$B$2:$B$888,"")</f>
        <v>I-JEDI</v>
      </c>
      <c r="U76" t="str">
        <f>_xlfn.XLOOKUP(B76,FactorInputs!$A$2:$A$888,FactorInputs!$T$2:$T$888,"")</f>
        <v>I-JEDI</v>
      </c>
      <c r="V76">
        <f t="shared" si="11"/>
        <v>359.97262077536647</v>
      </c>
    </row>
    <row r="77" spans="1:23" x14ac:dyDescent="0.3">
      <c r="A77" t="str">
        <f t="shared" si="6"/>
        <v>PD|AccumulatedNewCapacity|RE1|PWRSOLUPE|2035</v>
      </c>
      <c r="B77" t="str">
        <f t="shared" si="7"/>
        <v>Utility-scale solar PV|2035|O&amp;M|Direct</v>
      </c>
      <c r="C77" t="str">
        <f t="shared" si="8"/>
        <v>PWRSOLUPE|Utility-scale solar PV</v>
      </c>
      <c r="D77" t="s">
        <v>16</v>
      </c>
      <c r="E77" t="s">
        <v>17</v>
      </c>
      <c r="F77" t="s">
        <v>19</v>
      </c>
      <c r="G77" t="s">
        <v>34</v>
      </c>
      <c r="H77">
        <v>2035</v>
      </c>
      <c r="I77" t="s">
        <v>18</v>
      </c>
      <c r="J77" t="s">
        <v>63</v>
      </c>
      <c r="K77" t="s">
        <v>64</v>
      </c>
      <c r="L77" t="s">
        <v>65</v>
      </c>
      <c r="M77">
        <f>SUMIFS(RawResultsLong!$P:$P,RawResultsLong!$A:$A,A77)</f>
        <v>12.14419823999993</v>
      </c>
      <c r="N77">
        <f t="shared" si="9"/>
        <v>384.82642026009364</v>
      </c>
      <c r="O77" t="s">
        <v>66</v>
      </c>
      <c r="P77">
        <f>SUMIFS(TechnologyMapping!$D:$D,TechnologyMapping!$A:$A,C77)</f>
        <v>1</v>
      </c>
      <c r="Q77">
        <f t="shared" si="10"/>
        <v>384.82642026009364</v>
      </c>
      <c r="R77">
        <f>SUMIFS(FactorInputs!$I:$I,FactorInputs!$A:$A,B77)</f>
        <v>7.9221283783800001E-2</v>
      </c>
      <c r="S77" t="str">
        <f>_xlfn.XLOOKUP(B77,FactorInputs!$A$2:$A$888,FactorInputs!$F$2:$F$888,"")</f>
        <v>job/MW</v>
      </c>
      <c r="T77" t="str">
        <f>_xlfn.XLOOKUP(B77,FactorInputs!$A$2:$A$888,FactorInputs!$B$2:$B$888,"")</f>
        <v>I-JEDI</v>
      </c>
      <c r="U77" t="str">
        <f>_xlfn.XLOOKUP(B77,FactorInputs!$A$2:$A$888,FactorInputs!$T$2:$T$888,"")</f>
        <v>I-JEDI</v>
      </c>
      <c r="V77">
        <f t="shared" si="11"/>
        <v>30.486443046928759</v>
      </c>
      <c r="W77" t="s">
        <v>67</v>
      </c>
    </row>
    <row r="78" spans="1:23" x14ac:dyDescent="0.3">
      <c r="A78" t="str">
        <f t="shared" si="6"/>
        <v>PD|AccumulatedNewCapacity|RE1|PWRWNDONS|2035</v>
      </c>
      <c r="B78" t="str">
        <f t="shared" si="7"/>
        <v>Onshore wind|2035|O&amp;M|Direct</v>
      </c>
      <c r="C78" t="str">
        <f t="shared" si="8"/>
        <v>PWRWNDONS|Onshore wind</v>
      </c>
      <c r="D78" t="s">
        <v>16</v>
      </c>
      <c r="E78" t="s">
        <v>17</v>
      </c>
      <c r="F78" t="s">
        <v>19</v>
      </c>
      <c r="G78" t="s">
        <v>36</v>
      </c>
      <c r="H78">
        <v>2035</v>
      </c>
      <c r="I78" t="s">
        <v>18</v>
      </c>
      <c r="J78" t="s">
        <v>63</v>
      </c>
      <c r="K78" t="s">
        <v>64</v>
      </c>
      <c r="L78" t="s">
        <v>65</v>
      </c>
      <c r="M78">
        <f>SUMIFS(RawResultsLong!$P:$P,RawResultsLong!$A:$A,A78)</f>
        <v>80.576423314285719</v>
      </c>
      <c r="N78">
        <f t="shared" si="9"/>
        <v>2553.3127777234558</v>
      </c>
      <c r="O78" t="s">
        <v>68</v>
      </c>
      <c r="P78">
        <f>SUMIFS(TechnologyMapping!$D:$D,TechnologyMapping!$A:$A,C78)</f>
        <v>1</v>
      </c>
      <c r="Q78">
        <f t="shared" si="10"/>
        <v>2553.3127777234558</v>
      </c>
      <c r="R78">
        <f>SUMIFS(FactorInputs!$I:$I,FactorInputs!$A:$A,B78)</f>
        <v>2.8083941605800002E-2</v>
      </c>
      <c r="S78" t="str">
        <f>_xlfn.XLOOKUP(B78,FactorInputs!$A$2:$A$888,FactorInputs!$F$2:$F$888,"")</f>
        <v>job/MW</v>
      </c>
      <c r="T78" t="str">
        <f>_xlfn.XLOOKUP(B78,FactorInputs!$A$2:$A$888,FactorInputs!$B$2:$B$888,"")</f>
        <v>I-JEDI</v>
      </c>
      <c r="U78" t="str">
        <f>_xlfn.XLOOKUP(B78,FactorInputs!$A$2:$A$888,FactorInputs!$T$2:$T$888,"")</f>
        <v>I-JEDI</v>
      </c>
      <c r="V78">
        <f t="shared" si="11"/>
        <v>71.707086950928527</v>
      </c>
    </row>
    <row r="79" spans="1:23" x14ac:dyDescent="0.3">
      <c r="A79" t="str">
        <f t="shared" si="6"/>
        <v>PD|NewCapacity|RE1|PWRSOLRTP|2035</v>
      </c>
      <c r="B79" t="str">
        <f t="shared" si="7"/>
        <v>Rooftop solar PV|2035|Construction&amp;Manufacturing|Direct</v>
      </c>
      <c r="C79" t="str">
        <f t="shared" si="8"/>
        <v>PWRSOLRTP|Rooftop solar PV</v>
      </c>
      <c r="D79" t="s">
        <v>16</v>
      </c>
      <c r="E79" t="s">
        <v>17</v>
      </c>
      <c r="F79" t="s">
        <v>19</v>
      </c>
      <c r="G79" t="s">
        <v>31</v>
      </c>
      <c r="H79">
        <v>2035</v>
      </c>
      <c r="I79" t="s">
        <v>37</v>
      </c>
      <c r="J79" t="s">
        <v>69</v>
      </c>
      <c r="K79" t="s">
        <v>70</v>
      </c>
      <c r="L79" t="s">
        <v>65</v>
      </c>
      <c r="M79">
        <f>SUMIFS(RawResultsLong!$P:$P,RawResultsLong!$A:$A,A79)</f>
        <v>5.2314521242866201</v>
      </c>
      <c r="N79">
        <f t="shared" si="9"/>
        <v>165.77471430928273</v>
      </c>
      <c r="O79" t="s">
        <v>71</v>
      </c>
      <c r="P79">
        <f>SUMIFS(TechnologyMapping!$D:$D,TechnologyMapping!$A:$A,C79)</f>
        <v>1</v>
      </c>
      <c r="Q79">
        <f t="shared" si="10"/>
        <v>165.77471430928273</v>
      </c>
      <c r="R79">
        <f>SUMIFS(FactorInputs!$I:$I,FactorInputs!$A:$A,B79)</f>
        <v>5.90580532237</v>
      </c>
      <c r="S79" t="str">
        <f>_xlfn.XLOOKUP(B79,FactorInputs!$A$2:$A$888,FactorInputs!$F$2:$F$888,"")</f>
        <v>job-yr/MW</v>
      </c>
      <c r="T79" t="str">
        <f>_xlfn.XLOOKUP(B79,FactorInputs!$A$2:$A$888,FactorInputs!$B$2:$B$888,"")</f>
        <v>JEDI-US</v>
      </c>
      <c r="U79" t="str">
        <f>_xlfn.XLOOKUP(B79,FactorInputs!$A$2:$A$888,FactorInputs!$T$2:$T$888,"")</f>
        <v>JEDI-US</v>
      </c>
      <c r="V79">
        <f t="shared" si="11"/>
        <v>979.03319008212816</v>
      </c>
    </row>
    <row r="80" spans="1:23" x14ac:dyDescent="0.3">
      <c r="A80" t="str">
        <f t="shared" si="6"/>
        <v>PD|NewCapacity|RE1|PWRSOLRTP_ZNI|2035</v>
      </c>
      <c r="B80" t="str">
        <f t="shared" si="7"/>
        <v>Rooftop solar PV|2035|Construction&amp;Manufacturing|Direct</v>
      </c>
      <c r="C80" t="str">
        <f t="shared" si="8"/>
        <v>PWRSOLRTP_ZNI|Rooftop solar PV</v>
      </c>
      <c r="D80" t="s">
        <v>16</v>
      </c>
      <c r="E80" t="s">
        <v>17</v>
      </c>
      <c r="F80" t="s">
        <v>19</v>
      </c>
      <c r="G80" t="s">
        <v>32</v>
      </c>
      <c r="H80">
        <v>2035</v>
      </c>
      <c r="I80" t="s">
        <v>37</v>
      </c>
      <c r="J80" t="s">
        <v>69</v>
      </c>
      <c r="K80" t="s">
        <v>70</v>
      </c>
      <c r="L80" t="s">
        <v>65</v>
      </c>
      <c r="M80">
        <f>SUMIFS(RawResultsLong!$P:$P,RawResultsLong!$A:$A,A80)</f>
        <v>3.6736255608367331E-2</v>
      </c>
      <c r="N80">
        <f t="shared" si="9"/>
        <v>1.1641016936765574</v>
      </c>
      <c r="O80" t="s">
        <v>71</v>
      </c>
      <c r="P80">
        <f>SUMIFS(TechnologyMapping!$D:$D,TechnologyMapping!$A:$A,C80)</f>
        <v>1</v>
      </c>
      <c r="Q80">
        <f t="shared" si="10"/>
        <v>1.1641016936765574</v>
      </c>
      <c r="R80">
        <f>SUMIFS(FactorInputs!$I:$I,FactorInputs!$A:$A,B80)</f>
        <v>5.90580532237</v>
      </c>
      <c r="S80" t="str">
        <f>_xlfn.XLOOKUP(B80,FactorInputs!$A$2:$A$888,FactorInputs!$F$2:$F$888,"")</f>
        <v>job-yr/MW</v>
      </c>
      <c r="T80" t="str">
        <f>_xlfn.XLOOKUP(B80,FactorInputs!$A$2:$A$888,FactorInputs!$B$2:$B$888,"")</f>
        <v>JEDI-US</v>
      </c>
      <c r="U80" t="str">
        <f>_xlfn.XLOOKUP(B80,FactorInputs!$A$2:$A$888,FactorInputs!$T$2:$T$888,"")</f>
        <v>JEDI-US</v>
      </c>
      <c r="V80">
        <f t="shared" si="11"/>
        <v>6.8749579782949439</v>
      </c>
      <c r="W80" t="s">
        <v>73</v>
      </c>
    </row>
    <row r="81" spans="1:23" x14ac:dyDescent="0.3">
      <c r="A81" t="str">
        <f t="shared" si="6"/>
        <v>PD|NewCapacity|RE1|PWRWNDONS|2035</v>
      </c>
      <c r="B81" t="str">
        <f t="shared" si="7"/>
        <v>Onshore wind|2035|Construction&amp;Manufacturing|Direct</v>
      </c>
      <c r="C81" t="str">
        <f t="shared" si="8"/>
        <v>PWRWNDONS|Onshore wind</v>
      </c>
      <c r="D81" t="s">
        <v>16</v>
      </c>
      <c r="E81" t="s">
        <v>17</v>
      </c>
      <c r="F81" t="s">
        <v>19</v>
      </c>
      <c r="G81" t="s">
        <v>36</v>
      </c>
      <c r="H81">
        <v>2035</v>
      </c>
      <c r="I81" t="s">
        <v>37</v>
      </c>
      <c r="J81" t="s">
        <v>69</v>
      </c>
      <c r="K81" t="s">
        <v>70</v>
      </c>
      <c r="L81" t="s">
        <v>65</v>
      </c>
      <c r="M81">
        <f>SUMIFS(RawResultsLong!$P:$P,RawResultsLong!$A:$A,A81)</f>
        <v>47.31</v>
      </c>
      <c r="N81">
        <f t="shared" si="9"/>
        <v>1499.1634344817096</v>
      </c>
      <c r="O81" t="s">
        <v>68</v>
      </c>
      <c r="P81">
        <f>SUMIFS(TechnologyMapping!$D:$D,TechnologyMapping!$A:$A,C81)</f>
        <v>1</v>
      </c>
      <c r="Q81">
        <f t="shared" si="10"/>
        <v>1499.1634344817096</v>
      </c>
      <c r="R81">
        <f>SUMIFS(FactorInputs!$I:$I,FactorInputs!$A:$A,B81)</f>
        <v>6.7863862395799996</v>
      </c>
      <c r="S81" t="str">
        <f>_xlfn.XLOOKUP(B81,FactorInputs!$A$2:$A$888,FactorInputs!$F$2:$F$888,"")</f>
        <v>job-yr/MW</v>
      </c>
      <c r="T81" t="str">
        <f>_xlfn.XLOOKUP(B81,FactorInputs!$A$2:$A$888,FactorInputs!$B$2:$B$888,"")</f>
        <v>I-JEDI</v>
      </c>
      <c r="U81" t="str">
        <f>_xlfn.XLOOKUP(B81,FactorInputs!$A$2:$A$888,FactorInputs!$T$2:$T$888,"")</f>
        <v>I-JEDI</v>
      </c>
      <c r="V81">
        <f t="shared" si="11"/>
        <v>10173.902102648166</v>
      </c>
    </row>
    <row r="82" spans="1:23" x14ac:dyDescent="0.3">
      <c r="A82" t="str">
        <f t="shared" si="6"/>
        <v>PD|AccumulatedNewCapacity|RE1|PWRHYDDAM|2036</v>
      </c>
      <c r="B82" t="str">
        <f t="shared" si="7"/>
        <v>Hydro (large)|2036|O&amp;M|Direct</v>
      </c>
      <c r="C82" t="str">
        <f t="shared" si="8"/>
        <v>PWRHYDDAM|Hydro (large)</v>
      </c>
      <c r="D82" t="s">
        <v>16</v>
      </c>
      <c r="E82" t="s">
        <v>17</v>
      </c>
      <c r="F82" t="s">
        <v>19</v>
      </c>
      <c r="G82" t="s">
        <v>24</v>
      </c>
      <c r="H82">
        <v>2036</v>
      </c>
      <c r="I82" t="s">
        <v>18</v>
      </c>
      <c r="J82" t="s">
        <v>63</v>
      </c>
      <c r="K82" t="s">
        <v>64</v>
      </c>
      <c r="L82" t="s">
        <v>65</v>
      </c>
      <c r="M82">
        <f>SUMIFS(RawResultsLong!$P:$P,RawResultsLong!$A:$A,A82)</f>
        <v>37.840000000000003</v>
      </c>
      <c r="N82">
        <f t="shared" si="9"/>
        <v>1199.0772428828554</v>
      </c>
      <c r="O82" t="s">
        <v>72</v>
      </c>
      <c r="P82">
        <f>SUMIFS(TechnologyMapping!$D:$D,TechnologyMapping!$A:$A,C82)</f>
        <v>1</v>
      </c>
      <c r="Q82">
        <f t="shared" si="10"/>
        <v>1199.0772428828554</v>
      </c>
      <c r="R82">
        <f>SUMIFS(FactorInputs!$I:$I,FactorInputs!$A:$A,B82)</f>
        <v>0.64094754098399997</v>
      </c>
      <c r="S82" t="str">
        <f>_xlfn.XLOOKUP(B82,FactorInputs!$A$2:$A$888,FactorInputs!$F$2:$F$888,"")</f>
        <v>job/MW</v>
      </c>
      <c r="T82" t="str">
        <f>_xlfn.XLOOKUP(B82,FactorInputs!$A$2:$A$888,FactorInputs!$B$2:$B$888,"")</f>
        <v>Rutovitz 2015</v>
      </c>
      <c r="U82" t="str">
        <f>_xlfn.XLOOKUP(B82,FactorInputs!$A$2:$A$888,FactorInputs!$T$2:$T$888,"")</f>
        <v>Rutovitz 2015</v>
      </c>
      <c r="V82">
        <f t="shared" si="11"/>
        <v>768.54561027564068</v>
      </c>
    </row>
    <row r="83" spans="1:23" x14ac:dyDescent="0.3">
      <c r="A83" t="str">
        <f t="shared" si="6"/>
        <v>PD|AccumulatedNewCapacity|RE1|PWRSOLRTP|2036</v>
      </c>
      <c r="B83" t="str">
        <f t="shared" si="7"/>
        <v>Rooftop solar PV|2036|O&amp;M|Direct</v>
      </c>
      <c r="C83" t="str">
        <f t="shared" si="8"/>
        <v>PWRSOLRTP|Rooftop solar PV</v>
      </c>
      <c r="D83" t="s">
        <v>16</v>
      </c>
      <c r="E83" t="s">
        <v>17</v>
      </c>
      <c r="F83" t="s">
        <v>19</v>
      </c>
      <c r="G83" t="s">
        <v>31</v>
      </c>
      <c r="H83">
        <v>2036</v>
      </c>
      <c r="I83" t="s">
        <v>18</v>
      </c>
      <c r="J83" t="s">
        <v>63</v>
      </c>
      <c r="K83" t="s">
        <v>64</v>
      </c>
      <c r="L83" t="s">
        <v>65</v>
      </c>
      <c r="M83">
        <f>SUMIFS(RawResultsLong!$P:$P,RawResultsLong!$A:$A,A83)</f>
        <v>93.544369055168048</v>
      </c>
      <c r="N83">
        <f t="shared" si="9"/>
        <v>2964.2421811280974</v>
      </c>
      <c r="O83" t="s">
        <v>71</v>
      </c>
      <c r="P83">
        <f>SUMIFS(TechnologyMapping!$D:$D,TechnologyMapping!$A:$A,C83)</f>
        <v>1</v>
      </c>
      <c r="Q83">
        <f t="shared" si="10"/>
        <v>2964.2421811280974</v>
      </c>
      <c r="R83">
        <f>SUMIFS(FactorInputs!$I:$I,FactorInputs!$A:$A,B83)</f>
        <v>0.24547058823500001</v>
      </c>
      <c r="S83" t="str">
        <f>_xlfn.XLOOKUP(B83,FactorInputs!$A$2:$A$888,FactorInputs!$F$2:$F$888,"")</f>
        <v>job/MW</v>
      </c>
      <c r="T83" t="str">
        <f>_xlfn.XLOOKUP(B83,FactorInputs!$A$2:$A$888,FactorInputs!$B$2:$B$888,"")</f>
        <v>JEDI-US</v>
      </c>
      <c r="U83" t="str">
        <f>_xlfn.XLOOKUP(B83,FactorInputs!$A$2:$A$888,FactorInputs!$T$2:$T$888,"")</f>
        <v>JEDI-US</v>
      </c>
      <c r="V83">
        <f t="shared" si="11"/>
        <v>727.63427187251352</v>
      </c>
    </row>
    <row r="84" spans="1:23" x14ac:dyDescent="0.3">
      <c r="A84" t="str">
        <f t="shared" si="6"/>
        <v>PD|AccumulatedNewCapacity|RE1|PWRSOLRTP_ZNI|2036</v>
      </c>
      <c r="B84" t="str">
        <f t="shared" si="7"/>
        <v>Rooftop solar PV|2036|O&amp;M|Direct</v>
      </c>
      <c r="C84" t="str">
        <f t="shared" si="8"/>
        <v>PWRSOLRTP_ZNI|Rooftop solar PV</v>
      </c>
      <c r="D84" t="s">
        <v>16</v>
      </c>
      <c r="E84" t="s">
        <v>17</v>
      </c>
      <c r="F84" t="s">
        <v>19</v>
      </c>
      <c r="G84" t="s">
        <v>32</v>
      </c>
      <c r="H84">
        <v>2036</v>
      </c>
      <c r="I84" t="s">
        <v>18</v>
      </c>
      <c r="J84" t="s">
        <v>63</v>
      </c>
      <c r="K84" t="s">
        <v>64</v>
      </c>
      <c r="L84" t="s">
        <v>65</v>
      </c>
      <c r="M84">
        <f>SUMIFS(RawResultsLong!$P:$P,RawResultsLong!$A:$A,A84)</f>
        <v>0.81018116614467595</v>
      </c>
      <c r="N84">
        <f t="shared" si="9"/>
        <v>25.673091938064868</v>
      </c>
      <c r="O84" t="s">
        <v>71</v>
      </c>
      <c r="P84">
        <f>SUMIFS(TechnologyMapping!$D:$D,TechnologyMapping!$A:$A,C84)</f>
        <v>1</v>
      </c>
      <c r="Q84">
        <f t="shared" si="10"/>
        <v>25.673091938064868</v>
      </c>
      <c r="R84">
        <f>SUMIFS(FactorInputs!$I:$I,FactorInputs!$A:$A,B84)</f>
        <v>0.24547058823500001</v>
      </c>
      <c r="S84" t="str">
        <f>_xlfn.XLOOKUP(B84,FactorInputs!$A$2:$A$888,FactorInputs!$F$2:$F$888,"")</f>
        <v>job/MW</v>
      </c>
      <c r="T84" t="str">
        <f>_xlfn.XLOOKUP(B84,FactorInputs!$A$2:$A$888,FactorInputs!$B$2:$B$888,"")</f>
        <v>JEDI-US</v>
      </c>
      <c r="U84" t="str">
        <f>_xlfn.XLOOKUP(B84,FactorInputs!$A$2:$A$888,FactorInputs!$T$2:$T$888,"")</f>
        <v>JEDI-US</v>
      </c>
      <c r="V84">
        <f t="shared" si="11"/>
        <v>6.3019889798480193</v>
      </c>
      <c r="W84" t="s">
        <v>73</v>
      </c>
    </row>
    <row r="85" spans="1:23" x14ac:dyDescent="0.3">
      <c r="A85" t="str">
        <f t="shared" si="6"/>
        <v>PD|AccumulatedNewCapacity|RE1|PWRSOLUGE|2036</v>
      </c>
      <c r="B85" t="str">
        <f t="shared" si="7"/>
        <v>Utility-scale solar PV|2036|O&amp;M|Direct</v>
      </c>
      <c r="C85" t="str">
        <f t="shared" si="8"/>
        <v>PWRSOLUGE|Utility-scale solar PV</v>
      </c>
      <c r="D85" t="s">
        <v>16</v>
      </c>
      <c r="E85" t="s">
        <v>17</v>
      </c>
      <c r="F85" t="s">
        <v>19</v>
      </c>
      <c r="G85" t="s">
        <v>33</v>
      </c>
      <c r="H85">
        <v>2036</v>
      </c>
      <c r="I85" t="s">
        <v>18</v>
      </c>
      <c r="J85" t="s">
        <v>63</v>
      </c>
      <c r="K85" t="s">
        <v>64</v>
      </c>
      <c r="L85" t="s">
        <v>65</v>
      </c>
      <c r="M85">
        <f>SUMIFS(RawResultsLong!$P:$P,RawResultsLong!$A:$A,A85)</f>
        <v>143.394192</v>
      </c>
      <c r="N85">
        <f t="shared" si="9"/>
        <v>4543.8877481177278</v>
      </c>
      <c r="O85" t="s">
        <v>66</v>
      </c>
      <c r="P85">
        <f>SUMIFS(TechnologyMapping!$D:$D,TechnologyMapping!$A:$A,C85)</f>
        <v>1</v>
      </c>
      <c r="Q85">
        <f t="shared" si="10"/>
        <v>4543.8877481177278</v>
      </c>
      <c r="R85">
        <f>SUMIFS(FactorInputs!$I:$I,FactorInputs!$A:$A,B85)</f>
        <v>7.8634459459499997E-2</v>
      </c>
      <c r="S85" t="str">
        <f>_xlfn.XLOOKUP(B85,FactorInputs!$A$2:$A$888,FactorInputs!$F$2:$F$888,"")</f>
        <v>job/MW</v>
      </c>
      <c r="T85" t="str">
        <f>_xlfn.XLOOKUP(B85,FactorInputs!$A$2:$A$888,FactorInputs!$B$2:$B$888,"")</f>
        <v>I-JEDI</v>
      </c>
      <c r="U85" t="str">
        <f>_xlfn.XLOOKUP(B85,FactorInputs!$A$2:$A$888,FactorInputs!$T$2:$T$888,"")</f>
        <v>I-JEDI</v>
      </c>
      <c r="V85">
        <f t="shared" si="11"/>
        <v>357.30615691788222</v>
      </c>
    </row>
    <row r="86" spans="1:23" x14ac:dyDescent="0.3">
      <c r="A86" t="str">
        <f t="shared" si="6"/>
        <v>PD|AccumulatedNewCapacity|RE1|PWRSOLUPE|2036</v>
      </c>
      <c r="B86" t="str">
        <f t="shared" si="7"/>
        <v>Utility-scale solar PV|2036|O&amp;M|Direct</v>
      </c>
      <c r="C86" t="str">
        <f t="shared" si="8"/>
        <v>PWRSOLUPE|Utility-scale solar PV</v>
      </c>
      <c r="D86" t="s">
        <v>16</v>
      </c>
      <c r="E86" t="s">
        <v>17</v>
      </c>
      <c r="F86" t="s">
        <v>19</v>
      </c>
      <c r="G86" t="s">
        <v>34</v>
      </c>
      <c r="H86">
        <v>2036</v>
      </c>
      <c r="I86" t="s">
        <v>18</v>
      </c>
      <c r="J86" t="s">
        <v>63</v>
      </c>
      <c r="K86" t="s">
        <v>64</v>
      </c>
      <c r="L86" t="s">
        <v>65</v>
      </c>
      <c r="M86">
        <f>SUMIFS(RawResultsLong!$P:$P,RawResultsLong!$A:$A,A86)</f>
        <v>12.14419823999993</v>
      </c>
      <c r="N86">
        <f t="shared" si="9"/>
        <v>384.82642026009364</v>
      </c>
      <c r="O86" t="s">
        <v>66</v>
      </c>
      <c r="P86">
        <f>SUMIFS(TechnologyMapping!$D:$D,TechnologyMapping!$A:$A,C86)</f>
        <v>1</v>
      </c>
      <c r="Q86">
        <f t="shared" si="10"/>
        <v>384.82642026009364</v>
      </c>
      <c r="R86">
        <f>SUMIFS(FactorInputs!$I:$I,FactorInputs!$A:$A,B86)</f>
        <v>7.8634459459499997E-2</v>
      </c>
      <c r="S86" t="str">
        <f>_xlfn.XLOOKUP(B86,FactorInputs!$A$2:$A$888,FactorInputs!$F$2:$F$888,"")</f>
        <v>job/MW</v>
      </c>
      <c r="T86" t="str">
        <f>_xlfn.XLOOKUP(B86,FactorInputs!$A$2:$A$888,FactorInputs!$B$2:$B$888,"")</f>
        <v>I-JEDI</v>
      </c>
      <c r="U86" t="str">
        <f>_xlfn.XLOOKUP(B86,FactorInputs!$A$2:$A$888,FactorInputs!$T$2:$T$888,"")</f>
        <v>I-JEDI</v>
      </c>
      <c r="V86">
        <f t="shared" si="11"/>
        <v>30.260617542886841</v>
      </c>
      <c r="W86" t="s">
        <v>67</v>
      </c>
    </row>
    <row r="87" spans="1:23" x14ac:dyDescent="0.3">
      <c r="A87" t="str">
        <f t="shared" si="6"/>
        <v>PD|AccumulatedNewCapacity|RE1|PWRWNDONS|2036</v>
      </c>
      <c r="B87" t="str">
        <f t="shared" si="7"/>
        <v>Onshore wind|2036|O&amp;M|Direct</v>
      </c>
      <c r="C87" t="str">
        <f t="shared" si="8"/>
        <v>PWRWNDONS|Onshore wind</v>
      </c>
      <c r="D87" t="s">
        <v>16</v>
      </c>
      <c r="E87" t="s">
        <v>17</v>
      </c>
      <c r="F87" t="s">
        <v>19</v>
      </c>
      <c r="G87" t="s">
        <v>36</v>
      </c>
      <c r="H87">
        <v>2036</v>
      </c>
      <c r="I87" t="s">
        <v>18</v>
      </c>
      <c r="J87" t="s">
        <v>63</v>
      </c>
      <c r="K87" t="s">
        <v>64</v>
      </c>
      <c r="L87" t="s">
        <v>65</v>
      </c>
      <c r="M87">
        <f>SUMIFS(RawResultsLong!$P:$P,RawResultsLong!$A:$A,A87)</f>
        <v>127.44667009523739</v>
      </c>
      <c r="N87">
        <f t="shared" si="9"/>
        <v>4038.5412735834598</v>
      </c>
      <c r="O87" t="s">
        <v>68</v>
      </c>
      <c r="P87">
        <f>SUMIFS(TechnologyMapping!$D:$D,TechnologyMapping!$A:$A,C87)</f>
        <v>1</v>
      </c>
      <c r="Q87">
        <f t="shared" si="10"/>
        <v>4038.5412735834598</v>
      </c>
      <c r="R87">
        <f>SUMIFS(FactorInputs!$I:$I,FactorInputs!$A:$A,B87)</f>
        <v>2.8007299270100001E-2</v>
      </c>
      <c r="S87" t="str">
        <f>_xlfn.XLOOKUP(B87,FactorInputs!$A$2:$A$888,FactorInputs!$F$2:$F$888,"")</f>
        <v>job/MW</v>
      </c>
      <c r="T87" t="str">
        <f>_xlfn.XLOOKUP(B87,FactorInputs!$A$2:$A$888,FactorInputs!$B$2:$B$888,"")</f>
        <v>I-JEDI</v>
      </c>
      <c r="U87" t="str">
        <f>_xlfn.XLOOKUP(B87,FactorInputs!$A$2:$A$888,FactorInputs!$T$2:$T$888,"")</f>
        <v>I-JEDI</v>
      </c>
      <c r="V87">
        <f t="shared" si="11"/>
        <v>113.10863406390276</v>
      </c>
    </row>
    <row r="88" spans="1:23" x14ac:dyDescent="0.3">
      <c r="A88" t="str">
        <f t="shared" si="6"/>
        <v>PD|NewCapacity|RE1|PWRSOLRTP|2036</v>
      </c>
      <c r="B88" t="str">
        <f t="shared" si="7"/>
        <v>Rooftop solar PV|2036|Construction&amp;Manufacturing|Direct</v>
      </c>
      <c r="C88" t="str">
        <f t="shared" si="8"/>
        <v>PWRSOLRTP|Rooftop solar PV</v>
      </c>
      <c r="D88" t="s">
        <v>16</v>
      </c>
      <c r="E88" t="s">
        <v>17</v>
      </c>
      <c r="F88" t="s">
        <v>19</v>
      </c>
      <c r="G88" t="s">
        <v>31</v>
      </c>
      <c r="H88">
        <v>2036</v>
      </c>
      <c r="I88" t="s">
        <v>37</v>
      </c>
      <c r="J88" t="s">
        <v>69</v>
      </c>
      <c r="K88" t="s">
        <v>70</v>
      </c>
      <c r="L88" t="s">
        <v>65</v>
      </c>
      <c r="M88">
        <f>SUMIFS(RawResultsLong!$P:$P,RawResultsLong!$A:$A,A88)</f>
        <v>4.280279010779962</v>
      </c>
      <c r="N88">
        <f t="shared" si="9"/>
        <v>135.6338571621404</v>
      </c>
      <c r="O88" t="s">
        <v>71</v>
      </c>
      <c r="P88">
        <f>SUMIFS(TechnologyMapping!$D:$D,TechnologyMapping!$A:$A,C88)</f>
        <v>1</v>
      </c>
      <c r="Q88">
        <f t="shared" si="10"/>
        <v>135.6338571621404</v>
      </c>
      <c r="R88">
        <f>SUMIFS(FactorInputs!$I:$I,FactorInputs!$A:$A,B88)</f>
        <v>5.8001223715799997</v>
      </c>
      <c r="S88" t="str">
        <f>_xlfn.XLOOKUP(B88,FactorInputs!$A$2:$A$888,FactorInputs!$F$2:$F$888,"")</f>
        <v>job-yr/MW</v>
      </c>
      <c r="T88" t="str">
        <f>_xlfn.XLOOKUP(B88,FactorInputs!$A$2:$A$888,FactorInputs!$B$2:$B$888,"")</f>
        <v>JEDI-US</v>
      </c>
      <c r="U88" t="str">
        <f>_xlfn.XLOOKUP(B88,FactorInputs!$A$2:$A$888,FactorInputs!$T$2:$T$888,"")</f>
        <v>JEDI-US</v>
      </c>
      <c r="V88">
        <f t="shared" si="11"/>
        <v>786.69296926981667</v>
      </c>
    </row>
    <row r="89" spans="1:23" x14ac:dyDescent="0.3">
      <c r="A89" t="str">
        <f t="shared" si="6"/>
        <v>PD|NewCapacity|RE1|PWRSOLRTP_ZNI|2036</v>
      </c>
      <c r="B89" t="str">
        <f t="shared" si="7"/>
        <v>Rooftop solar PV|2036|Construction&amp;Manufacturing|Direct</v>
      </c>
      <c r="C89" t="str">
        <f t="shared" si="8"/>
        <v>PWRSOLRTP_ZNI|Rooftop solar PV</v>
      </c>
      <c r="D89" t="s">
        <v>16</v>
      </c>
      <c r="E89" t="s">
        <v>17</v>
      </c>
      <c r="F89" t="s">
        <v>19</v>
      </c>
      <c r="G89" t="s">
        <v>32</v>
      </c>
      <c r="H89">
        <v>2036</v>
      </c>
      <c r="I89" t="s">
        <v>37</v>
      </c>
      <c r="J89" t="s">
        <v>69</v>
      </c>
      <c r="K89" t="s">
        <v>70</v>
      </c>
      <c r="L89" t="s">
        <v>65</v>
      </c>
      <c r="M89">
        <f>SUMIFS(RawResultsLong!$P:$P,RawResultsLong!$A:$A,A89)</f>
        <v>3.7491981210170632E-2</v>
      </c>
      <c r="N89">
        <f t="shared" si="9"/>
        <v>1.1880491929098103</v>
      </c>
      <c r="O89" t="s">
        <v>71</v>
      </c>
      <c r="P89">
        <f>SUMIFS(TechnologyMapping!$D:$D,TechnologyMapping!$A:$A,C89)</f>
        <v>1</v>
      </c>
      <c r="Q89">
        <f t="shared" si="10"/>
        <v>1.1880491929098103</v>
      </c>
      <c r="R89">
        <f>SUMIFS(FactorInputs!$I:$I,FactorInputs!$A:$A,B89)</f>
        <v>5.8001223715799997</v>
      </c>
      <c r="S89" t="str">
        <f>_xlfn.XLOOKUP(B89,FactorInputs!$A$2:$A$888,FactorInputs!$F$2:$F$888,"")</f>
        <v>job-yr/MW</v>
      </c>
      <c r="T89" t="str">
        <f>_xlfn.XLOOKUP(B89,FactorInputs!$A$2:$A$888,FactorInputs!$B$2:$B$888,"")</f>
        <v>JEDI-US</v>
      </c>
      <c r="U89" t="str">
        <f>_xlfn.XLOOKUP(B89,FactorInputs!$A$2:$A$888,FactorInputs!$T$2:$T$888,"")</f>
        <v>JEDI-US</v>
      </c>
      <c r="V89">
        <f t="shared" si="11"/>
        <v>6.8908307023337532</v>
      </c>
      <c r="W89" t="s">
        <v>73</v>
      </c>
    </row>
    <row r="90" spans="1:23" x14ac:dyDescent="0.3">
      <c r="A90" t="str">
        <f t="shared" si="6"/>
        <v>PD|NewCapacity|RE1|PWRWNDONS|2036</v>
      </c>
      <c r="B90" t="str">
        <f t="shared" si="7"/>
        <v>Onshore wind|2036|Construction&amp;Manufacturing|Direct</v>
      </c>
      <c r="C90" t="str">
        <f t="shared" si="8"/>
        <v>PWRWNDONS|Onshore wind</v>
      </c>
      <c r="D90" t="s">
        <v>16</v>
      </c>
      <c r="E90" t="s">
        <v>17</v>
      </c>
      <c r="F90" t="s">
        <v>19</v>
      </c>
      <c r="G90" t="s">
        <v>36</v>
      </c>
      <c r="H90">
        <v>2036</v>
      </c>
      <c r="I90" t="s">
        <v>37</v>
      </c>
      <c r="J90" t="s">
        <v>69</v>
      </c>
      <c r="K90" t="s">
        <v>70</v>
      </c>
      <c r="L90" t="s">
        <v>65</v>
      </c>
      <c r="M90">
        <f>SUMIFS(RawResultsLong!$P:$P,RawResultsLong!$A:$A,A90)</f>
        <v>46.870246780951632</v>
      </c>
      <c r="N90">
        <f t="shared" si="9"/>
        <v>1485.228495860003</v>
      </c>
      <c r="O90" t="s">
        <v>68</v>
      </c>
      <c r="P90">
        <f>SUMIFS(TechnologyMapping!$D:$D,TechnologyMapping!$A:$A,C90)</f>
        <v>1</v>
      </c>
      <c r="Q90">
        <f t="shared" si="10"/>
        <v>1485.228495860003</v>
      </c>
      <c r="R90">
        <f>SUMIFS(FactorInputs!$I:$I,FactorInputs!$A:$A,B90)</f>
        <v>6.7681444913800002</v>
      </c>
      <c r="S90" t="str">
        <f>_xlfn.XLOOKUP(B90,FactorInputs!$A$2:$A$888,FactorInputs!$F$2:$F$888,"")</f>
        <v>job-yr/MW</v>
      </c>
      <c r="T90" t="str">
        <f>_xlfn.XLOOKUP(B90,FactorInputs!$A$2:$A$888,FactorInputs!$B$2:$B$888,"")</f>
        <v>I-JEDI</v>
      </c>
      <c r="U90" t="str">
        <f>_xlfn.XLOOKUP(B90,FactorInputs!$A$2:$A$888,FactorInputs!$T$2:$T$888,"")</f>
        <v>I-JEDI</v>
      </c>
      <c r="V90">
        <f t="shared" si="11"/>
        <v>10052.241062695482</v>
      </c>
    </row>
    <row r="91" spans="1:23" x14ac:dyDescent="0.3">
      <c r="A91" t="str">
        <f t="shared" si="6"/>
        <v>PD|AccumulatedNewCapacity|RE1|PWRHYDDAM|2037</v>
      </c>
      <c r="B91" t="str">
        <f t="shared" si="7"/>
        <v>Hydro (large)|2037|O&amp;M|Direct</v>
      </c>
      <c r="C91" t="str">
        <f t="shared" si="8"/>
        <v>PWRHYDDAM|Hydro (large)</v>
      </c>
      <c r="D91" t="s">
        <v>16</v>
      </c>
      <c r="E91" t="s">
        <v>17</v>
      </c>
      <c r="F91" t="s">
        <v>19</v>
      </c>
      <c r="G91" t="s">
        <v>24</v>
      </c>
      <c r="H91">
        <v>2037</v>
      </c>
      <c r="I91" t="s">
        <v>18</v>
      </c>
      <c r="J91" t="s">
        <v>63</v>
      </c>
      <c r="K91" t="s">
        <v>64</v>
      </c>
      <c r="L91" t="s">
        <v>65</v>
      </c>
      <c r="M91">
        <f>SUMIFS(RawResultsLong!$P:$P,RawResultsLong!$A:$A,A91)</f>
        <v>37.840000000000003</v>
      </c>
      <c r="N91">
        <f t="shared" si="9"/>
        <v>1199.0772428828554</v>
      </c>
      <c r="O91" t="s">
        <v>72</v>
      </c>
      <c r="P91">
        <f>SUMIFS(TechnologyMapping!$D:$D,TechnologyMapping!$A:$A,C91)</f>
        <v>1</v>
      </c>
      <c r="Q91">
        <f t="shared" si="10"/>
        <v>1199.0772428828554</v>
      </c>
      <c r="R91">
        <f>SUMIFS(FactorInputs!$I:$I,FactorInputs!$A:$A,B91)</f>
        <v>0.64077213114800002</v>
      </c>
      <c r="S91" t="str">
        <f>_xlfn.XLOOKUP(B91,FactorInputs!$A$2:$A$888,FactorInputs!$F$2:$F$888,"")</f>
        <v>job/MW</v>
      </c>
      <c r="T91" t="str">
        <f>_xlfn.XLOOKUP(B91,FactorInputs!$A$2:$A$888,FactorInputs!$B$2:$B$888,"")</f>
        <v>Rutovitz 2015</v>
      </c>
      <c r="U91" t="str">
        <f>_xlfn.XLOOKUP(B91,FactorInputs!$A$2:$A$888,FactorInputs!$T$2:$T$888,"")</f>
        <v>Rutovitz 2015</v>
      </c>
      <c r="V91">
        <f t="shared" si="11"/>
        <v>768.33528033311529</v>
      </c>
    </row>
    <row r="92" spans="1:23" x14ac:dyDescent="0.3">
      <c r="A92" t="str">
        <f t="shared" si="6"/>
        <v>PD|AccumulatedNewCapacity|RE1|PWRSOLRTP|2037</v>
      </c>
      <c r="B92" t="str">
        <f t="shared" si="7"/>
        <v>Rooftop solar PV|2037|O&amp;M|Direct</v>
      </c>
      <c r="C92" t="str">
        <f t="shared" si="8"/>
        <v>PWRSOLRTP|Rooftop solar PV</v>
      </c>
      <c r="D92" t="s">
        <v>16</v>
      </c>
      <c r="E92" t="s">
        <v>17</v>
      </c>
      <c r="F92" t="s">
        <v>19</v>
      </c>
      <c r="G92" t="s">
        <v>31</v>
      </c>
      <c r="H92">
        <v>2037</v>
      </c>
      <c r="I92" t="s">
        <v>18</v>
      </c>
      <c r="J92" t="s">
        <v>63</v>
      </c>
      <c r="K92" t="s">
        <v>64</v>
      </c>
      <c r="L92" t="s">
        <v>65</v>
      </c>
      <c r="M92">
        <f>SUMIFS(RawResultsLong!$P:$P,RawResultsLong!$A:$A,A92)</f>
        <v>97.032003804692465</v>
      </c>
      <c r="N92">
        <f t="shared" si="9"/>
        <v>3074.758657334286</v>
      </c>
      <c r="O92" t="s">
        <v>71</v>
      </c>
      <c r="P92">
        <f>SUMIFS(TechnologyMapping!$D:$D,TechnologyMapping!$A:$A,C92)</f>
        <v>1</v>
      </c>
      <c r="Q92">
        <f t="shared" si="10"/>
        <v>3074.758657334286</v>
      </c>
      <c r="R92">
        <f>SUMIFS(FactorInputs!$I:$I,FactorInputs!$A:$A,B92)</f>
        <v>0.243441176471</v>
      </c>
      <c r="S92" t="str">
        <f>_xlfn.XLOOKUP(B92,FactorInputs!$A$2:$A$888,FactorInputs!$F$2:$F$888,"")</f>
        <v>job/MW</v>
      </c>
      <c r="T92" t="str">
        <f>_xlfn.XLOOKUP(B92,FactorInputs!$A$2:$A$888,FactorInputs!$B$2:$B$888,"")</f>
        <v>JEDI-US</v>
      </c>
      <c r="U92" t="str">
        <f>_xlfn.XLOOKUP(B92,FactorInputs!$A$2:$A$888,FactorInputs!$T$2:$T$888,"")</f>
        <v>JEDI-US</v>
      </c>
      <c r="V92">
        <f t="shared" si="11"/>
        <v>748.52286490585095</v>
      </c>
    </row>
    <row r="93" spans="1:23" x14ac:dyDescent="0.3">
      <c r="A93" t="str">
        <f t="shared" si="6"/>
        <v>PD|AccumulatedNewCapacity|RE1|PWRSOLRTP_ZNI|2037</v>
      </c>
      <c r="B93" t="str">
        <f t="shared" si="7"/>
        <v>Rooftop solar PV|2037|O&amp;M|Direct</v>
      </c>
      <c r="C93" t="str">
        <f t="shared" si="8"/>
        <v>PWRSOLRTP_ZNI|Rooftop solar PV</v>
      </c>
      <c r="D93" t="s">
        <v>16</v>
      </c>
      <c r="E93" t="s">
        <v>17</v>
      </c>
      <c r="F93" t="s">
        <v>19</v>
      </c>
      <c r="G93" t="s">
        <v>32</v>
      </c>
      <c r="H93">
        <v>2037</v>
      </c>
      <c r="I93" t="s">
        <v>18</v>
      </c>
      <c r="J93" t="s">
        <v>63</v>
      </c>
      <c r="K93" t="s">
        <v>64</v>
      </c>
      <c r="L93" t="s">
        <v>65</v>
      </c>
      <c r="M93">
        <f>SUMIFS(RawResultsLong!$P:$P,RawResultsLong!$A:$A,A93)</f>
        <v>0.84842468687030292</v>
      </c>
      <c r="N93">
        <f t="shared" si="9"/>
        <v>26.884955981136173</v>
      </c>
      <c r="O93" t="s">
        <v>71</v>
      </c>
      <c r="P93">
        <f>SUMIFS(TechnologyMapping!$D:$D,TechnologyMapping!$A:$A,C93)</f>
        <v>1</v>
      </c>
      <c r="Q93">
        <f t="shared" si="10"/>
        <v>26.884955981136173</v>
      </c>
      <c r="R93">
        <f>SUMIFS(FactorInputs!$I:$I,FactorInputs!$A:$A,B93)</f>
        <v>0.243441176471</v>
      </c>
      <c r="S93" t="str">
        <f>_xlfn.XLOOKUP(B93,FactorInputs!$A$2:$A$888,FactorInputs!$F$2:$F$888,"")</f>
        <v>job/MW</v>
      </c>
      <c r="T93" t="str">
        <f>_xlfn.XLOOKUP(B93,FactorInputs!$A$2:$A$888,FactorInputs!$B$2:$B$888,"")</f>
        <v>JEDI-US</v>
      </c>
      <c r="U93" t="str">
        <f>_xlfn.XLOOKUP(B93,FactorInputs!$A$2:$A$888,FactorInputs!$T$2:$T$888,"")</f>
        <v>JEDI-US</v>
      </c>
      <c r="V93">
        <f t="shared" si="11"/>
        <v>6.5449053134188375</v>
      </c>
      <c r="W93" t="s">
        <v>73</v>
      </c>
    </row>
    <row r="94" spans="1:23" x14ac:dyDescent="0.3">
      <c r="A94" t="str">
        <f t="shared" si="6"/>
        <v>PD|AccumulatedNewCapacity|RE1|PWRSOLUGE|2037</v>
      </c>
      <c r="B94" t="str">
        <f t="shared" si="7"/>
        <v>Utility-scale solar PV|2037|O&amp;M|Direct</v>
      </c>
      <c r="C94" t="str">
        <f t="shared" si="8"/>
        <v>PWRSOLUGE|Utility-scale solar PV</v>
      </c>
      <c r="D94" t="s">
        <v>16</v>
      </c>
      <c r="E94" t="s">
        <v>17</v>
      </c>
      <c r="F94" t="s">
        <v>19</v>
      </c>
      <c r="G94" t="s">
        <v>33</v>
      </c>
      <c r="H94">
        <v>2037</v>
      </c>
      <c r="I94" t="s">
        <v>18</v>
      </c>
      <c r="J94" t="s">
        <v>63</v>
      </c>
      <c r="K94" t="s">
        <v>64</v>
      </c>
      <c r="L94" t="s">
        <v>65</v>
      </c>
      <c r="M94">
        <f>SUMIFS(RawResultsLong!$P:$P,RawResultsLong!$A:$A,A94)</f>
        <v>143.394192</v>
      </c>
      <c r="N94">
        <f t="shared" si="9"/>
        <v>4543.8877481177278</v>
      </c>
      <c r="O94" t="s">
        <v>66</v>
      </c>
      <c r="P94">
        <f>SUMIFS(TechnologyMapping!$D:$D,TechnologyMapping!$A:$A,C94)</f>
        <v>1</v>
      </c>
      <c r="Q94">
        <f t="shared" si="10"/>
        <v>4543.8877481177278</v>
      </c>
      <c r="R94">
        <f>SUMIFS(FactorInputs!$I:$I,FactorInputs!$A:$A,B94)</f>
        <v>7.8047635135100005E-2</v>
      </c>
      <c r="S94" t="str">
        <f>_xlfn.XLOOKUP(B94,FactorInputs!$A$2:$A$888,FactorInputs!$F$2:$F$888,"")</f>
        <v>job/MW</v>
      </c>
      <c r="T94" t="str">
        <f>_xlfn.XLOOKUP(B94,FactorInputs!$A$2:$A$888,FactorInputs!$B$2:$B$888,"")</f>
        <v>I-JEDI</v>
      </c>
      <c r="U94" t="str">
        <f>_xlfn.XLOOKUP(B94,FactorInputs!$A$2:$A$888,FactorInputs!$T$2:$T$888,"")</f>
        <v>I-JEDI</v>
      </c>
      <c r="V94">
        <f t="shared" si="11"/>
        <v>354.63969305994362</v>
      </c>
    </row>
    <row r="95" spans="1:23" x14ac:dyDescent="0.3">
      <c r="A95" t="str">
        <f t="shared" si="6"/>
        <v>PD|AccumulatedNewCapacity|RE1|PWRSOLUPE|2037</v>
      </c>
      <c r="B95" t="str">
        <f t="shared" si="7"/>
        <v>Utility-scale solar PV|2037|O&amp;M|Direct</v>
      </c>
      <c r="C95" t="str">
        <f t="shared" si="8"/>
        <v>PWRSOLUPE|Utility-scale solar PV</v>
      </c>
      <c r="D95" t="s">
        <v>16</v>
      </c>
      <c r="E95" t="s">
        <v>17</v>
      </c>
      <c r="F95" t="s">
        <v>19</v>
      </c>
      <c r="G95" t="s">
        <v>34</v>
      </c>
      <c r="H95">
        <v>2037</v>
      </c>
      <c r="I95" t="s">
        <v>18</v>
      </c>
      <c r="J95" t="s">
        <v>63</v>
      </c>
      <c r="K95" t="s">
        <v>64</v>
      </c>
      <c r="L95" t="s">
        <v>65</v>
      </c>
      <c r="M95">
        <f>SUMIFS(RawResultsLong!$P:$P,RawResultsLong!$A:$A,A95)</f>
        <v>12.14419823999993</v>
      </c>
      <c r="N95">
        <f t="shared" si="9"/>
        <v>384.82642026009364</v>
      </c>
      <c r="O95" t="s">
        <v>66</v>
      </c>
      <c r="P95">
        <f>SUMIFS(TechnologyMapping!$D:$D,TechnologyMapping!$A:$A,C95)</f>
        <v>1</v>
      </c>
      <c r="Q95">
        <f t="shared" si="10"/>
        <v>384.82642026009364</v>
      </c>
      <c r="R95">
        <f>SUMIFS(FactorInputs!$I:$I,FactorInputs!$A:$A,B95)</f>
        <v>7.8047635135100005E-2</v>
      </c>
      <c r="S95" t="str">
        <f>_xlfn.XLOOKUP(B95,FactorInputs!$A$2:$A$888,FactorInputs!$F$2:$F$888,"")</f>
        <v>job/MW</v>
      </c>
      <c r="T95" t="str">
        <f>_xlfn.XLOOKUP(B95,FactorInputs!$A$2:$A$888,FactorInputs!$B$2:$B$888,"")</f>
        <v>I-JEDI</v>
      </c>
      <c r="U95" t="str">
        <f>_xlfn.XLOOKUP(B95,FactorInputs!$A$2:$A$888,FactorInputs!$T$2:$T$888,"")</f>
        <v>I-JEDI</v>
      </c>
      <c r="V95">
        <f t="shared" si="11"/>
        <v>30.034792038806444</v>
      </c>
      <c r="W95" t="s">
        <v>67</v>
      </c>
    </row>
    <row r="96" spans="1:23" x14ac:dyDescent="0.3">
      <c r="A96" t="str">
        <f t="shared" si="6"/>
        <v>PD|AccumulatedNewCapacity|RE1|PWRWNDONS|2037</v>
      </c>
      <c r="B96" t="str">
        <f t="shared" si="7"/>
        <v>Onshore wind|2037|O&amp;M|Direct</v>
      </c>
      <c r="C96" t="str">
        <f t="shared" si="8"/>
        <v>PWRWNDONS|Onshore wind</v>
      </c>
      <c r="D96" t="s">
        <v>16</v>
      </c>
      <c r="E96" t="s">
        <v>17</v>
      </c>
      <c r="F96" t="s">
        <v>19</v>
      </c>
      <c r="G96" t="s">
        <v>36</v>
      </c>
      <c r="H96">
        <v>2037</v>
      </c>
      <c r="I96" t="s">
        <v>18</v>
      </c>
      <c r="J96" t="s">
        <v>63</v>
      </c>
      <c r="K96" t="s">
        <v>64</v>
      </c>
      <c r="L96" t="s">
        <v>65</v>
      </c>
      <c r="M96">
        <f>SUMIFS(RawResultsLong!$P:$P,RawResultsLong!$A:$A,A96)</f>
        <v>127.44667009523739</v>
      </c>
      <c r="N96">
        <f t="shared" si="9"/>
        <v>4038.5412735834598</v>
      </c>
      <c r="O96" t="s">
        <v>68</v>
      </c>
      <c r="P96">
        <f>SUMIFS(TechnologyMapping!$D:$D,TechnologyMapping!$A:$A,C96)</f>
        <v>1</v>
      </c>
      <c r="Q96">
        <f t="shared" si="10"/>
        <v>4038.5412735834598</v>
      </c>
      <c r="R96">
        <f>SUMIFS(FactorInputs!$I:$I,FactorInputs!$A:$A,B96)</f>
        <v>2.79306569343E-2</v>
      </c>
      <c r="S96" t="str">
        <f>_xlfn.XLOOKUP(B96,FactorInputs!$A$2:$A$888,FactorInputs!$F$2:$F$888,"")</f>
        <v>job/MW</v>
      </c>
      <c r="T96" t="str">
        <f>_xlfn.XLOOKUP(B96,FactorInputs!$A$2:$A$888,FactorInputs!$B$2:$B$888,"")</f>
        <v>I-JEDI</v>
      </c>
      <c r="U96" t="str">
        <f>_xlfn.XLOOKUP(B96,FactorInputs!$A$2:$A$888,FactorInputs!$T$2:$T$888,"")</f>
        <v>I-JEDI</v>
      </c>
      <c r="V96">
        <f t="shared" si="11"/>
        <v>112.79911082747061</v>
      </c>
    </row>
    <row r="97" spans="1:23" x14ac:dyDescent="0.3">
      <c r="A97" t="str">
        <f t="shared" si="6"/>
        <v>PD|NewCapacity|RE1|PWRSOLRTP|2037</v>
      </c>
      <c r="B97" t="str">
        <f t="shared" si="7"/>
        <v>Rooftop solar PV|2037|Construction&amp;Manufacturing|Direct</v>
      </c>
      <c r="C97" t="str">
        <f t="shared" si="8"/>
        <v>PWRSOLRTP|Rooftop solar PV</v>
      </c>
      <c r="D97" t="s">
        <v>16</v>
      </c>
      <c r="E97" t="s">
        <v>17</v>
      </c>
      <c r="F97" t="s">
        <v>19</v>
      </c>
      <c r="G97" t="s">
        <v>31</v>
      </c>
      <c r="H97">
        <v>2037</v>
      </c>
      <c r="I97" t="s">
        <v>37</v>
      </c>
      <c r="J97" t="s">
        <v>69</v>
      </c>
      <c r="K97" t="s">
        <v>70</v>
      </c>
      <c r="L97" t="s">
        <v>65</v>
      </c>
      <c r="M97">
        <f>SUMIFS(RawResultsLong!$P:$P,RawResultsLong!$A:$A,A97)</f>
        <v>3.487634749524414</v>
      </c>
      <c r="N97">
        <f t="shared" si="9"/>
        <v>110.51647620618849</v>
      </c>
      <c r="O97" t="s">
        <v>71</v>
      </c>
      <c r="P97">
        <f>SUMIFS(TechnologyMapping!$D:$D,TechnologyMapping!$A:$A,C97)</f>
        <v>1</v>
      </c>
      <c r="Q97">
        <f t="shared" si="10"/>
        <v>110.51647620618849</v>
      </c>
      <c r="R97">
        <f>SUMIFS(FactorInputs!$I:$I,FactorInputs!$A:$A,B97)</f>
        <v>5.6944394207900002</v>
      </c>
      <c r="S97" t="str">
        <f>_xlfn.XLOOKUP(B97,FactorInputs!$A$2:$A$888,FactorInputs!$F$2:$F$888,"")</f>
        <v>job-yr/MW</v>
      </c>
      <c r="T97" t="str">
        <f>_xlfn.XLOOKUP(B97,FactorInputs!$A$2:$A$888,FactorInputs!$B$2:$B$888,"")</f>
        <v>JEDI-US</v>
      </c>
      <c r="U97" t="str">
        <f>_xlfn.XLOOKUP(B97,FactorInputs!$A$2:$A$888,FactorInputs!$T$2:$T$888,"")</f>
        <v>JEDI-US</v>
      </c>
      <c r="V97">
        <f t="shared" si="11"/>
        <v>629.32937875531979</v>
      </c>
    </row>
    <row r="98" spans="1:23" x14ac:dyDescent="0.3">
      <c r="A98" t="str">
        <f t="shared" si="6"/>
        <v>PD|NewCapacity|RE1|PWRSOLRTP_ZNI|2037</v>
      </c>
      <c r="B98" t="str">
        <f t="shared" si="7"/>
        <v>Rooftop solar PV|2037|Construction&amp;Manufacturing|Direct</v>
      </c>
      <c r="C98" t="str">
        <f t="shared" si="8"/>
        <v>PWRSOLRTP_ZNI|Rooftop solar PV</v>
      </c>
      <c r="D98" t="s">
        <v>16</v>
      </c>
      <c r="E98" t="s">
        <v>17</v>
      </c>
      <c r="F98" t="s">
        <v>19</v>
      </c>
      <c r="G98" t="s">
        <v>32</v>
      </c>
      <c r="H98">
        <v>2037</v>
      </c>
      <c r="I98" t="s">
        <v>37</v>
      </c>
      <c r="J98" t="s">
        <v>69</v>
      </c>
      <c r="K98" t="s">
        <v>70</v>
      </c>
      <c r="L98" t="s">
        <v>65</v>
      </c>
      <c r="M98">
        <f>SUMIFS(RawResultsLong!$P:$P,RawResultsLong!$A:$A,A98)</f>
        <v>3.8243520725626999E-2</v>
      </c>
      <c r="N98">
        <f t="shared" si="9"/>
        <v>1.2118640430713046</v>
      </c>
      <c r="O98" t="s">
        <v>71</v>
      </c>
      <c r="P98">
        <f>SUMIFS(TechnologyMapping!$D:$D,TechnologyMapping!$A:$A,C98)</f>
        <v>1</v>
      </c>
      <c r="Q98">
        <f t="shared" si="10"/>
        <v>1.2118640430713046</v>
      </c>
      <c r="R98">
        <f>SUMIFS(FactorInputs!$I:$I,FactorInputs!$A:$A,B98)</f>
        <v>5.6944394207900002</v>
      </c>
      <c r="S98" t="str">
        <f>_xlfn.XLOOKUP(B98,FactorInputs!$A$2:$A$888,FactorInputs!$F$2:$F$888,"")</f>
        <v>job-yr/MW</v>
      </c>
      <c r="T98" t="str">
        <f>_xlfn.XLOOKUP(B98,FactorInputs!$A$2:$A$888,FactorInputs!$B$2:$B$888,"")</f>
        <v>JEDI-US</v>
      </c>
      <c r="U98" t="str">
        <f>_xlfn.XLOOKUP(B98,FactorInputs!$A$2:$A$888,FactorInputs!$T$2:$T$888,"")</f>
        <v>JEDI-US</v>
      </c>
      <c r="V98">
        <f t="shared" si="11"/>
        <v>6.9008863795031878</v>
      </c>
      <c r="W98" t="s">
        <v>73</v>
      </c>
    </row>
    <row r="99" spans="1:23" x14ac:dyDescent="0.3">
      <c r="A99" t="str">
        <f t="shared" si="6"/>
        <v>PD|AccumulatedNewCapacity|RE1|PWRHYDDAM|2038</v>
      </c>
      <c r="B99" t="str">
        <f t="shared" si="7"/>
        <v>Hydro (large)|2038|O&amp;M|Direct</v>
      </c>
      <c r="C99" t="str">
        <f t="shared" si="8"/>
        <v>PWRHYDDAM|Hydro (large)</v>
      </c>
      <c r="D99" t="s">
        <v>16</v>
      </c>
      <c r="E99" t="s">
        <v>17</v>
      </c>
      <c r="F99" t="s">
        <v>19</v>
      </c>
      <c r="G99" t="s">
        <v>24</v>
      </c>
      <c r="H99">
        <v>2038</v>
      </c>
      <c r="I99" t="s">
        <v>18</v>
      </c>
      <c r="J99" t="s">
        <v>63</v>
      </c>
      <c r="K99" t="s">
        <v>64</v>
      </c>
      <c r="L99" t="s">
        <v>65</v>
      </c>
      <c r="M99">
        <f>SUMIFS(RawResultsLong!$P:$P,RawResultsLong!$A:$A,A99)</f>
        <v>37.840000000000003</v>
      </c>
      <c r="N99">
        <f t="shared" si="9"/>
        <v>1199.0772428828554</v>
      </c>
      <c r="O99" t="s">
        <v>72</v>
      </c>
      <c r="P99">
        <f>SUMIFS(TechnologyMapping!$D:$D,TechnologyMapping!$A:$A,C99)</f>
        <v>1</v>
      </c>
      <c r="Q99">
        <f t="shared" si="10"/>
        <v>1199.0772428828554</v>
      </c>
      <c r="R99">
        <f>SUMIFS(FactorInputs!$I:$I,FactorInputs!$A:$A,B99)</f>
        <v>0.64059672131099998</v>
      </c>
      <c r="S99" t="str">
        <f>_xlfn.XLOOKUP(B99,FactorInputs!$A$2:$A$888,FactorInputs!$F$2:$F$888,"")</f>
        <v>job/MW</v>
      </c>
      <c r="T99" t="str">
        <f>_xlfn.XLOOKUP(B99,FactorInputs!$A$2:$A$888,FactorInputs!$B$2:$B$888,"")</f>
        <v>Rutovitz 2015</v>
      </c>
      <c r="U99" t="str">
        <f>_xlfn.XLOOKUP(B99,FactorInputs!$A$2:$A$888,FactorInputs!$T$2:$T$888,"")</f>
        <v>Rutovitz 2015</v>
      </c>
      <c r="V99">
        <f t="shared" si="11"/>
        <v>768.12495038939073</v>
      </c>
    </row>
    <row r="100" spans="1:23" x14ac:dyDescent="0.3">
      <c r="A100" t="str">
        <f t="shared" si="6"/>
        <v>PD|AccumulatedNewCapacity|RE1|PWRSOLRTP|2038</v>
      </c>
      <c r="B100" t="str">
        <f t="shared" si="7"/>
        <v>Rooftop solar PV|2038|O&amp;M|Direct</v>
      </c>
      <c r="C100" t="str">
        <f t="shared" si="8"/>
        <v>PWRSOLRTP|Rooftop solar PV</v>
      </c>
      <c r="D100" t="s">
        <v>16</v>
      </c>
      <c r="E100" t="s">
        <v>17</v>
      </c>
      <c r="F100" t="s">
        <v>19</v>
      </c>
      <c r="G100" t="s">
        <v>31</v>
      </c>
      <c r="H100">
        <v>2038</v>
      </c>
      <c r="I100" t="s">
        <v>18</v>
      </c>
      <c r="J100" t="s">
        <v>63</v>
      </c>
      <c r="K100" t="s">
        <v>64</v>
      </c>
      <c r="L100" t="s">
        <v>65</v>
      </c>
      <c r="M100">
        <f>SUMIFS(RawResultsLong!$P:$P,RawResultsLong!$A:$A,A100)</f>
        <v>99.885523145212446</v>
      </c>
      <c r="N100">
        <f t="shared" si="9"/>
        <v>3165.181228775713</v>
      </c>
      <c r="O100" t="s">
        <v>71</v>
      </c>
      <c r="P100">
        <f>SUMIFS(TechnologyMapping!$D:$D,TechnologyMapping!$A:$A,C100)</f>
        <v>1</v>
      </c>
      <c r="Q100">
        <f t="shared" si="10"/>
        <v>3165.181228775713</v>
      </c>
      <c r="R100">
        <f>SUMIFS(FactorInputs!$I:$I,FactorInputs!$A:$A,B100)</f>
        <v>0.24141176470600001</v>
      </c>
      <c r="S100" t="str">
        <f>_xlfn.XLOOKUP(B100,FactorInputs!$A$2:$A$888,FactorInputs!$F$2:$F$888,"")</f>
        <v>job/MW</v>
      </c>
      <c r="T100" t="str">
        <f>_xlfn.XLOOKUP(B100,FactorInputs!$A$2:$A$888,FactorInputs!$B$2:$B$888,"")</f>
        <v>JEDI-US</v>
      </c>
      <c r="U100" t="str">
        <f>_xlfn.XLOOKUP(B100,FactorInputs!$A$2:$A$888,FactorInputs!$T$2:$T$888,"")</f>
        <v>JEDI-US</v>
      </c>
      <c r="V100">
        <f t="shared" si="11"/>
        <v>764.11198605305037</v>
      </c>
    </row>
    <row r="101" spans="1:23" x14ac:dyDescent="0.3">
      <c r="A101" t="str">
        <f t="shared" si="6"/>
        <v>PD|AccumulatedNewCapacity|RE1|PWRSOLRTP_ZNI|2038</v>
      </c>
      <c r="B101" t="str">
        <f t="shared" si="7"/>
        <v>Rooftop solar PV|2038|O&amp;M|Direct</v>
      </c>
      <c r="C101" t="str">
        <f t="shared" si="8"/>
        <v>PWRSOLRTP_ZNI|Rooftop solar PV</v>
      </c>
      <c r="D101" t="s">
        <v>16</v>
      </c>
      <c r="E101" t="s">
        <v>17</v>
      </c>
      <c r="F101" t="s">
        <v>19</v>
      </c>
      <c r="G101" t="s">
        <v>32</v>
      </c>
      <c r="H101">
        <v>2038</v>
      </c>
      <c r="I101" t="s">
        <v>18</v>
      </c>
      <c r="J101" t="s">
        <v>63</v>
      </c>
      <c r="K101" t="s">
        <v>64</v>
      </c>
      <c r="L101" t="s">
        <v>65</v>
      </c>
      <c r="M101">
        <f>SUMIFS(RawResultsLong!$P:$P,RawResultsLong!$A:$A,A101)</f>
        <v>0.88750826980907294</v>
      </c>
      <c r="N101">
        <f t="shared" si="9"/>
        <v>28.123439989386799</v>
      </c>
      <c r="O101" t="s">
        <v>71</v>
      </c>
      <c r="P101">
        <f>SUMIFS(TechnologyMapping!$D:$D,TechnologyMapping!$A:$A,C101)</f>
        <v>1</v>
      </c>
      <c r="Q101">
        <f t="shared" si="10"/>
        <v>28.123439989386799</v>
      </c>
      <c r="R101">
        <f>SUMIFS(FactorInputs!$I:$I,FactorInputs!$A:$A,B101)</f>
        <v>0.24141176470600001</v>
      </c>
      <c r="S101" t="str">
        <f>_xlfn.XLOOKUP(B101,FactorInputs!$A$2:$A$888,FactorInputs!$F$2:$F$888,"")</f>
        <v>job/MW</v>
      </c>
      <c r="T101" t="str">
        <f>_xlfn.XLOOKUP(B101,FactorInputs!$A$2:$A$888,FactorInputs!$B$2:$B$888,"")</f>
        <v>JEDI-US</v>
      </c>
      <c r="U101" t="str">
        <f>_xlfn.XLOOKUP(B101,FactorInputs!$A$2:$A$888,FactorInputs!$T$2:$T$888,"")</f>
        <v>JEDI-US</v>
      </c>
      <c r="V101">
        <f t="shared" si="11"/>
        <v>6.7893292774411576</v>
      </c>
      <c r="W101" t="s">
        <v>73</v>
      </c>
    </row>
    <row r="102" spans="1:23" x14ac:dyDescent="0.3">
      <c r="A102" t="str">
        <f t="shared" si="6"/>
        <v>PD|AccumulatedNewCapacity|RE1|PWRSOLUGE|2038</v>
      </c>
      <c r="B102" t="str">
        <f t="shared" si="7"/>
        <v>Utility-scale solar PV|2038|O&amp;M|Direct</v>
      </c>
      <c r="C102" t="str">
        <f t="shared" si="8"/>
        <v>PWRSOLUGE|Utility-scale solar PV</v>
      </c>
      <c r="D102" t="s">
        <v>16</v>
      </c>
      <c r="E102" t="s">
        <v>17</v>
      </c>
      <c r="F102" t="s">
        <v>19</v>
      </c>
      <c r="G102" t="s">
        <v>33</v>
      </c>
      <c r="H102">
        <v>2038</v>
      </c>
      <c r="I102" t="s">
        <v>18</v>
      </c>
      <c r="J102" t="s">
        <v>63</v>
      </c>
      <c r="K102" t="s">
        <v>64</v>
      </c>
      <c r="L102" t="s">
        <v>65</v>
      </c>
      <c r="M102">
        <f>SUMIFS(RawResultsLong!$P:$P,RawResultsLong!$A:$A,A102)</f>
        <v>143.394192</v>
      </c>
      <c r="N102">
        <f t="shared" si="9"/>
        <v>4543.8877481177278</v>
      </c>
      <c r="O102" t="s">
        <v>66</v>
      </c>
      <c r="P102">
        <f>SUMIFS(TechnologyMapping!$D:$D,TechnologyMapping!$A:$A,C102)</f>
        <v>1</v>
      </c>
      <c r="Q102">
        <f t="shared" si="10"/>
        <v>4543.8877481177278</v>
      </c>
      <c r="R102">
        <f>SUMIFS(FactorInputs!$I:$I,FactorInputs!$A:$A,B102)</f>
        <v>7.7460810810800002E-2</v>
      </c>
      <c r="S102" t="str">
        <f>_xlfn.XLOOKUP(B102,FactorInputs!$A$2:$A$888,FactorInputs!$F$2:$F$888,"")</f>
        <v>job/MW</v>
      </c>
      <c r="T102" t="str">
        <f>_xlfn.XLOOKUP(B102,FactorInputs!$A$2:$A$888,FactorInputs!$B$2:$B$888,"")</f>
        <v>I-JEDI</v>
      </c>
      <c r="U102" t="str">
        <f>_xlfn.XLOOKUP(B102,FactorInputs!$A$2:$A$888,FactorInputs!$T$2:$T$888,"")</f>
        <v>I-JEDI</v>
      </c>
      <c r="V102">
        <f t="shared" si="11"/>
        <v>351.97322920245938</v>
      </c>
    </row>
    <row r="103" spans="1:23" x14ac:dyDescent="0.3">
      <c r="A103" t="str">
        <f t="shared" si="6"/>
        <v>PD|AccumulatedNewCapacity|RE1|PWRSOLUPE|2038</v>
      </c>
      <c r="B103" t="str">
        <f t="shared" si="7"/>
        <v>Utility-scale solar PV|2038|O&amp;M|Direct</v>
      </c>
      <c r="C103" t="str">
        <f t="shared" si="8"/>
        <v>PWRSOLUPE|Utility-scale solar PV</v>
      </c>
      <c r="D103" t="s">
        <v>16</v>
      </c>
      <c r="E103" t="s">
        <v>17</v>
      </c>
      <c r="F103" t="s">
        <v>19</v>
      </c>
      <c r="G103" t="s">
        <v>34</v>
      </c>
      <c r="H103">
        <v>2038</v>
      </c>
      <c r="I103" t="s">
        <v>18</v>
      </c>
      <c r="J103" t="s">
        <v>63</v>
      </c>
      <c r="K103" t="s">
        <v>64</v>
      </c>
      <c r="L103" t="s">
        <v>65</v>
      </c>
      <c r="M103">
        <f>SUMIFS(RawResultsLong!$P:$P,RawResultsLong!$A:$A,A103)</f>
        <v>12.14419823999993</v>
      </c>
      <c r="N103">
        <f t="shared" si="9"/>
        <v>384.82642026009364</v>
      </c>
      <c r="O103" t="s">
        <v>66</v>
      </c>
      <c r="P103">
        <f>SUMIFS(TechnologyMapping!$D:$D,TechnologyMapping!$A:$A,C103)</f>
        <v>1</v>
      </c>
      <c r="Q103">
        <f t="shared" si="10"/>
        <v>384.82642026009364</v>
      </c>
      <c r="R103">
        <f>SUMIFS(FactorInputs!$I:$I,FactorInputs!$A:$A,B103)</f>
        <v>7.7460810810800002E-2</v>
      </c>
      <c r="S103" t="str">
        <f>_xlfn.XLOOKUP(B103,FactorInputs!$A$2:$A$888,FactorInputs!$F$2:$F$888,"")</f>
        <v>job/MW</v>
      </c>
      <c r="T103" t="str">
        <f>_xlfn.XLOOKUP(B103,FactorInputs!$A$2:$A$888,FactorInputs!$B$2:$B$888,"")</f>
        <v>I-JEDI</v>
      </c>
      <c r="U103" t="str">
        <f>_xlfn.XLOOKUP(B103,FactorInputs!$A$2:$A$888,FactorInputs!$T$2:$T$888,"")</f>
        <v>I-JEDI</v>
      </c>
      <c r="V103">
        <f t="shared" si="11"/>
        <v>29.808966534764526</v>
      </c>
      <c r="W103" t="s">
        <v>67</v>
      </c>
    </row>
    <row r="104" spans="1:23" x14ac:dyDescent="0.3">
      <c r="A104" t="str">
        <f t="shared" si="6"/>
        <v>PD|AccumulatedNewCapacity|RE1|PWRWNDONS|2038</v>
      </c>
      <c r="B104" t="str">
        <f t="shared" si="7"/>
        <v>Onshore wind|2038|O&amp;M|Direct</v>
      </c>
      <c r="C104" t="str">
        <f t="shared" si="8"/>
        <v>PWRWNDONS|Onshore wind</v>
      </c>
      <c r="D104" t="s">
        <v>16</v>
      </c>
      <c r="E104" t="s">
        <v>17</v>
      </c>
      <c r="F104" t="s">
        <v>19</v>
      </c>
      <c r="G104" t="s">
        <v>36</v>
      </c>
      <c r="H104">
        <v>2038</v>
      </c>
      <c r="I104" t="s">
        <v>18</v>
      </c>
      <c r="J104" t="s">
        <v>63</v>
      </c>
      <c r="K104" t="s">
        <v>64</v>
      </c>
      <c r="L104" t="s">
        <v>65</v>
      </c>
      <c r="M104">
        <f>SUMIFS(RawResultsLong!$P:$P,RawResultsLong!$A:$A,A104)</f>
        <v>127.44667009523739</v>
      </c>
      <c r="N104">
        <f t="shared" si="9"/>
        <v>4038.5412735834598</v>
      </c>
      <c r="O104" t="s">
        <v>68</v>
      </c>
      <c r="P104">
        <f>SUMIFS(TechnologyMapping!$D:$D,TechnologyMapping!$A:$A,C104)</f>
        <v>1</v>
      </c>
      <c r="Q104">
        <f t="shared" si="10"/>
        <v>4038.5412735834598</v>
      </c>
      <c r="R104">
        <f>SUMIFS(FactorInputs!$I:$I,FactorInputs!$A:$A,B104)</f>
        <v>2.7854014598499999E-2</v>
      </c>
      <c r="S104" t="str">
        <f>_xlfn.XLOOKUP(B104,FactorInputs!$A$2:$A$888,FactorInputs!$F$2:$F$888,"")</f>
        <v>job/MW</v>
      </c>
      <c r="T104" t="str">
        <f>_xlfn.XLOOKUP(B104,FactorInputs!$A$2:$A$888,FactorInputs!$B$2:$B$888,"")</f>
        <v>I-JEDI</v>
      </c>
      <c r="U104" t="str">
        <f>_xlfn.XLOOKUP(B104,FactorInputs!$A$2:$A$888,FactorInputs!$T$2:$T$888,"")</f>
        <v>I-JEDI</v>
      </c>
      <c r="V104">
        <f t="shared" si="11"/>
        <v>112.48958759103847</v>
      </c>
    </row>
    <row r="105" spans="1:23" x14ac:dyDescent="0.3">
      <c r="A105" t="str">
        <f t="shared" si="6"/>
        <v>PD|NewCapacity|RE1|PWRSOLRTP|2038</v>
      </c>
      <c r="B105" t="str">
        <f t="shared" si="7"/>
        <v>Rooftop solar PV|2038|Construction&amp;Manufacturing|Direct</v>
      </c>
      <c r="C105" t="str">
        <f t="shared" si="8"/>
        <v>PWRSOLRTP|Rooftop solar PV</v>
      </c>
      <c r="D105" t="s">
        <v>16</v>
      </c>
      <c r="E105" t="s">
        <v>17</v>
      </c>
      <c r="F105" t="s">
        <v>19</v>
      </c>
      <c r="G105" t="s">
        <v>31</v>
      </c>
      <c r="H105">
        <v>2038</v>
      </c>
      <c r="I105" t="s">
        <v>37</v>
      </c>
      <c r="J105" t="s">
        <v>69</v>
      </c>
      <c r="K105" t="s">
        <v>70</v>
      </c>
      <c r="L105" t="s">
        <v>65</v>
      </c>
      <c r="M105">
        <f>SUMIFS(RawResultsLong!$P:$P,RawResultsLong!$A:$A,A105)</f>
        <v>2.8535193405199748</v>
      </c>
      <c r="N105">
        <f t="shared" si="9"/>
        <v>90.422571441426939</v>
      </c>
      <c r="O105" t="s">
        <v>71</v>
      </c>
      <c r="P105">
        <f>SUMIFS(TechnologyMapping!$D:$D,TechnologyMapping!$A:$A,C105)</f>
        <v>1</v>
      </c>
      <c r="Q105">
        <f t="shared" si="10"/>
        <v>90.422571441426939</v>
      </c>
      <c r="R105">
        <f>SUMIFS(FactorInputs!$I:$I,FactorInputs!$A:$A,B105)</f>
        <v>5.5887564700099999</v>
      </c>
      <c r="S105" t="str">
        <f>_xlfn.XLOOKUP(B105,FactorInputs!$A$2:$A$888,FactorInputs!$F$2:$F$888,"")</f>
        <v>job-yr/MW</v>
      </c>
      <c r="T105" t="str">
        <f>_xlfn.XLOOKUP(B105,FactorInputs!$A$2:$A$888,FactorInputs!$B$2:$B$888,"")</f>
        <v>JEDI-US</v>
      </c>
      <c r="U105" t="str">
        <f>_xlfn.XLOOKUP(B105,FactorInputs!$A$2:$A$888,FactorInputs!$T$2:$T$888,"")</f>
        <v>JEDI-US</v>
      </c>
      <c r="V105">
        <f t="shared" si="11"/>
        <v>505.34973117821625</v>
      </c>
    </row>
    <row r="106" spans="1:23" x14ac:dyDescent="0.3">
      <c r="A106" t="str">
        <f t="shared" si="6"/>
        <v>PD|NewCapacity|RE1|PWRSOLRTP_ZNI|2038</v>
      </c>
      <c r="B106" t="str">
        <f t="shared" si="7"/>
        <v>Rooftop solar PV|2038|Construction&amp;Manufacturing|Direct</v>
      </c>
      <c r="C106" t="str">
        <f t="shared" si="8"/>
        <v>PWRSOLRTP_ZNI|Rooftop solar PV</v>
      </c>
      <c r="D106" t="s">
        <v>16</v>
      </c>
      <c r="E106" t="s">
        <v>17</v>
      </c>
      <c r="F106" t="s">
        <v>19</v>
      </c>
      <c r="G106" t="s">
        <v>32</v>
      </c>
      <c r="H106">
        <v>2038</v>
      </c>
      <c r="I106" t="s">
        <v>37</v>
      </c>
      <c r="J106" t="s">
        <v>69</v>
      </c>
      <c r="K106" t="s">
        <v>70</v>
      </c>
      <c r="L106" t="s">
        <v>65</v>
      </c>
      <c r="M106">
        <f>SUMIFS(RawResultsLong!$P:$P,RawResultsLong!$A:$A,A106)</f>
        <v>3.9083582938770053E-2</v>
      </c>
      <c r="N106">
        <f t="shared" si="9"/>
        <v>1.238484008250629</v>
      </c>
      <c r="O106" t="s">
        <v>71</v>
      </c>
      <c r="P106">
        <f>SUMIFS(TechnologyMapping!$D:$D,TechnologyMapping!$A:$A,C106)</f>
        <v>1</v>
      </c>
      <c r="Q106">
        <f t="shared" si="10"/>
        <v>1.238484008250629</v>
      </c>
      <c r="R106">
        <f>SUMIFS(FactorInputs!$I:$I,FactorInputs!$A:$A,B106)</f>
        <v>5.5887564700099999</v>
      </c>
      <c r="S106" t="str">
        <f>_xlfn.XLOOKUP(B106,FactorInputs!$A$2:$A$888,FactorInputs!$F$2:$F$888,"")</f>
        <v>job-yr/MW</v>
      </c>
      <c r="T106" t="str">
        <f>_xlfn.XLOOKUP(B106,FactorInputs!$A$2:$A$888,FactorInputs!$B$2:$B$888,"")</f>
        <v>JEDI-US</v>
      </c>
      <c r="U106" t="str">
        <f>_xlfn.XLOOKUP(B106,FactorInputs!$A$2:$A$888,FactorInputs!$T$2:$T$888,"")</f>
        <v>JEDI-US</v>
      </c>
      <c r="V106">
        <f t="shared" si="11"/>
        <v>6.9215855141146205</v>
      </c>
      <c r="W106" t="s">
        <v>73</v>
      </c>
    </row>
    <row r="107" spans="1:23" x14ac:dyDescent="0.3">
      <c r="A107" t="str">
        <f t="shared" si="6"/>
        <v>PD|AccumulatedNewCapacity|RE1|PWRHYDDAM|2039</v>
      </c>
      <c r="B107" t="str">
        <f t="shared" si="7"/>
        <v>Hydro (large)|2039|O&amp;M|Direct</v>
      </c>
      <c r="C107" t="str">
        <f t="shared" si="8"/>
        <v>PWRHYDDAM|Hydro (large)</v>
      </c>
      <c r="D107" t="s">
        <v>16</v>
      </c>
      <c r="E107" t="s">
        <v>17</v>
      </c>
      <c r="F107" t="s">
        <v>19</v>
      </c>
      <c r="G107" t="s">
        <v>24</v>
      </c>
      <c r="H107">
        <v>2039</v>
      </c>
      <c r="I107" t="s">
        <v>18</v>
      </c>
      <c r="J107" t="s">
        <v>63</v>
      </c>
      <c r="K107" t="s">
        <v>64</v>
      </c>
      <c r="L107" t="s">
        <v>65</v>
      </c>
      <c r="M107">
        <f>SUMIFS(RawResultsLong!$P:$P,RawResultsLong!$A:$A,A107)</f>
        <v>37.840000000000003</v>
      </c>
      <c r="N107">
        <f t="shared" si="9"/>
        <v>1199.0772428828554</v>
      </c>
      <c r="O107" t="s">
        <v>72</v>
      </c>
      <c r="P107">
        <f>SUMIFS(TechnologyMapping!$D:$D,TechnologyMapping!$A:$A,C107)</f>
        <v>1</v>
      </c>
      <c r="Q107">
        <f t="shared" si="10"/>
        <v>1199.0772428828554</v>
      </c>
      <c r="R107">
        <f>SUMIFS(FactorInputs!$I:$I,FactorInputs!$A:$A,B107)</f>
        <v>0.64042131147500003</v>
      </c>
      <c r="S107" t="str">
        <f>_xlfn.XLOOKUP(B107,FactorInputs!$A$2:$A$888,FactorInputs!$F$2:$F$888,"")</f>
        <v>job/MW</v>
      </c>
      <c r="T107" t="str">
        <f>_xlfn.XLOOKUP(B107,FactorInputs!$A$2:$A$888,FactorInputs!$B$2:$B$888,"")</f>
        <v>Rutovitz 2015</v>
      </c>
      <c r="U107" t="str">
        <f>_xlfn.XLOOKUP(B107,FactorInputs!$A$2:$A$888,FactorInputs!$T$2:$T$888,"")</f>
        <v>Rutovitz 2015</v>
      </c>
      <c r="V107">
        <f t="shared" si="11"/>
        <v>767.91462044686546</v>
      </c>
    </row>
    <row r="108" spans="1:23" x14ac:dyDescent="0.3">
      <c r="A108" t="str">
        <f t="shared" si="6"/>
        <v>PD|AccumulatedNewCapacity|RE1|PWRSOLRTP|2039</v>
      </c>
      <c r="B108" t="str">
        <f t="shared" si="7"/>
        <v>Rooftop solar PV|2039|O&amp;M|Direct</v>
      </c>
      <c r="C108" t="str">
        <f t="shared" si="8"/>
        <v>PWRSOLRTP|Rooftop solar PV</v>
      </c>
      <c r="D108" t="s">
        <v>16</v>
      </c>
      <c r="E108" t="s">
        <v>17</v>
      </c>
      <c r="F108" t="s">
        <v>19</v>
      </c>
      <c r="G108" t="s">
        <v>31</v>
      </c>
      <c r="H108">
        <v>2039</v>
      </c>
      <c r="I108" t="s">
        <v>18</v>
      </c>
      <c r="J108" t="s">
        <v>63</v>
      </c>
      <c r="K108" t="s">
        <v>64</v>
      </c>
      <c r="L108" t="s">
        <v>65</v>
      </c>
      <c r="M108">
        <f>SUMIFS(RawResultsLong!$P:$P,RawResultsLong!$A:$A,A108)</f>
        <v>102.2634559289791</v>
      </c>
      <c r="N108">
        <f t="shared" si="9"/>
        <v>3240.5333716435689</v>
      </c>
      <c r="O108" t="s">
        <v>71</v>
      </c>
      <c r="P108">
        <f>SUMIFS(TechnologyMapping!$D:$D,TechnologyMapping!$A:$A,C108)</f>
        <v>1</v>
      </c>
      <c r="Q108">
        <f t="shared" si="10"/>
        <v>3240.5333716435689</v>
      </c>
      <c r="R108">
        <f>SUMIFS(FactorInputs!$I:$I,FactorInputs!$A:$A,B108)</f>
        <v>0.23938235294099999</v>
      </c>
      <c r="S108" t="str">
        <f>_xlfn.XLOOKUP(B108,FactorInputs!$A$2:$A$888,FactorInputs!$F$2:$F$888,"")</f>
        <v>job/MW</v>
      </c>
      <c r="T108" t="str">
        <f>_xlfn.XLOOKUP(B108,FactorInputs!$A$2:$A$888,FactorInputs!$B$2:$B$888,"")</f>
        <v>JEDI-US</v>
      </c>
      <c r="U108" t="str">
        <f>_xlfn.XLOOKUP(B108,FactorInputs!$A$2:$A$888,FactorInputs!$T$2:$T$888,"")</f>
        <v>JEDI-US</v>
      </c>
      <c r="V108">
        <f t="shared" si="11"/>
        <v>775.72650328786949</v>
      </c>
    </row>
    <row r="109" spans="1:23" x14ac:dyDescent="0.3">
      <c r="A109" t="str">
        <f t="shared" si="6"/>
        <v>PD|AccumulatedNewCapacity|RE1|PWRSOLRTP_ZNI|2039</v>
      </c>
      <c r="B109" t="str">
        <f t="shared" si="7"/>
        <v>Rooftop solar PV|2039|O&amp;M|Direct</v>
      </c>
      <c r="C109" t="str">
        <f t="shared" si="8"/>
        <v>PWRSOLRTP_ZNI|Rooftop solar PV</v>
      </c>
      <c r="D109" t="s">
        <v>16</v>
      </c>
      <c r="E109" t="s">
        <v>17</v>
      </c>
      <c r="F109" t="s">
        <v>19</v>
      </c>
      <c r="G109" t="s">
        <v>32</v>
      </c>
      <c r="H109">
        <v>2039</v>
      </c>
      <c r="I109" t="s">
        <v>18</v>
      </c>
      <c r="J109" t="s">
        <v>63</v>
      </c>
      <c r="K109" t="s">
        <v>64</v>
      </c>
      <c r="L109" t="s">
        <v>65</v>
      </c>
      <c r="M109">
        <f>SUMIFS(RawResultsLong!$P:$P,RawResultsLong!$A:$A,A109)</f>
        <v>0.88750826980907294</v>
      </c>
      <c r="N109">
        <f t="shared" si="9"/>
        <v>28.123439989386799</v>
      </c>
      <c r="O109" t="s">
        <v>71</v>
      </c>
      <c r="P109">
        <f>SUMIFS(TechnologyMapping!$D:$D,TechnologyMapping!$A:$A,C109)</f>
        <v>1</v>
      </c>
      <c r="Q109">
        <f t="shared" si="10"/>
        <v>28.123439989386799</v>
      </c>
      <c r="R109">
        <f>SUMIFS(FactorInputs!$I:$I,FactorInputs!$A:$A,B109)</f>
        <v>0.23938235294099999</v>
      </c>
      <c r="S109" t="str">
        <f>_xlfn.XLOOKUP(B109,FactorInputs!$A$2:$A$888,FactorInputs!$F$2:$F$888,"")</f>
        <v>job/MW</v>
      </c>
      <c r="T109" t="str">
        <f>_xlfn.XLOOKUP(B109,FactorInputs!$A$2:$A$888,FactorInputs!$B$2:$B$888,"")</f>
        <v>JEDI-US</v>
      </c>
      <c r="U109" t="str">
        <f>_xlfn.XLOOKUP(B109,FactorInputs!$A$2:$A$888,FactorInputs!$T$2:$T$888,"")</f>
        <v>JEDI-US</v>
      </c>
      <c r="V109">
        <f t="shared" si="11"/>
        <v>6.7322552374544236</v>
      </c>
      <c r="W109" t="s">
        <v>73</v>
      </c>
    </row>
    <row r="110" spans="1:23" x14ac:dyDescent="0.3">
      <c r="A110" t="str">
        <f t="shared" si="6"/>
        <v>PD|AccumulatedNewCapacity|RE1|PWRSOLUGE|2039</v>
      </c>
      <c r="B110" t="str">
        <f t="shared" si="7"/>
        <v>Utility-scale solar PV|2039|O&amp;M|Direct</v>
      </c>
      <c r="C110" t="str">
        <f t="shared" si="8"/>
        <v>PWRSOLUGE|Utility-scale solar PV</v>
      </c>
      <c r="D110" t="s">
        <v>16</v>
      </c>
      <c r="E110" t="s">
        <v>17</v>
      </c>
      <c r="F110" t="s">
        <v>19</v>
      </c>
      <c r="G110" t="s">
        <v>33</v>
      </c>
      <c r="H110">
        <v>2039</v>
      </c>
      <c r="I110" t="s">
        <v>18</v>
      </c>
      <c r="J110" t="s">
        <v>63</v>
      </c>
      <c r="K110" t="s">
        <v>64</v>
      </c>
      <c r="L110" t="s">
        <v>65</v>
      </c>
      <c r="M110">
        <f>SUMIFS(RawResultsLong!$P:$P,RawResultsLong!$A:$A,A110)</f>
        <v>143.394192</v>
      </c>
      <c r="N110">
        <f t="shared" si="9"/>
        <v>4543.8877481177278</v>
      </c>
      <c r="O110" t="s">
        <v>66</v>
      </c>
      <c r="P110">
        <f>SUMIFS(TechnologyMapping!$D:$D,TechnologyMapping!$A:$A,C110)</f>
        <v>1</v>
      </c>
      <c r="Q110">
        <f t="shared" si="10"/>
        <v>4543.8877481177278</v>
      </c>
      <c r="R110">
        <f>SUMIFS(FactorInputs!$I:$I,FactorInputs!$A:$A,B110)</f>
        <v>7.6873986486499998E-2</v>
      </c>
      <c r="S110" t="str">
        <f>_xlfn.XLOOKUP(B110,FactorInputs!$A$2:$A$888,FactorInputs!$F$2:$F$888,"")</f>
        <v>job/MW</v>
      </c>
      <c r="T110" t="str">
        <f>_xlfn.XLOOKUP(B110,FactorInputs!$A$2:$A$888,FactorInputs!$B$2:$B$888,"")</f>
        <v>I-JEDI</v>
      </c>
      <c r="U110" t="str">
        <f>_xlfn.XLOOKUP(B110,FactorInputs!$A$2:$A$888,FactorInputs!$T$2:$T$888,"")</f>
        <v>I-JEDI</v>
      </c>
      <c r="V110">
        <f t="shared" si="11"/>
        <v>349.30676534497513</v>
      </c>
    </row>
    <row r="111" spans="1:23" x14ac:dyDescent="0.3">
      <c r="A111" t="str">
        <f t="shared" si="6"/>
        <v>PD|AccumulatedNewCapacity|RE1|PWRSOLUPE|2039</v>
      </c>
      <c r="B111" t="str">
        <f t="shared" si="7"/>
        <v>Utility-scale solar PV|2039|O&amp;M|Direct</v>
      </c>
      <c r="C111" t="str">
        <f t="shared" si="8"/>
        <v>PWRSOLUPE|Utility-scale solar PV</v>
      </c>
      <c r="D111" t="s">
        <v>16</v>
      </c>
      <c r="E111" t="s">
        <v>17</v>
      </c>
      <c r="F111" t="s">
        <v>19</v>
      </c>
      <c r="G111" t="s">
        <v>34</v>
      </c>
      <c r="H111">
        <v>2039</v>
      </c>
      <c r="I111" t="s">
        <v>18</v>
      </c>
      <c r="J111" t="s">
        <v>63</v>
      </c>
      <c r="K111" t="s">
        <v>64</v>
      </c>
      <c r="L111" t="s">
        <v>65</v>
      </c>
      <c r="M111">
        <f>SUMIFS(RawResultsLong!$P:$P,RawResultsLong!$A:$A,A111)</f>
        <v>12.14419823999993</v>
      </c>
      <c r="N111">
        <f t="shared" si="9"/>
        <v>384.82642026009364</v>
      </c>
      <c r="O111" t="s">
        <v>66</v>
      </c>
      <c r="P111">
        <f>SUMIFS(TechnologyMapping!$D:$D,TechnologyMapping!$A:$A,C111)</f>
        <v>1</v>
      </c>
      <c r="Q111">
        <f t="shared" si="10"/>
        <v>384.82642026009364</v>
      </c>
      <c r="R111">
        <f>SUMIFS(FactorInputs!$I:$I,FactorInputs!$A:$A,B111)</f>
        <v>7.6873986486499998E-2</v>
      </c>
      <c r="S111" t="str">
        <f>_xlfn.XLOOKUP(B111,FactorInputs!$A$2:$A$888,FactorInputs!$F$2:$F$888,"")</f>
        <v>job/MW</v>
      </c>
      <c r="T111" t="str">
        <f>_xlfn.XLOOKUP(B111,FactorInputs!$A$2:$A$888,FactorInputs!$B$2:$B$888,"")</f>
        <v>I-JEDI</v>
      </c>
      <c r="U111" t="str">
        <f>_xlfn.XLOOKUP(B111,FactorInputs!$A$2:$A$888,FactorInputs!$T$2:$T$888,"")</f>
        <v>I-JEDI</v>
      </c>
      <c r="V111">
        <f t="shared" si="11"/>
        <v>29.583141030722608</v>
      </c>
      <c r="W111" t="s">
        <v>67</v>
      </c>
    </row>
    <row r="112" spans="1:23" x14ac:dyDescent="0.3">
      <c r="A112" t="str">
        <f t="shared" si="6"/>
        <v>PD|AccumulatedNewCapacity|RE1|PWRWNDONS|2039</v>
      </c>
      <c r="B112" t="str">
        <f t="shared" si="7"/>
        <v>Onshore wind|2039|O&amp;M|Direct</v>
      </c>
      <c r="C112" t="str">
        <f t="shared" si="8"/>
        <v>PWRWNDONS|Onshore wind</v>
      </c>
      <c r="D112" t="s">
        <v>16</v>
      </c>
      <c r="E112" t="s">
        <v>17</v>
      </c>
      <c r="F112" t="s">
        <v>19</v>
      </c>
      <c r="G112" t="s">
        <v>36</v>
      </c>
      <c r="H112">
        <v>2039</v>
      </c>
      <c r="I112" t="s">
        <v>18</v>
      </c>
      <c r="J112" t="s">
        <v>63</v>
      </c>
      <c r="K112" t="s">
        <v>64</v>
      </c>
      <c r="L112" t="s">
        <v>65</v>
      </c>
      <c r="M112">
        <f>SUMIFS(RawResultsLong!$P:$P,RawResultsLong!$A:$A,A112)</f>
        <v>127.44667009523739</v>
      </c>
      <c r="N112">
        <f t="shared" si="9"/>
        <v>4038.5412735834598</v>
      </c>
      <c r="O112" t="s">
        <v>68</v>
      </c>
      <c r="P112">
        <f>SUMIFS(TechnologyMapping!$D:$D,TechnologyMapping!$A:$A,C112)</f>
        <v>1</v>
      </c>
      <c r="Q112">
        <f t="shared" si="10"/>
        <v>4038.5412735834598</v>
      </c>
      <c r="R112">
        <f>SUMIFS(FactorInputs!$I:$I,FactorInputs!$A:$A,B112)</f>
        <v>2.7777372262799999E-2</v>
      </c>
      <c r="S112" t="str">
        <f>_xlfn.XLOOKUP(B112,FactorInputs!$A$2:$A$888,FactorInputs!$F$2:$F$888,"")</f>
        <v>job/MW</v>
      </c>
      <c r="T112" t="str">
        <f>_xlfn.XLOOKUP(B112,FactorInputs!$A$2:$A$888,FactorInputs!$B$2:$B$888,"")</f>
        <v>I-JEDI</v>
      </c>
      <c r="U112" t="str">
        <f>_xlfn.XLOOKUP(B112,FactorInputs!$A$2:$A$888,FactorInputs!$T$2:$T$888,"")</f>
        <v>I-JEDI</v>
      </c>
      <c r="V112">
        <f t="shared" si="11"/>
        <v>112.18006435501017</v>
      </c>
    </row>
    <row r="113" spans="1:23" x14ac:dyDescent="0.3">
      <c r="A113" t="str">
        <f t="shared" si="6"/>
        <v>PD|NewCapacity|RE1|PWRSOLRTP|2039</v>
      </c>
      <c r="B113" t="str">
        <f t="shared" si="7"/>
        <v>Rooftop solar PV|2039|Construction&amp;Manufacturing|Direct</v>
      </c>
      <c r="C113" t="str">
        <f t="shared" si="8"/>
        <v>PWRSOLRTP|Rooftop solar PV</v>
      </c>
      <c r="D113" t="s">
        <v>16</v>
      </c>
      <c r="E113" t="s">
        <v>17</v>
      </c>
      <c r="F113" t="s">
        <v>19</v>
      </c>
      <c r="G113" t="s">
        <v>31</v>
      </c>
      <c r="H113">
        <v>2039</v>
      </c>
      <c r="I113" t="s">
        <v>37</v>
      </c>
      <c r="J113" t="s">
        <v>69</v>
      </c>
      <c r="K113" t="s">
        <v>70</v>
      </c>
      <c r="L113" t="s">
        <v>65</v>
      </c>
      <c r="M113">
        <f>SUMIFS(RawResultsLong!$P:$P,RawResultsLong!$A:$A,A113)</f>
        <v>2.3779327837666462</v>
      </c>
      <c r="N113">
        <f t="shared" si="9"/>
        <v>75.35214286785579</v>
      </c>
      <c r="O113" t="s">
        <v>71</v>
      </c>
      <c r="P113">
        <f>SUMIFS(TechnologyMapping!$D:$D,TechnologyMapping!$A:$A,C113)</f>
        <v>1</v>
      </c>
      <c r="Q113">
        <f t="shared" si="10"/>
        <v>75.35214286785579</v>
      </c>
      <c r="R113">
        <f>SUMIFS(FactorInputs!$I:$I,FactorInputs!$A:$A,B113)</f>
        <v>5.4830735192200004</v>
      </c>
      <c r="S113" t="str">
        <f>_xlfn.XLOOKUP(B113,FactorInputs!$A$2:$A$888,FactorInputs!$F$2:$F$888,"")</f>
        <v>job-yr/MW</v>
      </c>
      <c r="T113" t="str">
        <f>_xlfn.XLOOKUP(B113,FactorInputs!$A$2:$A$888,FactorInputs!$B$2:$B$888,"")</f>
        <v>JEDI-US</v>
      </c>
      <c r="U113" t="str">
        <f>_xlfn.XLOOKUP(B113,FactorInputs!$A$2:$A$888,FactorInputs!$T$2:$T$888,"")</f>
        <v>JEDI-US</v>
      </c>
      <c r="V113">
        <f t="shared" si="11"/>
        <v>413.16133917522228</v>
      </c>
    </row>
    <row r="114" spans="1:23" x14ac:dyDescent="0.3">
      <c r="A114" t="str">
        <f t="shared" si="6"/>
        <v>PD|AccumulatedNewCapacity|RE1|PWRHYDDAM|2040</v>
      </c>
      <c r="B114" t="str">
        <f t="shared" si="7"/>
        <v>Hydro (large)|2040|O&amp;M|Direct</v>
      </c>
      <c r="C114" t="str">
        <f t="shared" si="8"/>
        <v>PWRHYDDAM|Hydro (large)</v>
      </c>
      <c r="D114" t="s">
        <v>16</v>
      </c>
      <c r="E114" t="s">
        <v>17</v>
      </c>
      <c r="F114" t="s">
        <v>19</v>
      </c>
      <c r="G114" t="s">
        <v>24</v>
      </c>
      <c r="H114">
        <v>2040</v>
      </c>
      <c r="I114" t="s">
        <v>18</v>
      </c>
      <c r="J114" t="s">
        <v>63</v>
      </c>
      <c r="K114" t="s">
        <v>64</v>
      </c>
      <c r="L114" t="s">
        <v>65</v>
      </c>
      <c r="M114">
        <f>SUMIFS(RawResultsLong!$P:$P,RawResultsLong!$A:$A,A114)</f>
        <v>37.840000000000003</v>
      </c>
      <c r="N114">
        <f t="shared" si="9"/>
        <v>1199.0772428828554</v>
      </c>
      <c r="O114" t="s">
        <v>72</v>
      </c>
      <c r="P114">
        <f>SUMIFS(TechnologyMapping!$D:$D,TechnologyMapping!$A:$A,C114)</f>
        <v>1</v>
      </c>
      <c r="Q114">
        <f t="shared" si="10"/>
        <v>1199.0772428828554</v>
      </c>
      <c r="R114">
        <f>SUMIFS(FactorInputs!$I:$I,FactorInputs!$A:$A,B114)</f>
        <v>0.64024590163899997</v>
      </c>
      <c r="S114" t="str">
        <f>_xlfn.XLOOKUP(B114,FactorInputs!$A$2:$A$888,FactorInputs!$F$2:$F$888,"")</f>
        <v>job/MW</v>
      </c>
      <c r="T114" t="str">
        <f>_xlfn.XLOOKUP(B114,FactorInputs!$A$2:$A$888,FactorInputs!$B$2:$B$888,"")</f>
        <v>Rutovitz 2015</v>
      </c>
      <c r="U114" t="str">
        <f>_xlfn.XLOOKUP(B114,FactorInputs!$A$2:$A$888,FactorInputs!$T$2:$T$888,"")</f>
        <v>Rutovitz 2015</v>
      </c>
      <c r="V114">
        <f t="shared" si="11"/>
        <v>767.70429050433995</v>
      </c>
    </row>
    <row r="115" spans="1:23" x14ac:dyDescent="0.3">
      <c r="A115" t="str">
        <f t="shared" si="6"/>
        <v>PD|AccumulatedNewCapacity|RE1|PWRSOLRTP|2040</v>
      </c>
      <c r="B115" t="str">
        <f t="shared" si="7"/>
        <v>Rooftop solar PV|2040|O&amp;M|Direct</v>
      </c>
      <c r="C115" t="str">
        <f t="shared" si="8"/>
        <v>PWRSOLRTP|Rooftop solar PV</v>
      </c>
      <c r="D115" t="s">
        <v>16</v>
      </c>
      <c r="E115" t="s">
        <v>17</v>
      </c>
      <c r="F115" t="s">
        <v>19</v>
      </c>
      <c r="G115" t="s">
        <v>31</v>
      </c>
      <c r="H115">
        <v>2040</v>
      </c>
      <c r="I115" t="s">
        <v>18</v>
      </c>
      <c r="J115" t="s">
        <v>63</v>
      </c>
      <c r="K115" t="s">
        <v>64</v>
      </c>
      <c r="L115" t="s">
        <v>65</v>
      </c>
      <c r="M115">
        <f>SUMIFS(RawResultsLong!$P:$P,RawResultsLong!$A:$A,A115)</f>
        <v>104.3243310082435</v>
      </c>
      <c r="N115">
        <f t="shared" si="9"/>
        <v>3305.8385621290436</v>
      </c>
      <c r="O115" t="s">
        <v>71</v>
      </c>
      <c r="P115">
        <f>SUMIFS(TechnologyMapping!$D:$D,TechnologyMapping!$A:$A,C115)</f>
        <v>1</v>
      </c>
      <c r="Q115">
        <f t="shared" si="10"/>
        <v>3305.8385621290436</v>
      </c>
      <c r="R115">
        <f>SUMIFS(FactorInputs!$I:$I,FactorInputs!$A:$A,B115)</f>
        <v>0.237352941176</v>
      </c>
      <c r="S115" t="str">
        <f>_xlfn.XLOOKUP(B115,FactorInputs!$A$2:$A$888,FactorInputs!$F$2:$F$888,"")</f>
        <v>job/MW</v>
      </c>
      <c r="T115" t="str">
        <f>_xlfn.XLOOKUP(B115,FactorInputs!$A$2:$A$888,FactorInputs!$B$2:$B$888,"")</f>
        <v>JEDI-US</v>
      </c>
      <c r="U115" t="str">
        <f>_xlfn.XLOOKUP(B115,FactorInputs!$A$2:$A$888,FactorInputs!$T$2:$T$888,"")</f>
        <v>JEDI-US</v>
      </c>
      <c r="V115">
        <f t="shared" si="11"/>
        <v>784.65050577436728</v>
      </c>
    </row>
    <row r="116" spans="1:23" x14ac:dyDescent="0.3">
      <c r="A116" t="str">
        <f t="shared" si="6"/>
        <v>PD|AccumulatedNewCapacity|RE1|PWRSOLRTP_ZNI|2040</v>
      </c>
      <c r="B116" t="str">
        <f t="shared" si="7"/>
        <v>Rooftop solar PV|2040|O&amp;M|Direct</v>
      </c>
      <c r="C116" t="str">
        <f t="shared" si="8"/>
        <v>PWRSOLRTP_ZNI|Rooftop solar PV</v>
      </c>
      <c r="D116" t="s">
        <v>16</v>
      </c>
      <c r="E116" t="s">
        <v>17</v>
      </c>
      <c r="F116" t="s">
        <v>19</v>
      </c>
      <c r="G116" t="s">
        <v>32</v>
      </c>
      <c r="H116">
        <v>2040</v>
      </c>
      <c r="I116" t="s">
        <v>18</v>
      </c>
      <c r="J116" t="s">
        <v>63</v>
      </c>
      <c r="K116" t="s">
        <v>64</v>
      </c>
      <c r="L116" t="s">
        <v>65</v>
      </c>
      <c r="M116">
        <f>SUMIFS(RawResultsLong!$P:$P,RawResultsLong!$A:$A,A116)</f>
        <v>0.88750826980907294</v>
      </c>
      <c r="N116">
        <f t="shared" si="9"/>
        <v>28.123439989386799</v>
      </c>
      <c r="O116" t="s">
        <v>71</v>
      </c>
      <c r="P116">
        <f>SUMIFS(TechnologyMapping!$D:$D,TechnologyMapping!$A:$A,C116)</f>
        <v>1</v>
      </c>
      <c r="Q116">
        <f t="shared" si="10"/>
        <v>28.123439989386799</v>
      </c>
      <c r="R116">
        <f>SUMIFS(FactorInputs!$I:$I,FactorInputs!$A:$A,B116)</f>
        <v>0.237352941176</v>
      </c>
      <c r="S116" t="str">
        <f>_xlfn.XLOOKUP(B116,FactorInputs!$A$2:$A$888,FactorInputs!$F$2:$F$888,"")</f>
        <v>job/MW</v>
      </c>
      <c r="T116" t="str">
        <f>_xlfn.XLOOKUP(B116,FactorInputs!$A$2:$A$888,FactorInputs!$B$2:$B$888,"")</f>
        <v>JEDI-US</v>
      </c>
      <c r="U116" t="str">
        <f>_xlfn.XLOOKUP(B116,FactorInputs!$A$2:$A$888,FactorInputs!$T$2:$T$888,"")</f>
        <v>JEDI-US</v>
      </c>
      <c r="V116">
        <f t="shared" si="11"/>
        <v>6.6751811974676913</v>
      </c>
      <c r="W116" t="s">
        <v>73</v>
      </c>
    </row>
    <row r="117" spans="1:23" x14ac:dyDescent="0.3">
      <c r="A117" t="str">
        <f t="shared" si="6"/>
        <v>PD|AccumulatedNewCapacity|RE1|PWRSOLUGE|2040</v>
      </c>
      <c r="B117" t="str">
        <f t="shared" si="7"/>
        <v>Utility-scale solar PV|2040|O&amp;M|Direct</v>
      </c>
      <c r="C117" t="str">
        <f t="shared" si="8"/>
        <v>PWRSOLUGE|Utility-scale solar PV</v>
      </c>
      <c r="D117" t="s">
        <v>16</v>
      </c>
      <c r="E117" t="s">
        <v>17</v>
      </c>
      <c r="F117" t="s">
        <v>19</v>
      </c>
      <c r="G117" t="s">
        <v>33</v>
      </c>
      <c r="H117">
        <v>2040</v>
      </c>
      <c r="I117" t="s">
        <v>18</v>
      </c>
      <c r="J117" t="s">
        <v>63</v>
      </c>
      <c r="K117" t="s">
        <v>64</v>
      </c>
      <c r="L117" t="s">
        <v>65</v>
      </c>
      <c r="M117">
        <f>SUMIFS(RawResultsLong!$P:$P,RawResultsLong!$A:$A,A117)</f>
        <v>143.394192</v>
      </c>
      <c r="N117">
        <f t="shared" si="9"/>
        <v>4543.8877481177278</v>
      </c>
      <c r="O117" t="s">
        <v>66</v>
      </c>
      <c r="P117">
        <f>SUMIFS(TechnologyMapping!$D:$D,TechnologyMapping!$A:$A,C117)</f>
        <v>1</v>
      </c>
      <c r="Q117">
        <f t="shared" si="10"/>
        <v>4543.8877481177278</v>
      </c>
      <c r="R117">
        <f>SUMIFS(FactorInputs!$I:$I,FactorInputs!$A:$A,B117)</f>
        <v>7.6287162162199995E-2</v>
      </c>
      <c r="S117" t="str">
        <f>_xlfn.XLOOKUP(B117,FactorInputs!$A$2:$A$888,FactorInputs!$F$2:$F$888,"")</f>
        <v>job/MW</v>
      </c>
      <c r="T117" t="str">
        <f>_xlfn.XLOOKUP(B117,FactorInputs!$A$2:$A$888,FactorInputs!$B$2:$B$888,"")</f>
        <v>I-JEDI</v>
      </c>
      <c r="U117" t="str">
        <f>_xlfn.XLOOKUP(B117,FactorInputs!$A$2:$A$888,FactorInputs!$T$2:$T$888,"")</f>
        <v>I-JEDI</v>
      </c>
      <c r="V117">
        <f t="shared" si="11"/>
        <v>346.64030148749089</v>
      </c>
    </row>
    <row r="118" spans="1:23" x14ac:dyDescent="0.3">
      <c r="A118" t="str">
        <f t="shared" si="6"/>
        <v>PD|AccumulatedNewCapacity|RE1|PWRSOLUPE|2040</v>
      </c>
      <c r="B118" t="str">
        <f t="shared" si="7"/>
        <v>Utility-scale solar PV|2040|O&amp;M|Direct</v>
      </c>
      <c r="C118" t="str">
        <f t="shared" si="8"/>
        <v>PWRSOLUPE|Utility-scale solar PV</v>
      </c>
      <c r="D118" t="s">
        <v>16</v>
      </c>
      <c r="E118" t="s">
        <v>17</v>
      </c>
      <c r="F118" t="s">
        <v>19</v>
      </c>
      <c r="G118" t="s">
        <v>34</v>
      </c>
      <c r="H118">
        <v>2040</v>
      </c>
      <c r="I118" t="s">
        <v>18</v>
      </c>
      <c r="J118" t="s">
        <v>63</v>
      </c>
      <c r="K118" t="s">
        <v>64</v>
      </c>
      <c r="L118" t="s">
        <v>65</v>
      </c>
      <c r="M118">
        <f>SUMIFS(RawResultsLong!$P:$P,RawResultsLong!$A:$A,A118)</f>
        <v>12.14419823999993</v>
      </c>
      <c r="N118">
        <f t="shared" si="9"/>
        <v>384.82642026009364</v>
      </c>
      <c r="O118" t="s">
        <v>66</v>
      </c>
      <c r="P118">
        <f>SUMIFS(TechnologyMapping!$D:$D,TechnologyMapping!$A:$A,C118)</f>
        <v>1</v>
      </c>
      <c r="Q118">
        <f t="shared" si="10"/>
        <v>384.82642026009364</v>
      </c>
      <c r="R118">
        <f>SUMIFS(FactorInputs!$I:$I,FactorInputs!$A:$A,B118)</f>
        <v>7.6287162162199995E-2</v>
      </c>
      <c r="S118" t="str">
        <f>_xlfn.XLOOKUP(B118,FactorInputs!$A$2:$A$888,FactorInputs!$F$2:$F$888,"")</f>
        <v>job/MW</v>
      </c>
      <c r="T118" t="str">
        <f>_xlfn.XLOOKUP(B118,FactorInputs!$A$2:$A$888,FactorInputs!$B$2:$B$888,"")</f>
        <v>I-JEDI</v>
      </c>
      <c r="U118" t="str">
        <f>_xlfn.XLOOKUP(B118,FactorInputs!$A$2:$A$888,FactorInputs!$T$2:$T$888,"")</f>
        <v>I-JEDI</v>
      </c>
      <c r="V118">
        <f t="shared" si="11"/>
        <v>29.35731552668069</v>
      </c>
      <c r="W118" t="s">
        <v>67</v>
      </c>
    </row>
    <row r="119" spans="1:23" x14ac:dyDescent="0.3">
      <c r="A119" t="str">
        <f t="shared" si="6"/>
        <v>PD|AccumulatedNewCapacity|RE1|PWRWNDONS|2040</v>
      </c>
      <c r="B119" t="str">
        <f t="shared" si="7"/>
        <v>Onshore wind|2040|O&amp;M|Direct</v>
      </c>
      <c r="C119" t="str">
        <f t="shared" si="8"/>
        <v>PWRWNDONS|Onshore wind</v>
      </c>
      <c r="D119" t="s">
        <v>16</v>
      </c>
      <c r="E119" t="s">
        <v>17</v>
      </c>
      <c r="F119" t="s">
        <v>19</v>
      </c>
      <c r="G119" t="s">
        <v>36</v>
      </c>
      <c r="H119">
        <v>2040</v>
      </c>
      <c r="I119" t="s">
        <v>18</v>
      </c>
      <c r="J119" t="s">
        <v>63</v>
      </c>
      <c r="K119" t="s">
        <v>64</v>
      </c>
      <c r="L119" t="s">
        <v>65</v>
      </c>
      <c r="M119">
        <f>SUMIFS(RawResultsLong!$P:$P,RawResultsLong!$A:$A,A119)</f>
        <v>164.9085388437972</v>
      </c>
      <c r="N119">
        <f t="shared" si="9"/>
        <v>5225.63626016545</v>
      </c>
      <c r="O119" t="s">
        <v>68</v>
      </c>
      <c r="P119">
        <f>SUMIFS(TechnologyMapping!$D:$D,TechnologyMapping!$A:$A,C119)</f>
        <v>1</v>
      </c>
      <c r="Q119">
        <f t="shared" si="10"/>
        <v>5225.63626016545</v>
      </c>
      <c r="R119">
        <f>SUMIFS(FactorInputs!$I:$I,FactorInputs!$A:$A,B119)</f>
        <v>2.7700729927000001E-2</v>
      </c>
      <c r="S119" t="str">
        <f>_xlfn.XLOOKUP(B119,FactorInputs!$A$2:$A$888,FactorInputs!$F$2:$F$888,"")</f>
        <v>job/MW</v>
      </c>
      <c r="T119" t="str">
        <f>_xlfn.XLOOKUP(B119,FactorInputs!$A$2:$A$888,FactorInputs!$B$2:$B$888,"")</f>
        <v>I-JEDI</v>
      </c>
      <c r="U119" t="str">
        <f>_xlfn.XLOOKUP(B119,FactorInputs!$A$2:$A$888,FactorInputs!$T$2:$T$888,"")</f>
        <v>I-JEDI</v>
      </c>
      <c r="V119">
        <f t="shared" si="11"/>
        <v>144.75393873958146</v>
      </c>
    </row>
    <row r="120" spans="1:23" x14ac:dyDescent="0.3">
      <c r="A120" t="str">
        <f t="shared" si="6"/>
        <v>PD|NewCapacity|RE1|PWRSOLRTP|2040</v>
      </c>
      <c r="B120" t="str">
        <f t="shared" si="7"/>
        <v>Rooftop solar PV|2040|Construction&amp;Manufacturing|Direct</v>
      </c>
      <c r="C120" t="str">
        <f t="shared" si="8"/>
        <v>PWRSOLRTP|Rooftop solar PV</v>
      </c>
      <c r="D120" t="s">
        <v>16</v>
      </c>
      <c r="E120" t="s">
        <v>17</v>
      </c>
      <c r="F120" t="s">
        <v>19</v>
      </c>
      <c r="G120" t="s">
        <v>31</v>
      </c>
      <c r="H120">
        <v>2040</v>
      </c>
      <c r="I120" t="s">
        <v>37</v>
      </c>
      <c r="J120" t="s">
        <v>69</v>
      </c>
      <c r="K120" t="s">
        <v>70</v>
      </c>
      <c r="L120" t="s">
        <v>65</v>
      </c>
      <c r="M120">
        <f>SUMIFS(RawResultsLong!$P:$P,RawResultsLong!$A:$A,A120)</f>
        <v>2.0608750792644259</v>
      </c>
      <c r="N120">
        <f t="shared" si="9"/>
        <v>65.305190485474995</v>
      </c>
      <c r="O120" t="s">
        <v>71</v>
      </c>
      <c r="P120">
        <f>SUMIFS(TechnologyMapping!$D:$D,TechnologyMapping!$A:$A,C120)</f>
        <v>1</v>
      </c>
      <c r="Q120">
        <f t="shared" si="10"/>
        <v>65.305190485474995</v>
      </c>
      <c r="R120">
        <f>SUMIFS(FactorInputs!$I:$I,FactorInputs!$A:$A,B120)</f>
        <v>5.3773905684300001</v>
      </c>
      <c r="S120" t="str">
        <f>_xlfn.XLOOKUP(B120,FactorInputs!$A$2:$A$888,FactorInputs!$F$2:$F$888,"")</f>
        <v>job-yr/MW</v>
      </c>
      <c r="T120" t="str">
        <f>_xlfn.XLOOKUP(B120,FactorInputs!$A$2:$A$888,FactorInputs!$B$2:$B$888,"")</f>
        <v>JEDI-US</v>
      </c>
      <c r="U120" t="str">
        <f>_xlfn.XLOOKUP(B120,FactorInputs!$A$2:$A$888,FactorInputs!$T$2:$T$888,"")</f>
        <v>JEDI-US</v>
      </c>
      <c r="V120">
        <f t="shared" si="11"/>
        <v>351.17151538611779</v>
      </c>
    </row>
    <row r="121" spans="1:23" x14ac:dyDescent="0.3">
      <c r="A121" t="str">
        <f t="shared" si="6"/>
        <v>PD|NewCapacity|RE1|PWRWNDONS|2040</v>
      </c>
      <c r="B121" t="str">
        <f t="shared" si="7"/>
        <v>Onshore wind|2040|Construction&amp;Manufacturing|Direct</v>
      </c>
      <c r="C121" t="str">
        <f t="shared" si="8"/>
        <v>PWRWNDONS|Onshore wind</v>
      </c>
      <c r="D121" t="s">
        <v>16</v>
      </c>
      <c r="E121" t="s">
        <v>17</v>
      </c>
      <c r="F121" t="s">
        <v>19</v>
      </c>
      <c r="G121" t="s">
        <v>36</v>
      </c>
      <c r="H121">
        <v>2040</v>
      </c>
      <c r="I121" t="s">
        <v>37</v>
      </c>
      <c r="J121" t="s">
        <v>69</v>
      </c>
      <c r="K121" t="s">
        <v>70</v>
      </c>
      <c r="L121" t="s">
        <v>65</v>
      </c>
      <c r="M121">
        <f>SUMIFS(RawResultsLong!$P:$P,RawResultsLong!$A:$A,A121)</f>
        <v>37.461868748559823</v>
      </c>
      <c r="N121">
        <f t="shared" si="9"/>
        <v>1187.0949865819903</v>
      </c>
      <c r="O121" t="s">
        <v>68</v>
      </c>
      <c r="P121">
        <f>SUMIFS(TechnologyMapping!$D:$D,TechnologyMapping!$A:$A,C121)</f>
        <v>1</v>
      </c>
      <c r="Q121">
        <f t="shared" si="10"/>
        <v>1187.0949865819903</v>
      </c>
      <c r="R121">
        <f>SUMIFS(FactorInputs!$I:$I,FactorInputs!$A:$A,B121)</f>
        <v>6.6951774985799997</v>
      </c>
      <c r="S121" t="str">
        <f>_xlfn.XLOOKUP(B121,FactorInputs!$A$2:$A$888,FactorInputs!$F$2:$F$888,"")</f>
        <v>job-yr/MW</v>
      </c>
      <c r="T121" t="str">
        <f>_xlfn.XLOOKUP(B121,FactorInputs!$A$2:$A$888,FactorInputs!$B$2:$B$888,"")</f>
        <v>I-JEDI</v>
      </c>
      <c r="U121" t="str">
        <f>_xlfn.XLOOKUP(B121,FactorInputs!$A$2:$A$888,FactorInputs!$T$2:$T$888,"")</f>
        <v>I-JEDI</v>
      </c>
      <c r="V121">
        <f t="shared" si="11"/>
        <v>7947.8116428408675</v>
      </c>
    </row>
    <row r="122" spans="1:23" x14ac:dyDescent="0.3">
      <c r="A122" t="str">
        <f t="shared" si="6"/>
        <v>PD|AccumulatedNewCapacity|RE1|PWRHYDDAM|2041</v>
      </c>
      <c r="B122" t="str">
        <f t="shared" si="7"/>
        <v>Hydro (large)|2041|O&amp;M|Direct</v>
      </c>
      <c r="C122" t="str">
        <f t="shared" si="8"/>
        <v>PWRHYDDAM|Hydro (large)</v>
      </c>
      <c r="D122" t="s">
        <v>16</v>
      </c>
      <c r="E122" t="s">
        <v>17</v>
      </c>
      <c r="F122" t="s">
        <v>19</v>
      </c>
      <c r="G122" t="s">
        <v>24</v>
      </c>
      <c r="H122">
        <v>2041</v>
      </c>
      <c r="I122" t="s">
        <v>18</v>
      </c>
      <c r="J122" t="s">
        <v>63</v>
      </c>
      <c r="K122" t="s">
        <v>64</v>
      </c>
      <c r="L122" t="s">
        <v>65</v>
      </c>
      <c r="M122">
        <f>SUMIFS(RawResultsLong!$P:$P,RawResultsLong!$A:$A,A122)</f>
        <v>37.840000000000003</v>
      </c>
      <c r="N122">
        <f t="shared" si="9"/>
        <v>1199.0772428828554</v>
      </c>
      <c r="O122" t="s">
        <v>72</v>
      </c>
      <c r="P122">
        <f>SUMIFS(TechnologyMapping!$D:$D,TechnologyMapping!$A:$A,C122)</f>
        <v>1</v>
      </c>
      <c r="Q122">
        <f t="shared" si="10"/>
        <v>1199.0772428828554</v>
      </c>
      <c r="R122">
        <f>SUMIFS(FactorInputs!$I:$I,FactorInputs!$A:$A,B122)</f>
        <v>0.64007049180300002</v>
      </c>
      <c r="S122" t="str">
        <f>_xlfn.XLOOKUP(B122,FactorInputs!$A$2:$A$888,FactorInputs!$F$2:$F$888,"")</f>
        <v>job/MW</v>
      </c>
      <c r="T122" t="str">
        <f>_xlfn.XLOOKUP(B122,FactorInputs!$A$2:$A$888,FactorInputs!$B$2:$B$888,"")</f>
        <v>Rutovitz 2015</v>
      </c>
      <c r="U122" t="str">
        <f>_xlfn.XLOOKUP(B122,FactorInputs!$A$2:$A$888,FactorInputs!$T$2:$T$888,"")</f>
        <v>Rutovitz 2015</v>
      </c>
      <c r="V122">
        <f t="shared" si="11"/>
        <v>767.49396056181456</v>
      </c>
    </row>
    <row r="123" spans="1:23" x14ac:dyDescent="0.3">
      <c r="A123" t="str">
        <f t="shared" si="6"/>
        <v>PD|AccumulatedNewCapacity|RE1|PWRSOLRTP|2041</v>
      </c>
      <c r="B123" t="str">
        <f t="shared" si="7"/>
        <v>Rooftop solar PV|2041|O&amp;M|Direct</v>
      </c>
      <c r="C123" t="str">
        <f t="shared" si="8"/>
        <v>PWRSOLRTP|Rooftop solar PV</v>
      </c>
      <c r="D123" t="s">
        <v>16</v>
      </c>
      <c r="E123" t="s">
        <v>17</v>
      </c>
      <c r="F123" t="s">
        <v>19</v>
      </c>
      <c r="G123" t="s">
        <v>31</v>
      </c>
      <c r="H123">
        <v>2041</v>
      </c>
      <c r="I123" t="s">
        <v>18</v>
      </c>
      <c r="J123" t="s">
        <v>63</v>
      </c>
      <c r="K123" t="s">
        <v>64</v>
      </c>
      <c r="L123" t="s">
        <v>65</v>
      </c>
      <c r="M123">
        <f>SUMIFS(RawResultsLong!$P:$P,RawResultsLong!$A:$A,A123)</f>
        <v>106.1632656943564</v>
      </c>
      <c r="N123">
        <f t="shared" si="9"/>
        <v>3364.1108859468522</v>
      </c>
      <c r="O123" t="s">
        <v>71</v>
      </c>
      <c r="P123">
        <f>SUMIFS(TechnologyMapping!$D:$D,TechnologyMapping!$A:$A,C123)</f>
        <v>1</v>
      </c>
      <c r="Q123">
        <f t="shared" si="10"/>
        <v>3364.1108859468522</v>
      </c>
      <c r="R123">
        <f>SUMIFS(FactorInputs!$I:$I,FactorInputs!$A:$A,B123)</f>
        <v>0.23532352941199999</v>
      </c>
      <c r="S123" t="str">
        <f>_xlfn.XLOOKUP(B123,FactorInputs!$A$2:$A$888,FactorInputs!$F$2:$F$888,"")</f>
        <v>job/MW</v>
      </c>
      <c r="T123" t="str">
        <f>_xlfn.XLOOKUP(B123,FactorInputs!$A$2:$A$888,FactorInputs!$B$2:$B$888,"")</f>
        <v>JEDI-US</v>
      </c>
      <c r="U123" t="str">
        <f>_xlfn.XLOOKUP(B123,FactorInputs!$A$2:$A$888,FactorInputs!$T$2:$T$888,"")</f>
        <v>JEDI-US</v>
      </c>
      <c r="V123">
        <f t="shared" si="11"/>
        <v>791.65444701434342</v>
      </c>
    </row>
    <row r="124" spans="1:23" x14ac:dyDescent="0.3">
      <c r="A124" t="str">
        <f t="shared" si="6"/>
        <v>PD|AccumulatedNewCapacity|RE1|PWRSOLRTP_ZNI|2041</v>
      </c>
      <c r="B124" t="str">
        <f t="shared" si="7"/>
        <v>Rooftop solar PV|2041|O&amp;M|Direct</v>
      </c>
      <c r="C124" t="str">
        <f t="shared" si="8"/>
        <v>PWRSOLRTP_ZNI|Rooftop solar PV</v>
      </c>
      <c r="D124" t="s">
        <v>16</v>
      </c>
      <c r="E124" t="s">
        <v>17</v>
      </c>
      <c r="F124" t="s">
        <v>19</v>
      </c>
      <c r="G124" t="s">
        <v>32</v>
      </c>
      <c r="H124">
        <v>2041</v>
      </c>
      <c r="I124" t="s">
        <v>18</v>
      </c>
      <c r="J124" t="s">
        <v>63</v>
      </c>
      <c r="K124" t="s">
        <v>64</v>
      </c>
      <c r="L124" t="s">
        <v>65</v>
      </c>
      <c r="M124">
        <f>SUMIFS(RawResultsLong!$P:$P,RawResultsLong!$A:$A,A124)</f>
        <v>0.88750826980907294</v>
      </c>
      <c r="N124">
        <f t="shared" si="9"/>
        <v>28.123439989386799</v>
      </c>
      <c r="O124" t="s">
        <v>71</v>
      </c>
      <c r="P124">
        <f>SUMIFS(TechnologyMapping!$D:$D,TechnologyMapping!$A:$A,C124)</f>
        <v>1</v>
      </c>
      <c r="Q124">
        <f t="shared" si="10"/>
        <v>28.123439989386799</v>
      </c>
      <c r="R124">
        <f>SUMIFS(FactorInputs!$I:$I,FactorInputs!$A:$A,B124)</f>
        <v>0.23532352941199999</v>
      </c>
      <c r="S124" t="str">
        <f>_xlfn.XLOOKUP(B124,FactorInputs!$A$2:$A$888,FactorInputs!$F$2:$F$888,"")</f>
        <v>job/MW</v>
      </c>
      <c r="T124" t="str">
        <f>_xlfn.XLOOKUP(B124,FactorInputs!$A$2:$A$888,FactorInputs!$B$2:$B$888,"")</f>
        <v>JEDI-US</v>
      </c>
      <c r="U124" t="str">
        <f>_xlfn.XLOOKUP(B124,FactorInputs!$A$2:$A$888,FactorInputs!$T$2:$T$888,"")</f>
        <v>JEDI-US</v>
      </c>
      <c r="V124">
        <f t="shared" si="11"/>
        <v>6.6181071575090815</v>
      </c>
      <c r="W124" t="s">
        <v>73</v>
      </c>
    </row>
    <row r="125" spans="1:23" x14ac:dyDescent="0.3">
      <c r="A125" t="str">
        <f t="shared" si="6"/>
        <v>PD|AccumulatedNewCapacity|RE1|PWRSOLUGE|2041</v>
      </c>
      <c r="B125" t="str">
        <f t="shared" si="7"/>
        <v>Utility-scale solar PV|2041|O&amp;M|Direct</v>
      </c>
      <c r="C125" t="str">
        <f t="shared" si="8"/>
        <v>PWRSOLUGE|Utility-scale solar PV</v>
      </c>
      <c r="D125" t="s">
        <v>16</v>
      </c>
      <c r="E125" t="s">
        <v>17</v>
      </c>
      <c r="F125" t="s">
        <v>19</v>
      </c>
      <c r="G125" t="s">
        <v>33</v>
      </c>
      <c r="H125">
        <v>2041</v>
      </c>
      <c r="I125" t="s">
        <v>18</v>
      </c>
      <c r="J125" t="s">
        <v>63</v>
      </c>
      <c r="K125" t="s">
        <v>64</v>
      </c>
      <c r="L125" t="s">
        <v>65</v>
      </c>
      <c r="M125">
        <f>SUMIFS(RawResultsLong!$P:$P,RawResultsLong!$A:$A,A125)</f>
        <v>143.394192</v>
      </c>
      <c r="N125">
        <f t="shared" si="9"/>
        <v>4543.8877481177278</v>
      </c>
      <c r="O125" t="s">
        <v>66</v>
      </c>
      <c r="P125">
        <f>SUMIFS(TechnologyMapping!$D:$D,TechnologyMapping!$A:$A,C125)</f>
        <v>1</v>
      </c>
      <c r="Q125">
        <f t="shared" si="10"/>
        <v>4543.8877481177278</v>
      </c>
      <c r="R125">
        <f>SUMIFS(FactorInputs!$I:$I,FactorInputs!$A:$A,B125)</f>
        <v>7.5700337837800002E-2</v>
      </c>
      <c r="S125" t="str">
        <f>_xlfn.XLOOKUP(B125,FactorInputs!$A$2:$A$888,FactorInputs!$F$2:$F$888,"")</f>
        <v>job/MW</v>
      </c>
      <c r="T125" t="str">
        <f>_xlfn.XLOOKUP(B125,FactorInputs!$A$2:$A$888,FactorInputs!$B$2:$B$888,"")</f>
        <v>I-JEDI</v>
      </c>
      <c r="U125" t="str">
        <f>_xlfn.XLOOKUP(B125,FactorInputs!$A$2:$A$888,FactorInputs!$T$2:$T$888,"")</f>
        <v>I-JEDI</v>
      </c>
      <c r="V125">
        <f t="shared" si="11"/>
        <v>343.97383762955229</v>
      </c>
    </row>
    <row r="126" spans="1:23" x14ac:dyDescent="0.3">
      <c r="A126" t="str">
        <f t="shared" si="6"/>
        <v>PD|AccumulatedNewCapacity|RE1|PWRSOLUPE|2041</v>
      </c>
      <c r="B126" t="str">
        <f t="shared" si="7"/>
        <v>Utility-scale solar PV|2041|O&amp;M|Direct</v>
      </c>
      <c r="C126" t="str">
        <f t="shared" si="8"/>
        <v>PWRSOLUPE|Utility-scale solar PV</v>
      </c>
      <c r="D126" t="s">
        <v>16</v>
      </c>
      <c r="E126" t="s">
        <v>17</v>
      </c>
      <c r="F126" t="s">
        <v>19</v>
      </c>
      <c r="G126" t="s">
        <v>34</v>
      </c>
      <c r="H126">
        <v>2041</v>
      </c>
      <c r="I126" t="s">
        <v>18</v>
      </c>
      <c r="J126" t="s">
        <v>63</v>
      </c>
      <c r="K126" t="s">
        <v>64</v>
      </c>
      <c r="L126" t="s">
        <v>65</v>
      </c>
      <c r="M126">
        <f>SUMIFS(RawResultsLong!$P:$P,RawResultsLong!$A:$A,A126)</f>
        <v>12.14419823999993</v>
      </c>
      <c r="N126">
        <f t="shared" si="9"/>
        <v>384.82642026009364</v>
      </c>
      <c r="O126" t="s">
        <v>66</v>
      </c>
      <c r="P126">
        <f>SUMIFS(TechnologyMapping!$D:$D,TechnologyMapping!$A:$A,C126)</f>
        <v>1</v>
      </c>
      <c r="Q126">
        <f t="shared" si="10"/>
        <v>384.82642026009364</v>
      </c>
      <c r="R126">
        <f>SUMIFS(FactorInputs!$I:$I,FactorInputs!$A:$A,B126)</f>
        <v>7.5700337837800002E-2</v>
      </c>
      <c r="S126" t="str">
        <f>_xlfn.XLOOKUP(B126,FactorInputs!$A$2:$A$888,FactorInputs!$F$2:$F$888,"")</f>
        <v>job/MW</v>
      </c>
      <c r="T126" t="str">
        <f>_xlfn.XLOOKUP(B126,FactorInputs!$A$2:$A$888,FactorInputs!$B$2:$B$888,"")</f>
        <v>I-JEDI</v>
      </c>
      <c r="U126" t="str">
        <f>_xlfn.XLOOKUP(B126,FactorInputs!$A$2:$A$888,FactorInputs!$T$2:$T$888,"")</f>
        <v>I-JEDI</v>
      </c>
      <c r="V126">
        <f t="shared" si="11"/>
        <v>29.131490022600293</v>
      </c>
      <c r="W126" t="s">
        <v>67</v>
      </c>
    </row>
    <row r="127" spans="1:23" x14ac:dyDescent="0.3">
      <c r="A127" t="str">
        <f t="shared" si="6"/>
        <v>PD|AccumulatedNewCapacity|RE1|PWRWNDONS|2041</v>
      </c>
      <c r="B127" t="str">
        <f t="shared" si="7"/>
        <v>Onshore wind|2041|O&amp;M|Direct</v>
      </c>
      <c r="C127" t="str">
        <f t="shared" si="8"/>
        <v>PWRWNDONS|Onshore wind</v>
      </c>
      <c r="D127" t="s">
        <v>16</v>
      </c>
      <c r="E127" t="s">
        <v>17</v>
      </c>
      <c r="F127" t="s">
        <v>19</v>
      </c>
      <c r="G127" t="s">
        <v>36</v>
      </c>
      <c r="H127">
        <v>2041</v>
      </c>
      <c r="I127" t="s">
        <v>18</v>
      </c>
      <c r="J127" t="s">
        <v>63</v>
      </c>
      <c r="K127" t="s">
        <v>64</v>
      </c>
      <c r="L127" t="s">
        <v>65</v>
      </c>
      <c r="M127">
        <f>SUMIFS(RawResultsLong!$P:$P,RawResultsLong!$A:$A,A127)</f>
        <v>212.21853884379721</v>
      </c>
      <c r="N127">
        <f t="shared" si="9"/>
        <v>6724.7996946471594</v>
      </c>
      <c r="O127" t="s">
        <v>68</v>
      </c>
      <c r="P127">
        <f>SUMIFS(TechnologyMapping!$D:$D,TechnologyMapping!$A:$A,C127)</f>
        <v>1</v>
      </c>
      <c r="Q127">
        <f t="shared" si="10"/>
        <v>6724.7996946471594</v>
      </c>
      <c r="R127">
        <f>SUMIFS(FactorInputs!$I:$I,FactorInputs!$A:$A,B127)</f>
        <v>2.7624087591200001E-2</v>
      </c>
      <c r="S127" t="str">
        <f>_xlfn.XLOOKUP(B127,FactorInputs!$A$2:$A$888,FactorInputs!$F$2:$F$888,"")</f>
        <v>job/MW</v>
      </c>
      <c r="T127" t="str">
        <f>_xlfn.XLOOKUP(B127,FactorInputs!$A$2:$A$888,FactorInputs!$B$2:$B$888,"")</f>
        <v>I-JEDI</v>
      </c>
      <c r="U127" t="str">
        <f>_xlfn.XLOOKUP(B127,FactorInputs!$A$2:$A$888,FactorInputs!$T$2:$T$888,"")</f>
        <v>I-JEDI</v>
      </c>
      <c r="V127">
        <f t="shared" si="11"/>
        <v>185.76645579820814</v>
      </c>
    </row>
    <row r="128" spans="1:23" x14ac:dyDescent="0.3">
      <c r="A128" t="str">
        <f t="shared" si="6"/>
        <v>PD|NewCapacity|RE1|PWRSOLRTP|2041</v>
      </c>
      <c r="B128" t="str">
        <f t="shared" si="7"/>
        <v>Rooftop solar PV|2041|Construction&amp;Manufacturing|Direct</v>
      </c>
      <c r="C128" t="str">
        <f t="shared" si="8"/>
        <v>PWRSOLRTP|Rooftop solar PV</v>
      </c>
      <c r="D128" t="s">
        <v>16</v>
      </c>
      <c r="E128" t="s">
        <v>17</v>
      </c>
      <c r="F128" t="s">
        <v>19</v>
      </c>
      <c r="G128" t="s">
        <v>31</v>
      </c>
      <c r="H128">
        <v>2041</v>
      </c>
      <c r="I128" t="s">
        <v>37</v>
      </c>
      <c r="J128" t="s">
        <v>69</v>
      </c>
      <c r="K128" t="s">
        <v>70</v>
      </c>
      <c r="L128" t="s">
        <v>65</v>
      </c>
      <c r="M128">
        <f>SUMIFS(RawResultsLong!$P:$P,RawResultsLong!$A:$A,A128)</f>
        <v>1.838934686112873</v>
      </c>
      <c r="N128">
        <f t="shared" si="9"/>
        <v>58.272323817808484</v>
      </c>
      <c r="O128" t="s">
        <v>71</v>
      </c>
      <c r="P128">
        <f>SUMIFS(TechnologyMapping!$D:$D,TechnologyMapping!$A:$A,C128)</f>
        <v>1</v>
      </c>
      <c r="Q128">
        <f t="shared" si="10"/>
        <v>58.272323817808484</v>
      </c>
      <c r="R128">
        <f>SUMIFS(FactorInputs!$I:$I,FactorInputs!$A:$A,B128)</f>
        <v>5.2717076176399997</v>
      </c>
      <c r="S128" t="str">
        <f>_xlfn.XLOOKUP(B128,FactorInputs!$A$2:$A$888,FactorInputs!$F$2:$F$888,"")</f>
        <v>job-yr/MW</v>
      </c>
      <c r="T128" t="str">
        <f>_xlfn.XLOOKUP(B128,FactorInputs!$A$2:$A$888,FactorInputs!$B$2:$B$888,"")</f>
        <v>JEDI-US</v>
      </c>
      <c r="U128" t="str">
        <f>_xlfn.XLOOKUP(B128,FactorInputs!$A$2:$A$888,FactorInputs!$T$2:$T$888,"")</f>
        <v>JEDI-US</v>
      </c>
      <c r="V128">
        <f t="shared" si="11"/>
        <v>307.19465336792575</v>
      </c>
    </row>
    <row r="129" spans="1:23" x14ac:dyDescent="0.3">
      <c r="A129" t="str">
        <f t="shared" si="6"/>
        <v>PD|NewCapacity|RE1|PWRWNDONS|2041</v>
      </c>
      <c r="B129" t="str">
        <f t="shared" si="7"/>
        <v>Onshore wind|2041|Construction&amp;Manufacturing|Direct</v>
      </c>
      <c r="C129" t="str">
        <f t="shared" si="8"/>
        <v>PWRWNDONS|Onshore wind</v>
      </c>
      <c r="D129" t="s">
        <v>16</v>
      </c>
      <c r="E129" t="s">
        <v>17</v>
      </c>
      <c r="F129" t="s">
        <v>19</v>
      </c>
      <c r="G129" t="s">
        <v>36</v>
      </c>
      <c r="H129">
        <v>2041</v>
      </c>
      <c r="I129" t="s">
        <v>37</v>
      </c>
      <c r="J129" t="s">
        <v>69</v>
      </c>
      <c r="K129" t="s">
        <v>70</v>
      </c>
      <c r="L129" t="s">
        <v>65</v>
      </c>
      <c r="M129">
        <f>SUMIFS(RawResultsLong!$P:$P,RawResultsLong!$A:$A,A129)</f>
        <v>47.31</v>
      </c>
      <c r="N129">
        <f t="shared" si="9"/>
        <v>1499.1634344817096</v>
      </c>
      <c r="O129" t="s">
        <v>68</v>
      </c>
      <c r="P129">
        <f>SUMIFS(TechnologyMapping!$D:$D,TechnologyMapping!$A:$A,C129)</f>
        <v>1</v>
      </c>
      <c r="Q129">
        <f t="shared" si="10"/>
        <v>1499.1634344817096</v>
      </c>
      <c r="R129">
        <f>SUMIFS(FactorInputs!$I:$I,FactorInputs!$A:$A,B129)</f>
        <v>6.6769357503800002</v>
      </c>
      <c r="S129" t="str">
        <f>_xlfn.XLOOKUP(B129,FactorInputs!$A$2:$A$888,FactorInputs!$F$2:$F$888,"")</f>
        <v>job-yr/MW</v>
      </c>
      <c r="T129" t="str">
        <f>_xlfn.XLOOKUP(B129,FactorInputs!$A$2:$A$888,FactorInputs!$B$2:$B$888,"")</f>
        <v>I-JEDI</v>
      </c>
      <c r="U129" t="str">
        <f>_xlfn.XLOOKUP(B129,FactorInputs!$A$2:$A$888,FactorInputs!$T$2:$T$888,"")</f>
        <v>I-JEDI</v>
      </c>
      <c r="V129">
        <f t="shared" si="11"/>
        <v>10009.817931353393</v>
      </c>
    </row>
    <row r="130" spans="1:23" x14ac:dyDescent="0.3">
      <c r="A130" t="str">
        <f t="shared" ref="A130:A193" si="12">D130&amp;"|"&amp;I130&amp;"|"&amp;F130&amp;"|"&amp;G130&amp;"|"&amp;H130</f>
        <v>PD|AccumulatedNewCapacity|RE1|PWRHYDDAM|2042</v>
      </c>
      <c r="B130" t="str">
        <f t="shared" ref="B130:B193" si="13">O130&amp;"|"&amp;H130&amp;"|"&amp;K130&amp;"|"&amp;L130</f>
        <v>Hydro (large)|2042|O&amp;M|Direct</v>
      </c>
      <c r="C130" t="str">
        <f t="shared" ref="C130:C193" si="14">G130&amp;"|"&amp;O130</f>
        <v>PWRHYDDAM|Hydro (large)</v>
      </c>
      <c r="D130" t="s">
        <v>16</v>
      </c>
      <c r="E130" t="s">
        <v>17</v>
      </c>
      <c r="F130" t="s">
        <v>19</v>
      </c>
      <c r="G130" t="s">
        <v>24</v>
      </c>
      <c r="H130">
        <v>2042</v>
      </c>
      <c r="I130" t="s">
        <v>18</v>
      </c>
      <c r="J130" t="s">
        <v>63</v>
      </c>
      <c r="K130" t="s">
        <v>64</v>
      </c>
      <c r="L130" t="s">
        <v>65</v>
      </c>
      <c r="M130">
        <f>SUMIFS(RawResultsLong!$P:$P,RawResultsLong!$A:$A,A130)</f>
        <v>37.840000000000003</v>
      </c>
      <c r="N130">
        <f t="shared" ref="N130:N193" si="15">M130*1000/31.5576</f>
        <v>1199.0772428828554</v>
      </c>
      <c r="O130" t="s">
        <v>72</v>
      </c>
      <c r="P130">
        <f>SUMIFS(TechnologyMapping!$D:$D,TechnologyMapping!$A:$A,C130)</f>
        <v>1</v>
      </c>
      <c r="Q130">
        <f t="shared" ref="Q130:Q193" si="16">N130*P130</f>
        <v>1199.0772428828554</v>
      </c>
      <c r="R130">
        <f>SUMIFS(FactorInputs!$I:$I,FactorInputs!$A:$A,B130)</f>
        <v>0.63989508196699996</v>
      </c>
      <c r="S130" t="str">
        <f>_xlfn.XLOOKUP(B130,FactorInputs!$A$2:$A$888,FactorInputs!$F$2:$F$888,"")</f>
        <v>job/MW</v>
      </c>
      <c r="T130" t="str">
        <f>_xlfn.XLOOKUP(B130,FactorInputs!$A$2:$A$888,FactorInputs!$B$2:$B$888,"")</f>
        <v>Rutovitz 2015</v>
      </c>
      <c r="U130" t="str">
        <f>_xlfn.XLOOKUP(B130,FactorInputs!$A$2:$A$888,FactorInputs!$T$2:$T$888,"")</f>
        <v>Rutovitz 2015</v>
      </c>
      <c r="V130">
        <f t="shared" ref="V130:V193" si="17">Q130*R130</f>
        <v>767.28363061928906</v>
      </c>
    </row>
    <row r="131" spans="1:23" x14ac:dyDescent="0.3">
      <c r="A131" t="str">
        <f t="shared" si="12"/>
        <v>PD|AccumulatedNewCapacity|RE1|PWRSOLRTP|2042</v>
      </c>
      <c r="B131" t="str">
        <f t="shared" si="13"/>
        <v>Rooftop solar PV|2042|O&amp;M|Direct</v>
      </c>
      <c r="C131" t="str">
        <f t="shared" si="14"/>
        <v>PWRSOLRTP|Rooftop solar PV</v>
      </c>
      <c r="D131" t="s">
        <v>16</v>
      </c>
      <c r="E131" t="s">
        <v>17</v>
      </c>
      <c r="F131" t="s">
        <v>19</v>
      </c>
      <c r="G131" t="s">
        <v>31</v>
      </c>
      <c r="H131">
        <v>2042</v>
      </c>
      <c r="I131" t="s">
        <v>18</v>
      </c>
      <c r="J131" t="s">
        <v>63</v>
      </c>
      <c r="K131" t="s">
        <v>64</v>
      </c>
      <c r="L131" t="s">
        <v>65</v>
      </c>
      <c r="M131">
        <f>SUMIFS(RawResultsLong!$P:$P,RawResultsLong!$A:$A,A131)</f>
        <v>107.81196575776789</v>
      </c>
      <c r="N131">
        <f t="shared" si="15"/>
        <v>3416.3550383352308</v>
      </c>
      <c r="O131" t="s">
        <v>71</v>
      </c>
      <c r="P131">
        <f>SUMIFS(TechnologyMapping!$D:$D,TechnologyMapping!$A:$A,C131)</f>
        <v>1</v>
      </c>
      <c r="Q131">
        <f t="shared" si="16"/>
        <v>3416.3550383352308</v>
      </c>
      <c r="R131">
        <f>SUMIFS(FactorInputs!$I:$I,FactorInputs!$A:$A,B131)</f>
        <v>0.233294117647</v>
      </c>
      <c r="S131" t="str">
        <f>_xlfn.XLOOKUP(B131,FactorInputs!$A$2:$A$888,FactorInputs!$F$2:$F$888,"")</f>
        <v>job/MW</v>
      </c>
      <c r="T131" t="str">
        <f>_xlfn.XLOOKUP(B131,FactorInputs!$A$2:$A$888,FactorInputs!$B$2:$B$888,"")</f>
        <v>JEDI-US</v>
      </c>
      <c r="U131" t="str">
        <f>_xlfn.XLOOKUP(B131,FactorInputs!$A$2:$A$888,FactorInputs!$T$2:$T$888,"")</f>
        <v>JEDI-US</v>
      </c>
      <c r="V131">
        <f t="shared" si="17"/>
        <v>797.01553423730059</v>
      </c>
    </row>
    <row r="132" spans="1:23" x14ac:dyDescent="0.3">
      <c r="A132" t="str">
        <f t="shared" si="12"/>
        <v>PD|AccumulatedNewCapacity|RE1|PWRSOLRTP_ZNI|2042</v>
      </c>
      <c r="B132" t="str">
        <f t="shared" si="13"/>
        <v>Rooftop solar PV|2042|O&amp;M|Direct</v>
      </c>
      <c r="C132" t="str">
        <f t="shared" si="14"/>
        <v>PWRSOLRTP_ZNI|Rooftop solar PV</v>
      </c>
      <c r="D132" t="s">
        <v>16</v>
      </c>
      <c r="E132" t="s">
        <v>17</v>
      </c>
      <c r="F132" t="s">
        <v>19</v>
      </c>
      <c r="G132" t="s">
        <v>32</v>
      </c>
      <c r="H132">
        <v>2042</v>
      </c>
      <c r="I132" t="s">
        <v>18</v>
      </c>
      <c r="J132" t="s">
        <v>63</v>
      </c>
      <c r="K132" t="s">
        <v>64</v>
      </c>
      <c r="L132" t="s">
        <v>65</v>
      </c>
      <c r="M132">
        <f>SUMIFS(RawResultsLong!$P:$P,RawResultsLong!$A:$A,A132)</f>
        <v>0.88750826980907294</v>
      </c>
      <c r="N132">
        <f t="shared" si="15"/>
        <v>28.123439989386799</v>
      </c>
      <c r="O132" t="s">
        <v>71</v>
      </c>
      <c r="P132">
        <f>SUMIFS(TechnologyMapping!$D:$D,TechnologyMapping!$A:$A,C132)</f>
        <v>1</v>
      </c>
      <c r="Q132">
        <f t="shared" si="16"/>
        <v>28.123439989386799</v>
      </c>
      <c r="R132">
        <f>SUMIFS(FactorInputs!$I:$I,FactorInputs!$A:$A,B132)</f>
        <v>0.233294117647</v>
      </c>
      <c r="S132" t="str">
        <f>_xlfn.XLOOKUP(B132,FactorInputs!$A$2:$A$888,FactorInputs!$F$2:$F$888,"")</f>
        <v>job/MW</v>
      </c>
      <c r="T132" t="str">
        <f>_xlfn.XLOOKUP(B132,FactorInputs!$A$2:$A$888,FactorInputs!$B$2:$B$888,"")</f>
        <v>JEDI-US</v>
      </c>
      <c r="U132" t="str">
        <f>_xlfn.XLOOKUP(B132,FactorInputs!$A$2:$A$888,FactorInputs!$T$2:$T$888,"")</f>
        <v>JEDI-US</v>
      </c>
      <c r="V132">
        <f t="shared" si="17"/>
        <v>6.5610331175223484</v>
      </c>
      <c r="W132" t="s">
        <v>73</v>
      </c>
    </row>
    <row r="133" spans="1:23" x14ac:dyDescent="0.3">
      <c r="A133" t="str">
        <f t="shared" si="12"/>
        <v>PD|AccumulatedNewCapacity|RE1|PWRSOLUGE|2042</v>
      </c>
      <c r="B133" t="str">
        <f t="shared" si="13"/>
        <v>Utility-scale solar PV|2042|O&amp;M|Direct</v>
      </c>
      <c r="C133" t="str">
        <f t="shared" si="14"/>
        <v>PWRSOLUGE|Utility-scale solar PV</v>
      </c>
      <c r="D133" t="s">
        <v>16</v>
      </c>
      <c r="E133" t="s">
        <v>17</v>
      </c>
      <c r="F133" t="s">
        <v>19</v>
      </c>
      <c r="G133" t="s">
        <v>33</v>
      </c>
      <c r="H133">
        <v>2042</v>
      </c>
      <c r="I133" t="s">
        <v>18</v>
      </c>
      <c r="J133" t="s">
        <v>63</v>
      </c>
      <c r="K133" t="s">
        <v>64</v>
      </c>
      <c r="L133" t="s">
        <v>65</v>
      </c>
      <c r="M133">
        <f>SUMIFS(RawResultsLong!$P:$P,RawResultsLong!$A:$A,A133)</f>
        <v>143.394192</v>
      </c>
      <c r="N133">
        <f t="shared" si="15"/>
        <v>4543.8877481177278</v>
      </c>
      <c r="O133" t="s">
        <v>66</v>
      </c>
      <c r="P133">
        <f>SUMIFS(TechnologyMapping!$D:$D,TechnologyMapping!$A:$A,C133)</f>
        <v>1</v>
      </c>
      <c r="Q133">
        <f t="shared" si="16"/>
        <v>4543.8877481177278</v>
      </c>
      <c r="R133">
        <f>SUMIFS(FactorInputs!$I:$I,FactorInputs!$A:$A,B133)</f>
        <v>7.5113513513499999E-2</v>
      </c>
      <c r="S133" t="str">
        <f>_xlfn.XLOOKUP(B133,FactorInputs!$A$2:$A$888,FactorInputs!$F$2:$F$888,"")</f>
        <v>job/MW</v>
      </c>
      <c r="T133" t="str">
        <f>_xlfn.XLOOKUP(B133,FactorInputs!$A$2:$A$888,FactorInputs!$B$2:$B$888,"")</f>
        <v>I-JEDI</v>
      </c>
      <c r="U133" t="str">
        <f>_xlfn.XLOOKUP(B133,FactorInputs!$A$2:$A$888,FactorInputs!$T$2:$T$888,"")</f>
        <v>I-JEDI</v>
      </c>
      <c r="V133">
        <f t="shared" si="17"/>
        <v>341.30737377206805</v>
      </c>
    </row>
    <row r="134" spans="1:23" x14ac:dyDescent="0.3">
      <c r="A134" t="str">
        <f t="shared" si="12"/>
        <v>PD|AccumulatedNewCapacity|RE1|PWRSOLUPE|2042</v>
      </c>
      <c r="B134" t="str">
        <f t="shared" si="13"/>
        <v>Utility-scale solar PV|2042|O&amp;M|Direct</v>
      </c>
      <c r="C134" t="str">
        <f t="shared" si="14"/>
        <v>PWRSOLUPE|Utility-scale solar PV</v>
      </c>
      <c r="D134" t="s">
        <v>16</v>
      </c>
      <c r="E134" t="s">
        <v>17</v>
      </c>
      <c r="F134" t="s">
        <v>19</v>
      </c>
      <c r="G134" t="s">
        <v>34</v>
      </c>
      <c r="H134">
        <v>2042</v>
      </c>
      <c r="I134" t="s">
        <v>18</v>
      </c>
      <c r="J134" t="s">
        <v>63</v>
      </c>
      <c r="K134" t="s">
        <v>64</v>
      </c>
      <c r="L134" t="s">
        <v>65</v>
      </c>
      <c r="M134">
        <f>SUMIFS(RawResultsLong!$P:$P,RawResultsLong!$A:$A,A134)</f>
        <v>12.14419823999993</v>
      </c>
      <c r="N134">
        <f t="shared" si="15"/>
        <v>384.82642026009364</v>
      </c>
      <c r="O134" t="s">
        <v>66</v>
      </c>
      <c r="P134">
        <f>SUMIFS(TechnologyMapping!$D:$D,TechnologyMapping!$A:$A,C134)</f>
        <v>1</v>
      </c>
      <c r="Q134">
        <f t="shared" si="16"/>
        <v>384.82642026009364</v>
      </c>
      <c r="R134">
        <f>SUMIFS(FactorInputs!$I:$I,FactorInputs!$A:$A,B134)</f>
        <v>7.5113513513499999E-2</v>
      </c>
      <c r="S134" t="str">
        <f>_xlfn.XLOOKUP(B134,FactorInputs!$A$2:$A$888,FactorInputs!$F$2:$F$888,"")</f>
        <v>job/MW</v>
      </c>
      <c r="T134" t="str">
        <f>_xlfn.XLOOKUP(B134,FactorInputs!$A$2:$A$888,FactorInputs!$B$2:$B$888,"")</f>
        <v>I-JEDI</v>
      </c>
      <c r="U134" t="str">
        <f>_xlfn.XLOOKUP(B134,FactorInputs!$A$2:$A$888,FactorInputs!$T$2:$T$888,"")</f>
        <v>I-JEDI</v>
      </c>
      <c r="V134">
        <f t="shared" si="17"/>
        <v>28.905664518558375</v>
      </c>
      <c r="W134" t="s">
        <v>67</v>
      </c>
    </row>
    <row r="135" spans="1:23" x14ac:dyDescent="0.3">
      <c r="A135" t="str">
        <f t="shared" si="12"/>
        <v>PD|AccumulatedNewCapacity|RE1|PWRWNDONS|2042</v>
      </c>
      <c r="B135" t="str">
        <f t="shared" si="13"/>
        <v>Onshore wind|2042|O&amp;M|Direct</v>
      </c>
      <c r="C135" t="str">
        <f t="shared" si="14"/>
        <v>PWRWNDONS|Onshore wind</v>
      </c>
      <c r="D135" t="s">
        <v>16</v>
      </c>
      <c r="E135" t="s">
        <v>17</v>
      </c>
      <c r="F135" t="s">
        <v>19</v>
      </c>
      <c r="G135" t="s">
        <v>36</v>
      </c>
      <c r="H135">
        <v>2042</v>
      </c>
      <c r="I135" t="s">
        <v>18</v>
      </c>
      <c r="J135" t="s">
        <v>63</v>
      </c>
      <c r="K135" t="s">
        <v>64</v>
      </c>
      <c r="L135" t="s">
        <v>65</v>
      </c>
      <c r="M135">
        <f>SUMIFS(RawResultsLong!$P:$P,RawResultsLong!$A:$A,A135)</f>
        <v>259.52853884379721</v>
      </c>
      <c r="N135">
        <f t="shared" si="15"/>
        <v>8223.9631291288697</v>
      </c>
      <c r="O135" t="s">
        <v>68</v>
      </c>
      <c r="P135">
        <f>SUMIFS(TechnologyMapping!$D:$D,TechnologyMapping!$A:$A,C135)</f>
        <v>1</v>
      </c>
      <c r="Q135">
        <f t="shared" si="16"/>
        <v>8223.9631291288697</v>
      </c>
      <c r="R135">
        <f>SUMIFS(FactorInputs!$I:$I,FactorInputs!$A:$A,B135)</f>
        <v>2.75474452555E-2</v>
      </c>
      <c r="S135" t="str">
        <f>_xlfn.XLOOKUP(B135,FactorInputs!$A$2:$A$888,FactorInputs!$F$2:$F$888,"")</f>
        <v>job/MW</v>
      </c>
      <c r="T135" t="str">
        <f>_xlfn.XLOOKUP(B135,FactorInputs!$A$2:$A$888,FactorInputs!$B$2:$B$888,"")</f>
        <v>I-JEDI</v>
      </c>
      <c r="U135" t="str">
        <f>_xlfn.XLOOKUP(B135,FactorInputs!$A$2:$A$888,FactorInputs!$T$2:$T$888,"")</f>
        <v>I-JEDI</v>
      </c>
      <c r="V135">
        <f t="shared" si="17"/>
        <v>226.549174082928</v>
      </c>
    </row>
    <row r="136" spans="1:23" x14ac:dyDescent="0.3">
      <c r="A136" t="str">
        <f t="shared" si="12"/>
        <v>PD|NewCapacity|RE1|PWRSOLRTP|2042</v>
      </c>
      <c r="B136" t="str">
        <f t="shared" si="13"/>
        <v>Rooftop solar PV|2042|Construction&amp;Manufacturing|Direct</v>
      </c>
      <c r="C136" t="str">
        <f t="shared" si="14"/>
        <v>PWRSOLRTP|Rooftop solar PV</v>
      </c>
      <c r="D136" t="s">
        <v>16</v>
      </c>
      <c r="E136" t="s">
        <v>17</v>
      </c>
      <c r="F136" t="s">
        <v>19</v>
      </c>
      <c r="G136" t="s">
        <v>31</v>
      </c>
      <c r="H136">
        <v>2042</v>
      </c>
      <c r="I136" t="s">
        <v>37</v>
      </c>
      <c r="J136" t="s">
        <v>69</v>
      </c>
      <c r="K136" t="s">
        <v>70</v>
      </c>
      <c r="L136" t="s">
        <v>65</v>
      </c>
      <c r="M136">
        <f>SUMIFS(RawResultsLong!$P:$P,RawResultsLong!$A:$A,A136)</f>
        <v>1.648700063411541</v>
      </c>
      <c r="N136">
        <f t="shared" si="15"/>
        <v>52.244152388380009</v>
      </c>
      <c r="O136" t="s">
        <v>71</v>
      </c>
      <c r="P136">
        <f>SUMIFS(TechnologyMapping!$D:$D,TechnologyMapping!$A:$A,C136)</f>
        <v>1</v>
      </c>
      <c r="Q136">
        <f t="shared" si="16"/>
        <v>52.244152388380009</v>
      </c>
      <c r="R136">
        <f>SUMIFS(FactorInputs!$I:$I,FactorInputs!$A:$A,B136)</f>
        <v>5.1660246668500003</v>
      </c>
      <c r="S136" t="str">
        <f>_xlfn.XLOOKUP(B136,FactorInputs!$A$2:$A$888,FactorInputs!$F$2:$F$888,"")</f>
        <v>job-yr/MW</v>
      </c>
      <c r="T136" t="str">
        <f>_xlfn.XLOOKUP(B136,FactorInputs!$A$2:$A$888,FactorInputs!$B$2:$B$888,"")</f>
        <v>JEDI-US</v>
      </c>
      <c r="U136" t="str">
        <f>_xlfn.XLOOKUP(B136,FactorInputs!$A$2:$A$888,FactorInputs!$T$2:$T$888,"")</f>
        <v>JEDI-US</v>
      </c>
      <c r="V136">
        <f t="shared" si="17"/>
        <v>269.8945799370415</v>
      </c>
    </row>
    <row r="137" spans="1:23" x14ac:dyDescent="0.3">
      <c r="A137" t="str">
        <f t="shared" si="12"/>
        <v>PD|NewCapacity|RE1|PWRWNDONS|2042</v>
      </c>
      <c r="B137" t="str">
        <f t="shared" si="13"/>
        <v>Onshore wind|2042|Construction&amp;Manufacturing|Direct</v>
      </c>
      <c r="C137" t="str">
        <f t="shared" si="14"/>
        <v>PWRWNDONS|Onshore wind</v>
      </c>
      <c r="D137" t="s">
        <v>16</v>
      </c>
      <c r="E137" t="s">
        <v>17</v>
      </c>
      <c r="F137" t="s">
        <v>19</v>
      </c>
      <c r="G137" t="s">
        <v>36</v>
      </c>
      <c r="H137">
        <v>2042</v>
      </c>
      <c r="I137" t="s">
        <v>37</v>
      </c>
      <c r="J137" t="s">
        <v>69</v>
      </c>
      <c r="K137" t="s">
        <v>70</v>
      </c>
      <c r="L137" t="s">
        <v>65</v>
      </c>
      <c r="M137">
        <f>SUMIFS(RawResultsLong!$P:$P,RawResultsLong!$A:$A,A137)</f>
        <v>47.31</v>
      </c>
      <c r="N137">
        <f t="shared" si="15"/>
        <v>1499.1634344817096</v>
      </c>
      <c r="O137" t="s">
        <v>68</v>
      </c>
      <c r="P137">
        <f>SUMIFS(TechnologyMapping!$D:$D,TechnologyMapping!$A:$A,C137)</f>
        <v>1</v>
      </c>
      <c r="Q137">
        <f t="shared" si="16"/>
        <v>1499.1634344817096</v>
      </c>
      <c r="R137">
        <f>SUMIFS(FactorInputs!$I:$I,FactorInputs!$A:$A,B137)</f>
        <v>6.6586940021799998</v>
      </c>
      <c r="S137" t="str">
        <f>_xlfn.XLOOKUP(B137,FactorInputs!$A$2:$A$888,FactorInputs!$F$2:$F$888,"")</f>
        <v>job-yr/MW</v>
      </c>
      <c r="T137" t="str">
        <f>_xlfn.XLOOKUP(B137,FactorInputs!$A$2:$A$888,FactorInputs!$B$2:$B$888,"")</f>
        <v>I-JEDI</v>
      </c>
      <c r="U137" t="str">
        <f>_xlfn.XLOOKUP(B137,FactorInputs!$A$2:$A$888,FactorInputs!$T$2:$T$888,"")</f>
        <v>I-JEDI</v>
      </c>
      <c r="V137">
        <f t="shared" si="17"/>
        <v>9982.4705694709282</v>
      </c>
    </row>
    <row r="138" spans="1:23" x14ac:dyDescent="0.3">
      <c r="A138" t="str">
        <f t="shared" si="12"/>
        <v>PD|AccumulatedNewCapacity|RE1|PWRHYDDAM|2043</v>
      </c>
      <c r="B138" t="str">
        <f t="shared" si="13"/>
        <v>Hydro (large)|2043|O&amp;M|Direct</v>
      </c>
      <c r="C138" t="str">
        <f t="shared" si="14"/>
        <v>PWRHYDDAM|Hydro (large)</v>
      </c>
      <c r="D138" t="s">
        <v>16</v>
      </c>
      <c r="E138" t="s">
        <v>17</v>
      </c>
      <c r="F138" t="s">
        <v>19</v>
      </c>
      <c r="G138" t="s">
        <v>24</v>
      </c>
      <c r="H138">
        <v>2043</v>
      </c>
      <c r="I138" t="s">
        <v>18</v>
      </c>
      <c r="J138" t="s">
        <v>63</v>
      </c>
      <c r="K138" t="s">
        <v>64</v>
      </c>
      <c r="L138" t="s">
        <v>65</v>
      </c>
      <c r="M138">
        <f>SUMIFS(RawResultsLong!$P:$P,RawResultsLong!$A:$A,A138)</f>
        <v>37.840000000000003</v>
      </c>
      <c r="N138">
        <f t="shared" si="15"/>
        <v>1199.0772428828554</v>
      </c>
      <c r="O138" t="s">
        <v>72</v>
      </c>
      <c r="P138">
        <f>SUMIFS(TechnologyMapping!$D:$D,TechnologyMapping!$A:$A,C138)</f>
        <v>1</v>
      </c>
      <c r="Q138">
        <f t="shared" si="16"/>
        <v>1199.0772428828554</v>
      </c>
      <c r="R138">
        <f>SUMIFS(FactorInputs!$I:$I,FactorInputs!$A:$A,B138)</f>
        <v>0.63971967213100001</v>
      </c>
      <c r="S138" t="str">
        <f>_xlfn.XLOOKUP(B138,FactorInputs!$A$2:$A$888,FactorInputs!$F$2:$F$888,"")</f>
        <v>job/MW</v>
      </c>
      <c r="T138" t="str">
        <f>_xlfn.XLOOKUP(B138,FactorInputs!$A$2:$A$888,FactorInputs!$B$2:$B$888,"")</f>
        <v>Rutovitz 2015</v>
      </c>
      <c r="U138" t="str">
        <f>_xlfn.XLOOKUP(B138,FactorInputs!$A$2:$A$888,FactorInputs!$T$2:$T$888,"")</f>
        <v>Rutovitz 2015</v>
      </c>
      <c r="V138">
        <f t="shared" si="17"/>
        <v>767.07330067676378</v>
      </c>
    </row>
    <row r="139" spans="1:23" x14ac:dyDescent="0.3">
      <c r="A139" t="str">
        <f t="shared" si="12"/>
        <v>PD|AccumulatedNewCapacity|RE1|PWRSOLRTP|2043</v>
      </c>
      <c r="B139" t="str">
        <f t="shared" si="13"/>
        <v>Rooftop solar PV|2043|O&amp;M|Direct</v>
      </c>
      <c r="C139" t="str">
        <f t="shared" si="14"/>
        <v>PWRSOLRTP|Rooftop solar PV</v>
      </c>
      <c r="D139" t="s">
        <v>16</v>
      </c>
      <c r="E139" t="s">
        <v>17</v>
      </c>
      <c r="F139" t="s">
        <v>19</v>
      </c>
      <c r="G139" t="s">
        <v>31</v>
      </c>
      <c r="H139">
        <v>2043</v>
      </c>
      <c r="I139" t="s">
        <v>18</v>
      </c>
      <c r="J139" t="s">
        <v>63</v>
      </c>
      <c r="K139" t="s">
        <v>64</v>
      </c>
      <c r="L139" t="s">
        <v>65</v>
      </c>
      <c r="M139">
        <f>SUMIFS(RawResultsLong!$P:$P,RawResultsLong!$A:$A,A139)</f>
        <v>109.3338427393786</v>
      </c>
      <c r="N139">
        <f t="shared" si="15"/>
        <v>3464.5804097706605</v>
      </c>
      <c r="O139" t="s">
        <v>71</v>
      </c>
      <c r="P139">
        <f>SUMIFS(TechnologyMapping!$D:$D,TechnologyMapping!$A:$A,C139)</f>
        <v>1</v>
      </c>
      <c r="Q139">
        <f t="shared" si="16"/>
        <v>3464.5804097706605</v>
      </c>
      <c r="R139">
        <f>SUMIFS(FactorInputs!$I:$I,FactorInputs!$A:$A,B139)</f>
        <v>0.23126470588199999</v>
      </c>
      <c r="S139" t="str">
        <f>_xlfn.XLOOKUP(B139,FactorInputs!$A$2:$A$888,FactorInputs!$F$2:$F$888,"")</f>
        <v>job/MW</v>
      </c>
      <c r="T139" t="str">
        <f>_xlfn.XLOOKUP(B139,FactorInputs!$A$2:$A$888,FactorInputs!$B$2:$B$888,"")</f>
        <v>JEDI-US</v>
      </c>
      <c r="U139" t="str">
        <f>_xlfn.XLOOKUP(B139,FactorInputs!$A$2:$A$888,FactorInputs!$T$2:$T$888,"")</f>
        <v>JEDI-US</v>
      </c>
      <c r="V139">
        <f t="shared" si="17"/>
        <v>801.23516947015082</v>
      </c>
    </row>
    <row r="140" spans="1:23" x14ac:dyDescent="0.3">
      <c r="A140" t="str">
        <f t="shared" si="12"/>
        <v>PD|AccumulatedNewCapacity|RE1|PWRSOLRTP_ZNI|2043</v>
      </c>
      <c r="B140" t="str">
        <f t="shared" si="13"/>
        <v>Rooftop solar PV|2043|O&amp;M|Direct</v>
      </c>
      <c r="C140" t="str">
        <f t="shared" si="14"/>
        <v>PWRSOLRTP_ZNI|Rooftop solar PV</v>
      </c>
      <c r="D140" t="s">
        <v>16</v>
      </c>
      <c r="E140" t="s">
        <v>17</v>
      </c>
      <c r="F140" t="s">
        <v>19</v>
      </c>
      <c r="G140" t="s">
        <v>32</v>
      </c>
      <c r="H140">
        <v>2043</v>
      </c>
      <c r="I140" t="s">
        <v>18</v>
      </c>
      <c r="J140" t="s">
        <v>63</v>
      </c>
      <c r="K140" t="s">
        <v>64</v>
      </c>
      <c r="L140" t="s">
        <v>65</v>
      </c>
      <c r="M140">
        <f>SUMIFS(RawResultsLong!$P:$P,RawResultsLong!$A:$A,A140)</f>
        <v>0.88750826980907294</v>
      </c>
      <c r="N140">
        <f t="shared" si="15"/>
        <v>28.123439989386799</v>
      </c>
      <c r="O140" t="s">
        <v>71</v>
      </c>
      <c r="P140">
        <f>SUMIFS(TechnologyMapping!$D:$D,TechnologyMapping!$A:$A,C140)</f>
        <v>1</v>
      </c>
      <c r="Q140">
        <f t="shared" si="16"/>
        <v>28.123439989386799</v>
      </c>
      <c r="R140">
        <f>SUMIFS(FactorInputs!$I:$I,FactorInputs!$A:$A,B140)</f>
        <v>0.23126470588199999</v>
      </c>
      <c r="S140" t="str">
        <f>_xlfn.XLOOKUP(B140,FactorInputs!$A$2:$A$888,FactorInputs!$F$2:$F$888,"")</f>
        <v>job/MW</v>
      </c>
      <c r="T140" t="str">
        <f>_xlfn.XLOOKUP(B140,FactorInputs!$A$2:$A$888,FactorInputs!$B$2:$B$888,"")</f>
        <v>JEDI-US</v>
      </c>
      <c r="U140" t="str">
        <f>_xlfn.XLOOKUP(B140,FactorInputs!$A$2:$A$888,FactorInputs!$T$2:$T$888,"")</f>
        <v>JEDI-US</v>
      </c>
      <c r="V140">
        <f t="shared" si="17"/>
        <v>6.5039590775356153</v>
      </c>
      <c r="W140" t="s">
        <v>73</v>
      </c>
    </row>
    <row r="141" spans="1:23" x14ac:dyDescent="0.3">
      <c r="A141" t="str">
        <f t="shared" si="12"/>
        <v>PD|AccumulatedNewCapacity|RE1|PWRSOLUGE|2043</v>
      </c>
      <c r="B141" t="str">
        <f t="shared" si="13"/>
        <v>Utility-scale solar PV|2043|O&amp;M|Direct</v>
      </c>
      <c r="C141" t="str">
        <f t="shared" si="14"/>
        <v>PWRSOLUGE|Utility-scale solar PV</v>
      </c>
      <c r="D141" t="s">
        <v>16</v>
      </c>
      <c r="E141" t="s">
        <v>17</v>
      </c>
      <c r="F141" t="s">
        <v>19</v>
      </c>
      <c r="G141" t="s">
        <v>33</v>
      </c>
      <c r="H141">
        <v>2043</v>
      </c>
      <c r="I141" t="s">
        <v>18</v>
      </c>
      <c r="J141" t="s">
        <v>63</v>
      </c>
      <c r="K141" t="s">
        <v>64</v>
      </c>
      <c r="L141" t="s">
        <v>65</v>
      </c>
      <c r="M141">
        <f>SUMIFS(RawResultsLong!$P:$P,RawResultsLong!$A:$A,A141)</f>
        <v>143.394192</v>
      </c>
      <c r="N141">
        <f t="shared" si="15"/>
        <v>4543.8877481177278</v>
      </c>
      <c r="O141" t="s">
        <v>66</v>
      </c>
      <c r="P141">
        <f>SUMIFS(TechnologyMapping!$D:$D,TechnologyMapping!$A:$A,C141)</f>
        <v>1</v>
      </c>
      <c r="Q141">
        <f t="shared" si="16"/>
        <v>4543.8877481177278</v>
      </c>
      <c r="R141">
        <f>SUMIFS(FactorInputs!$I:$I,FactorInputs!$A:$A,B141)</f>
        <v>7.4526689189199996E-2</v>
      </c>
      <c r="S141" t="str">
        <f>_xlfn.XLOOKUP(B141,FactorInputs!$A$2:$A$888,FactorInputs!$F$2:$F$888,"")</f>
        <v>job/MW</v>
      </c>
      <c r="T141" t="str">
        <f>_xlfn.XLOOKUP(B141,FactorInputs!$A$2:$A$888,FactorInputs!$B$2:$B$888,"")</f>
        <v>I-JEDI</v>
      </c>
      <c r="U141" t="str">
        <f>_xlfn.XLOOKUP(B141,FactorInputs!$A$2:$A$888,FactorInputs!$T$2:$T$888,"")</f>
        <v>I-JEDI</v>
      </c>
      <c r="V141">
        <f t="shared" si="17"/>
        <v>338.6409099145838</v>
      </c>
    </row>
    <row r="142" spans="1:23" x14ac:dyDescent="0.3">
      <c r="A142" t="str">
        <f t="shared" si="12"/>
        <v>PD|AccumulatedNewCapacity|RE1|PWRSOLUPE|2043</v>
      </c>
      <c r="B142" t="str">
        <f t="shared" si="13"/>
        <v>Utility-scale solar PV|2043|O&amp;M|Direct</v>
      </c>
      <c r="C142" t="str">
        <f t="shared" si="14"/>
        <v>PWRSOLUPE|Utility-scale solar PV</v>
      </c>
      <c r="D142" t="s">
        <v>16</v>
      </c>
      <c r="E142" t="s">
        <v>17</v>
      </c>
      <c r="F142" t="s">
        <v>19</v>
      </c>
      <c r="G142" t="s">
        <v>34</v>
      </c>
      <c r="H142">
        <v>2043</v>
      </c>
      <c r="I142" t="s">
        <v>18</v>
      </c>
      <c r="J142" t="s">
        <v>63</v>
      </c>
      <c r="K142" t="s">
        <v>64</v>
      </c>
      <c r="L142" t="s">
        <v>65</v>
      </c>
      <c r="M142">
        <f>SUMIFS(RawResultsLong!$P:$P,RawResultsLong!$A:$A,A142)</f>
        <v>12.14419823999993</v>
      </c>
      <c r="N142">
        <f t="shared" si="15"/>
        <v>384.82642026009364</v>
      </c>
      <c r="O142" t="s">
        <v>66</v>
      </c>
      <c r="P142">
        <f>SUMIFS(TechnologyMapping!$D:$D,TechnologyMapping!$A:$A,C142)</f>
        <v>1</v>
      </c>
      <c r="Q142">
        <f t="shared" si="16"/>
        <v>384.82642026009364</v>
      </c>
      <c r="R142">
        <f>SUMIFS(FactorInputs!$I:$I,FactorInputs!$A:$A,B142)</f>
        <v>7.4526689189199996E-2</v>
      </c>
      <c r="S142" t="str">
        <f>_xlfn.XLOOKUP(B142,FactorInputs!$A$2:$A$888,FactorInputs!$F$2:$F$888,"")</f>
        <v>job/MW</v>
      </c>
      <c r="T142" t="str">
        <f>_xlfn.XLOOKUP(B142,FactorInputs!$A$2:$A$888,FactorInputs!$B$2:$B$888,"")</f>
        <v>I-JEDI</v>
      </c>
      <c r="U142" t="str">
        <f>_xlfn.XLOOKUP(B142,FactorInputs!$A$2:$A$888,FactorInputs!$T$2:$T$888,"")</f>
        <v>I-JEDI</v>
      </c>
      <c r="V142">
        <f t="shared" si="17"/>
        <v>28.679839014516457</v>
      </c>
      <c r="W142" t="s">
        <v>67</v>
      </c>
    </row>
    <row r="143" spans="1:23" x14ac:dyDescent="0.3">
      <c r="A143" t="str">
        <f t="shared" si="12"/>
        <v>PD|AccumulatedNewCapacity|RE1|PWRWNDONS|2043</v>
      </c>
      <c r="B143" t="str">
        <f t="shared" si="13"/>
        <v>Onshore wind|2043|O&amp;M|Direct</v>
      </c>
      <c r="C143" t="str">
        <f t="shared" si="14"/>
        <v>PWRWNDONS|Onshore wind</v>
      </c>
      <c r="D143" t="s">
        <v>16</v>
      </c>
      <c r="E143" t="s">
        <v>17</v>
      </c>
      <c r="F143" t="s">
        <v>19</v>
      </c>
      <c r="G143" t="s">
        <v>36</v>
      </c>
      <c r="H143">
        <v>2043</v>
      </c>
      <c r="I143" t="s">
        <v>18</v>
      </c>
      <c r="J143" t="s">
        <v>63</v>
      </c>
      <c r="K143" t="s">
        <v>64</v>
      </c>
      <c r="L143" t="s">
        <v>65</v>
      </c>
      <c r="M143">
        <f>SUMIFS(RawResultsLong!$P:$P,RawResultsLong!$A:$A,A143)</f>
        <v>278.13010083100028</v>
      </c>
      <c r="N143">
        <f t="shared" si="15"/>
        <v>8813.4110588574622</v>
      </c>
      <c r="O143" t="s">
        <v>68</v>
      </c>
      <c r="P143">
        <f>SUMIFS(TechnologyMapping!$D:$D,TechnologyMapping!$A:$A,C143)</f>
        <v>1</v>
      </c>
      <c r="Q143">
        <f t="shared" si="16"/>
        <v>8813.4110588574622</v>
      </c>
      <c r="R143">
        <f>SUMIFS(FactorInputs!$I:$I,FactorInputs!$A:$A,B143)</f>
        <v>2.7470802919699999E-2</v>
      </c>
      <c r="S143" t="str">
        <f>_xlfn.XLOOKUP(B143,FactorInputs!$A$2:$A$888,FactorInputs!$F$2:$F$888,"")</f>
        <v>job/MW</v>
      </c>
      <c r="T143" t="str">
        <f>_xlfn.XLOOKUP(B143,FactorInputs!$A$2:$A$888,FactorInputs!$B$2:$B$888,"")</f>
        <v>I-JEDI</v>
      </c>
      <c r="U143" t="str">
        <f>_xlfn.XLOOKUP(B143,FactorInputs!$A$2:$A$888,FactorInputs!$T$2:$T$888,"")</f>
        <v>I-JEDI</v>
      </c>
      <c r="V143">
        <f t="shared" si="17"/>
        <v>242.11147824817783</v>
      </c>
    </row>
    <row r="144" spans="1:23" x14ac:dyDescent="0.3">
      <c r="A144" t="str">
        <f t="shared" si="12"/>
        <v>PD|NewCapacity|RE1|PWRSOLRTP|2043</v>
      </c>
      <c r="B144" t="str">
        <f t="shared" si="13"/>
        <v>Rooftop solar PV|2043|Construction&amp;Manufacturing|Direct</v>
      </c>
      <c r="C144" t="str">
        <f t="shared" si="14"/>
        <v>PWRSOLRTP|Rooftop solar PV</v>
      </c>
      <c r="D144" t="s">
        <v>16</v>
      </c>
      <c r="E144" t="s">
        <v>17</v>
      </c>
      <c r="F144" t="s">
        <v>19</v>
      </c>
      <c r="G144" t="s">
        <v>31</v>
      </c>
      <c r="H144">
        <v>2043</v>
      </c>
      <c r="I144" t="s">
        <v>37</v>
      </c>
      <c r="J144" t="s">
        <v>69</v>
      </c>
      <c r="K144" t="s">
        <v>70</v>
      </c>
      <c r="L144" t="s">
        <v>65</v>
      </c>
      <c r="M144">
        <f>SUMIFS(RawResultsLong!$P:$P,RawResultsLong!$A:$A,A144)</f>
        <v>1.521876981610653</v>
      </c>
      <c r="N144">
        <f t="shared" si="15"/>
        <v>48.225371435427697</v>
      </c>
      <c r="O144" t="s">
        <v>71</v>
      </c>
      <c r="P144">
        <f>SUMIFS(TechnologyMapping!$D:$D,TechnologyMapping!$A:$A,C144)</f>
        <v>1</v>
      </c>
      <c r="Q144">
        <f t="shared" si="16"/>
        <v>48.225371435427697</v>
      </c>
      <c r="R144">
        <f>SUMIFS(FactorInputs!$I:$I,FactorInputs!$A:$A,B144)</f>
        <v>5.0603417160599999</v>
      </c>
      <c r="S144" t="str">
        <f>_xlfn.XLOOKUP(B144,FactorInputs!$A$2:$A$888,FactorInputs!$F$2:$F$888,"")</f>
        <v>job-yr/MW</v>
      </c>
      <c r="T144" t="str">
        <f>_xlfn.XLOOKUP(B144,FactorInputs!$A$2:$A$888,FactorInputs!$B$2:$B$888,"")</f>
        <v>JEDI-US</v>
      </c>
      <c r="U144" t="str">
        <f>_xlfn.XLOOKUP(B144,FactorInputs!$A$2:$A$888,FactorInputs!$T$2:$T$888,"")</f>
        <v>JEDI-US</v>
      </c>
      <c r="V144">
        <f t="shared" si="17"/>
        <v>244.03685884718308</v>
      </c>
    </row>
    <row r="145" spans="1:23" x14ac:dyDescent="0.3">
      <c r="A145" t="str">
        <f t="shared" si="12"/>
        <v>PD|NewCapacity|RE1|PWRWNDONS|2043</v>
      </c>
      <c r="B145" t="str">
        <f t="shared" si="13"/>
        <v>Onshore wind|2043|Construction&amp;Manufacturing|Direct</v>
      </c>
      <c r="C145" t="str">
        <f t="shared" si="14"/>
        <v>PWRWNDONS|Onshore wind</v>
      </c>
      <c r="D145" t="s">
        <v>16</v>
      </c>
      <c r="E145" t="s">
        <v>17</v>
      </c>
      <c r="F145" t="s">
        <v>19</v>
      </c>
      <c r="G145" t="s">
        <v>36</v>
      </c>
      <c r="H145">
        <v>2043</v>
      </c>
      <c r="I145" t="s">
        <v>37</v>
      </c>
      <c r="J145" t="s">
        <v>69</v>
      </c>
      <c r="K145" t="s">
        <v>70</v>
      </c>
      <c r="L145" t="s">
        <v>65</v>
      </c>
      <c r="M145">
        <f>SUMIFS(RawResultsLong!$P:$P,RawResultsLong!$A:$A,A145)</f>
        <v>18.601561987203141</v>
      </c>
      <c r="N145">
        <f t="shared" si="15"/>
        <v>589.44792972859602</v>
      </c>
      <c r="O145" t="s">
        <v>68</v>
      </c>
      <c r="P145">
        <f>SUMIFS(TechnologyMapping!$D:$D,TechnologyMapping!$A:$A,C145)</f>
        <v>1</v>
      </c>
      <c r="Q145">
        <f t="shared" si="16"/>
        <v>589.44792972859602</v>
      </c>
      <c r="R145">
        <f>SUMIFS(FactorInputs!$I:$I,FactorInputs!$A:$A,B145)</f>
        <v>6.6404522539800004</v>
      </c>
      <c r="S145" t="str">
        <f>_xlfn.XLOOKUP(B145,FactorInputs!$A$2:$A$888,FactorInputs!$F$2:$F$888,"")</f>
        <v>job-yr/MW</v>
      </c>
      <c r="T145" t="str">
        <f>_xlfn.XLOOKUP(B145,FactorInputs!$A$2:$A$888,FactorInputs!$B$2:$B$888,"")</f>
        <v>I-JEDI</v>
      </c>
      <c r="U145" t="str">
        <f>_xlfn.XLOOKUP(B145,FactorInputs!$A$2:$A$888,FactorInputs!$T$2:$T$888,"")</f>
        <v>I-JEDI</v>
      </c>
      <c r="V145">
        <f t="shared" si="17"/>
        <v>3914.2008335701003</v>
      </c>
    </row>
    <row r="146" spans="1:23" x14ac:dyDescent="0.3">
      <c r="A146" t="str">
        <f t="shared" si="12"/>
        <v>PD|AccumulatedNewCapacity|RE1|PWRHYDDAM|2044</v>
      </c>
      <c r="B146" t="str">
        <f t="shared" si="13"/>
        <v>Hydro (large)|2044|O&amp;M|Direct</v>
      </c>
      <c r="C146" t="str">
        <f t="shared" si="14"/>
        <v>PWRHYDDAM|Hydro (large)</v>
      </c>
      <c r="D146" t="s">
        <v>16</v>
      </c>
      <c r="E146" t="s">
        <v>17</v>
      </c>
      <c r="F146" t="s">
        <v>19</v>
      </c>
      <c r="G146" t="s">
        <v>24</v>
      </c>
      <c r="H146">
        <v>2044</v>
      </c>
      <c r="I146" t="s">
        <v>18</v>
      </c>
      <c r="J146" t="s">
        <v>63</v>
      </c>
      <c r="K146" t="s">
        <v>64</v>
      </c>
      <c r="L146" t="s">
        <v>65</v>
      </c>
      <c r="M146">
        <f>SUMIFS(RawResultsLong!$P:$P,RawResultsLong!$A:$A,A146)</f>
        <v>37.840000000000003</v>
      </c>
      <c r="N146">
        <f t="shared" si="15"/>
        <v>1199.0772428828554</v>
      </c>
      <c r="O146" t="s">
        <v>72</v>
      </c>
      <c r="P146">
        <f>SUMIFS(TechnologyMapping!$D:$D,TechnologyMapping!$A:$A,C146)</f>
        <v>1</v>
      </c>
      <c r="Q146">
        <f t="shared" si="16"/>
        <v>1199.0772428828554</v>
      </c>
      <c r="R146">
        <f>SUMIFS(FactorInputs!$I:$I,FactorInputs!$A:$A,B146)</f>
        <v>0.63954426229500005</v>
      </c>
      <c r="S146" t="str">
        <f>_xlfn.XLOOKUP(B146,FactorInputs!$A$2:$A$888,FactorInputs!$F$2:$F$888,"")</f>
        <v>job/MW</v>
      </c>
      <c r="T146" t="str">
        <f>_xlfn.XLOOKUP(B146,FactorInputs!$A$2:$A$888,FactorInputs!$B$2:$B$888,"")</f>
        <v>Rutovitz 2015</v>
      </c>
      <c r="U146" t="str">
        <f>_xlfn.XLOOKUP(B146,FactorInputs!$A$2:$A$888,FactorInputs!$T$2:$T$888,"")</f>
        <v>Rutovitz 2015</v>
      </c>
      <c r="V146">
        <f t="shared" si="17"/>
        <v>766.86297073423839</v>
      </c>
    </row>
    <row r="147" spans="1:23" x14ac:dyDescent="0.3">
      <c r="A147" t="str">
        <f t="shared" si="12"/>
        <v>PD|AccumulatedNewCapacity|RE1|PWRSOLRTP|2044</v>
      </c>
      <c r="B147" t="str">
        <f t="shared" si="13"/>
        <v>Rooftop solar PV|2044|O&amp;M|Direct</v>
      </c>
      <c r="C147" t="str">
        <f t="shared" si="14"/>
        <v>PWRSOLRTP|Rooftop solar PV</v>
      </c>
      <c r="D147" t="s">
        <v>16</v>
      </c>
      <c r="E147" t="s">
        <v>17</v>
      </c>
      <c r="F147" t="s">
        <v>19</v>
      </c>
      <c r="G147" t="s">
        <v>31</v>
      </c>
      <c r="H147">
        <v>2044</v>
      </c>
      <c r="I147" t="s">
        <v>18</v>
      </c>
      <c r="J147" t="s">
        <v>63</v>
      </c>
      <c r="K147" t="s">
        <v>64</v>
      </c>
      <c r="L147" t="s">
        <v>65</v>
      </c>
      <c r="M147">
        <f>SUMIFS(RawResultsLong!$P:$P,RawResultsLong!$A:$A,A147)</f>
        <v>110.7923081800888</v>
      </c>
      <c r="N147">
        <f t="shared" si="15"/>
        <v>3510.7963907296116</v>
      </c>
      <c r="O147" t="s">
        <v>71</v>
      </c>
      <c r="P147">
        <f>SUMIFS(TechnologyMapping!$D:$D,TechnologyMapping!$A:$A,C147)</f>
        <v>1</v>
      </c>
      <c r="Q147">
        <f t="shared" si="16"/>
        <v>3510.7963907296116</v>
      </c>
      <c r="R147">
        <f>SUMIFS(FactorInputs!$I:$I,FactorInputs!$A:$A,B147)</f>
        <v>0.229235294118</v>
      </c>
      <c r="S147" t="str">
        <f>_xlfn.XLOOKUP(B147,FactorInputs!$A$2:$A$888,FactorInputs!$F$2:$F$888,"")</f>
        <v>job/MW</v>
      </c>
      <c r="T147" t="str">
        <f>_xlfn.XLOOKUP(B147,FactorInputs!$A$2:$A$888,FactorInputs!$B$2:$B$888,"")</f>
        <v>JEDI-US</v>
      </c>
      <c r="U147" t="str">
        <f>_xlfn.XLOOKUP(B147,FactorInputs!$A$2:$A$888,FactorInputs!$T$2:$T$888,"")</f>
        <v>JEDI-US</v>
      </c>
      <c r="V147">
        <f t="shared" si="17"/>
        <v>804.79844321731537</v>
      </c>
    </row>
    <row r="148" spans="1:23" x14ac:dyDescent="0.3">
      <c r="A148" t="str">
        <f t="shared" si="12"/>
        <v>PD|AccumulatedNewCapacity|RE1|PWRSOLRTP_ZNI|2044</v>
      </c>
      <c r="B148" t="str">
        <f t="shared" si="13"/>
        <v>Rooftop solar PV|2044|O&amp;M|Direct</v>
      </c>
      <c r="C148" t="str">
        <f t="shared" si="14"/>
        <v>PWRSOLRTP_ZNI|Rooftop solar PV</v>
      </c>
      <c r="D148" t="s">
        <v>16</v>
      </c>
      <c r="E148" t="s">
        <v>17</v>
      </c>
      <c r="F148" t="s">
        <v>19</v>
      </c>
      <c r="G148" t="s">
        <v>32</v>
      </c>
      <c r="H148">
        <v>2044</v>
      </c>
      <c r="I148" t="s">
        <v>18</v>
      </c>
      <c r="J148" t="s">
        <v>63</v>
      </c>
      <c r="K148" t="s">
        <v>64</v>
      </c>
      <c r="L148" t="s">
        <v>65</v>
      </c>
      <c r="M148">
        <f>SUMIFS(RawResultsLong!$P:$P,RawResultsLong!$A:$A,A148)</f>
        <v>0.88750826980907294</v>
      </c>
      <c r="N148">
        <f t="shared" si="15"/>
        <v>28.123439989386799</v>
      </c>
      <c r="O148" t="s">
        <v>71</v>
      </c>
      <c r="P148">
        <f>SUMIFS(TechnologyMapping!$D:$D,TechnologyMapping!$A:$A,C148)</f>
        <v>1</v>
      </c>
      <c r="Q148">
        <f t="shared" si="16"/>
        <v>28.123439989386799</v>
      </c>
      <c r="R148">
        <f>SUMIFS(FactorInputs!$I:$I,FactorInputs!$A:$A,B148)</f>
        <v>0.229235294118</v>
      </c>
      <c r="S148" t="str">
        <f>_xlfn.XLOOKUP(B148,FactorInputs!$A$2:$A$888,FactorInputs!$F$2:$F$888,"")</f>
        <v>job/MW</v>
      </c>
      <c r="T148" t="str">
        <f>_xlfn.XLOOKUP(B148,FactorInputs!$A$2:$A$888,FactorInputs!$B$2:$B$888,"")</f>
        <v>JEDI-US</v>
      </c>
      <c r="U148" t="str">
        <f>_xlfn.XLOOKUP(B148,FactorInputs!$A$2:$A$888,FactorInputs!$T$2:$T$888,"")</f>
        <v>JEDI-US</v>
      </c>
      <c r="V148">
        <f t="shared" si="17"/>
        <v>6.4468850375770055</v>
      </c>
      <c r="W148" t="s">
        <v>73</v>
      </c>
    </row>
    <row r="149" spans="1:23" x14ac:dyDescent="0.3">
      <c r="A149" t="str">
        <f t="shared" si="12"/>
        <v>PD|AccumulatedNewCapacity|RE1|PWRSOLUGE|2044</v>
      </c>
      <c r="B149" t="str">
        <f t="shared" si="13"/>
        <v>Utility-scale solar PV|2044|O&amp;M|Direct</v>
      </c>
      <c r="C149" t="str">
        <f t="shared" si="14"/>
        <v>PWRSOLUGE|Utility-scale solar PV</v>
      </c>
      <c r="D149" t="s">
        <v>16</v>
      </c>
      <c r="E149" t="s">
        <v>17</v>
      </c>
      <c r="F149" t="s">
        <v>19</v>
      </c>
      <c r="G149" t="s">
        <v>33</v>
      </c>
      <c r="H149">
        <v>2044</v>
      </c>
      <c r="I149" t="s">
        <v>18</v>
      </c>
      <c r="J149" t="s">
        <v>63</v>
      </c>
      <c r="K149" t="s">
        <v>64</v>
      </c>
      <c r="L149" t="s">
        <v>65</v>
      </c>
      <c r="M149">
        <f>SUMIFS(RawResultsLong!$P:$P,RawResultsLong!$A:$A,A149)</f>
        <v>143.394192</v>
      </c>
      <c r="N149">
        <f t="shared" si="15"/>
        <v>4543.8877481177278</v>
      </c>
      <c r="O149" t="s">
        <v>66</v>
      </c>
      <c r="P149">
        <f>SUMIFS(TechnologyMapping!$D:$D,TechnologyMapping!$A:$A,C149)</f>
        <v>1</v>
      </c>
      <c r="Q149">
        <f t="shared" si="16"/>
        <v>4543.8877481177278</v>
      </c>
      <c r="R149">
        <f>SUMIFS(FactorInputs!$I:$I,FactorInputs!$A:$A,B149)</f>
        <v>7.3939864864900007E-2</v>
      </c>
      <c r="S149" t="str">
        <f>_xlfn.XLOOKUP(B149,FactorInputs!$A$2:$A$888,FactorInputs!$F$2:$F$888,"")</f>
        <v>job/MW</v>
      </c>
      <c r="T149" t="str">
        <f>_xlfn.XLOOKUP(B149,FactorInputs!$A$2:$A$888,FactorInputs!$B$2:$B$888,"")</f>
        <v>I-JEDI</v>
      </c>
      <c r="U149" t="str">
        <f>_xlfn.XLOOKUP(B149,FactorInputs!$A$2:$A$888,FactorInputs!$T$2:$T$888,"")</f>
        <v>I-JEDI</v>
      </c>
      <c r="V149">
        <f t="shared" si="17"/>
        <v>335.97444605709961</v>
      </c>
    </row>
    <row r="150" spans="1:23" x14ac:dyDescent="0.3">
      <c r="A150" t="str">
        <f t="shared" si="12"/>
        <v>PD|AccumulatedNewCapacity|RE1|PWRSOLUPE|2044</v>
      </c>
      <c r="B150" t="str">
        <f t="shared" si="13"/>
        <v>Utility-scale solar PV|2044|O&amp;M|Direct</v>
      </c>
      <c r="C150" t="str">
        <f t="shared" si="14"/>
        <v>PWRSOLUPE|Utility-scale solar PV</v>
      </c>
      <c r="D150" t="s">
        <v>16</v>
      </c>
      <c r="E150" t="s">
        <v>17</v>
      </c>
      <c r="F150" t="s">
        <v>19</v>
      </c>
      <c r="G150" t="s">
        <v>34</v>
      </c>
      <c r="H150">
        <v>2044</v>
      </c>
      <c r="I150" t="s">
        <v>18</v>
      </c>
      <c r="J150" t="s">
        <v>63</v>
      </c>
      <c r="K150" t="s">
        <v>64</v>
      </c>
      <c r="L150" t="s">
        <v>65</v>
      </c>
      <c r="M150">
        <f>SUMIFS(RawResultsLong!$P:$P,RawResultsLong!$A:$A,A150)</f>
        <v>12.14419823999993</v>
      </c>
      <c r="N150">
        <f t="shared" si="15"/>
        <v>384.82642026009364</v>
      </c>
      <c r="O150" t="s">
        <v>66</v>
      </c>
      <c r="P150">
        <f>SUMIFS(TechnologyMapping!$D:$D,TechnologyMapping!$A:$A,C150)</f>
        <v>1</v>
      </c>
      <c r="Q150">
        <f t="shared" si="16"/>
        <v>384.82642026009364</v>
      </c>
      <c r="R150">
        <f>SUMIFS(FactorInputs!$I:$I,FactorInputs!$A:$A,B150)</f>
        <v>7.3939864864900007E-2</v>
      </c>
      <c r="S150" t="str">
        <f>_xlfn.XLOOKUP(B150,FactorInputs!$A$2:$A$888,FactorInputs!$F$2:$F$888,"")</f>
        <v>job/MW</v>
      </c>
      <c r="T150" t="str">
        <f>_xlfn.XLOOKUP(B150,FactorInputs!$A$2:$A$888,FactorInputs!$B$2:$B$888,"")</f>
        <v>I-JEDI</v>
      </c>
      <c r="U150" t="str">
        <f>_xlfn.XLOOKUP(B150,FactorInputs!$A$2:$A$888,FactorInputs!$T$2:$T$888,"")</f>
        <v>I-JEDI</v>
      </c>
      <c r="V150">
        <f t="shared" si="17"/>
        <v>28.454013510474542</v>
      </c>
      <c r="W150" t="s">
        <v>67</v>
      </c>
    </row>
    <row r="151" spans="1:23" x14ac:dyDescent="0.3">
      <c r="A151" t="str">
        <f t="shared" si="12"/>
        <v>PD|AccumulatedNewCapacity|RE1|PWRWNDONS|2044</v>
      </c>
      <c r="B151" t="str">
        <f t="shared" si="13"/>
        <v>Onshore wind|2044|O&amp;M|Direct</v>
      </c>
      <c r="C151" t="str">
        <f t="shared" si="14"/>
        <v>PWRWNDONS|Onshore wind</v>
      </c>
      <c r="D151" t="s">
        <v>16</v>
      </c>
      <c r="E151" t="s">
        <v>17</v>
      </c>
      <c r="F151" t="s">
        <v>19</v>
      </c>
      <c r="G151" t="s">
        <v>36</v>
      </c>
      <c r="H151">
        <v>2044</v>
      </c>
      <c r="I151" t="s">
        <v>18</v>
      </c>
      <c r="J151" t="s">
        <v>63</v>
      </c>
      <c r="K151" t="s">
        <v>64</v>
      </c>
      <c r="L151" t="s">
        <v>65</v>
      </c>
      <c r="M151">
        <f>SUMIFS(RawResultsLong!$P:$P,RawResultsLong!$A:$A,A151)</f>
        <v>278.13010083100028</v>
      </c>
      <c r="N151">
        <f t="shared" si="15"/>
        <v>8813.4110588574622</v>
      </c>
      <c r="O151" t="s">
        <v>68</v>
      </c>
      <c r="P151">
        <f>SUMIFS(TechnologyMapping!$D:$D,TechnologyMapping!$A:$A,C151)</f>
        <v>1</v>
      </c>
      <c r="Q151">
        <f t="shared" si="16"/>
        <v>8813.4110588574622</v>
      </c>
      <c r="R151">
        <f>SUMIFS(FactorInputs!$I:$I,FactorInputs!$A:$A,B151)</f>
        <v>2.7394160583899999E-2</v>
      </c>
      <c r="S151" t="str">
        <f>_xlfn.XLOOKUP(B151,FactorInputs!$A$2:$A$888,FactorInputs!$F$2:$F$888,"")</f>
        <v>job/MW</v>
      </c>
      <c r="T151" t="str">
        <f>_xlfn.XLOOKUP(B151,FactorInputs!$A$2:$A$888,FactorInputs!$B$2:$B$888,"")</f>
        <v>I-JEDI</v>
      </c>
      <c r="U151" t="str">
        <f>_xlfn.XLOOKUP(B151,FactorInputs!$A$2:$A$888,FactorInputs!$T$2:$T$888,"")</f>
        <v>I-JEDI</v>
      </c>
      <c r="V151">
        <f t="shared" si="17"/>
        <v>241.43599783826144</v>
      </c>
    </row>
    <row r="152" spans="1:23" x14ac:dyDescent="0.3">
      <c r="A152" t="str">
        <f t="shared" si="12"/>
        <v>PD|NewCapacity|RE1|PWRSOLRTP|2044</v>
      </c>
      <c r="B152" t="str">
        <f t="shared" si="13"/>
        <v>Rooftop solar PV|2044|Construction&amp;Manufacturing|Direct</v>
      </c>
      <c r="C152" t="str">
        <f t="shared" si="14"/>
        <v>PWRSOLRTP|Rooftop solar PV</v>
      </c>
      <c r="D152" t="s">
        <v>16</v>
      </c>
      <c r="E152" t="s">
        <v>17</v>
      </c>
      <c r="F152" t="s">
        <v>19</v>
      </c>
      <c r="G152" t="s">
        <v>31</v>
      </c>
      <c r="H152">
        <v>2044</v>
      </c>
      <c r="I152" t="s">
        <v>37</v>
      </c>
      <c r="J152" t="s">
        <v>69</v>
      </c>
      <c r="K152" t="s">
        <v>70</v>
      </c>
      <c r="L152" t="s">
        <v>65</v>
      </c>
      <c r="M152">
        <f>SUMIFS(RawResultsLong!$P:$P,RawResultsLong!$A:$A,A152)</f>
        <v>1.4584654407102089</v>
      </c>
      <c r="N152">
        <f t="shared" si="15"/>
        <v>46.215980958951533</v>
      </c>
      <c r="O152" t="s">
        <v>71</v>
      </c>
      <c r="P152">
        <f>SUMIFS(TechnologyMapping!$D:$D,TechnologyMapping!$A:$A,C152)</f>
        <v>1</v>
      </c>
      <c r="Q152">
        <f t="shared" si="16"/>
        <v>46.215980958951533</v>
      </c>
      <c r="R152">
        <f>SUMIFS(FactorInputs!$I:$I,FactorInputs!$A:$A,B152)</f>
        <v>4.9546587652799996</v>
      </c>
      <c r="S152" t="str">
        <f>_xlfn.XLOOKUP(B152,FactorInputs!$A$2:$A$888,FactorInputs!$F$2:$F$888,"")</f>
        <v>job-yr/MW</v>
      </c>
      <c r="T152" t="str">
        <f>_xlfn.XLOOKUP(B152,FactorInputs!$A$2:$A$888,FactorInputs!$B$2:$B$888,"")</f>
        <v>JEDI-US</v>
      </c>
      <c r="U152" t="str">
        <f>_xlfn.XLOOKUP(B152,FactorInputs!$A$2:$A$888,FactorInputs!$T$2:$T$888,"")</f>
        <v>JEDI-US</v>
      </c>
      <c r="V152">
        <f t="shared" si="17"/>
        <v>228.98441515428277</v>
      </c>
    </row>
    <row r="153" spans="1:23" x14ac:dyDescent="0.3">
      <c r="A153" t="str">
        <f t="shared" si="12"/>
        <v>PD|AccumulatedNewCapacity|RE1|PWRHYDDAM|2045</v>
      </c>
      <c r="B153" t="str">
        <f t="shared" si="13"/>
        <v>Hydro (large)|2045|O&amp;M|Direct</v>
      </c>
      <c r="C153" t="str">
        <f t="shared" si="14"/>
        <v>PWRHYDDAM|Hydro (large)</v>
      </c>
      <c r="D153" t="s">
        <v>16</v>
      </c>
      <c r="E153" t="s">
        <v>17</v>
      </c>
      <c r="F153" t="s">
        <v>19</v>
      </c>
      <c r="G153" t="s">
        <v>24</v>
      </c>
      <c r="H153">
        <v>2045</v>
      </c>
      <c r="I153" t="s">
        <v>18</v>
      </c>
      <c r="J153" t="s">
        <v>63</v>
      </c>
      <c r="K153" t="s">
        <v>64</v>
      </c>
      <c r="L153" t="s">
        <v>65</v>
      </c>
      <c r="M153">
        <f>SUMIFS(RawResultsLong!$P:$P,RawResultsLong!$A:$A,A153)</f>
        <v>37.840000000000003</v>
      </c>
      <c r="N153">
        <f t="shared" si="15"/>
        <v>1199.0772428828554</v>
      </c>
      <c r="O153" t="s">
        <v>72</v>
      </c>
      <c r="P153">
        <f>SUMIFS(TechnologyMapping!$D:$D,TechnologyMapping!$A:$A,C153)</f>
        <v>1</v>
      </c>
      <c r="Q153">
        <f t="shared" si="16"/>
        <v>1199.0772428828554</v>
      </c>
      <c r="R153">
        <f>SUMIFS(FactorInputs!$I:$I,FactorInputs!$A:$A,B153)</f>
        <v>0.63936885245899999</v>
      </c>
      <c r="S153" t="str">
        <f>_xlfn.XLOOKUP(B153,FactorInputs!$A$2:$A$888,FactorInputs!$F$2:$F$888,"")</f>
        <v>job/MW</v>
      </c>
      <c r="T153" t="str">
        <f>_xlfn.XLOOKUP(B153,FactorInputs!$A$2:$A$888,FactorInputs!$B$2:$B$888,"")</f>
        <v>Rutovitz 2015</v>
      </c>
      <c r="U153" t="str">
        <f>_xlfn.XLOOKUP(B153,FactorInputs!$A$2:$A$888,FactorInputs!$T$2:$T$888,"")</f>
        <v>Rutovitz 2015</v>
      </c>
      <c r="V153">
        <f t="shared" si="17"/>
        <v>766.65264079171288</v>
      </c>
    </row>
    <row r="154" spans="1:23" x14ac:dyDescent="0.3">
      <c r="A154" t="str">
        <f t="shared" si="12"/>
        <v>PD|AccumulatedNewCapacity|RE1|PWRSOLRTP|2045</v>
      </c>
      <c r="B154" t="str">
        <f t="shared" si="13"/>
        <v>Rooftop solar PV|2045|O&amp;M|Direct</v>
      </c>
      <c r="C154" t="str">
        <f t="shared" si="14"/>
        <v>PWRSOLRTP|Rooftop solar PV</v>
      </c>
      <c r="D154" t="s">
        <v>16</v>
      </c>
      <c r="E154" t="s">
        <v>17</v>
      </c>
      <c r="F154" t="s">
        <v>19</v>
      </c>
      <c r="G154" t="s">
        <v>31</v>
      </c>
      <c r="H154">
        <v>2045</v>
      </c>
      <c r="I154" t="s">
        <v>18</v>
      </c>
      <c r="J154" t="s">
        <v>63</v>
      </c>
      <c r="K154" t="s">
        <v>64</v>
      </c>
      <c r="L154" t="s">
        <v>65</v>
      </c>
      <c r="M154">
        <f>SUMIFS(RawResultsLong!$P:$P,RawResultsLong!$A:$A,A154)</f>
        <v>112.21906785034879</v>
      </c>
      <c r="N154">
        <f t="shared" si="15"/>
        <v>3556.0076764503251</v>
      </c>
      <c r="O154" t="s">
        <v>71</v>
      </c>
      <c r="P154">
        <f>SUMIFS(TechnologyMapping!$D:$D,TechnologyMapping!$A:$A,C154)</f>
        <v>1</v>
      </c>
      <c r="Q154">
        <f t="shared" si="16"/>
        <v>3556.0076764503251</v>
      </c>
      <c r="R154">
        <f>SUMIFS(FactorInputs!$I:$I,FactorInputs!$A:$A,B154)</f>
        <v>0.22720588235299999</v>
      </c>
      <c r="S154" t="str">
        <f>_xlfn.XLOOKUP(B154,FactorInputs!$A$2:$A$888,FactorInputs!$F$2:$F$888,"")</f>
        <v>job/MW</v>
      </c>
      <c r="T154" t="str">
        <f>_xlfn.XLOOKUP(B154,FactorInputs!$A$2:$A$888,FactorInputs!$B$2:$B$888,"")</f>
        <v>JEDI-US</v>
      </c>
      <c r="U154" t="str">
        <f>_xlfn.XLOOKUP(B154,FactorInputs!$A$2:$A$888,FactorInputs!$T$2:$T$888,"")</f>
        <v>JEDI-US</v>
      </c>
      <c r="V154">
        <f t="shared" si="17"/>
        <v>807.94586178193742</v>
      </c>
    </row>
    <row r="155" spans="1:23" x14ac:dyDescent="0.3">
      <c r="A155" t="str">
        <f t="shared" si="12"/>
        <v>PD|AccumulatedNewCapacity|RE1|PWRSOLRTP_ZNI|2045</v>
      </c>
      <c r="B155" t="str">
        <f t="shared" si="13"/>
        <v>Rooftop solar PV|2045|O&amp;M|Direct</v>
      </c>
      <c r="C155" t="str">
        <f t="shared" si="14"/>
        <v>PWRSOLRTP_ZNI|Rooftop solar PV</v>
      </c>
      <c r="D155" t="s">
        <v>16</v>
      </c>
      <c r="E155" t="s">
        <v>17</v>
      </c>
      <c r="F155" t="s">
        <v>19</v>
      </c>
      <c r="G155" t="s">
        <v>32</v>
      </c>
      <c r="H155">
        <v>2045</v>
      </c>
      <c r="I155" t="s">
        <v>18</v>
      </c>
      <c r="J155" t="s">
        <v>63</v>
      </c>
      <c r="K155" t="s">
        <v>64</v>
      </c>
      <c r="L155" t="s">
        <v>65</v>
      </c>
      <c r="M155">
        <f>SUMIFS(RawResultsLong!$P:$P,RawResultsLong!$A:$A,A155)</f>
        <v>0.88750826980907294</v>
      </c>
      <c r="N155">
        <f t="shared" si="15"/>
        <v>28.123439989386799</v>
      </c>
      <c r="O155" t="s">
        <v>71</v>
      </c>
      <c r="P155">
        <f>SUMIFS(TechnologyMapping!$D:$D,TechnologyMapping!$A:$A,C155)</f>
        <v>1</v>
      </c>
      <c r="Q155">
        <f t="shared" si="16"/>
        <v>28.123439989386799</v>
      </c>
      <c r="R155">
        <f>SUMIFS(FactorInputs!$I:$I,FactorInputs!$A:$A,B155)</f>
        <v>0.22720588235299999</v>
      </c>
      <c r="S155" t="str">
        <f>_xlfn.XLOOKUP(B155,FactorInputs!$A$2:$A$888,FactorInputs!$F$2:$F$888,"")</f>
        <v>job/MW</v>
      </c>
      <c r="T155" t="str">
        <f>_xlfn.XLOOKUP(B155,FactorInputs!$A$2:$A$888,FactorInputs!$B$2:$B$888,"")</f>
        <v>JEDI-US</v>
      </c>
      <c r="U155" t="str">
        <f>_xlfn.XLOOKUP(B155,FactorInputs!$A$2:$A$888,FactorInputs!$T$2:$T$888,"")</f>
        <v>JEDI-US</v>
      </c>
      <c r="V155">
        <f t="shared" si="17"/>
        <v>6.3898109975902724</v>
      </c>
      <c r="W155" t="s">
        <v>73</v>
      </c>
    </row>
    <row r="156" spans="1:23" x14ac:dyDescent="0.3">
      <c r="A156" t="str">
        <f t="shared" si="12"/>
        <v>PD|AccumulatedNewCapacity|RE1|PWRSOLUGE|2045</v>
      </c>
      <c r="B156" t="str">
        <f t="shared" si="13"/>
        <v>Utility-scale solar PV|2045|O&amp;M|Direct</v>
      </c>
      <c r="C156" t="str">
        <f t="shared" si="14"/>
        <v>PWRSOLUGE|Utility-scale solar PV</v>
      </c>
      <c r="D156" t="s">
        <v>16</v>
      </c>
      <c r="E156" t="s">
        <v>17</v>
      </c>
      <c r="F156" t="s">
        <v>19</v>
      </c>
      <c r="G156" t="s">
        <v>33</v>
      </c>
      <c r="H156">
        <v>2045</v>
      </c>
      <c r="I156" t="s">
        <v>18</v>
      </c>
      <c r="J156" t="s">
        <v>63</v>
      </c>
      <c r="K156" t="s">
        <v>64</v>
      </c>
      <c r="L156" t="s">
        <v>65</v>
      </c>
      <c r="M156">
        <f>SUMIFS(RawResultsLong!$P:$P,RawResultsLong!$A:$A,A156)</f>
        <v>143.394192</v>
      </c>
      <c r="N156">
        <f t="shared" si="15"/>
        <v>4543.8877481177278</v>
      </c>
      <c r="O156" t="s">
        <v>66</v>
      </c>
      <c r="P156">
        <f>SUMIFS(TechnologyMapping!$D:$D,TechnologyMapping!$A:$A,C156)</f>
        <v>1</v>
      </c>
      <c r="Q156">
        <f t="shared" si="16"/>
        <v>4543.8877481177278</v>
      </c>
      <c r="R156">
        <f>SUMIFS(FactorInputs!$I:$I,FactorInputs!$A:$A,B156)</f>
        <v>7.33530405405E-2</v>
      </c>
      <c r="S156" t="str">
        <f>_xlfn.XLOOKUP(B156,FactorInputs!$A$2:$A$888,FactorInputs!$F$2:$F$888,"")</f>
        <v>job/MW</v>
      </c>
      <c r="T156" t="str">
        <f>_xlfn.XLOOKUP(B156,FactorInputs!$A$2:$A$888,FactorInputs!$B$2:$B$888,"")</f>
        <v>I-JEDI</v>
      </c>
      <c r="U156" t="str">
        <f>_xlfn.XLOOKUP(B156,FactorInputs!$A$2:$A$888,FactorInputs!$T$2:$T$888,"")</f>
        <v>I-JEDI</v>
      </c>
      <c r="V156">
        <f t="shared" si="17"/>
        <v>333.30798219916096</v>
      </c>
    </row>
    <row r="157" spans="1:23" x14ac:dyDescent="0.3">
      <c r="A157" t="str">
        <f t="shared" si="12"/>
        <v>PD|AccumulatedNewCapacity|RE1|PWRSOLUPE|2045</v>
      </c>
      <c r="B157" t="str">
        <f t="shared" si="13"/>
        <v>Utility-scale solar PV|2045|O&amp;M|Direct</v>
      </c>
      <c r="C157" t="str">
        <f t="shared" si="14"/>
        <v>PWRSOLUPE|Utility-scale solar PV</v>
      </c>
      <c r="D157" t="s">
        <v>16</v>
      </c>
      <c r="E157" t="s">
        <v>17</v>
      </c>
      <c r="F157" t="s">
        <v>19</v>
      </c>
      <c r="G157" t="s">
        <v>34</v>
      </c>
      <c r="H157">
        <v>2045</v>
      </c>
      <c r="I157" t="s">
        <v>18</v>
      </c>
      <c r="J157" t="s">
        <v>63</v>
      </c>
      <c r="K157" t="s">
        <v>64</v>
      </c>
      <c r="L157" t="s">
        <v>65</v>
      </c>
      <c r="M157">
        <f>SUMIFS(RawResultsLong!$P:$P,RawResultsLong!$A:$A,A157)</f>
        <v>12.14419823999993</v>
      </c>
      <c r="N157">
        <f t="shared" si="15"/>
        <v>384.82642026009364</v>
      </c>
      <c r="O157" t="s">
        <v>66</v>
      </c>
      <c r="P157">
        <f>SUMIFS(TechnologyMapping!$D:$D,TechnologyMapping!$A:$A,C157)</f>
        <v>1</v>
      </c>
      <c r="Q157">
        <f t="shared" si="16"/>
        <v>384.82642026009364</v>
      </c>
      <c r="R157">
        <f>SUMIFS(FactorInputs!$I:$I,FactorInputs!$A:$A,B157)</f>
        <v>7.33530405405E-2</v>
      </c>
      <c r="S157" t="str">
        <f>_xlfn.XLOOKUP(B157,FactorInputs!$A$2:$A$888,FactorInputs!$F$2:$F$888,"")</f>
        <v>job/MW</v>
      </c>
      <c r="T157" t="str">
        <f>_xlfn.XLOOKUP(B157,FactorInputs!$A$2:$A$888,FactorInputs!$B$2:$B$888,"")</f>
        <v>I-JEDI</v>
      </c>
      <c r="U157" t="str">
        <f>_xlfn.XLOOKUP(B157,FactorInputs!$A$2:$A$888,FactorInputs!$T$2:$T$888,"")</f>
        <v>I-JEDI</v>
      </c>
      <c r="V157">
        <f t="shared" si="17"/>
        <v>28.228188006394138</v>
      </c>
      <c r="W157" t="s">
        <v>67</v>
      </c>
    </row>
    <row r="158" spans="1:23" x14ac:dyDescent="0.3">
      <c r="A158" t="str">
        <f t="shared" si="12"/>
        <v>PD|AccumulatedNewCapacity|RE1|PWRWNDONS|2045</v>
      </c>
      <c r="B158" t="str">
        <f t="shared" si="13"/>
        <v>Onshore wind|2045|O&amp;M|Direct</v>
      </c>
      <c r="C158" t="str">
        <f t="shared" si="14"/>
        <v>PWRWNDONS|Onshore wind</v>
      </c>
      <c r="D158" t="s">
        <v>16</v>
      </c>
      <c r="E158" t="s">
        <v>17</v>
      </c>
      <c r="F158" t="s">
        <v>19</v>
      </c>
      <c r="G158" t="s">
        <v>36</v>
      </c>
      <c r="H158">
        <v>2045</v>
      </c>
      <c r="I158" t="s">
        <v>18</v>
      </c>
      <c r="J158" t="s">
        <v>63</v>
      </c>
      <c r="K158" t="s">
        <v>64</v>
      </c>
      <c r="L158" t="s">
        <v>65</v>
      </c>
      <c r="M158">
        <f>SUMIFS(RawResultsLong!$P:$P,RawResultsLong!$A:$A,A158)</f>
        <v>297.11073660181569</v>
      </c>
      <c r="N158">
        <f t="shared" si="15"/>
        <v>9414.8711119291602</v>
      </c>
      <c r="O158" t="s">
        <v>68</v>
      </c>
      <c r="P158">
        <f>SUMIFS(TechnologyMapping!$D:$D,TechnologyMapping!$A:$A,C158)</f>
        <v>1</v>
      </c>
      <c r="Q158">
        <f t="shared" si="16"/>
        <v>9414.8711119291602</v>
      </c>
      <c r="R158">
        <f>SUMIFS(FactorInputs!$I:$I,FactorInputs!$A:$A,B158)</f>
        <v>2.7317518248200001E-2</v>
      </c>
      <c r="S158" t="str">
        <f>_xlfn.XLOOKUP(B158,FactorInputs!$A$2:$A$888,FactorInputs!$F$2:$F$888,"")</f>
        <v>job/MW</v>
      </c>
      <c r="T158" t="str">
        <f>_xlfn.XLOOKUP(B158,FactorInputs!$A$2:$A$888,FactorInputs!$B$2:$B$888,"")</f>
        <v>I-JEDI</v>
      </c>
      <c r="U158" t="str">
        <f>_xlfn.XLOOKUP(B158,FactorInputs!$A$2:$A$888,FactorInputs!$T$2:$T$888,"")</f>
        <v>I-JEDI</v>
      </c>
      <c r="V158">
        <f t="shared" si="17"/>
        <v>257.19091340457589</v>
      </c>
    </row>
    <row r="159" spans="1:23" x14ac:dyDescent="0.3">
      <c r="A159" t="str">
        <f t="shared" si="12"/>
        <v>PD|NewCapacity|RE1|PWRSOLRTP|2045</v>
      </c>
      <c r="B159" t="str">
        <f t="shared" si="13"/>
        <v>Rooftop solar PV|2045|Construction&amp;Manufacturing|Direct</v>
      </c>
      <c r="C159" t="str">
        <f t="shared" si="14"/>
        <v>PWRSOLRTP|Rooftop solar PV</v>
      </c>
      <c r="D159" t="s">
        <v>16</v>
      </c>
      <c r="E159" t="s">
        <v>17</v>
      </c>
      <c r="F159" t="s">
        <v>19</v>
      </c>
      <c r="G159" t="s">
        <v>31</v>
      </c>
      <c r="H159">
        <v>2045</v>
      </c>
      <c r="I159" t="s">
        <v>37</v>
      </c>
      <c r="J159" t="s">
        <v>69</v>
      </c>
      <c r="K159" t="s">
        <v>70</v>
      </c>
      <c r="L159" t="s">
        <v>65</v>
      </c>
      <c r="M159">
        <f>SUMIFS(RawResultsLong!$P:$P,RawResultsLong!$A:$A,A159)</f>
        <v>1.426759670259987</v>
      </c>
      <c r="N159">
        <f t="shared" si="15"/>
        <v>45.211285720713455</v>
      </c>
      <c r="O159" t="s">
        <v>71</v>
      </c>
      <c r="P159">
        <f>SUMIFS(TechnologyMapping!$D:$D,TechnologyMapping!$A:$A,C159)</f>
        <v>1</v>
      </c>
      <c r="Q159">
        <f t="shared" si="16"/>
        <v>45.211285720713455</v>
      </c>
      <c r="R159">
        <f>SUMIFS(FactorInputs!$I:$I,FactorInputs!$A:$A,B159)</f>
        <v>4.8489758144900001</v>
      </c>
      <c r="S159" t="str">
        <f>_xlfn.XLOOKUP(B159,FactorInputs!$A$2:$A$888,FactorInputs!$F$2:$F$888,"")</f>
        <v>job-yr/MW</v>
      </c>
      <c r="T159" t="str">
        <f>_xlfn.XLOOKUP(B159,FactorInputs!$A$2:$A$888,FactorInputs!$B$2:$B$888,"")</f>
        <v>JEDI-US</v>
      </c>
      <c r="U159" t="str">
        <f>_xlfn.XLOOKUP(B159,FactorInputs!$A$2:$A$888,FactorInputs!$T$2:$T$888,"")</f>
        <v>JEDI-US</v>
      </c>
      <c r="V159">
        <f t="shared" si="17"/>
        <v>219.22843100173665</v>
      </c>
    </row>
    <row r="160" spans="1:23" x14ac:dyDescent="0.3">
      <c r="A160" t="str">
        <f t="shared" si="12"/>
        <v>PD|NewCapacity|RE1|PWRWNDONS|2045</v>
      </c>
      <c r="B160" t="str">
        <f t="shared" si="13"/>
        <v>Onshore wind|2045|Construction&amp;Manufacturing|Direct</v>
      </c>
      <c r="C160" t="str">
        <f t="shared" si="14"/>
        <v>PWRWNDONS|Onshore wind</v>
      </c>
      <c r="D160" t="s">
        <v>16</v>
      </c>
      <c r="E160" t="s">
        <v>17</v>
      </c>
      <c r="F160" t="s">
        <v>19</v>
      </c>
      <c r="G160" t="s">
        <v>36</v>
      </c>
      <c r="H160">
        <v>2045</v>
      </c>
      <c r="I160" t="s">
        <v>37</v>
      </c>
      <c r="J160" t="s">
        <v>69</v>
      </c>
      <c r="K160" t="s">
        <v>70</v>
      </c>
      <c r="L160" t="s">
        <v>65</v>
      </c>
      <c r="M160">
        <f>SUMIFS(RawResultsLong!$P:$P,RawResultsLong!$A:$A,A160)</f>
        <v>18.980635770815471</v>
      </c>
      <c r="N160">
        <f t="shared" si="15"/>
        <v>601.46005307169969</v>
      </c>
      <c r="O160" t="s">
        <v>68</v>
      </c>
      <c r="P160">
        <f>SUMIFS(TechnologyMapping!$D:$D,TechnologyMapping!$A:$A,C160)</f>
        <v>1</v>
      </c>
      <c r="Q160">
        <f t="shared" si="16"/>
        <v>601.46005307169969</v>
      </c>
      <c r="R160">
        <f>SUMIFS(FactorInputs!$I:$I,FactorInputs!$A:$A,B160)</f>
        <v>6.6039687575799997</v>
      </c>
      <c r="S160" t="str">
        <f>_xlfn.XLOOKUP(B160,FactorInputs!$A$2:$A$888,FactorInputs!$F$2:$F$888,"")</f>
        <v>job-yr/MW</v>
      </c>
      <c r="T160" t="str">
        <f>_xlfn.XLOOKUP(B160,FactorInputs!$A$2:$A$888,FactorInputs!$B$2:$B$888,"")</f>
        <v>I-JEDI</v>
      </c>
      <c r="U160" t="str">
        <f>_xlfn.XLOOKUP(B160,FactorInputs!$A$2:$A$888,FactorInputs!$T$2:$T$888,"")</f>
        <v>I-JEDI</v>
      </c>
      <c r="V160">
        <f t="shared" si="17"/>
        <v>3972.0233994179134</v>
      </c>
    </row>
    <row r="161" spans="1:23" x14ac:dyDescent="0.3">
      <c r="A161" t="str">
        <f t="shared" si="12"/>
        <v>PD|AccumulatedNewCapacity|RE1|PWRHYDDAM|2046</v>
      </c>
      <c r="B161" t="str">
        <f t="shared" si="13"/>
        <v>Hydro (large)|2046|O&amp;M|Direct</v>
      </c>
      <c r="C161" t="str">
        <f t="shared" si="14"/>
        <v>PWRHYDDAM|Hydro (large)</v>
      </c>
      <c r="D161" t="s">
        <v>16</v>
      </c>
      <c r="E161" t="s">
        <v>17</v>
      </c>
      <c r="F161" t="s">
        <v>19</v>
      </c>
      <c r="G161" t="s">
        <v>24</v>
      </c>
      <c r="H161">
        <v>2046</v>
      </c>
      <c r="I161" t="s">
        <v>18</v>
      </c>
      <c r="J161" t="s">
        <v>63</v>
      </c>
      <c r="K161" t="s">
        <v>64</v>
      </c>
      <c r="L161" t="s">
        <v>65</v>
      </c>
      <c r="M161">
        <f>SUMIFS(RawResultsLong!$P:$P,RawResultsLong!$A:$A,A161)</f>
        <v>37.840000000000003</v>
      </c>
      <c r="N161">
        <f t="shared" si="15"/>
        <v>1199.0772428828554</v>
      </c>
      <c r="O161" t="s">
        <v>72</v>
      </c>
      <c r="P161">
        <f>SUMIFS(TechnologyMapping!$D:$D,TechnologyMapping!$A:$A,C161)</f>
        <v>1</v>
      </c>
      <c r="Q161">
        <f t="shared" si="16"/>
        <v>1199.0772428828554</v>
      </c>
      <c r="R161">
        <f>SUMIFS(FactorInputs!$I:$I,FactorInputs!$A:$A,B161)</f>
        <v>0.63919344262300004</v>
      </c>
      <c r="S161" t="str">
        <f>_xlfn.XLOOKUP(B161,FactorInputs!$A$2:$A$888,FactorInputs!$F$2:$F$888,"")</f>
        <v>job/MW</v>
      </c>
      <c r="T161" t="str">
        <f>_xlfn.XLOOKUP(B161,FactorInputs!$A$2:$A$888,FactorInputs!$B$2:$B$888,"")</f>
        <v>Rutovitz 2015</v>
      </c>
      <c r="U161" t="str">
        <f>_xlfn.XLOOKUP(B161,FactorInputs!$A$2:$A$888,FactorInputs!$T$2:$T$888,"")</f>
        <v>Rutovitz 2015</v>
      </c>
      <c r="V161">
        <f t="shared" si="17"/>
        <v>766.44231084918749</v>
      </c>
    </row>
    <row r="162" spans="1:23" x14ac:dyDescent="0.3">
      <c r="A162" t="str">
        <f t="shared" si="12"/>
        <v>PD|AccumulatedNewCapacity|RE1|PWRSOLRTP|2046</v>
      </c>
      <c r="B162" t="str">
        <f t="shared" si="13"/>
        <v>Rooftop solar PV|2046|O&amp;M|Direct</v>
      </c>
      <c r="C162" t="str">
        <f t="shared" si="14"/>
        <v>PWRSOLRTP|Rooftop solar PV</v>
      </c>
      <c r="D162" t="s">
        <v>16</v>
      </c>
      <c r="E162" t="s">
        <v>17</v>
      </c>
      <c r="F162" t="s">
        <v>19</v>
      </c>
      <c r="G162" t="s">
        <v>31</v>
      </c>
      <c r="H162">
        <v>2046</v>
      </c>
      <c r="I162" t="s">
        <v>18</v>
      </c>
      <c r="J162" t="s">
        <v>63</v>
      </c>
      <c r="K162" t="s">
        <v>64</v>
      </c>
      <c r="L162" t="s">
        <v>65</v>
      </c>
      <c r="M162">
        <f>SUMIFS(RawResultsLong!$P:$P,RawResultsLong!$A:$A,A162)</f>
        <v>113.6458275206088</v>
      </c>
      <c r="N162">
        <f t="shared" si="15"/>
        <v>3601.2189621710395</v>
      </c>
      <c r="O162" t="s">
        <v>71</v>
      </c>
      <c r="P162">
        <f>SUMIFS(TechnologyMapping!$D:$D,TechnologyMapping!$A:$A,C162)</f>
        <v>1</v>
      </c>
      <c r="Q162">
        <f t="shared" si="16"/>
        <v>3601.2189621710395</v>
      </c>
      <c r="R162">
        <f>SUMIFS(FactorInputs!$I:$I,FactorInputs!$A:$A,B162)</f>
        <v>0.225176470588</v>
      </c>
      <c r="S162" t="str">
        <f>_xlfn.XLOOKUP(B162,FactorInputs!$A$2:$A$888,FactorInputs!$F$2:$F$888,"")</f>
        <v>job/MW</v>
      </c>
      <c r="T162" t="str">
        <f>_xlfn.XLOOKUP(B162,FactorInputs!$A$2:$A$888,FactorInputs!$B$2:$B$888,"")</f>
        <v>JEDI-US</v>
      </c>
      <c r="U162" t="str">
        <f>_xlfn.XLOOKUP(B162,FactorInputs!$A$2:$A$888,FactorInputs!$T$2:$T$888,"")</f>
        <v>JEDI-US</v>
      </c>
      <c r="V162">
        <f t="shared" si="17"/>
        <v>810.90977571625501</v>
      </c>
    </row>
    <row r="163" spans="1:23" x14ac:dyDescent="0.3">
      <c r="A163" t="str">
        <f t="shared" si="12"/>
        <v>PD|AccumulatedNewCapacity|RE1|PWRSOLRTP_ZNI|2046</v>
      </c>
      <c r="B163" t="str">
        <f t="shared" si="13"/>
        <v>Rooftop solar PV|2046|O&amp;M|Direct</v>
      </c>
      <c r="C163" t="str">
        <f t="shared" si="14"/>
        <v>PWRSOLRTP_ZNI|Rooftop solar PV</v>
      </c>
      <c r="D163" t="s">
        <v>16</v>
      </c>
      <c r="E163" t="s">
        <v>17</v>
      </c>
      <c r="F163" t="s">
        <v>19</v>
      </c>
      <c r="G163" t="s">
        <v>32</v>
      </c>
      <c r="H163">
        <v>2046</v>
      </c>
      <c r="I163" t="s">
        <v>18</v>
      </c>
      <c r="J163" t="s">
        <v>63</v>
      </c>
      <c r="K163" t="s">
        <v>64</v>
      </c>
      <c r="L163" t="s">
        <v>65</v>
      </c>
      <c r="M163">
        <f>SUMIFS(RawResultsLong!$P:$P,RawResultsLong!$A:$A,A163)</f>
        <v>0.88750826980907294</v>
      </c>
      <c r="N163">
        <f t="shared" si="15"/>
        <v>28.123439989386799</v>
      </c>
      <c r="O163" t="s">
        <v>71</v>
      </c>
      <c r="P163">
        <f>SUMIFS(TechnologyMapping!$D:$D,TechnologyMapping!$A:$A,C163)</f>
        <v>1</v>
      </c>
      <c r="Q163">
        <f t="shared" si="16"/>
        <v>28.123439989386799</v>
      </c>
      <c r="R163">
        <f>SUMIFS(FactorInputs!$I:$I,FactorInputs!$A:$A,B163)</f>
        <v>0.225176470588</v>
      </c>
      <c r="S163" t="str">
        <f>_xlfn.XLOOKUP(B163,FactorInputs!$A$2:$A$888,FactorInputs!$F$2:$F$888,"")</f>
        <v>job/MW</v>
      </c>
      <c r="T163" t="str">
        <f>_xlfn.XLOOKUP(B163,FactorInputs!$A$2:$A$888,FactorInputs!$B$2:$B$888,"")</f>
        <v>JEDI-US</v>
      </c>
      <c r="U163" t="str">
        <f>_xlfn.XLOOKUP(B163,FactorInputs!$A$2:$A$888,FactorInputs!$T$2:$T$888,"")</f>
        <v>JEDI-US</v>
      </c>
      <c r="V163">
        <f t="shared" si="17"/>
        <v>6.3327369576035393</v>
      </c>
      <c r="W163" t="s">
        <v>73</v>
      </c>
    </row>
    <row r="164" spans="1:23" x14ac:dyDescent="0.3">
      <c r="A164" t="str">
        <f t="shared" si="12"/>
        <v>PD|AccumulatedNewCapacity|RE1|PWRSOLUGE|2046</v>
      </c>
      <c r="B164" t="str">
        <f t="shared" si="13"/>
        <v>Utility-scale solar PV|2046|O&amp;M|Direct</v>
      </c>
      <c r="C164" t="str">
        <f t="shared" si="14"/>
        <v>PWRSOLUGE|Utility-scale solar PV</v>
      </c>
      <c r="D164" t="s">
        <v>16</v>
      </c>
      <c r="E164" t="s">
        <v>17</v>
      </c>
      <c r="F164" t="s">
        <v>19</v>
      </c>
      <c r="G164" t="s">
        <v>33</v>
      </c>
      <c r="H164">
        <v>2046</v>
      </c>
      <c r="I164" t="s">
        <v>18</v>
      </c>
      <c r="J164" t="s">
        <v>63</v>
      </c>
      <c r="K164" t="s">
        <v>64</v>
      </c>
      <c r="L164" t="s">
        <v>65</v>
      </c>
      <c r="M164">
        <f>SUMIFS(RawResultsLong!$P:$P,RawResultsLong!$A:$A,A164)</f>
        <v>143.394192</v>
      </c>
      <c r="N164">
        <f t="shared" si="15"/>
        <v>4543.8877481177278</v>
      </c>
      <c r="O164" t="s">
        <v>66</v>
      </c>
      <c r="P164">
        <f>SUMIFS(TechnologyMapping!$D:$D,TechnologyMapping!$A:$A,C164)</f>
        <v>1</v>
      </c>
      <c r="Q164">
        <f t="shared" si="16"/>
        <v>4543.8877481177278</v>
      </c>
      <c r="R164">
        <f>SUMIFS(FactorInputs!$I:$I,FactorInputs!$A:$A,B164)</f>
        <v>7.2766216216199997E-2</v>
      </c>
      <c r="S164" t="str">
        <f>_xlfn.XLOOKUP(B164,FactorInputs!$A$2:$A$888,FactorInputs!$F$2:$F$888,"")</f>
        <v>job/MW</v>
      </c>
      <c r="T164" t="str">
        <f>_xlfn.XLOOKUP(B164,FactorInputs!$A$2:$A$888,FactorInputs!$B$2:$B$888,"")</f>
        <v>I-JEDI</v>
      </c>
      <c r="U164" t="str">
        <f>_xlfn.XLOOKUP(B164,FactorInputs!$A$2:$A$888,FactorInputs!$T$2:$T$888,"")</f>
        <v>I-JEDI</v>
      </c>
      <c r="V164">
        <f t="shared" si="17"/>
        <v>330.64151834167671</v>
      </c>
    </row>
    <row r="165" spans="1:23" x14ac:dyDescent="0.3">
      <c r="A165" t="str">
        <f t="shared" si="12"/>
        <v>PD|AccumulatedNewCapacity|RE1|PWRSOLUPE|2046</v>
      </c>
      <c r="B165" t="str">
        <f t="shared" si="13"/>
        <v>Utility-scale solar PV|2046|O&amp;M|Direct</v>
      </c>
      <c r="C165" t="str">
        <f t="shared" si="14"/>
        <v>PWRSOLUPE|Utility-scale solar PV</v>
      </c>
      <c r="D165" t="s">
        <v>16</v>
      </c>
      <c r="E165" t="s">
        <v>17</v>
      </c>
      <c r="F165" t="s">
        <v>19</v>
      </c>
      <c r="G165" t="s">
        <v>34</v>
      </c>
      <c r="H165">
        <v>2046</v>
      </c>
      <c r="I165" t="s">
        <v>18</v>
      </c>
      <c r="J165" t="s">
        <v>63</v>
      </c>
      <c r="K165" t="s">
        <v>64</v>
      </c>
      <c r="L165" t="s">
        <v>65</v>
      </c>
      <c r="M165">
        <f>SUMIFS(RawResultsLong!$P:$P,RawResultsLong!$A:$A,A165)</f>
        <v>12.14419823999993</v>
      </c>
      <c r="N165">
        <f t="shared" si="15"/>
        <v>384.82642026009364</v>
      </c>
      <c r="O165" t="s">
        <v>66</v>
      </c>
      <c r="P165">
        <f>SUMIFS(TechnologyMapping!$D:$D,TechnologyMapping!$A:$A,C165)</f>
        <v>1</v>
      </c>
      <c r="Q165">
        <f t="shared" si="16"/>
        <v>384.82642026009364</v>
      </c>
      <c r="R165">
        <f>SUMIFS(FactorInputs!$I:$I,FactorInputs!$A:$A,B165)</f>
        <v>7.2766216216199997E-2</v>
      </c>
      <c r="S165" t="str">
        <f>_xlfn.XLOOKUP(B165,FactorInputs!$A$2:$A$888,FactorInputs!$F$2:$F$888,"")</f>
        <v>job/MW</v>
      </c>
      <c r="T165" t="str">
        <f>_xlfn.XLOOKUP(B165,FactorInputs!$A$2:$A$888,FactorInputs!$B$2:$B$888,"")</f>
        <v>I-JEDI</v>
      </c>
      <c r="U165" t="str">
        <f>_xlfn.XLOOKUP(B165,FactorInputs!$A$2:$A$888,FactorInputs!$T$2:$T$888,"")</f>
        <v>I-JEDI</v>
      </c>
      <c r="V165">
        <f t="shared" si="17"/>
        <v>28.00236250235222</v>
      </c>
      <c r="W165" t="s">
        <v>67</v>
      </c>
    </row>
    <row r="166" spans="1:23" x14ac:dyDescent="0.3">
      <c r="A166" t="str">
        <f t="shared" si="12"/>
        <v>PD|AccumulatedNewCapacity|RE1|PWRWNDONS|2046</v>
      </c>
      <c r="B166" t="str">
        <f t="shared" si="13"/>
        <v>Onshore wind|2046|O&amp;M|Direct</v>
      </c>
      <c r="C166" t="str">
        <f t="shared" si="14"/>
        <v>PWRWNDONS|Onshore wind</v>
      </c>
      <c r="D166" t="s">
        <v>16</v>
      </c>
      <c r="E166" t="s">
        <v>17</v>
      </c>
      <c r="F166" t="s">
        <v>19</v>
      </c>
      <c r="G166" t="s">
        <v>36</v>
      </c>
      <c r="H166">
        <v>2046</v>
      </c>
      <c r="I166" t="s">
        <v>18</v>
      </c>
      <c r="J166" t="s">
        <v>63</v>
      </c>
      <c r="K166" t="s">
        <v>64</v>
      </c>
      <c r="L166" t="s">
        <v>65</v>
      </c>
      <c r="M166">
        <f>SUMIFS(RawResultsLong!$P:$P,RawResultsLong!$A:$A,A166)</f>
        <v>344.42073660181569</v>
      </c>
      <c r="N166">
        <f t="shared" si="15"/>
        <v>10914.03454641087</v>
      </c>
      <c r="O166" t="s">
        <v>68</v>
      </c>
      <c r="P166">
        <f>SUMIFS(TechnologyMapping!$D:$D,TechnologyMapping!$A:$A,C166)</f>
        <v>1</v>
      </c>
      <c r="Q166">
        <f t="shared" si="16"/>
        <v>10914.03454641087</v>
      </c>
      <c r="R166">
        <f>SUMIFS(FactorInputs!$I:$I,FactorInputs!$A:$A,B166)</f>
        <v>2.7240875912400001E-2</v>
      </c>
      <c r="S166" t="str">
        <f>_xlfn.XLOOKUP(B166,FactorInputs!$A$2:$A$888,FactorInputs!$F$2:$F$888,"")</f>
        <v>job/MW</v>
      </c>
      <c r="T166" t="str">
        <f>_xlfn.XLOOKUP(B166,FactorInputs!$A$2:$A$888,FactorInputs!$B$2:$B$888,"")</f>
        <v>I-JEDI</v>
      </c>
      <c r="U166" t="str">
        <f>_xlfn.XLOOKUP(B166,FactorInputs!$A$2:$A$888,FactorInputs!$T$2:$T$888,"")</f>
        <v>I-JEDI</v>
      </c>
      <c r="V166">
        <f t="shared" si="17"/>
        <v>297.30786078242534</v>
      </c>
    </row>
    <row r="167" spans="1:23" x14ac:dyDescent="0.3">
      <c r="A167" t="str">
        <f t="shared" si="12"/>
        <v>PD|NewCapacity|RE1|PWRSOLRTP|2046</v>
      </c>
      <c r="B167" t="str">
        <f t="shared" si="13"/>
        <v>Rooftop solar PV|2046|Construction&amp;Manufacturing|Direct</v>
      </c>
      <c r="C167" t="str">
        <f t="shared" si="14"/>
        <v>PWRSOLRTP|Rooftop solar PV</v>
      </c>
      <c r="D167" t="s">
        <v>16</v>
      </c>
      <c r="E167" t="s">
        <v>17</v>
      </c>
      <c r="F167" t="s">
        <v>19</v>
      </c>
      <c r="G167" t="s">
        <v>31</v>
      </c>
      <c r="H167">
        <v>2046</v>
      </c>
      <c r="I167" t="s">
        <v>37</v>
      </c>
      <c r="J167" t="s">
        <v>69</v>
      </c>
      <c r="K167" t="s">
        <v>70</v>
      </c>
      <c r="L167" t="s">
        <v>65</v>
      </c>
      <c r="M167">
        <f>SUMIFS(RawResultsLong!$P:$P,RawResultsLong!$A:$A,A167)</f>
        <v>1.426759670259987</v>
      </c>
      <c r="N167">
        <f t="shared" si="15"/>
        <v>45.211285720713455</v>
      </c>
      <c r="O167" t="s">
        <v>71</v>
      </c>
      <c r="P167">
        <f>SUMIFS(TechnologyMapping!$D:$D,TechnologyMapping!$A:$A,C167)</f>
        <v>1</v>
      </c>
      <c r="Q167">
        <f t="shared" si="16"/>
        <v>45.211285720713455</v>
      </c>
      <c r="R167">
        <f>SUMIFS(FactorInputs!$I:$I,FactorInputs!$A:$A,B167)</f>
        <v>4.7432928636999998</v>
      </c>
      <c r="S167" t="str">
        <f>_xlfn.XLOOKUP(B167,FactorInputs!$A$2:$A$888,FactorInputs!$F$2:$F$888,"")</f>
        <v>job-yr/MW</v>
      </c>
      <c r="T167" t="str">
        <f>_xlfn.XLOOKUP(B167,FactorInputs!$A$2:$A$888,FactorInputs!$B$2:$B$888,"")</f>
        <v>JEDI-US</v>
      </c>
      <c r="U167" t="str">
        <f>_xlfn.XLOOKUP(B167,FactorInputs!$A$2:$A$888,FactorInputs!$T$2:$T$888,"")</f>
        <v>JEDI-US</v>
      </c>
      <c r="V167">
        <f t="shared" si="17"/>
        <v>214.45036891776184</v>
      </c>
    </row>
    <row r="168" spans="1:23" x14ac:dyDescent="0.3">
      <c r="A168" t="str">
        <f t="shared" si="12"/>
        <v>PD|NewCapacity|RE1|PWRWNDONS|2046</v>
      </c>
      <c r="B168" t="str">
        <f t="shared" si="13"/>
        <v>Onshore wind|2046|Construction&amp;Manufacturing|Direct</v>
      </c>
      <c r="C168" t="str">
        <f t="shared" si="14"/>
        <v>PWRWNDONS|Onshore wind</v>
      </c>
      <c r="D168" t="s">
        <v>16</v>
      </c>
      <c r="E168" t="s">
        <v>17</v>
      </c>
      <c r="F168" t="s">
        <v>19</v>
      </c>
      <c r="G168" t="s">
        <v>36</v>
      </c>
      <c r="H168">
        <v>2046</v>
      </c>
      <c r="I168" t="s">
        <v>37</v>
      </c>
      <c r="J168" t="s">
        <v>69</v>
      </c>
      <c r="K168" t="s">
        <v>70</v>
      </c>
      <c r="L168" t="s">
        <v>65</v>
      </c>
      <c r="M168">
        <f>SUMIFS(RawResultsLong!$P:$P,RawResultsLong!$A:$A,A168)</f>
        <v>47.31</v>
      </c>
      <c r="N168">
        <f t="shared" si="15"/>
        <v>1499.1634344817096</v>
      </c>
      <c r="O168" t="s">
        <v>68</v>
      </c>
      <c r="P168">
        <f>SUMIFS(TechnologyMapping!$D:$D,TechnologyMapping!$A:$A,C168)</f>
        <v>1</v>
      </c>
      <c r="Q168">
        <f t="shared" si="16"/>
        <v>1499.1634344817096</v>
      </c>
      <c r="R168">
        <f>SUMIFS(FactorInputs!$I:$I,FactorInputs!$A:$A,B168)</f>
        <v>6.5857270093800002</v>
      </c>
      <c r="S168" t="str">
        <f>_xlfn.XLOOKUP(B168,FactorInputs!$A$2:$A$888,FactorInputs!$F$2:$F$888,"")</f>
        <v>job-yr/MW</v>
      </c>
      <c r="T168" t="str">
        <f>_xlfn.XLOOKUP(B168,FactorInputs!$A$2:$A$888,FactorInputs!$B$2:$B$888,"")</f>
        <v>I-JEDI</v>
      </c>
      <c r="U168" t="str">
        <f>_xlfn.XLOOKUP(B168,FactorInputs!$A$2:$A$888,FactorInputs!$T$2:$T$888,"")</f>
        <v>I-JEDI</v>
      </c>
      <c r="V168">
        <f t="shared" si="17"/>
        <v>9873.0811219410789</v>
      </c>
    </row>
    <row r="169" spans="1:23" x14ac:dyDescent="0.3">
      <c r="A169" t="str">
        <f t="shared" si="12"/>
        <v>PD|AccumulatedNewCapacity|RE1|PWRHYDDAM|2047</v>
      </c>
      <c r="B169" t="str">
        <f t="shared" si="13"/>
        <v>Hydro (large)|2047|O&amp;M|Direct</v>
      </c>
      <c r="C169" t="str">
        <f t="shared" si="14"/>
        <v>PWRHYDDAM|Hydro (large)</v>
      </c>
      <c r="D169" t="s">
        <v>16</v>
      </c>
      <c r="E169" t="s">
        <v>17</v>
      </c>
      <c r="F169" t="s">
        <v>19</v>
      </c>
      <c r="G169" t="s">
        <v>24</v>
      </c>
      <c r="H169">
        <v>2047</v>
      </c>
      <c r="I169" t="s">
        <v>18</v>
      </c>
      <c r="J169" t="s">
        <v>63</v>
      </c>
      <c r="K169" t="s">
        <v>64</v>
      </c>
      <c r="L169" t="s">
        <v>65</v>
      </c>
      <c r="M169">
        <f>SUMIFS(RawResultsLong!$P:$P,RawResultsLong!$A:$A,A169)</f>
        <v>37.840000000000003</v>
      </c>
      <c r="N169">
        <f t="shared" si="15"/>
        <v>1199.0772428828554</v>
      </c>
      <c r="O169" t="s">
        <v>72</v>
      </c>
      <c r="P169">
        <f>SUMIFS(TechnologyMapping!$D:$D,TechnologyMapping!$A:$A,C169)</f>
        <v>1</v>
      </c>
      <c r="Q169">
        <f t="shared" si="16"/>
        <v>1199.0772428828554</v>
      </c>
      <c r="R169">
        <f>SUMIFS(FactorInputs!$I:$I,FactorInputs!$A:$A,B169)</f>
        <v>0.63901803278699998</v>
      </c>
      <c r="S169" t="str">
        <f>_xlfn.XLOOKUP(B169,FactorInputs!$A$2:$A$888,FactorInputs!$F$2:$F$888,"")</f>
        <v>job/MW</v>
      </c>
      <c r="T169" t="str">
        <f>_xlfn.XLOOKUP(B169,FactorInputs!$A$2:$A$888,FactorInputs!$B$2:$B$888,"")</f>
        <v>Rutovitz 2015</v>
      </c>
      <c r="U169" t="str">
        <f>_xlfn.XLOOKUP(B169,FactorInputs!$A$2:$A$888,FactorInputs!$T$2:$T$888,"")</f>
        <v>Rutovitz 2015</v>
      </c>
      <c r="V169">
        <f t="shared" si="17"/>
        <v>766.2319809066621</v>
      </c>
    </row>
    <row r="170" spans="1:23" x14ac:dyDescent="0.3">
      <c r="A170" t="str">
        <f t="shared" si="12"/>
        <v>PD|AccumulatedNewCapacity|RE1|PWRSOLRTP|2047</v>
      </c>
      <c r="B170" t="str">
        <f t="shared" si="13"/>
        <v>Rooftop solar PV|2047|O&amp;M|Direct</v>
      </c>
      <c r="C170" t="str">
        <f t="shared" si="14"/>
        <v>PWRSOLRTP|Rooftop solar PV</v>
      </c>
      <c r="D170" t="s">
        <v>16</v>
      </c>
      <c r="E170" t="s">
        <v>17</v>
      </c>
      <c r="F170" t="s">
        <v>19</v>
      </c>
      <c r="G170" t="s">
        <v>31</v>
      </c>
      <c r="H170">
        <v>2047</v>
      </c>
      <c r="I170" t="s">
        <v>18</v>
      </c>
      <c r="J170" t="s">
        <v>63</v>
      </c>
      <c r="K170" t="s">
        <v>64</v>
      </c>
      <c r="L170" t="s">
        <v>65</v>
      </c>
      <c r="M170">
        <f>SUMIFS(RawResultsLong!$P:$P,RawResultsLong!$A:$A,A170)</f>
        <v>115.0725871908687</v>
      </c>
      <c r="N170">
        <f t="shared" si="15"/>
        <v>3646.4302478917502</v>
      </c>
      <c r="O170" t="s">
        <v>71</v>
      </c>
      <c r="P170">
        <f>SUMIFS(TechnologyMapping!$D:$D,TechnologyMapping!$A:$A,C170)</f>
        <v>1</v>
      </c>
      <c r="Q170">
        <f t="shared" si="16"/>
        <v>3646.4302478917502</v>
      </c>
      <c r="R170">
        <f>SUMIFS(FactorInputs!$I:$I,FactorInputs!$A:$A,B170)</f>
        <v>0.22314705882399999</v>
      </c>
      <c r="S170" t="str">
        <f>_xlfn.XLOOKUP(B170,FactorInputs!$A$2:$A$888,FactorInputs!$F$2:$F$888,"")</f>
        <v>job/MW</v>
      </c>
      <c r="T170" t="str">
        <f>_xlfn.XLOOKUP(B170,FactorInputs!$A$2:$A$888,FactorInputs!$B$2:$B$888,"")</f>
        <v>JEDI-US</v>
      </c>
      <c r="U170" t="str">
        <f>_xlfn.XLOOKUP(B170,FactorInputs!$A$2:$A$888,FactorInputs!$T$2:$T$888,"")</f>
        <v>JEDI-US</v>
      </c>
      <c r="V170">
        <f t="shared" si="17"/>
        <v>813.69018502391327</v>
      </c>
    </row>
    <row r="171" spans="1:23" x14ac:dyDescent="0.3">
      <c r="A171" t="str">
        <f t="shared" si="12"/>
        <v>PD|AccumulatedNewCapacity|RE1|PWRSOLRTP_ZNI|2047</v>
      </c>
      <c r="B171" t="str">
        <f t="shared" si="13"/>
        <v>Rooftop solar PV|2047|O&amp;M|Direct</v>
      </c>
      <c r="C171" t="str">
        <f t="shared" si="14"/>
        <v>PWRSOLRTP_ZNI|Rooftop solar PV</v>
      </c>
      <c r="D171" t="s">
        <v>16</v>
      </c>
      <c r="E171" t="s">
        <v>17</v>
      </c>
      <c r="F171" t="s">
        <v>19</v>
      </c>
      <c r="G171" t="s">
        <v>32</v>
      </c>
      <c r="H171">
        <v>2047</v>
      </c>
      <c r="I171" t="s">
        <v>18</v>
      </c>
      <c r="J171" t="s">
        <v>63</v>
      </c>
      <c r="K171" t="s">
        <v>64</v>
      </c>
      <c r="L171" t="s">
        <v>65</v>
      </c>
      <c r="M171">
        <f>SUMIFS(RawResultsLong!$P:$P,RawResultsLong!$A:$A,A171)</f>
        <v>0.88750826980907294</v>
      </c>
      <c r="N171">
        <f t="shared" si="15"/>
        <v>28.123439989386799</v>
      </c>
      <c r="O171" t="s">
        <v>71</v>
      </c>
      <c r="P171">
        <f>SUMIFS(TechnologyMapping!$D:$D,TechnologyMapping!$A:$A,C171)</f>
        <v>1</v>
      </c>
      <c r="Q171">
        <f t="shared" si="16"/>
        <v>28.123439989386799</v>
      </c>
      <c r="R171">
        <f>SUMIFS(FactorInputs!$I:$I,FactorInputs!$A:$A,B171)</f>
        <v>0.22314705882399999</v>
      </c>
      <c r="S171" t="str">
        <f>_xlfn.XLOOKUP(B171,FactorInputs!$A$2:$A$888,FactorInputs!$F$2:$F$888,"")</f>
        <v>job/MW</v>
      </c>
      <c r="T171" t="str">
        <f>_xlfn.XLOOKUP(B171,FactorInputs!$A$2:$A$888,FactorInputs!$B$2:$B$888,"")</f>
        <v>JEDI-US</v>
      </c>
      <c r="U171" t="str">
        <f>_xlfn.XLOOKUP(B171,FactorInputs!$A$2:$A$888,FactorInputs!$T$2:$T$888,"")</f>
        <v>JEDI-US</v>
      </c>
      <c r="V171">
        <f t="shared" si="17"/>
        <v>6.2756629176449295</v>
      </c>
      <c r="W171" t="s">
        <v>73</v>
      </c>
    </row>
    <row r="172" spans="1:23" x14ac:dyDescent="0.3">
      <c r="A172" t="str">
        <f t="shared" si="12"/>
        <v>PD|AccumulatedNewCapacity|RE1|PWRSOLUGE|2047</v>
      </c>
      <c r="B172" t="str">
        <f t="shared" si="13"/>
        <v>Utility-scale solar PV|2047|O&amp;M|Direct</v>
      </c>
      <c r="C172" t="str">
        <f t="shared" si="14"/>
        <v>PWRSOLUGE|Utility-scale solar PV</v>
      </c>
      <c r="D172" t="s">
        <v>16</v>
      </c>
      <c r="E172" t="s">
        <v>17</v>
      </c>
      <c r="F172" t="s">
        <v>19</v>
      </c>
      <c r="G172" t="s">
        <v>33</v>
      </c>
      <c r="H172">
        <v>2047</v>
      </c>
      <c r="I172" t="s">
        <v>18</v>
      </c>
      <c r="J172" t="s">
        <v>63</v>
      </c>
      <c r="K172" t="s">
        <v>64</v>
      </c>
      <c r="L172" t="s">
        <v>65</v>
      </c>
      <c r="M172">
        <f>SUMIFS(RawResultsLong!$P:$P,RawResultsLong!$A:$A,A172)</f>
        <v>143.394192</v>
      </c>
      <c r="N172">
        <f t="shared" si="15"/>
        <v>4543.8877481177278</v>
      </c>
      <c r="O172" t="s">
        <v>66</v>
      </c>
      <c r="P172">
        <f>SUMIFS(TechnologyMapping!$D:$D,TechnologyMapping!$A:$A,C172)</f>
        <v>1</v>
      </c>
      <c r="Q172">
        <f t="shared" si="16"/>
        <v>4543.8877481177278</v>
      </c>
      <c r="R172">
        <f>SUMIFS(FactorInputs!$I:$I,FactorInputs!$A:$A,B172)</f>
        <v>7.2179391891899994E-2</v>
      </c>
      <c r="S172" t="str">
        <f>_xlfn.XLOOKUP(B172,FactorInputs!$A$2:$A$888,FactorInputs!$F$2:$F$888,"")</f>
        <v>job/MW</v>
      </c>
      <c r="T172" t="str">
        <f>_xlfn.XLOOKUP(B172,FactorInputs!$A$2:$A$888,FactorInputs!$B$2:$B$888,"")</f>
        <v>I-JEDI</v>
      </c>
      <c r="U172" t="str">
        <f>_xlfn.XLOOKUP(B172,FactorInputs!$A$2:$A$888,FactorInputs!$T$2:$T$888,"")</f>
        <v>I-JEDI</v>
      </c>
      <c r="V172">
        <f t="shared" si="17"/>
        <v>327.97505448419247</v>
      </c>
    </row>
    <row r="173" spans="1:23" x14ac:dyDescent="0.3">
      <c r="A173" t="str">
        <f t="shared" si="12"/>
        <v>PD|AccumulatedNewCapacity|RE1|PWRSOLUPE|2047</v>
      </c>
      <c r="B173" t="str">
        <f t="shared" si="13"/>
        <v>Utility-scale solar PV|2047|O&amp;M|Direct</v>
      </c>
      <c r="C173" t="str">
        <f t="shared" si="14"/>
        <v>PWRSOLUPE|Utility-scale solar PV</v>
      </c>
      <c r="D173" t="s">
        <v>16</v>
      </c>
      <c r="E173" t="s">
        <v>17</v>
      </c>
      <c r="F173" t="s">
        <v>19</v>
      </c>
      <c r="G173" t="s">
        <v>34</v>
      </c>
      <c r="H173">
        <v>2047</v>
      </c>
      <c r="I173" t="s">
        <v>18</v>
      </c>
      <c r="J173" t="s">
        <v>63</v>
      </c>
      <c r="K173" t="s">
        <v>64</v>
      </c>
      <c r="L173" t="s">
        <v>65</v>
      </c>
      <c r="M173">
        <f>SUMIFS(RawResultsLong!$P:$P,RawResultsLong!$A:$A,A173)</f>
        <v>12.14419823999993</v>
      </c>
      <c r="N173">
        <f t="shared" si="15"/>
        <v>384.82642026009364</v>
      </c>
      <c r="O173" t="s">
        <v>66</v>
      </c>
      <c r="P173">
        <f>SUMIFS(TechnologyMapping!$D:$D,TechnologyMapping!$A:$A,C173)</f>
        <v>1</v>
      </c>
      <c r="Q173">
        <f t="shared" si="16"/>
        <v>384.82642026009364</v>
      </c>
      <c r="R173">
        <f>SUMIFS(FactorInputs!$I:$I,FactorInputs!$A:$A,B173)</f>
        <v>7.2179391891899994E-2</v>
      </c>
      <c r="S173" t="str">
        <f>_xlfn.XLOOKUP(B173,FactorInputs!$A$2:$A$888,FactorInputs!$F$2:$F$888,"")</f>
        <v>job/MW</v>
      </c>
      <c r="T173" t="str">
        <f>_xlfn.XLOOKUP(B173,FactorInputs!$A$2:$A$888,FactorInputs!$B$2:$B$888,"")</f>
        <v>I-JEDI</v>
      </c>
      <c r="U173" t="str">
        <f>_xlfn.XLOOKUP(B173,FactorInputs!$A$2:$A$888,FactorInputs!$T$2:$T$888,"")</f>
        <v>I-JEDI</v>
      </c>
      <c r="V173">
        <f t="shared" si="17"/>
        <v>27.776536998310302</v>
      </c>
      <c r="W173" t="s">
        <v>67</v>
      </c>
    </row>
    <row r="174" spans="1:23" x14ac:dyDescent="0.3">
      <c r="A174" t="str">
        <f t="shared" si="12"/>
        <v>PD|AccumulatedNewCapacity|RE1|PWRWNDONS|2047</v>
      </c>
      <c r="B174" t="str">
        <f t="shared" si="13"/>
        <v>Onshore wind|2047|O&amp;M|Direct</v>
      </c>
      <c r="C174" t="str">
        <f t="shared" si="14"/>
        <v>PWRWNDONS|Onshore wind</v>
      </c>
      <c r="D174" t="s">
        <v>16</v>
      </c>
      <c r="E174" t="s">
        <v>17</v>
      </c>
      <c r="F174" t="s">
        <v>19</v>
      </c>
      <c r="G174" t="s">
        <v>36</v>
      </c>
      <c r="H174">
        <v>2047</v>
      </c>
      <c r="I174" t="s">
        <v>18</v>
      </c>
      <c r="J174" t="s">
        <v>63</v>
      </c>
      <c r="K174" t="s">
        <v>64</v>
      </c>
      <c r="L174" t="s">
        <v>65</v>
      </c>
      <c r="M174">
        <f>SUMIFS(RawResultsLong!$P:$P,RawResultsLong!$A:$A,A174)</f>
        <v>391.73073660181569</v>
      </c>
      <c r="N174">
        <f t="shared" si="15"/>
        <v>12413.197980892579</v>
      </c>
      <c r="O174" t="s">
        <v>68</v>
      </c>
      <c r="P174">
        <f>SUMIFS(TechnologyMapping!$D:$D,TechnologyMapping!$A:$A,C174)</f>
        <v>1</v>
      </c>
      <c r="Q174">
        <f t="shared" si="16"/>
        <v>12413.197980892579</v>
      </c>
      <c r="R174">
        <f>SUMIFS(FactorInputs!$I:$I,FactorInputs!$A:$A,B174)</f>
        <v>2.71642335766E-2</v>
      </c>
      <c r="S174" t="str">
        <f>_xlfn.XLOOKUP(B174,FactorInputs!$A$2:$A$888,FactorInputs!$F$2:$F$888,"")</f>
        <v>job/MW</v>
      </c>
      <c r="T174" t="str">
        <f>_xlfn.XLOOKUP(B174,FactorInputs!$A$2:$A$888,FactorInputs!$B$2:$B$888,"")</f>
        <v>I-JEDI</v>
      </c>
      <c r="U174" t="str">
        <f>_xlfn.XLOOKUP(B174,FactorInputs!$A$2:$A$888,FactorInputs!$T$2:$T$888,"")</f>
        <v>I-JEDI</v>
      </c>
      <c r="V174">
        <f t="shared" si="17"/>
        <v>337.19500938554552</v>
      </c>
    </row>
    <row r="175" spans="1:23" x14ac:dyDescent="0.3">
      <c r="A175" t="str">
        <f t="shared" si="12"/>
        <v>PD|NewCapacity|RE1|PWRSOLRTP|2047</v>
      </c>
      <c r="B175" t="str">
        <f t="shared" si="13"/>
        <v>Rooftop solar PV|2047|Construction&amp;Manufacturing|Direct</v>
      </c>
      <c r="C175" t="str">
        <f t="shared" si="14"/>
        <v>PWRSOLRTP|Rooftop solar PV</v>
      </c>
      <c r="D175" t="s">
        <v>16</v>
      </c>
      <c r="E175" t="s">
        <v>17</v>
      </c>
      <c r="F175" t="s">
        <v>19</v>
      </c>
      <c r="G175" t="s">
        <v>31</v>
      </c>
      <c r="H175">
        <v>2047</v>
      </c>
      <c r="I175" t="s">
        <v>37</v>
      </c>
      <c r="J175" t="s">
        <v>69</v>
      </c>
      <c r="K175" t="s">
        <v>70</v>
      </c>
      <c r="L175" t="s">
        <v>65</v>
      </c>
      <c r="M175">
        <f>SUMIFS(RawResultsLong!$P:$P,RawResultsLong!$A:$A,A175)</f>
        <v>1.426759670259987</v>
      </c>
      <c r="N175">
        <f t="shared" si="15"/>
        <v>45.211285720713455</v>
      </c>
      <c r="O175" t="s">
        <v>71</v>
      </c>
      <c r="P175">
        <f>SUMIFS(TechnologyMapping!$D:$D,TechnologyMapping!$A:$A,C175)</f>
        <v>1</v>
      </c>
      <c r="Q175">
        <f t="shared" si="16"/>
        <v>45.211285720713455</v>
      </c>
      <c r="R175">
        <f>SUMIFS(FactorInputs!$I:$I,FactorInputs!$A:$A,B175)</f>
        <v>4.6376099129100004</v>
      </c>
      <c r="S175" t="str">
        <f>_xlfn.XLOOKUP(B175,FactorInputs!$A$2:$A$888,FactorInputs!$F$2:$F$888,"")</f>
        <v>job-yr/MW</v>
      </c>
      <c r="T175" t="str">
        <f>_xlfn.XLOOKUP(B175,FactorInputs!$A$2:$A$888,FactorInputs!$B$2:$B$888,"")</f>
        <v>JEDI-US</v>
      </c>
      <c r="U175" t="str">
        <f>_xlfn.XLOOKUP(B175,FactorInputs!$A$2:$A$888,FactorInputs!$T$2:$T$888,"")</f>
        <v>JEDI-US</v>
      </c>
      <c r="V175">
        <f t="shared" si="17"/>
        <v>209.67230683378708</v>
      </c>
    </row>
    <row r="176" spans="1:23" x14ac:dyDescent="0.3">
      <c r="A176" t="str">
        <f t="shared" si="12"/>
        <v>PD|NewCapacity|RE1|PWRWNDONS|2047</v>
      </c>
      <c r="B176" t="str">
        <f t="shared" si="13"/>
        <v>Onshore wind|2047|Construction&amp;Manufacturing|Direct</v>
      </c>
      <c r="C176" t="str">
        <f t="shared" si="14"/>
        <v>PWRWNDONS|Onshore wind</v>
      </c>
      <c r="D176" t="s">
        <v>16</v>
      </c>
      <c r="E176" t="s">
        <v>17</v>
      </c>
      <c r="F176" t="s">
        <v>19</v>
      </c>
      <c r="G176" t="s">
        <v>36</v>
      </c>
      <c r="H176">
        <v>2047</v>
      </c>
      <c r="I176" t="s">
        <v>37</v>
      </c>
      <c r="J176" t="s">
        <v>69</v>
      </c>
      <c r="K176" t="s">
        <v>70</v>
      </c>
      <c r="L176" t="s">
        <v>65</v>
      </c>
      <c r="M176">
        <f>SUMIFS(RawResultsLong!$P:$P,RawResultsLong!$A:$A,A176)</f>
        <v>47.31</v>
      </c>
      <c r="N176">
        <f t="shared" si="15"/>
        <v>1499.1634344817096</v>
      </c>
      <c r="O176" t="s">
        <v>68</v>
      </c>
      <c r="P176">
        <f>SUMIFS(TechnologyMapping!$D:$D,TechnologyMapping!$A:$A,C176)</f>
        <v>1</v>
      </c>
      <c r="Q176">
        <f t="shared" si="16"/>
        <v>1499.1634344817096</v>
      </c>
      <c r="R176">
        <f>SUMIFS(FactorInputs!$I:$I,FactorInputs!$A:$A,B176)</f>
        <v>6.5674852611799999</v>
      </c>
      <c r="S176" t="str">
        <f>_xlfn.XLOOKUP(B176,FactorInputs!$A$2:$A$888,FactorInputs!$F$2:$F$888,"")</f>
        <v>job-yr/MW</v>
      </c>
      <c r="T176" t="str">
        <f>_xlfn.XLOOKUP(B176,FactorInputs!$A$2:$A$888,FactorInputs!$B$2:$B$888,"")</f>
        <v>I-JEDI</v>
      </c>
      <c r="U176" t="str">
        <f>_xlfn.XLOOKUP(B176,FactorInputs!$A$2:$A$888,FactorInputs!$T$2:$T$888,"")</f>
        <v>I-JEDI</v>
      </c>
      <c r="V176">
        <f t="shared" si="17"/>
        <v>9845.7337600586161</v>
      </c>
    </row>
    <row r="177" spans="1:23" x14ac:dyDescent="0.3">
      <c r="A177" t="str">
        <f t="shared" si="12"/>
        <v>PD|AccumulatedNewCapacity|RE1|PWRHYDDAM|2048</v>
      </c>
      <c r="B177" t="str">
        <f t="shared" si="13"/>
        <v>Hydro (large)|2048|O&amp;M|Direct</v>
      </c>
      <c r="C177" t="str">
        <f t="shared" si="14"/>
        <v>PWRHYDDAM|Hydro (large)</v>
      </c>
      <c r="D177" t="s">
        <v>16</v>
      </c>
      <c r="E177" t="s">
        <v>17</v>
      </c>
      <c r="F177" t="s">
        <v>19</v>
      </c>
      <c r="G177" t="s">
        <v>24</v>
      </c>
      <c r="H177">
        <v>2048</v>
      </c>
      <c r="I177" t="s">
        <v>18</v>
      </c>
      <c r="J177" t="s">
        <v>63</v>
      </c>
      <c r="K177" t="s">
        <v>64</v>
      </c>
      <c r="L177" t="s">
        <v>65</v>
      </c>
      <c r="M177">
        <f>SUMIFS(RawResultsLong!$P:$P,RawResultsLong!$A:$A,A177)</f>
        <v>37.840000000000003</v>
      </c>
      <c r="N177">
        <f t="shared" si="15"/>
        <v>1199.0772428828554</v>
      </c>
      <c r="O177" t="s">
        <v>72</v>
      </c>
      <c r="P177">
        <f>SUMIFS(TechnologyMapping!$D:$D,TechnologyMapping!$A:$A,C177)</f>
        <v>1</v>
      </c>
      <c r="Q177">
        <f t="shared" si="16"/>
        <v>1199.0772428828554</v>
      </c>
      <c r="R177">
        <f>SUMIFS(FactorInputs!$I:$I,FactorInputs!$A:$A,B177)</f>
        <v>0.63884262295100003</v>
      </c>
      <c r="S177" t="str">
        <f>_xlfn.XLOOKUP(B177,FactorInputs!$A$2:$A$888,FactorInputs!$F$2:$F$888,"")</f>
        <v>job/MW</v>
      </c>
      <c r="T177" t="str">
        <f>_xlfn.XLOOKUP(B177,FactorInputs!$A$2:$A$888,FactorInputs!$B$2:$B$888,"")</f>
        <v>Rutovitz 2015</v>
      </c>
      <c r="U177" t="str">
        <f>_xlfn.XLOOKUP(B177,FactorInputs!$A$2:$A$888,FactorInputs!$T$2:$T$888,"")</f>
        <v>Rutovitz 2015</v>
      </c>
      <c r="V177">
        <f t="shared" si="17"/>
        <v>766.02165096413671</v>
      </c>
    </row>
    <row r="178" spans="1:23" x14ac:dyDescent="0.3">
      <c r="A178" t="str">
        <f t="shared" si="12"/>
        <v>PD|AccumulatedNewCapacity|RE1|PWRSOLRTP|2048</v>
      </c>
      <c r="B178" t="str">
        <f t="shared" si="13"/>
        <v>Rooftop solar PV|2048|O&amp;M|Direct</v>
      </c>
      <c r="C178" t="str">
        <f t="shared" si="14"/>
        <v>PWRSOLRTP|Rooftop solar PV</v>
      </c>
      <c r="D178" t="s">
        <v>16</v>
      </c>
      <c r="E178" t="s">
        <v>17</v>
      </c>
      <c r="F178" t="s">
        <v>19</v>
      </c>
      <c r="G178" t="s">
        <v>31</v>
      </c>
      <c r="H178">
        <v>2048</v>
      </c>
      <c r="I178" t="s">
        <v>18</v>
      </c>
      <c r="J178" t="s">
        <v>63</v>
      </c>
      <c r="K178" t="s">
        <v>64</v>
      </c>
      <c r="L178" t="s">
        <v>65</v>
      </c>
      <c r="M178">
        <f>SUMIFS(RawResultsLong!$P:$P,RawResultsLong!$A:$A,A178)</f>
        <v>116.4993468611287</v>
      </c>
      <c r="N178">
        <f t="shared" si="15"/>
        <v>3691.6415336124642</v>
      </c>
      <c r="O178" t="s">
        <v>71</v>
      </c>
      <c r="P178">
        <f>SUMIFS(TechnologyMapping!$D:$D,TechnologyMapping!$A:$A,C178)</f>
        <v>1</v>
      </c>
      <c r="Q178">
        <f t="shared" si="16"/>
        <v>3691.6415336124642</v>
      </c>
      <c r="R178">
        <f>SUMIFS(FactorInputs!$I:$I,FactorInputs!$A:$A,B178)</f>
        <v>0.221117647059</v>
      </c>
      <c r="S178" t="str">
        <f>_xlfn.XLOOKUP(B178,FactorInputs!$A$2:$A$888,FactorInputs!$F$2:$F$888,"")</f>
        <v>job/MW</v>
      </c>
      <c r="T178" t="str">
        <f>_xlfn.XLOOKUP(B178,FactorInputs!$A$2:$A$888,FactorInputs!$B$2:$B$888,"")</f>
        <v>JEDI-US</v>
      </c>
      <c r="U178" t="str">
        <f>_xlfn.XLOOKUP(B178,FactorInputs!$A$2:$A$888,FactorInputs!$T$2:$T$888,"")</f>
        <v>JEDI-US</v>
      </c>
      <c r="V178">
        <f t="shared" si="17"/>
        <v>816.28708969766637</v>
      </c>
    </row>
    <row r="179" spans="1:23" x14ac:dyDescent="0.3">
      <c r="A179" t="str">
        <f t="shared" si="12"/>
        <v>PD|AccumulatedNewCapacity|RE1|PWRSOLRTP_ZNI|2048</v>
      </c>
      <c r="B179" t="str">
        <f t="shared" si="13"/>
        <v>Rooftop solar PV|2048|O&amp;M|Direct</v>
      </c>
      <c r="C179" t="str">
        <f t="shared" si="14"/>
        <v>PWRSOLRTP_ZNI|Rooftop solar PV</v>
      </c>
      <c r="D179" t="s">
        <v>16</v>
      </c>
      <c r="E179" t="s">
        <v>17</v>
      </c>
      <c r="F179" t="s">
        <v>19</v>
      </c>
      <c r="G179" t="s">
        <v>32</v>
      </c>
      <c r="H179">
        <v>2048</v>
      </c>
      <c r="I179" t="s">
        <v>18</v>
      </c>
      <c r="J179" t="s">
        <v>63</v>
      </c>
      <c r="K179" t="s">
        <v>64</v>
      </c>
      <c r="L179" t="s">
        <v>65</v>
      </c>
      <c r="M179">
        <f>SUMIFS(RawResultsLong!$P:$P,RawResultsLong!$A:$A,A179)</f>
        <v>0.88750826980907294</v>
      </c>
      <c r="N179">
        <f t="shared" si="15"/>
        <v>28.123439989386799</v>
      </c>
      <c r="O179" t="s">
        <v>71</v>
      </c>
      <c r="P179">
        <f>SUMIFS(TechnologyMapping!$D:$D,TechnologyMapping!$A:$A,C179)</f>
        <v>1</v>
      </c>
      <c r="Q179">
        <f t="shared" si="16"/>
        <v>28.123439989386799</v>
      </c>
      <c r="R179">
        <f>SUMIFS(FactorInputs!$I:$I,FactorInputs!$A:$A,B179)</f>
        <v>0.221117647059</v>
      </c>
      <c r="S179" t="str">
        <f>_xlfn.XLOOKUP(B179,FactorInputs!$A$2:$A$888,FactorInputs!$F$2:$F$888,"")</f>
        <v>job/MW</v>
      </c>
      <c r="T179" t="str">
        <f>_xlfn.XLOOKUP(B179,FactorInputs!$A$2:$A$888,FactorInputs!$B$2:$B$888,"")</f>
        <v>JEDI-US</v>
      </c>
      <c r="U179" t="str">
        <f>_xlfn.XLOOKUP(B179,FactorInputs!$A$2:$A$888,FactorInputs!$T$2:$T$888,"")</f>
        <v>JEDI-US</v>
      </c>
      <c r="V179">
        <f t="shared" si="17"/>
        <v>6.2185888776581972</v>
      </c>
      <c r="W179" t="s">
        <v>73</v>
      </c>
    </row>
    <row r="180" spans="1:23" x14ac:dyDescent="0.3">
      <c r="A180" t="str">
        <f t="shared" si="12"/>
        <v>PD|AccumulatedNewCapacity|RE1|PWRSOLUGE|2048</v>
      </c>
      <c r="B180" t="str">
        <f t="shared" si="13"/>
        <v>Utility-scale solar PV|2048|O&amp;M|Direct</v>
      </c>
      <c r="C180" t="str">
        <f t="shared" si="14"/>
        <v>PWRSOLUGE|Utility-scale solar PV</v>
      </c>
      <c r="D180" t="s">
        <v>16</v>
      </c>
      <c r="E180" t="s">
        <v>17</v>
      </c>
      <c r="F180" t="s">
        <v>19</v>
      </c>
      <c r="G180" t="s">
        <v>33</v>
      </c>
      <c r="H180">
        <v>2048</v>
      </c>
      <c r="I180" t="s">
        <v>18</v>
      </c>
      <c r="J180" t="s">
        <v>63</v>
      </c>
      <c r="K180" t="s">
        <v>64</v>
      </c>
      <c r="L180" t="s">
        <v>65</v>
      </c>
      <c r="M180">
        <f>SUMIFS(RawResultsLong!$P:$P,RawResultsLong!$A:$A,A180)</f>
        <v>143.394192</v>
      </c>
      <c r="N180">
        <f t="shared" si="15"/>
        <v>4543.8877481177278</v>
      </c>
      <c r="O180" t="s">
        <v>66</v>
      </c>
      <c r="P180">
        <f>SUMIFS(TechnologyMapping!$D:$D,TechnologyMapping!$A:$A,C180)</f>
        <v>1</v>
      </c>
      <c r="Q180">
        <f t="shared" si="16"/>
        <v>4543.8877481177278</v>
      </c>
      <c r="R180">
        <f>SUMIFS(FactorInputs!$I:$I,FactorInputs!$A:$A,B180)</f>
        <v>7.1592567567600005E-2</v>
      </c>
      <c r="S180" t="str">
        <f>_xlfn.XLOOKUP(B180,FactorInputs!$A$2:$A$888,FactorInputs!$F$2:$F$888,"")</f>
        <v>job/MW</v>
      </c>
      <c r="T180" t="str">
        <f>_xlfn.XLOOKUP(B180,FactorInputs!$A$2:$A$888,FactorInputs!$B$2:$B$888,"")</f>
        <v>I-JEDI</v>
      </c>
      <c r="U180" t="str">
        <f>_xlfn.XLOOKUP(B180,FactorInputs!$A$2:$A$888,FactorInputs!$T$2:$T$888,"")</f>
        <v>I-JEDI</v>
      </c>
      <c r="V180">
        <f t="shared" si="17"/>
        <v>325.30859062670828</v>
      </c>
    </row>
    <row r="181" spans="1:23" x14ac:dyDescent="0.3">
      <c r="A181" t="str">
        <f t="shared" si="12"/>
        <v>PD|AccumulatedNewCapacity|RE1|PWRSOLUPE|2048</v>
      </c>
      <c r="B181" t="str">
        <f t="shared" si="13"/>
        <v>Utility-scale solar PV|2048|O&amp;M|Direct</v>
      </c>
      <c r="C181" t="str">
        <f t="shared" si="14"/>
        <v>PWRSOLUPE|Utility-scale solar PV</v>
      </c>
      <c r="D181" t="s">
        <v>16</v>
      </c>
      <c r="E181" t="s">
        <v>17</v>
      </c>
      <c r="F181" t="s">
        <v>19</v>
      </c>
      <c r="G181" t="s">
        <v>34</v>
      </c>
      <c r="H181">
        <v>2048</v>
      </c>
      <c r="I181" t="s">
        <v>18</v>
      </c>
      <c r="J181" t="s">
        <v>63</v>
      </c>
      <c r="K181" t="s">
        <v>64</v>
      </c>
      <c r="L181" t="s">
        <v>65</v>
      </c>
      <c r="M181">
        <f>SUMIFS(RawResultsLong!$P:$P,RawResultsLong!$A:$A,A181)</f>
        <v>12.14419823999993</v>
      </c>
      <c r="N181">
        <f t="shared" si="15"/>
        <v>384.82642026009364</v>
      </c>
      <c r="O181" t="s">
        <v>66</v>
      </c>
      <c r="P181">
        <f>SUMIFS(TechnologyMapping!$D:$D,TechnologyMapping!$A:$A,C181)</f>
        <v>1</v>
      </c>
      <c r="Q181">
        <f t="shared" si="16"/>
        <v>384.82642026009364</v>
      </c>
      <c r="R181">
        <f>SUMIFS(FactorInputs!$I:$I,FactorInputs!$A:$A,B181)</f>
        <v>7.1592567567600005E-2</v>
      </c>
      <c r="S181" t="str">
        <f>_xlfn.XLOOKUP(B181,FactorInputs!$A$2:$A$888,FactorInputs!$F$2:$F$888,"")</f>
        <v>job/MW</v>
      </c>
      <c r="T181" t="str">
        <f>_xlfn.XLOOKUP(B181,FactorInputs!$A$2:$A$888,FactorInputs!$B$2:$B$888,"")</f>
        <v>I-JEDI</v>
      </c>
      <c r="U181" t="str">
        <f>_xlfn.XLOOKUP(B181,FactorInputs!$A$2:$A$888,FactorInputs!$T$2:$T$888,"")</f>
        <v>I-JEDI</v>
      </c>
      <c r="V181">
        <f t="shared" si="17"/>
        <v>27.550711494268388</v>
      </c>
      <c r="W181" t="s">
        <v>67</v>
      </c>
    </row>
    <row r="182" spans="1:23" x14ac:dyDescent="0.3">
      <c r="A182" t="str">
        <f t="shared" si="12"/>
        <v>PD|AccumulatedNewCapacity|RE1|PWRWNDONS|2048</v>
      </c>
      <c r="B182" t="str">
        <f t="shared" si="13"/>
        <v>Onshore wind|2048|O&amp;M|Direct</v>
      </c>
      <c r="C182" t="str">
        <f t="shared" si="14"/>
        <v>PWRWNDONS|Onshore wind</v>
      </c>
      <c r="D182" t="s">
        <v>16</v>
      </c>
      <c r="E182" t="s">
        <v>17</v>
      </c>
      <c r="F182" t="s">
        <v>19</v>
      </c>
      <c r="G182" t="s">
        <v>36</v>
      </c>
      <c r="H182">
        <v>2048</v>
      </c>
      <c r="I182" t="s">
        <v>18</v>
      </c>
      <c r="J182" t="s">
        <v>63</v>
      </c>
      <c r="K182" t="s">
        <v>64</v>
      </c>
      <c r="L182" t="s">
        <v>65</v>
      </c>
      <c r="M182">
        <f>SUMIFS(RawResultsLong!$P:$P,RawResultsLong!$A:$A,A182)</f>
        <v>439.04073660181581</v>
      </c>
      <c r="N182">
        <f t="shared" si="15"/>
        <v>13912.361415374293</v>
      </c>
      <c r="O182" t="s">
        <v>68</v>
      </c>
      <c r="P182">
        <f>SUMIFS(TechnologyMapping!$D:$D,TechnologyMapping!$A:$A,C182)</f>
        <v>1</v>
      </c>
      <c r="Q182">
        <f t="shared" si="16"/>
        <v>13912.361415374293</v>
      </c>
      <c r="R182">
        <f>SUMIFS(FactorInputs!$I:$I,FactorInputs!$A:$A,B182)</f>
        <v>2.7087591240899999E-2</v>
      </c>
      <c r="S182" t="str">
        <f>_xlfn.XLOOKUP(B182,FactorInputs!$A$2:$A$888,FactorInputs!$F$2:$F$888,"")</f>
        <v>job/MW</v>
      </c>
      <c r="T182" t="str">
        <f>_xlfn.XLOOKUP(B182,FactorInputs!$A$2:$A$888,FactorInputs!$B$2:$B$888,"")</f>
        <v>I-JEDI</v>
      </c>
      <c r="U182" t="str">
        <f>_xlfn.XLOOKUP(B182,FactorInputs!$A$2:$A$888,FactorInputs!$T$2:$T$888,"")</f>
        <v>I-JEDI</v>
      </c>
      <c r="V182">
        <f t="shared" si="17"/>
        <v>376.85235921532779</v>
      </c>
    </row>
    <row r="183" spans="1:23" x14ac:dyDescent="0.3">
      <c r="A183" t="str">
        <f t="shared" si="12"/>
        <v>PD|NewCapacity|RE1|PWRSOLRTP|2048</v>
      </c>
      <c r="B183" t="str">
        <f t="shared" si="13"/>
        <v>Rooftop solar PV|2048|Construction&amp;Manufacturing|Direct</v>
      </c>
      <c r="C183" t="str">
        <f t="shared" si="14"/>
        <v>PWRSOLRTP|Rooftop solar PV</v>
      </c>
      <c r="D183" t="s">
        <v>16</v>
      </c>
      <c r="E183" t="s">
        <v>17</v>
      </c>
      <c r="F183" t="s">
        <v>19</v>
      </c>
      <c r="G183" t="s">
        <v>31</v>
      </c>
      <c r="H183">
        <v>2048</v>
      </c>
      <c r="I183" t="s">
        <v>37</v>
      </c>
      <c r="J183" t="s">
        <v>69</v>
      </c>
      <c r="K183" t="s">
        <v>70</v>
      </c>
      <c r="L183" t="s">
        <v>65</v>
      </c>
      <c r="M183">
        <f>SUMIFS(RawResultsLong!$P:$P,RawResultsLong!$A:$A,A183)</f>
        <v>1.426759670259987</v>
      </c>
      <c r="N183">
        <f t="shared" si="15"/>
        <v>45.211285720713455</v>
      </c>
      <c r="O183" t="s">
        <v>71</v>
      </c>
      <c r="P183">
        <f>SUMIFS(TechnologyMapping!$D:$D,TechnologyMapping!$A:$A,C183)</f>
        <v>1</v>
      </c>
      <c r="Q183">
        <f t="shared" si="16"/>
        <v>45.211285720713455</v>
      </c>
      <c r="R183">
        <f>SUMIFS(FactorInputs!$I:$I,FactorInputs!$A:$A,B183)</f>
        <v>4.53192696212</v>
      </c>
      <c r="S183" t="str">
        <f>_xlfn.XLOOKUP(B183,FactorInputs!$A$2:$A$888,FactorInputs!$F$2:$F$888,"")</f>
        <v>job-yr/MW</v>
      </c>
      <c r="T183" t="str">
        <f>_xlfn.XLOOKUP(B183,FactorInputs!$A$2:$A$888,FactorInputs!$B$2:$B$888,"")</f>
        <v>JEDI-US</v>
      </c>
      <c r="U183" t="str">
        <f>_xlfn.XLOOKUP(B183,FactorInputs!$A$2:$A$888,FactorInputs!$T$2:$T$888,"")</f>
        <v>JEDI-US</v>
      </c>
      <c r="V183">
        <f t="shared" si="17"/>
        <v>204.89424474981226</v>
      </c>
    </row>
    <row r="184" spans="1:23" x14ac:dyDescent="0.3">
      <c r="A184" t="str">
        <f t="shared" si="12"/>
        <v>PD|NewCapacity|RE1|PWRWNDONS|2048</v>
      </c>
      <c r="B184" t="str">
        <f t="shared" si="13"/>
        <v>Onshore wind|2048|Construction&amp;Manufacturing|Direct</v>
      </c>
      <c r="C184" t="str">
        <f t="shared" si="14"/>
        <v>PWRWNDONS|Onshore wind</v>
      </c>
      <c r="D184" t="s">
        <v>16</v>
      </c>
      <c r="E184" t="s">
        <v>17</v>
      </c>
      <c r="F184" t="s">
        <v>19</v>
      </c>
      <c r="G184" t="s">
        <v>36</v>
      </c>
      <c r="H184">
        <v>2048</v>
      </c>
      <c r="I184" t="s">
        <v>37</v>
      </c>
      <c r="J184" t="s">
        <v>69</v>
      </c>
      <c r="K184" t="s">
        <v>70</v>
      </c>
      <c r="L184" t="s">
        <v>65</v>
      </c>
      <c r="M184">
        <f>SUMIFS(RawResultsLong!$P:$P,RawResultsLong!$A:$A,A184)</f>
        <v>47.31</v>
      </c>
      <c r="N184">
        <f t="shared" si="15"/>
        <v>1499.1634344817096</v>
      </c>
      <c r="O184" t="s">
        <v>68</v>
      </c>
      <c r="P184">
        <f>SUMIFS(TechnologyMapping!$D:$D,TechnologyMapping!$A:$A,C184)</f>
        <v>1</v>
      </c>
      <c r="Q184">
        <f t="shared" si="16"/>
        <v>1499.1634344817096</v>
      </c>
      <c r="R184">
        <f>SUMIFS(FactorInputs!$I:$I,FactorInputs!$A:$A,B184)</f>
        <v>6.5492435129800004</v>
      </c>
      <c r="S184" t="str">
        <f>_xlfn.XLOOKUP(B184,FactorInputs!$A$2:$A$888,FactorInputs!$F$2:$F$888,"")</f>
        <v>job-yr/MW</v>
      </c>
      <c r="T184" t="str">
        <f>_xlfn.XLOOKUP(B184,FactorInputs!$A$2:$A$888,FactorInputs!$B$2:$B$888,"")</f>
        <v>I-JEDI</v>
      </c>
      <c r="U184" t="str">
        <f>_xlfn.XLOOKUP(B184,FactorInputs!$A$2:$A$888,FactorInputs!$T$2:$T$888,"")</f>
        <v>I-JEDI</v>
      </c>
      <c r="V184">
        <f t="shared" si="17"/>
        <v>9818.3863981761551</v>
      </c>
    </row>
    <row r="185" spans="1:23" x14ac:dyDescent="0.3">
      <c r="A185" t="str">
        <f t="shared" si="12"/>
        <v>PD|AccumulatedNewCapacity|RE1|PWRHYDDAM|2049</v>
      </c>
      <c r="B185" t="str">
        <f t="shared" si="13"/>
        <v>Hydro (large)|2049|O&amp;M|Direct</v>
      </c>
      <c r="C185" t="str">
        <f t="shared" si="14"/>
        <v>PWRHYDDAM|Hydro (large)</v>
      </c>
      <c r="D185" t="s">
        <v>16</v>
      </c>
      <c r="E185" t="s">
        <v>17</v>
      </c>
      <c r="F185" t="s">
        <v>19</v>
      </c>
      <c r="G185" t="s">
        <v>24</v>
      </c>
      <c r="H185">
        <v>2049</v>
      </c>
      <c r="I185" t="s">
        <v>18</v>
      </c>
      <c r="J185" t="s">
        <v>63</v>
      </c>
      <c r="K185" t="s">
        <v>64</v>
      </c>
      <c r="L185" t="s">
        <v>65</v>
      </c>
      <c r="M185">
        <f>SUMIFS(RawResultsLong!$P:$P,RawResultsLong!$A:$A,A185)</f>
        <v>37.840000000000003</v>
      </c>
      <c r="N185">
        <f t="shared" si="15"/>
        <v>1199.0772428828554</v>
      </c>
      <c r="O185" t="s">
        <v>72</v>
      </c>
      <c r="P185">
        <f>SUMIFS(TechnologyMapping!$D:$D,TechnologyMapping!$A:$A,C185)</f>
        <v>1</v>
      </c>
      <c r="Q185">
        <f t="shared" si="16"/>
        <v>1199.0772428828554</v>
      </c>
      <c r="R185">
        <f>SUMIFS(FactorInputs!$I:$I,FactorInputs!$A:$A,B185)</f>
        <v>0.63866721311499997</v>
      </c>
      <c r="S185" t="str">
        <f>_xlfn.XLOOKUP(B185,FactorInputs!$A$2:$A$888,FactorInputs!$F$2:$F$888,"")</f>
        <v>job/MW</v>
      </c>
      <c r="T185" t="str">
        <f>_xlfn.XLOOKUP(B185,FactorInputs!$A$2:$A$888,FactorInputs!$B$2:$B$888,"")</f>
        <v>Rutovitz 2015</v>
      </c>
      <c r="U185" t="str">
        <f>_xlfn.XLOOKUP(B185,FactorInputs!$A$2:$A$888,FactorInputs!$T$2:$T$888,"")</f>
        <v>Rutovitz 2015</v>
      </c>
      <c r="V185">
        <f t="shared" si="17"/>
        <v>765.81132102161121</v>
      </c>
    </row>
    <row r="186" spans="1:23" x14ac:dyDescent="0.3">
      <c r="A186" t="str">
        <f t="shared" si="12"/>
        <v>PD|AccumulatedNewCapacity|RE1|PWRSOLRTP|2049</v>
      </c>
      <c r="B186" t="str">
        <f t="shared" si="13"/>
        <v>Rooftop solar PV|2049|O&amp;M|Direct</v>
      </c>
      <c r="C186" t="str">
        <f t="shared" si="14"/>
        <v>PWRSOLRTP|Rooftop solar PV</v>
      </c>
      <c r="D186" t="s">
        <v>16</v>
      </c>
      <c r="E186" t="s">
        <v>17</v>
      </c>
      <c r="F186" t="s">
        <v>19</v>
      </c>
      <c r="G186" t="s">
        <v>31</v>
      </c>
      <c r="H186">
        <v>2049</v>
      </c>
      <c r="I186" t="s">
        <v>18</v>
      </c>
      <c r="J186" t="s">
        <v>63</v>
      </c>
      <c r="K186" t="s">
        <v>64</v>
      </c>
      <c r="L186" t="s">
        <v>65</v>
      </c>
      <c r="M186">
        <f>SUMIFS(RawResultsLong!$P:$P,RawResultsLong!$A:$A,A186)</f>
        <v>117.9261065313887</v>
      </c>
      <c r="N186">
        <f t="shared" si="15"/>
        <v>3736.8528193331776</v>
      </c>
      <c r="O186" t="s">
        <v>71</v>
      </c>
      <c r="P186">
        <f>SUMIFS(TechnologyMapping!$D:$D,TechnologyMapping!$A:$A,C186)</f>
        <v>1</v>
      </c>
      <c r="Q186">
        <f t="shared" si="16"/>
        <v>3736.8528193331776</v>
      </c>
      <c r="R186">
        <f>SUMIFS(FactorInputs!$I:$I,FactorInputs!$A:$A,B186)</f>
        <v>0.21908823529400001</v>
      </c>
      <c r="S186" t="str">
        <f>_xlfn.XLOOKUP(B186,FactorInputs!$A$2:$A$888,FactorInputs!$F$2:$F$888,"")</f>
        <v>job/MW</v>
      </c>
      <c r="T186" t="str">
        <f>_xlfn.XLOOKUP(B186,FactorInputs!$A$2:$A$888,FactorInputs!$B$2:$B$888,"")</f>
        <v>JEDI-US</v>
      </c>
      <c r="U186" t="str">
        <f>_xlfn.XLOOKUP(B186,FactorInputs!$A$2:$A$888,FactorInputs!$T$2:$T$888,"")</f>
        <v>JEDI-US</v>
      </c>
      <c r="V186">
        <f t="shared" si="17"/>
        <v>818.70048974111455</v>
      </c>
    </row>
    <row r="187" spans="1:23" x14ac:dyDescent="0.3">
      <c r="A187" t="str">
        <f t="shared" si="12"/>
        <v>PD|AccumulatedNewCapacity|RE1|PWRSOLRTP_ZNI|2049</v>
      </c>
      <c r="B187" t="str">
        <f t="shared" si="13"/>
        <v>Rooftop solar PV|2049|O&amp;M|Direct</v>
      </c>
      <c r="C187" t="str">
        <f t="shared" si="14"/>
        <v>PWRSOLRTP_ZNI|Rooftop solar PV</v>
      </c>
      <c r="D187" t="s">
        <v>16</v>
      </c>
      <c r="E187" t="s">
        <v>17</v>
      </c>
      <c r="F187" t="s">
        <v>19</v>
      </c>
      <c r="G187" t="s">
        <v>32</v>
      </c>
      <c r="H187">
        <v>2049</v>
      </c>
      <c r="I187" t="s">
        <v>18</v>
      </c>
      <c r="J187" t="s">
        <v>63</v>
      </c>
      <c r="K187" t="s">
        <v>64</v>
      </c>
      <c r="L187" t="s">
        <v>65</v>
      </c>
      <c r="M187">
        <f>SUMIFS(RawResultsLong!$P:$P,RawResultsLong!$A:$A,A187)</f>
        <v>0.88750826980907294</v>
      </c>
      <c r="N187">
        <f t="shared" si="15"/>
        <v>28.123439989386799</v>
      </c>
      <c r="O187" t="s">
        <v>71</v>
      </c>
      <c r="P187">
        <f>SUMIFS(TechnologyMapping!$D:$D,TechnologyMapping!$A:$A,C187)</f>
        <v>1</v>
      </c>
      <c r="Q187">
        <f t="shared" si="16"/>
        <v>28.123439989386799</v>
      </c>
      <c r="R187">
        <f>SUMIFS(FactorInputs!$I:$I,FactorInputs!$A:$A,B187)</f>
        <v>0.21908823529400001</v>
      </c>
      <c r="S187" t="str">
        <f>_xlfn.XLOOKUP(B187,FactorInputs!$A$2:$A$888,FactorInputs!$F$2:$F$888,"")</f>
        <v>job/MW</v>
      </c>
      <c r="T187" t="str">
        <f>_xlfn.XLOOKUP(B187,FactorInputs!$A$2:$A$888,FactorInputs!$B$2:$B$888,"")</f>
        <v>JEDI-US</v>
      </c>
      <c r="U187" t="str">
        <f>_xlfn.XLOOKUP(B187,FactorInputs!$A$2:$A$888,FactorInputs!$T$2:$T$888,"")</f>
        <v>JEDI-US</v>
      </c>
      <c r="V187">
        <f t="shared" si="17"/>
        <v>6.1615148376714641</v>
      </c>
      <c r="W187" t="s">
        <v>73</v>
      </c>
    </row>
    <row r="188" spans="1:23" x14ac:dyDescent="0.3">
      <c r="A188" t="str">
        <f t="shared" si="12"/>
        <v>PD|AccumulatedNewCapacity|RE1|PWRSOLUGE|2049</v>
      </c>
      <c r="B188" t="str">
        <f t="shared" si="13"/>
        <v>Utility-scale solar PV|2049|O&amp;M|Direct</v>
      </c>
      <c r="C188" t="str">
        <f t="shared" si="14"/>
        <v>PWRSOLUGE|Utility-scale solar PV</v>
      </c>
      <c r="D188" t="s">
        <v>16</v>
      </c>
      <c r="E188" t="s">
        <v>17</v>
      </c>
      <c r="F188" t="s">
        <v>19</v>
      </c>
      <c r="G188" t="s">
        <v>33</v>
      </c>
      <c r="H188">
        <v>2049</v>
      </c>
      <c r="I188" t="s">
        <v>18</v>
      </c>
      <c r="J188" t="s">
        <v>63</v>
      </c>
      <c r="K188" t="s">
        <v>64</v>
      </c>
      <c r="L188" t="s">
        <v>65</v>
      </c>
      <c r="M188">
        <f>SUMIFS(RawResultsLong!$P:$P,RawResultsLong!$A:$A,A188)</f>
        <v>143.394192</v>
      </c>
      <c r="N188">
        <f t="shared" si="15"/>
        <v>4543.8877481177278</v>
      </c>
      <c r="O188" t="s">
        <v>66</v>
      </c>
      <c r="P188">
        <f>SUMIFS(TechnologyMapping!$D:$D,TechnologyMapping!$A:$A,C188)</f>
        <v>1</v>
      </c>
      <c r="Q188">
        <f t="shared" si="16"/>
        <v>4543.8877481177278</v>
      </c>
      <c r="R188">
        <f>SUMIFS(FactorInputs!$I:$I,FactorInputs!$A:$A,B188)</f>
        <v>7.1005743243199998E-2</v>
      </c>
      <c r="S188" t="str">
        <f>_xlfn.XLOOKUP(B188,FactorInputs!$A$2:$A$888,FactorInputs!$F$2:$F$888,"")</f>
        <v>job/MW</v>
      </c>
      <c r="T188" t="str">
        <f>_xlfn.XLOOKUP(B188,FactorInputs!$A$2:$A$888,FactorInputs!$B$2:$B$888,"")</f>
        <v>I-JEDI</v>
      </c>
      <c r="U188" t="str">
        <f>_xlfn.XLOOKUP(B188,FactorInputs!$A$2:$A$888,FactorInputs!$T$2:$T$888,"")</f>
        <v>I-JEDI</v>
      </c>
      <c r="V188">
        <f t="shared" si="17"/>
        <v>322.64212676876963</v>
      </c>
    </row>
    <row r="189" spans="1:23" x14ac:dyDescent="0.3">
      <c r="A189" t="str">
        <f t="shared" si="12"/>
        <v>PD|AccumulatedNewCapacity|RE1|PWRSOLUPE|2049</v>
      </c>
      <c r="B189" t="str">
        <f t="shared" si="13"/>
        <v>Utility-scale solar PV|2049|O&amp;M|Direct</v>
      </c>
      <c r="C189" t="str">
        <f t="shared" si="14"/>
        <v>PWRSOLUPE|Utility-scale solar PV</v>
      </c>
      <c r="D189" t="s">
        <v>16</v>
      </c>
      <c r="E189" t="s">
        <v>17</v>
      </c>
      <c r="F189" t="s">
        <v>19</v>
      </c>
      <c r="G189" t="s">
        <v>34</v>
      </c>
      <c r="H189">
        <v>2049</v>
      </c>
      <c r="I189" t="s">
        <v>18</v>
      </c>
      <c r="J189" t="s">
        <v>63</v>
      </c>
      <c r="K189" t="s">
        <v>64</v>
      </c>
      <c r="L189" t="s">
        <v>65</v>
      </c>
      <c r="M189">
        <f>SUMIFS(RawResultsLong!$P:$P,RawResultsLong!$A:$A,A189)</f>
        <v>12.14419823999993</v>
      </c>
      <c r="N189">
        <f t="shared" si="15"/>
        <v>384.82642026009364</v>
      </c>
      <c r="O189" t="s">
        <v>66</v>
      </c>
      <c r="P189">
        <f>SUMIFS(TechnologyMapping!$D:$D,TechnologyMapping!$A:$A,C189)</f>
        <v>1</v>
      </c>
      <c r="Q189">
        <f t="shared" si="16"/>
        <v>384.82642026009364</v>
      </c>
      <c r="R189">
        <f>SUMIFS(FactorInputs!$I:$I,FactorInputs!$A:$A,B189)</f>
        <v>7.1005743243199998E-2</v>
      </c>
      <c r="S189" t="str">
        <f>_xlfn.XLOOKUP(B189,FactorInputs!$A$2:$A$888,FactorInputs!$F$2:$F$888,"")</f>
        <v>job/MW</v>
      </c>
      <c r="T189" t="str">
        <f>_xlfn.XLOOKUP(B189,FactorInputs!$A$2:$A$888,FactorInputs!$B$2:$B$888,"")</f>
        <v>I-JEDI</v>
      </c>
      <c r="U189" t="str">
        <f>_xlfn.XLOOKUP(B189,FactorInputs!$A$2:$A$888,FactorInputs!$T$2:$T$888,"")</f>
        <v>I-JEDI</v>
      </c>
      <c r="V189">
        <f t="shared" si="17"/>
        <v>27.324885990187987</v>
      </c>
      <c r="W189" t="s">
        <v>67</v>
      </c>
    </row>
    <row r="190" spans="1:23" x14ac:dyDescent="0.3">
      <c r="A190" t="str">
        <f t="shared" si="12"/>
        <v>PD|AccumulatedNewCapacity|RE1|PWRWNDONS|2049</v>
      </c>
      <c r="B190" t="str">
        <f t="shared" si="13"/>
        <v>Onshore wind|2049|O&amp;M|Direct</v>
      </c>
      <c r="C190" t="str">
        <f t="shared" si="14"/>
        <v>PWRWNDONS|Onshore wind</v>
      </c>
      <c r="D190" t="s">
        <v>16</v>
      </c>
      <c r="E190" t="s">
        <v>17</v>
      </c>
      <c r="F190" t="s">
        <v>19</v>
      </c>
      <c r="G190" t="s">
        <v>36</v>
      </c>
      <c r="H190">
        <v>2049</v>
      </c>
      <c r="I190" t="s">
        <v>18</v>
      </c>
      <c r="J190" t="s">
        <v>63</v>
      </c>
      <c r="K190" t="s">
        <v>64</v>
      </c>
      <c r="L190" t="s">
        <v>65</v>
      </c>
      <c r="M190">
        <f>SUMIFS(RawResultsLong!$P:$P,RawResultsLong!$A:$A,A190)</f>
        <v>439.04073660181581</v>
      </c>
      <c r="N190">
        <f t="shared" si="15"/>
        <v>13912.361415374293</v>
      </c>
      <c r="O190" t="s">
        <v>68</v>
      </c>
      <c r="P190">
        <f>SUMIFS(TechnologyMapping!$D:$D,TechnologyMapping!$A:$A,C190)</f>
        <v>1</v>
      </c>
      <c r="Q190">
        <f t="shared" si="16"/>
        <v>13912.361415374293</v>
      </c>
      <c r="R190">
        <f>SUMIFS(FactorInputs!$I:$I,FactorInputs!$A:$A,B190)</f>
        <v>2.7010948905099998E-2</v>
      </c>
      <c r="S190" t="str">
        <f>_xlfn.XLOOKUP(B190,FactorInputs!$A$2:$A$888,FactorInputs!$F$2:$F$888,"")</f>
        <v>job/MW</v>
      </c>
      <c r="T190" t="str">
        <f>_xlfn.XLOOKUP(B190,FactorInputs!$A$2:$A$888,FactorInputs!$B$2:$B$888,"")</f>
        <v>I-JEDI</v>
      </c>
      <c r="U190" t="str">
        <f>_xlfn.XLOOKUP(B190,FactorInputs!$A$2:$A$888,FactorInputs!$T$2:$T$888,"")</f>
        <v>I-JEDI</v>
      </c>
      <c r="V190">
        <f t="shared" si="17"/>
        <v>375.7860833399597</v>
      </c>
    </row>
    <row r="191" spans="1:23" x14ac:dyDescent="0.3">
      <c r="A191" t="str">
        <f t="shared" si="12"/>
        <v>PD|NewCapacity|RE1|PWRSOLRTP|2049</v>
      </c>
      <c r="B191" t="str">
        <f t="shared" si="13"/>
        <v>Rooftop solar PV|2049|Construction&amp;Manufacturing|Direct</v>
      </c>
      <c r="C191" t="str">
        <f t="shared" si="14"/>
        <v>PWRSOLRTP|Rooftop solar PV</v>
      </c>
      <c r="D191" t="s">
        <v>16</v>
      </c>
      <c r="E191" t="s">
        <v>17</v>
      </c>
      <c r="F191" t="s">
        <v>19</v>
      </c>
      <c r="G191" t="s">
        <v>31</v>
      </c>
      <c r="H191">
        <v>2049</v>
      </c>
      <c r="I191" t="s">
        <v>37</v>
      </c>
      <c r="J191" t="s">
        <v>69</v>
      </c>
      <c r="K191" t="s">
        <v>70</v>
      </c>
      <c r="L191" t="s">
        <v>65</v>
      </c>
      <c r="M191">
        <f>SUMIFS(RawResultsLong!$P:$P,RawResultsLong!$A:$A,A191)</f>
        <v>1.426759670259987</v>
      </c>
      <c r="N191">
        <f t="shared" si="15"/>
        <v>45.211285720713455</v>
      </c>
      <c r="O191" t="s">
        <v>71</v>
      </c>
      <c r="P191">
        <f>SUMIFS(TechnologyMapping!$D:$D,TechnologyMapping!$A:$A,C191)</f>
        <v>1</v>
      </c>
      <c r="Q191">
        <f t="shared" si="16"/>
        <v>45.211285720713455</v>
      </c>
      <c r="R191">
        <f>SUMIFS(FactorInputs!$I:$I,FactorInputs!$A:$A,B191)</f>
        <v>4.4262440113299997</v>
      </c>
      <c r="S191" t="str">
        <f>_xlfn.XLOOKUP(B191,FactorInputs!$A$2:$A$888,FactorInputs!$F$2:$F$888,"")</f>
        <v>job-yr/MW</v>
      </c>
      <c r="T191" t="str">
        <f>_xlfn.XLOOKUP(B191,FactorInputs!$A$2:$A$888,FactorInputs!$B$2:$B$888,"")</f>
        <v>JEDI-US</v>
      </c>
      <c r="U191" t="str">
        <f>_xlfn.XLOOKUP(B191,FactorInputs!$A$2:$A$888,FactorInputs!$T$2:$T$888,"")</f>
        <v>JEDI-US</v>
      </c>
      <c r="V191">
        <f t="shared" si="17"/>
        <v>200.11618266583747</v>
      </c>
    </row>
    <row r="192" spans="1:23" x14ac:dyDescent="0.3">
      <c r="A192" t="str">
        <f t="shared" si="12"/>
        <v>PD|AccumulatedNewCapacity|RE1|PWRHYDDAM|2050</v>
      </c>
      <c r="B192" t="str">
        <f t="shared" si="13"/>
        <v>Hydro (large)|2050|O&amp;M|Direct</v>
      </c>
      <c r="C192" t="str">
        <f t="shared" si="14"/>
        <v>PWRHYDDAM|Hydro (large)</v>
      </c>
      <c r="D192" t="s">
        <v>16</v>
      </c>
      <c r="E192" t="s">
        <v>17</v>
      </c>
      <c r="F192" t="s">
        <v>19</v>
      </c>
      <c r="G192" t="s">
        <v>24</v>
      </c>
      <c r="H192">
        <v>2050</v>
      </c>
      <c r="I192" t="s">
        <v>18</v>
      </c>
      <c r="J192" t="s">
        <v>63</v>
      </c>
      <c r="K192" t="s">
        <v>64</v>
      </c>
      <c r="L192" t="s">
        <v>65</v>
      </c>
      <c r="M192">
        <f>SUMIFS(RawResultsLong!$P:$P,RawResultsLong!$A:$A,A192)</f>
        <v>37.840000000000003</v>
      </c>
      <c r="N192">
        <f t="shared" si="15"/>
        <v>1199.0772428828554</v>
      </c>
      <c r="O192" t="s">
        <v>72</v>
      </c>
      <c r="P192">
        <f>SUMIFS(TechnologyMapping!$D:$D,TechnologyMapping!$A:$A,C192)</f>
        <v>1</v>
      </c>
      <c r="Q192">
        <f t="shared" si="16"/>
        <v>1199.0772428828554</v>
      </c>
      <c r="R192">
        <f>SUMIFS(FactorInputs!$I:$I,FactorInputs!$A:$A,B192)</f>
        <v>0.63849180327900001</v>
      </c>
      <c r="S192" t="str">
        <f>_xlfn.XLOOKUP(B192,FactorInputs!$A$2:$A$888,FactorInputs!$F$2:$F$888,"")</f>
        <v>job/MW</v>
      </c>
      <c r="T192" t="str">
        <f>_xlfn.XLOOKUP(B192,FactorInputs!$A$2:$A$888,FactorInputs!$B$2:$B$888,"")</f>
        <v>Rutovitz 2015</v>
      </c>
      <c r="U192" t="str">
        <f>_xlfn.XLOOKUP(B192,FactorInputs!$A$2:$A$888,FactorInputs!$T$2:$T$888,"")</f>
        <v>Rutovitz 2015</v>
      </c>
      <c r="V192">
        <f t="shared" si="17"/>
        <v>765.60099107908582</v>
      </c>
    </row>
    <row r="193" spans="1:23" x14ac:dyDescent="0.3">
      <c r="A193" t="str">
        <f t="shared" si="12"/>
        <v>PD|AccumulatedNewCapacity|RE1|PWRSOLRTP|2050</v>
      </c>
      <c r="B193" t="str">
        <f t="shared" si="13"/>
        <v>Rooftop solar PV|2050|O&amp;M|Direct</v>
      </c>
      <c r="C193" t="str">
        <f t="shared" si="14"/>
        <v>PWRSOLRTP|Rooftop solar PV</v>
      </c>
      <c r="D193" t="s">
        <v>16</v>
      </c>
      <c r="E193" t="s">
        <v>17</v>
      </c>
      <c r="F193" t="s">
        <v>19</v>
      </c>
      <c r="G193" t="s">
        <v>31</v>
      </c>
      <c r="H193">
        <v>2050</v>
      </c>
      <c r="I193" t="s">
        <v>18</v>
      </c>
      <c r="J193" t="s">
        <v>63</v>
      </c>
      <c r="K193" t="s">
        <v>64</v>
      </c>
      <c r="L193" t="s">
        <v>65</v>
      </c>
      <c r="M193">
        <f>SUMIFS(RawResultsLong!$P:$P,RawResultsLong!$A:$A,A193)</f>
        <v>119.35286620164869</v>
      </c>
      <c r="N193">
        <f t="shared" si="15"/>
        <v>3782.0641050538916</v>
      </c>
      <c r="O193" t="s">
        <v>71</v>
      </c>
      <c r="P193">
        <f>SUMIFS(TechnologyMapping!$D:$D,TechnologyMapping!$A:$A,C193)</f>
        <v>1</v>
      </c>
      <c r="Q193">
        <f t="shared" si="16"/>
        <v>3782.0641050538916</v>
      </c>
      <c r="R193">
        <f>SUMIFS(FactorInputs!$I:$I,FactorInputs!$A:$A,B193)</f>
        <v>0.21705882352899999</v>
      </c>
      <c r="S193" t="str">
        <f>_xlfn.XLOOKUP(B193,FactorInputs!$A$2:$A$888,FactorInputs!$F$2:$F$888,"")</f>
        <v>job/MW</v>
      </c>
      <c r="T193" t="str">
        <f>_xlfn.XLOOKUP(B193,FactorInputs!$A$2:$A$888,FactorInputs!$B$2:$B$888,"")</f>
        <v>JEDI-US</v>
      </c>
      <c r="U193" t="str">
        <f>_xlfn.XLOOKUP(B193,FactorInputs!$A$2:$A$888,FactorInputs!$T$2:$T$888,"")</f>
        <v>JEDI-US</v>
      </c>
      <c r="V193">
        <f t="shared" si="17"/>
        <v>820.93038515425792</v>
      </c>
    </row>
    <row r="194" spans="1:23" x14ac:dyDescent="0.3">
      <c r="A194" t="str">
        <f t="shared" ref="A194:A257" si="18">D194&amp;"|"&amp;I194&amp;"|"&amp;F194&amp;"|"&amp;G194&amp;"|"&amp;H194</f>
        <v>PD|AccumulatedNewCapacity|RE1|PWRSOLRTP_ZNI|2050</v>
      </c>
      <c r="B194" t="str">
        <f t="shared" ref="B194:B257" si="19">O194&amp;"|"&amp;H194&amp;"|"&amp;K194&amp;"|"&amp;L194</f>
        <v>Rooftop solar PV|2050|O&amp;M|Direct</v>
      </c>
      <c r="C194" t="str">
        <f t="shared" ref="C194:C257" si="20">G194&amp;"|"&amp;O194</f>
        <v>PWRSOLRTP_ZNI|Rooftop solar PV</v>
      </c>
      <c r="D194" t="s">
        <v>16</v>
      </c>
      <c r="E194" t="s">
        <v>17</v>
      </c>
      <c r="F194" t="s">
        <v>19</v>
      </c>
      <c r="G194" t="s">
        <v>32</v>
      </c>
      <c r="H194">
        <v>2050</v>
      </c>
      <c r="I194" t="s">
        <v>18</v>
      </c>
      <c r="J194" t="s">
        <v>63</v>
      </c>
      <c r="K194" t="s">
        <v>64</v>
      </c>
      <c r="L194" t="s">
        <v>65</v>
      </c>
      <c r="M194">
        <f>SUMIFS(RawResultsLong!$P:$P,RawResultsLong!$A:$A,A194)</f>
        <v>0.88750826980907294</v>
      </c>
      <c r="N194">
        <f t="shared" ref="N194:N257" si="21">M194*1000/31.5576</f>
        <v>28.123439989386799</v>
      </c>
      <c r="O194" t="s">
        <v>71</v>
      </c>
      <c r="P194">
        <f>SUMIFS(TechnologyMapping!$D:$D,TechnologyMapping!$A:$A,C194)</f>
        <v>1</v>
      </c>
      <c r="Q194">
        <f t="shared" ref="Q194:Q257" si="22">N194*P194</f>
        <v>28.123439989386799</v>
      </c>
      <c r="R194">
        <f>SUMIFS(FactorInputs!$I:$I,FactorInputs!$A:$A,B194)</f>
        <v>0.21705882352899999</v>
      </c>
      <c r="S194" t="str">
        <f>_xlfn.XLOOKUP(B194,FactorInputs!$A$2:$A$888,FactorInputs!$F$2:$F$888,"")</f>
        <v>job/MW</v>
      </c>
      <c r="T194" t="str">
        <f>_xlfn.XLOOKUP(B194,FactorInputs!$A$2:$A$888,FactorInputs!$B$2:$B$888,"")</f>
        <v>JEDI-US</v>
      </c>
      <c r="U194" t="str">
        <f>_xlfn.XLOOKUP(B194,FactorInputs!$A$2:$A$888,FactorInputs!$T$2:$T$888,"")</f>
        <v>JEDI-US</v>
      </c>
      <c r="V194">
        <f t="shared" ref="V194:V257" si="23">Q194*R194</f>
        <v>6.104440797684731</v>
      </c>
      <c r="W194" t="s">
        <v>73</v>
      </c>
    </row>
    <row r="195" spans="1:23" x14ac:dyDescent="0.3">
      <c r="A195" t="str">
        <f t="shared" si="18"/>
        <v>PD|AccumulatedNewCapacity|RE1|PWRSOLUGE|2050</v>
      </c>
      <c r="B195" t="str">
        <f t="shared" si="19"/>
        <v>Utility-scale solar PV|2050|O&amp;M|Direct</v>
      </c>
      <c r="C195" t="str">
        <f t="shared" si="20"/>
        <v>PWRSOLUGE|Utility-scale solar PV</v>
      </c>
      <c r="D195" t="s">
        <v>16</v>
      </c>
      <c r="E195" t="s">
        <v>17</v>
      </c>
      <c r="F195" t="s">
        <v>19</v>
      </c>
      <c r="G195" t="s">
        <v>33</v>
      </c>
      <c r="H195">
        <v>2050</v>
      </c>
      <c r="I195" t="s">
        <v>18</v>
      </c>
      <c r="J195" t="s">
        <v>63</v>
      </c>
      <c r="K195" t="s">
        <v>64</v>
      </c>
      <c r="L195" t="s">
        <v>65</v>
      </c>
      <c r="M195">
        <f>SUMIFS(RawResultsLong!$P:$P,RawResultsLong!$A:$A,A195)</f>
        <v>143.394192</v>
      </c>
      <c r="N195">
        <f t="shared" si="21"/>
        <v>4543.8877481177278</v>
      </c>
      <c r="O195" t="s">
        <v>66</v>
      </c>
      <c r="P195">
        <f>SUMIFS(TechnologyMapping!$D:$D,TechnologyMapping!$A:$A,C195)</f>
        <v>1</v>
      </c>
      <c r="Q195">
        <f t="shared" si="22"/>
        <v>4543.8877481177278</v>
      </c>
      <c r="R195">
        <f>SUMIFS(FactorInputs!$I:$I,FactorInputs!$A:$A,B195)</f>
        <v>7.0418918918899995E-2</v>
      </c>
      <c r="S195" t="str">
        <f>_xlfn.XLOOKUP(B195,FactorInputs!$A$2:$A$888,FactorInputs!$F$2:$F$888,"")</f>
        <v>job/MW</v>
      </c>
      <c r="T195" t="str">
        <f>_xlfn.XLOOKUP(B195,FactorInputs!$A$2:$A$888,FactorInputs!$B$2:$B$888,"")</f>
        <v>I-JEDI</v>
      </c>
      <c r="U195" t="str">
        <f>_xlfn.XLOOKUP(B195,FactorInputs!$A$2:$A$888,FactorInputs!$T$2:$T$888,"")</f>
        <v>I-JEDI</v>
      </c>
      <c r="V195">
        <f t="shared" si="23"/>
        <v>319.97566291128538</v>
      </c>
    </row>
    <row r="196" spans="1:23" x14ac:dyDescent="0.3">
      <c r="A196" t="str">
        <f t="shared" si="18"/>
        <v>PD|AccumulatedNewCapacity|RE1|PWRSOLUPE|2050</v>
      </c>
      <c r="B196" t="str">
        <f t="shared" si="19"/>
        <v>Utility-scale solar PV|2050|O&amp;M|Direct</v>
      </c>
      <c r="C196" t="str">
        <f t="shared" si="20"/>
        <v>PWRSOLUPE|Utility-scale solar PV</v>
      </c>
      <c r="D196" t="s">
        <v>16</v>
      </c>
      <c r="E196" t="s">
        <v>17</v>
      </c>
      <c r="F196" t="s">
        <v>19</v>
      </c>
      <c r="G196" t="s">
        <v>34</v>
      </c>
      <c r="H196">
        <v>2050</v>
      </c>
      <c r="I196" t="s">
        <v>18</v>
      </c>
      <c r="J196" t="s">
        <v>63</v>
      </c>
      <c r="K196" t="s">
        <v>64</v>
      </c>
      <c r="L196" t="s">
        <v>65</v>
      </c>
      <c r="M196">
        <f>SUMIFS(RawResultsLong!$P:$P,RawResultsLong!$A:$A,A196)</f>
        <v>6.833535839999973</v>
      </c>
      <c r="N196">
        <f t="shared" si="21"/>
        <v>216.54168377823322</v>
      </c>
      <c r="O196" t="s">
        <v>66</v>
      </c>
      <c r="P196">
        <f>SUMIFS(TechnologyMapping!$D:$D,TechnologyMapping!$A:$A,C196)</f>
        <v>1</v>
      </c>
      <c r="Q196">
        <f t="shared" si="22"/>
        <v>216.54168377823322</v>
      </c>
      <c r="R196">
        <f>SUMIFS(FactorInputs!$I:$I,FactorInputs!$A:$A,B196)</f>
        <v>7.0418918918899995E-2</v>
      </c>
      <c r="S196" t="str">
        <f>_xlfn.XLOOKUP(B196,FactorInputs!$A$2:$A$888,FactorInputs!$F$2:$F$888,"")</f>
        <v>job/MW</v>
      </c>
      <c r="T196" t="str">
        <f>_xlfn.XLOOKUP(B196,FactorInputs!$A$2:$A$888,FactorInputs!$B$2:$B$888,"")</f>
        <v>I-JEDI</v>
      </c>
      <c r="U196" t="str">
        <f>_xlfn.XLOOKUP(B196,FactorInputs!$A$2:$A$888,FactorInputs!$T$2:$T$888,"")</f>
        <v>I-JEDI</v>
      </c>
      <c r="V196">
        <f t="shared" si="23"/>
        <v>15.248631272541488</v>
      </c>
      <c r="W196" t="s">
        <v>67</v>
      </c>
    </row>
    <row r="197" spans="1:23" x14ac:dyDescent="0.3">
      <c r="A197" t="str">
        <f t="shared" si="18"/>
        <v>PD|AccumulatedNewCapacity|RE1|PWRWNDONS|2050</v>
      </c>
      <c r="B197" t="str">
        <f t="shared" si="19"/>
        <v>Onshore wind|2050|O&amp;M|Direct</v>
      </c>
      <c r="C197" t="str">
        <f t="shared" si="20"/>
        <v>PWRWNDONS|Onshore wind</v>
      </c>
      <c r="D197" t="s">
        <v>16</v>
      </c>
      <c r="E197" t="s">
        <v>17</v>
      </c>
      <c r="F197" t="s">
        <v>19</v>
      </c>
      <c r="G197" t="s">
        <v>36</v>
      </c>
      <c r="H197">
        <v>2050</v>
      </c>
      <c r="I197" t="s">
        <v>18</v>
      </c>
      <c r="J197" t="s">
        <v>63</v>
      </c>
      <c r="K197" t="s">
        <v>64</v>
      </c>
      <c r="L197" t="s">
        <v>65</v>
      </c>
      <c r="M197">
        <f>SUMIFS(RawResultsLong!$P:$P,RawResultsLong!$A:$A,A197)</f>
        <v>439.04073660181581</v>
      </c>
      <c r="N197">
        <f t="shared" si="21"/>
        <v>13912.361415374293</v>
      </c>
      <c r="O197" t="s">
        <v>68</v>
      </c>
      <c r="P197">
        <f>SUMIFS(TechnologyMapping!$D:$D,TechnologyMapping!$A:$A,C197)</f>
        <v>1</v>
      </c>
      <c r="Q197">
        <f t="shared" si="22"/>
        <v>13912.361415374293</v>
      </c>
      <c r="R197">
        <f>SUMIFS(FactorInputs!$I:$I,FactorInputs!$A:$A,B197)</f>
        <v>2.6934306569300001E-2</v>
      </c>
      <c r="S197" t="str">
        <f>_xlfn.XLOOKUP(B197,FactorInputs!$A$2:$A$888,FactorInputs!$F$2:$F$888,"")</f>
        <v>job/MW</v>
      </c>
      <c r="T197" t="str">
        <f>_xlfn.XLOOKUP(B197,FactorInputs!$A$2:$A$888,FactorInputs!$B$2:$B$888,"")</f>
        <v>I-JEDI</v>
      </c>
      <c r="U197" t="str">
        <f>_xlfn.XLOOKUP(B197,FactorInputs!$A$2:$A$888,FactorInputs!$T$2:$T$888,"")</f>
        <v>I-JEDI</v>
      </c>
      <c r="V197">
        <f t="shared" si="23"/>
        <v>374.71980746459167</v>
      </c>
    </row>
    <row r="198" spans="1:23" x14ac:dyDescent="0.3">
      <c r="A198" t="str">
        <f t="shared" si="18"/>
        <v>PD|NewCapacity|RE1|PWRSOLRTP|2050</v>
      </c>
      <c r="B198" t="str">
        <f t="shared" si="19"/>
        <v>Rooftop solar PV|2050|Construction&amp;Manufacturing|Direct</v>
      </c>
      <c r="C198" t="str">
        <f t="shared" si="20"/>
        <v>PWRSOLRTP|Rooftop solar PV</v>
      </c>
      <c r="D198" t="s">
        <v>16</v>
      </c>
      <c r="E198" t="s">
        <v>17</v>
      </c>
      <c r="F198" t="s">
        <v>19</v>
      </c>
      <c r="G198" t="s">
        <v>31</v>
      </c>
      <c r="H198">
        <v>2050</v>
      </c>
      <c r="I198" t="s">
        <v>37</v>
      </c>
      <c r="J198" t="s">
        <v>69</v>
      </c>
      <c r="K198" t="s">
        <v>70</v>
      </c>
      <c r="L198" t="s">
        <v>65</v>
      </c>
      <c r="M198">
        <f>SUMIFS(RawResultsLong!$P:$P,RawResultsLong!$A:$A,A198)</f>
        <v>1.426759670259987</v>
      </c>
      <c r="N198">
        <f t="shared" si="21"/>
        <v>45.211285720713455</v>
      </c>
      <c r="O198" t="s">
        <v>71</v>
      </c>
      <c r="P198">
        <f>SUMIFS(TechnologyMapping!$D:$D,TechnologyMapping!$A:$A,C198)</f>
        <v>1</v>
      </c>
      <c r="Q198">
        <f t="shared" si="22"/>
        <v>45.211285720713455</v>
      </c>
      <c r="R198">
        <f>SUMIFS(FactorInputs!$I:$I,FactorInputs!$A:$A,B198)</f>
        <v>4.3205610605400002</v>
      </c>
      <c r="S198" t="str">
        <f>_xlfn.XLOOKUP(B198,FactorInputs!$A$2:$A$888,FactorInputs!$F$2:$F$888,"")</f>
        <v>job-yr/MW</v>
      </c>
      <c r="T198" t="str">
        <f>_xlfn.XLOOKUP(B198,FactorInputs!$A$2:$A$888,FactorInputs!$B$2:$B$888,"")</f>
        <v>JEDI-US</v>
      </c>
      <c r="U198" t="str">
        <f>_xlfn.XLOOKUP(B198,FactorInputs!$A$2:$A$888,FactorInputs!$T$2:$T$888,"")</f>
        <v>JEDI-US</v>
      </c>
      <c r="V198">
        <f t="shared" si="23"/>
        <v>195.33812058186268</v>
      </c>
    </row>
    <row r="199" spans="1:23" x14ac:dyDescent="0.3">
      <c r="A199" t="str">
        <f t="shared" si="18"/>
        <v>PD|AccumulatedNewCapacity|RE1|PWRHYDDAM|2051</v>
      </c>
      <c r="B199" t="str">
        <f t="shared" si="19"/>
        <v>Hydro (large)|2051|O&amp;M|Direct</v>
      </c>
      <c r="C199" t="str">
        <f t="shared" si="20"/>
        <v>PWRHYDDAM|Hydro (large)</v>
      </c>
      <c r="D199" t="s">
        <v>16</v>
      </c>
      <c r="E199" t="s">
        <v>17</v>
      </c>
      <c r="F199" t="s">
        <v>19</v>
      </c>
      <c r="G199" t="s">
        <v>24</v>
      </c>
      <c r="H199">
        <v>2051</v>
      </c>
      <c r="I199" t="s">
        <v>18</v>
      </c>
      <c r="J199" t="s">
        <v>63</v>
      </c>
      <c r="K199" t="s">
        <v>64</v>
      </c>
      <c r="L199" t="s">
        <v>65</v>
      </c>
      <c r="M199">
        <f>SUMIFS(RawResultsLong!$P:$P,RawResultsLong!$A:$A,A199)</f>
        <v>37.840000000000003</v>
      </c>
      <c r="N199">
        <f t="shared" si="21"/>
        <v>1199.0772428828554</v>
      </c>
      <c r="O199" t="s">
        <v>72</v>
      </c>
      <c r="P199">
        <f>SUMIFS(TechnologyMapping!$D:$D,TechnologyMapping!$A:$A,C199)</f>
        <v>1</v>
      </c>
      <c r="Q199">
        <f t="shared" si="22"/>
        <v>1199.0772428828554</v>
      </c>
      <c r="R199">
        <f>SUMIFS(FactorInputs!$I:$I,FactorInputs!$A:$A,B199)</f>
        <v>0.63849180327900001</v>
      </c>
      <c r="S199" t="str">
        <f>_xlfn.XLOOKUP(B199,FactorInputs!$A$2:$A$888,FactorInputs!$F$2:$F$888,"")</f>
        <v>job/MW</v>
      </c>
      <c r="T199" t="str">
        <f>_xlfn.XLOOKUP(B199,FactorInputs!$A$2:$A$888,FactorInputs!$B$2:$B$888,"")</f>
        <v>Rutovitz 2015</v>
      </c>
      <c r="U199" t="str">
        <f>_xlfn.XLOOKUP(B199,FactorInputs!$A$2:$A$888,FactorInputs!$T$2:$T$888,"")</f>
        <v>Rutovitz 2015</v>
      </c>
      <c r="V199">
        <f t="shared" si="23"/>
        <v>765.60099107908582</v>
      </c>
    </row>
    <row r="200" spans="1:23" x14ac:dyDescent="0.3">
      <c r="A200" t="str">
        <f t="shared" si="18"/>
        <v>PD|AccumulatedNewCapacity|RE1|PWRSOLRTP|2051</v>
      </c>
      <c r="B200" t="str">
        <f t="shared" si="19"/>
        <v>Rooftop solar PV|2051|O&amp;M|Direct</v>
      </c>
      <c r="C200" t="str">
        <f t="shared" si="20"/>
        <v>PWRSOLRTP|Rooftop solar PV</v>
      </c>
      <c r="D200" t="s">
        <v>16</v>
      </c>
      <c r="E200" t="s">
        <v>17</v>
      </c>
      <c r="F200" t="s">
        <v>19</v>
      </c>
      <c r="G200" t="s">
        <v>31</v>
      </c>
      <c r="H200">
        <v>2051</v>
      </c>
      <c r="I200" t="s">
        <v>18</v>
      </c>
      <c r="J200" t="s">
        <v>63</v>
      </c>
      <c r="K200" t="s">
        <v>64</v>
      </c>
      <c r="L200" t="s">
        <v>65</v>
      </c>
      <c r="M200">
        <f>SUMIFS(RawResultsLong!$P:$P,RawResultsLong!$A:$A,A200)</f>
        <v>112.84083703233991</v>
      </c>
      <c r="N200">
        <f t="shared" si="21"/>
        <v>3575.7103528893167</v>
      </c>
      <c r="O200" t="s">
        <v>71</v>
      </c>
      <c r="P200">
        <f>SUMIFS(TechnologyMapping!$D:$D,TechnologyMapping!$A:$A,C200)</f>
        <v>1</v>
      </c>
      <c r="Q200">
        <f t="shared" si="22"/>
        <v>3575.7103528893167</v>
      </c>
      <c r="R200">
        <f>SUMIFS(FactorInputs!$I:$I,FactorInputs!$A:$A,B200)</f>
        <v>0.21705882352899999</v>
      </c>
      <c r="S200" t="str">
        <f>_xlfn.XLOOKUP(B200,FactorInputs!$A$2:$A$888,FactorInputs!$F$2:$F$888,"")</f>
        <v>job/MW</v>
      </c>
      <c r="T200" t="str">
        <f>_xlfn.XLOOKUP(B200,FactorInputs!$A$2:$A$888,FactorInputs!$B$2:$B$888,"")</f>
        <v>JEDI-US</v>
      </c>
      <c r="U200" t="str">
        <f>_xlfn.XLOOKUP(B200,FactorInputs!$A$2:$A$888,FactorInputs!$T$2:$T$888,"")</f>
        <v>JEDI-US</v>
      </c>
      <c r="V200">
        <f t="shared" si="23"/>
        <v>776.13948247862049</v>
      </c>
    </row>
    <row r="201" spans="1:23" x14ac:dyDescent="0.3">
      <c r="A201" t="str">
        <f t="shared" si="18"/>
        <v>PD|AccumulatedNewCapacity|RE1|PWRSOLRTP_ZNI|2051</v>
      </c>
      <c r="B201" t="str">
        <f t="shared" si="19"/>
        <v>Rooftop solar PV|2051|O&amp;M|Direct</v>
      </c>
      <c r="C201" t="str">
        <f t="shared" si="20"/>
        <v>PWRSOLRTP_ZNI|Rooftop solar PV</v>
      </c>
      <c r="D201" t="s">
        <v>16</v>
      </c>
      <c r="E201" t="s">
        <v>17</v>
      </c>
      <c r="F201" t="s">
        <v>19</v>
      </c>
      <c r="G201" t="s">
        <v>32</v>
      </c>
      <c r="H201">
        <v>2051</v>
      </c>
      <c r="I201" t="s">
        <v>18</v>
      </c>
      <c r="J201" t="s">
        <v>63</v>
      </c>
      <c r="K201" t="s">
        <v>64</v>
      </c>
      <c r="L201" t="s">
        <v>65</v>
      </c>
      <c r="M201">
        <f>SUMIFS(RawResultsLong!$P:$P,RawResultsLong!$A:$A,A201)</f>
        <v>0.88750826980907294</v>
      </c>
      <c r="N201">
        <f t="shared" si="21"/>
        <v>28.123439989386799</v>
      </c>
      <c r="O201" t="s">
        <v>71</v>
      </c>
      <c r="P201">
        <f>SUMIFS(TechnologyMapping!$D:$D,TechnologyMapping!$A:$A,C201)</f>
        <v>1</v>
      </c>
      <c r="Q201">
        <f t="shared" si="22"/>
        <v>28.123439989386799</v>
      </c>
      <c r="R201">
        <f>SUMIFS(FactorInputs!$I:$I,FactorInputs!$A:$A,B201)</f>
        <v>0.21705882352899999</v>
      </c>
      <c r="S201" t="str">
        <f>_xlfn.XLOOKUP(B201,FactorInputs!$A$2:$A$888,FactorInputs!$F$2:$F$888,"")</f>
        <v>job/MW</v>
      </c>
      <c r="T201" t="str">
        <f>_xlfn.XLOOKUP(B201,FactorInputs!$A$2:$A$888,FactorInputs!$B$2:$B$888,"")</f>
        <v>JEDI-US</v>
      </c>
      <c r="U201" t="str">
        <f>_xlfn.XLOOKUP(B201,FactorInputs!$A$2:$A$888,FactorInputs!$T$2:$T$888,"")</f>
        <v>JEDI-US</v>
      </c>
      <c r="V201">
        <f t="shared" si="23"/>
        <v>6.104440797684731</v>
      </c>
      <c r="W201" t="s">
        <v>73</v>
      </c>
    </row>
    <row r="202" spans="1:23" x14ac:dyDescent="0.3">
      <c r="A202" t="str">
        <f t="shared" si="18"/>
        <v>PD|AccumulatedNewCapacity|RE1|PWRSOLUGE|2051</v>
      </c>
      <c r="B202" t="str">
        <f t="shared" si="19"/>
        <v>Utility-scale solar PV|2051|O&amp;M|Direct</v>
      </c>
      <c r="C202" t="str">
        <f t="shared" si="20"/>
        <v>PWRSOLUGE|Utility-scale solar PV</v>
      </c>
      <c r="D202" t="s">
        <v>16</v>
      </c>
      <c r="E202" t="s">
        <v>17</v>
      </c>
      <c r="F202" t="s">
        <v>19</v>
      </c>
      <c r="G202" t="s">
        <v>33</v>
      </c>
      <c r="H202">
        <v>2051</v>
      </c>
      <c r="I202" t="s">
        <v>18</v>
      </c>
      <c r="J202" t="s">
        <v>63</v>
      </c>
      <c r="K202" t="s">
        <v>64</v>
      </c>
      <c r="L202" t="s">
        <v>65</v>
      </c>
      <c r="M202">
        <f>SUMIFS(RawResultsLong!$P:$P,RawResultsLong!$A:$A,A202)</f>
        <v>143.394192</v>
      </c>
      <c r="N202">
        <f t="shared" si="21"/>
        <v>4543.8877481177278</v>
      </c>
      <c r="O202" t="s">
        <v>66</v>
      </c>
      <c r="P202">
        <f>SUMIFS(TechnologyMapping!$D:$D,TechnologyMapping!$A:$A,C202)</f>
        <v>1</v>
      </c>
      <c r="Q202">
        <f t="shared" si="22"/>
        <v>4543.8877481177278</v>
      </c>
      <c r="R202">
        <f>SUMIFS(FactorInputs!$I:$I,FactorInputs!$A:$A,B202)</f>
        <v>7.0418918918899995E-2</v>
      </c>
      <c r="S202" t="str">
        <f>_xlfn.XLOOKUP(B202,FactorInputs!$A$2:$A$888,FactorInputs!$F$2:$F$888,"")</f>
        <v>job/MW</v>
      </c>
      <c r="T202" t="str">
        <f>_xlfn.XLOOKUP(B202,FactorInputs!$A$2:$A$888,FactorInputs!$B$2:$B$888,"")</f>
        <v>I-JEDI</v>
      </c>
      <c r="U202" t="str">
        <f>_xlfn.XLOOKUP(B202,FactorInputs!$A$2:$A$888,FactorInputs!$T$2:$T$888,"")</f>
        <v>I-JEDI</v>
      </c>
      <c r="V202">
        <f t="shared" si="23"/>
        <v>319.97566291128538</v>
      </c>
    </row>
    <row r="203" spans="1:23" x14ac:dyDescent="0.3">
      <c r="A203" t="str">
        <f t="shared" si="18"/>
        <v>PD|AccumulatedNewCapacity|RE1|PWRSOLUPE|2051</v>
      </c>
      <c r="B203" t="str">
        <f t="shared" si="19"/>
        <v>Utility-scale solar PV|2051|O&amp;M|Direct</v>
      </c>
      <c r="C203" t="str">
        <f t="shared" si="20"/>
        <v>PWRSOLUPE|Utility-scale solar PV</v>
      </c>
      <c r="D203" t="s">
        <v>16</v>
      </c>
      <c r="E203" t="s">
        <v>17</v>
      </c>
      <c r="F203" t="s">
        <v>19</v>
      </c>
      <c r="G203" t="s">
        <v>34</v>
      </c>
      <c r="H203">
        <v>2051</v>
      </c>
      <c r="I203" t="s">
        <v>18</v>
      </c>
      <c r="J203" t="s">
        <v>63</v>
      </c>
      <c r="K203" t="s">
        <v>64</v>
      </c>
      <c r="L203" t="s">
        <v>65</v>
      </c>
      <c r="M203">
        <f>SUMIFS(RawResultsLong!$P:$P,RawResultsLong!$A:$A,A203)</f>
        <v>3.4689599999999992</v>
      </c>
      <c r="N203">
        <f t="shared" si="21"/>
        <v>109.92470910335383</v>
      </c>
      <c r="O203" t="s">
        <v>66</v>
      </c>
      <c r="P203">
        <f>SUMIFS(TechnologyMapping!$D:$D,TechnologyMapping!$A:$A,C203)</f>
        <v>1</v>
      </c>
      <c r="Q203">
        <f t="shared" si="22"/>
        <v>109.92470910335383</v>
      </c>
      <c r="R203">
        <f>SUMIFS(FactorInputs!$I:$I,FactorInputs!$A:$A,B203)</f>
        <v>7.0418918918899995E-2</v>
      </c>
      <c r="S203" t="str">
        <f>_xlfn.XLOOKUP(B203,FactorInputs!$A$2:$A$888,FactorInputs!$F$2:$F$888,"")</f>
        <v>job/MW</v>
      </c>
      <c r="T203" t="str">
        <f>_xlfn.XLOOKUP(B203,FactorInputs!$A$2:$A$888,FactorInputs!$B$2:$B$888,"")</f>
        <v>I-JEDI</v>
      </c>
      <c r="U203" t="str">
        <f>_xlfn.XLOOKUP(B203,FactorInputs!$A$2:$A$888,FactorInputs!$T$2:$T$888,"")</f>
        <v>I-JEDI</v>
      </c>
      <c r="V203">
        <f t="shared" si="23"/>
        <v>7.7407791775327421</v>
      </c>
      <c r="W203" t="s">
        <v>67</v>
      </c>
    </row>
    <row r="204" spans="1:23" x14ac:dyDescent="0.3">
      <c r="A204" t="str">
        <f t="shared" si="18"/>
        <v>PD|AccumulatedNewCapacity|RE1|PWRWNDONS|2051</v>
      </c>
      <c r="B204" t="str">
        <f t="shared" si="19"/>
        <v>Onshore wind|2051|O&amp;M|Direct</v>
      </c>
      <c r="C204" t="str">
        <f t="shared" si="20"/>
        <v>PWRWNDONS|Onshore wind</v>
      </c>
      <c r="D204" t="s">
        <v>16</v>
      </c>
      <c r="E204" t="s">
        <v>17</v>
      </c>
      <c r="F204" t="s">
        <v>19</v>
      </c>
      <c r="G204" t="s">
        <v>36</v>
      </c>
      <c r="H204">
        <v>2051</v>
      </c>
      <c r="I204" t="s">
        <v>18</v>
      </c>
      <c r="J204" t="s">
        <v>63</v>
      </c>
      <c r="K204" t="s">
        <v>64</v>
      </c>
      <c r="L204" t="s">
        <v>65</v>
      </c>
      <c r="M204">
        <f>SUMIFS(RawResultsLong!$P:$P,RawResultsLong!$A:$A,A204)</f>
        <v>439.04073660181581</v>
      </c>
      <c r="N204">
        <f t="shared" si="21"/>
        <v>13912.361415374293</v>
      </c>
      <c r="O204" t="s">
        <v>68</v>
      </c>
      <c r="P204">
        <f>SUMIFS(TechnologyMapping!$D:$D,TechnologyMapping!$A:$A,C204)</f>
        <v>1</v>
      </c>
      <c r="Q204">
        <f t="shared" si="22"/>
        <v>13912.361415374293</v>
      </c>
      <c r="R204">
        <f>SUMIFS(FactorInputs!$I:$I,FactorInputs!$A:$A,B204)</f>
        <v>2.6934306569300001E-2</v>
      </c>
      <c r="S204" t="str">
        <f>_xlfn.XLOOKUP(B204,FactorInputs!$A$2:$A$888,FactorInputs!$F$2:$F$888,"")</f>
        <v>job/MW</v>
      </c>
      <c r="T204" t="str">
        <f>_xlfn.XLOOKUP(B204,FactorInputs!$A$2:$A$888,FactorInputs!$B$2:$B$888,"")</f>
        <v>I-JEDI</v>
      </c>
      <c r="U204" t="str">
        <f>_xlfn.XLOOKUP(B204,FactorInputs!$A$2:$A$888,FactorInputs!$T$2:$T$888,"")</f>
        <v>I-JEDI</v>
      </c>
      <c r="V204">
        <f t="shared" si="23"/>
        <v>374.71980746459167</v>
      </c>
    </row>
    <row r="205" spans="1:23" x14ac:dyDescent="0.3">
      <c r="A205" t="str">
        <f t="shared" si="18"/>
        <v>PD|NewCapacity|RE1|PWRSOLRTP|2051</v>
      </c>
      <c r="B205" t="str">
        <f t="shared" si="19"/>
        <v>Rooftop solar PV|2051|Construction&amp;Manufacturing|Direct</v>
      </c>
      <c r="C205" t="str">
        <f t="shared" si="20"/>
        <v>PWRSOLRTP|Rooftop solar PV</v>
      </c>
      <c r="D205" t="s">
        <v>16</v>
      </c>
      <c r="E205" t="s">
        <v>17</v>
      </c>
      <c r="F205" t="s">
        <v>19</v>
      </c>
      <c r="G205" t="s">
        <v>31</v>
      </c>
      <c r="H205">
        <v>2051</v>
      </c>
      <c r="I205" t="s">
        <v>37</v>
      </c>
      <c r="J205" t="s">
        <v>69</v>
      </c>
      <c r="K205" t="s">
        <v>70</v>
      </c>
      <c r="L205" t="s">
        <v>65</v>
      </c>
      <c r="M205">
        <f>SUMIFS(RawResultsLong!$P:$P,RawResultsLong!$A:$A,A205)</f>
        <v>1.426759670259987</v>
      </c>
      <c r="N205">
        <f t="shared" si="21"/>
        <v>45.211285720713455</v>
      </c>
      <c r="O205" t="s">
        <v>71</v>
      </c>
      <c r="P205">
        <f>SUMIFS(TechnologyMapping!$D:$D,TechnologyMapping!$A:$A,C205)</f>
        <v>1</v>
      </c>
      <c r="Q205">
        <f t="shared" si="22"/>
        <v>45.211285720713455</v>
      </c>
      <c r="R205">
        <f>SUMIFS(FactorInputs!$I:$I,FactorInputs!$A:$A,B205)</f>
        <v>4.3205610605400002</v>
      </c>
      <c r="S205" t="str">
        <f>_xlfn.XLOOKUP(B205,FactorInputs!$A$2:$A$888,FactorInputs!$F$2:$F$888,"")</f>
        <v>job-yr/MW</v>
      </c>
      <c r="T205" t="str">
        <f>_xlfn.XLOOKUP(B205,FactorInputs!$A$2:$A$888,FactorInputs!$B$2:$B$888,"")</f>
        <v>JEDI-US</v>
      </c>
      <c r="U205" t="str">
        <f>_xlfn.XLOOKUP(B205,FactorInputs!$A$2:$A$888,FactorInputs!$T$2:$T$888,"")</f>
        <v>JEDI-US</v>
      </c>
      <c r="V205">
        <f t="shared" si="23"/>
        <v>195.33812058186268</v>
      </c>
    </row>
    <row r="206" spans="1:23" x14ac:dyDescent="0.3">
      <c r="A206" t="str">
        <f t="shared" si="18"/>
        <v>PD|AccumulatedNewCapacity|RE1|PWRHYDDAM|2052</v>
      </c>
      <c r="B206" t="str">
        <f t="shared" si="19"/>
        <v>Hydro (large)|2052|O&amp;M|Direct</v>
      </c>
      <c r="C206" t="str">
        <f t="shared" si="20"/>
        <v>PWRHYDDAM|Hydro (large)</v>
      </c>
      <c r="D206" t="s">
        <v>16</v>
      </c>
      <c r="E206" t="s">
        <v>17</v>
      </c>
      <c r="F206" t="s">
        <v>19</v>
      </c>
      <c r="G206" t="s">
        <v>24</v>
      </c>
      <c r="H206">
        <v>2052</v>
      </c>
      <c r="I206" t="s">
        <v>18</v>
      </c>
      <c r="J206" t="s">
        <v>63</v>
      </c>
      <c r="K206" t="s">
        <v>64</v>
      </c>
      <c r="L206" t="s">
        <v>65</v>
      </c>
      <c r="M206">
        <f>SUMIFS(RawResultsLong!$P:$P,RawResultsLong!$A:$A,A206)</f>
        <v>37.840000000000003</v>
      </c>
      <c r="N206">
        <f t="shared" si="21"/>
        <v>1199.0772428828554</v>
      </c>
      <c r="O206" t="s">
        <v>72</v>
      </c>
      <c r="P206">
        <f>SUMIFS(TechnologyMapping!$D:$D,TechnologyMapping!$A:$A,C206)</f>
        <v>1</v>
      </c>
      <c r="Q206">
        <f t="shared" si="22"/>
        <v>1199.0772428828554</v>
      </c>
      <c r="R206">
        <f>SUMIFS(FactorInputs!$I:$I,FactorInputs!$A:$A,B206)</f>
        <v>0.63849180327900001</v>
      </c>
      <c r="S206" t="str">
        <f>_xlfn.XLOOKUP(B206,FactorInputs!$A$2:$A$888,FactorInputs!$F$2:$F$888,"")</f>
        <v>job/MW</v>
      </c>
      <c r="T206" t="str">
        <f>_xlfn.XLOOKUP(B206,FactorInputs!$A$2:$A$888,FactorInputs!$B$2:$B$888,"")</f>
        <v>Rutovitz 2015</v>
      </c>
      <c r="U206" t="str">
        <f>_xlfn.XLOOKUP(B206,FactorInputs!$A$2:$A$888,FactorInputs!$T$2:$T$888,"")</f>
        <v>Rutovitz 2015</v>
      </c>
      <c r="V206">
        <f t="shared" si="23"/>
        <v>765.60099107908582</v>
      </c>
    </row>
    <row r="207" spans="1:23" x14ac:dyDescent="0.3">
      <c r="A207" t="str">
        <f t="shared" si="18"/>
        <v>PD|AccumulatedNewCapacity|RE1|PWRSOLRTP|2052</v>
      </c>
      <c r="B207" t="str">
        <f t="shared" si="19"/>
        <v>Rooftop solar PV|2052|O&amp;M|Direct</v>
      </c>
      <c r="C207" t="str">
        <f t="shared" si="20"/>
        <v>PWRSOLRTP|Rooftop solar PV</v>
      </c>
      <c r="D207" t="s">
        <v>16</v>
      </c>
      <c r="E207" t="s">
        <v>17</v>
      </c>
      <c r="F207" t="s">
        <v>19</v>
      </c>
      <c r="G207" t="s">
        <v>31</v>
      </c>
      <c r="H207">
        <v>2052</v>
      </c>
      <c r="I207" t="s">
        <v>18</v>
      </c>
      <c r="J207" t="s">
        <v>63</v>
      </c>
      <c r="K207" t="s">
        <v>64</v>
      </c>
      <c r="L207" t="s">
        <v>65</v>
      </c>
      <c r="M207">
        <f>SUMIFS(RawResultsLong!$P:$P,RawResultsLong!$A:$A,A207)</f>
        <v>103.4876347495244</v>
      </c>
      <c r="N207">
        <f t="shared" si="21"/>
        <v>3279.3252576090831</v>
      </c>
      <c r="O207" t="s">
        <v>71</v>
      </c>
      <c r="P207">
        <f>SUMIFS(TechnologyMapping!$D:$D,TechnologyMapping!$A:$A,C207)</f>
        <v>1</v>
      </c>
      <c r="Q207">
        <f t="shared" si="22"/>
        <v>3279.3252576090831</v>
      </c>
      <c r="R207">
        <f>SUMIFS(FactorInputs!$I:$I,FactorInputs!$A:$A,B207)</f>
        <v>0.21705882352899999</v>
      </c>
      <c r="S207" t="str">
        <f>_xlfn.XLOOKUP(B207,FactorInputs!$A$2:$A$888,FactorInputs!$F$2:$F$888,"")</f>
        <v>job/MW</v>
      </c>
      <c r="T207" t="str">
        <f>_xlfn.XLOOKUP(B207,FactorInputs!$A$2:$A$888,FactorInputs!$B$2:$B$888,"")</f>
        <v>JEDI-US</v>
      </c>
      <c r="U207" t="str">
        <f>_xlfn.XLOOKUP(B207,FactorInputs!$A$2:$A$888,FactorInputs!$T$2:$T$888,"")</f>
        <v>JEDI-US</v>
      </c>
      <c r="V207">
        <f t="shared" si="23"/>
        <v>711.80648238556239</v>
      </c>
    </row>
    <row r="208" spans="1:23" x14ac:dyDescent="0.3">
      <c r="A208" t="str">
        <f t="shared" si="18"/>
        <v>PD|AccumulatedNewCapacity|RE1|PWRSOLRTP_ZNI|2052</v>
      </c>
      <c r="B208" t="str">
        <f t="shared" si="19"/>
        <v>Rooftop solar PV|2052|O&amp;M|Direct</v>
      </c>
      <c r="C208" t="str">
        <f t="shared" si="20"/>
        <v>PWRSOLRTP_ZNI|Rooftop solar PV</v>
      </c>
      <c r="D208" t="s">
        <v>16</v>
      </c>
      <c r="E208" t="s">
        <v>17</v>
      </c>
      <c r="F208" t="s">
        <v>19</v>
      </c>
      <c r="G208" t="s">
        <v>32</v>
      </c>
      <c r="H208">
        <v>2052</v>
      </c>
      <c r="I208" t="s">
        <v>18</v>
      </c>
      <c r="J208" t="s">
        <v>63</v>
      </c>
      <c r="K208" t="s">
        <v>64</v>
      </c>
      <c r="L208" t="s">
        <v>65</v>
      </c>
      <c r="M208">
        <f>SUMIFS(RawResultsLong!$P:$P,RawResultsLong!$A:$A,A208)</f>
        <v>0.88750826980907294</v>
      </c>
      <c r="N208">
        <f t="shared" si="21"/>
        <v>28.123439989386799</v>
      </c>
      <c r="O208" t="s">
        <v>71</v>
      </c>
      <c r="P208">
        <f>SUMIFS(TechnologyMapping!$D:$D,TechnologyMapping!$A:$A,C208)</f>
        <v>1</v>
      </c>
      <c r="Q208">
        <f t="shared" si="22"/>
        <v>28.123439989386799</v>
      </c>
      <c r="R208">
        <f>SUMIFS(FactorInputs!$I:$I,FactorInputs!$A:$A,B208)</f>
        <v>0.21705882352899999</v>
      </c>
      <c r="S208" t="str">
        <f>_xlfn.XLOOKUP(B208,FactorInputs!$A$2:$A$888,FactorInputs!$F$2:$F$888,"")</f>
        <v>job/MW</v>
      </c>
      <c r="T208" t="str">
        <f>_xlfn.XLOOKUP(B208,FactorInputs!$A$2:$A$888,FactorInputs!$B$2:$B$888,"")</f>
        <v>JEDI-US</v>
      </c>
      <c r="U208" t="str">
        <f>_xlfn.XLOOKUP(B208,FactorInputs!$A$2:$A$888,FactorInputs!$T$2:$T$888,"")</f>
        <v>JEDI-US</v>
      </c>
      <c r="V208">
        <f t="shared" si="23"/>
        <v>6.104440797684731</v>
      </c>
      <c r="W208" t="s">
        <v>73</v>
      </c>
    </row>
    <row r="209" spans="1:23" x14ac:dyDescent="0.3">
      <c r="A209" t="str">
        <f t="shared" si="18"/>
        <v>PD|AccumulatedNewCapacity|RE1|PWRSOLUGE|2052</v>
      </c>
      <c r="B209" t="str">
        <f t="shared" si="19"/>
        <v>Utility-scale solar PV|2052|O&amp;M|Direct</v>
      </c>
      <c r="C209" t="str">
        <f t="shared" si="20"/>
        <v>PWRSOLUGE|Utility-scale solar PV</v>
      </c>
      <c r="D209" t="s">
        <v>16</v>
      </c>
      <c r="E209" t="s">
        <v>17</v>
      </c>
      <c r="F209" t="s">
        <v>19</v>
      </c>
      <c r="G209" t="s">
        <v>33</v>
      </c>
      <c r="H209">
        <v>2052</v>
      </c>
      <c r="I209" t="s">
        <v>18</v>
      </c>
      <c r="J209" t="s">
        <v>63</v>
      </c>
      <c r="K209" t="s">
        <v>64</v>
      </c>
      <c r="L209" t="s">
        <v>65</v>
      </c>
      <c r="M209">
        <f>SUMIFS(RawResultsLong!$P:$P,RawResultsLong!$A:$A,A209)</f>
        <v>143.394192</v>
      </c>
      <c r="N209">
        <f t="shared" si="21"/>
        <v>4543.8877481177278</v>
      </c>
      <c r="O209" t="s">
        <v>66</v>
      </c>
      <c r="P209">
        <f>SUMIFS(TechnologyMapping!$D:$D,TechnologyMapping!$A:$A,C209)</f>
        <v>1</v>
      </c>
      <c r="Q209">
        <f t="shared" si="22"/>
        <v>4543.8877481177278</v>
      </c>
      <c r="R209">
        <f>SUMIFS(FactorInputs!$I:$I,FactorInputs!$A:$A,B209)</f>
        <v>7.0418918918899995E-2</v>
      </c>
      <c r="S209" t="str">
        <f>_xlfn.XLOOKUP(B209,FactorInputs!$A$2:$A$888,FactorInputs!$F$2:$F$888,"")</f>
        <v>job/MW</v>
      </c>
      <c r="T209" t="str">
        <f>_xlfn.XLOOKUP(B209,FactorInputs!$A$2:$A$888,FactorInputs!$B$2:$B$888,"")</f>
        <v>I-JEDI</v>
      </c>
      <c r="U209" t="str">
        <f>_xlfn.XLOOKUP(B209,FactorInputs!$A$2:$A$888,FactorInputs!$T$2:$T$888,"")</f>
        <v>I-JEDI</v>
      </c>
      <c r="V209">
        <f t="shared" si="23"/>
        <v>319.97566291128538</v>
      </c>
    </row>
    <row r="210" spans="1:23" x14ac:dyDescent="0.3">
      <c r="A210" t="str">
        <f t="shared" si="18"/>
        <v>PD|AccumulatedNewCapacity|RE1|PWRWNDONS|2052</v>
      </c>
      <c r="B210" t="str">
        <f t="shared" si="19"/>
        <v>Onshore wind|2052|O&amp;M|Direct</v>
      </c>
      <c r="C210" t="str">
        <f t="shared" si="20"/>
        <v>PWRWNDONS|Onshore wind</v>
      </c>
      <c r="D210" t="s">
        <v>16</v>
      </c>
      <c r="E210" t="s">
        <v>17</v>
      </c>
      <c r="F210" t="s">
        <v>19</v>
      </c>
      <c r="G210" t="s">
        <v>36</v>
      </c>
      <c r="H210">
        <v>2052</v>
      </c>
      <c r="I210" t="s">
        <v>18</v>
      </c>
      <c r="J210" t="s">
        <v>63</v>
      </c>
      <c r="K210" t="s">
        <v>64</v>
      </c>
      <c r="L210" t="s">
        <v>65</v>
      </c>
      <c r="M210">
        <f>SUMIFS(RawResultsLong!$P:$P,RawResultsLong!$A:$A,A210)</f>
        <v>486.35073660181581</v>
      </c>
      <c r="N210">
        <f t="shared" si="21"/>
        <v>15411.524849856003</v>
      </c>
      <c r="O210" t="s">
        <v>68</v>
      </c>
      <c r="P210">
        <f>SUMIFS(TechnologyMapping!$D:$D,TechnologyMapping!$A:$A,C210)</f>
        <v>1</v>
      </c>
      <c r="Q210">
        <f t="shared" si="22"/>
        <v>15411.524849856003</v>
      </c>
      <c r="R210">
        <f>SUMIFS(FactorInputs!$I:$I,FactorInputs!$A:$A,B210)</f>
        <v>2.6934306569300001E-2</v>
      </c>
      <c r="S210" t="str">
        <f>_xlfn.XLOOKUP(B210,FactorInputs!$A$2:$A$888,FactorInputs!$F$2:$F$888,"")</f>
        <v>job/MW</v>
      </c>
      <c r="T210" t="str">
        <f>_xlfn.XLOOKUP(B210,FactorInputs!$A$2:$A$888,FactorInputs!$B$2:$B$888,"")</f>
        <v>I-JEDI</v>
      </c>
      <c r="U210" t="str">
        <f>_xlfn.XLOOKUP(B210,FactorInputs!$A$2:$A$888,FactorInputs!$T$2:$T$888,"")</f>
        <v>I-JEDI</v>
      </c>
      <c r="V210">
        <f t="shared" si="23"/>
        <v>415.09873500640674</v>
      </c>
    </row>
    <row r="211" spans="1:23" x14ac:dyDescent="0.3">
      <c r="A211" t="str">
        <f t="shared" si="18"/>
        <v>PD|NewCapacity|RE1|PWRSOLRTP|2052</v>
      </c>
      <c r="B211" t="str">
        <f t="shared" si="19"/>
        <v>Rooftop solar PV|2052|Construction&amp;Manufacturing|Direct</v>
      </c>
      <c r="C211" t="str">
        <f t="shared" si="20"/>
        <v>PWRSOLRTP|Rooftop solar PV</v>
      </c>
      <c r="D211" t="s">
        <v>16</v>
      </c>
      <c r="E211" t="s">
        <v>17</v>
      </c>
      <c r="F211" t="s">
        <v>19</v>
      </c>
      <c r="G211" t="s">
        <v>31</v>
      </c>
      <c r="H211">
        <v>2052</v>
      </c>
      <c r="I211" t="s">
        <v>37</v>
      </c>
      <c r="J211" t="s">
        <v>69</v>
      </c>
      <c r="K211" t="s">
        <v>70</v>
      </c>
      <c r="L211" t="s">
        <v>65</v>
      </c>
      <c r="M211">
        <f>SUMIFS(RawResultsLong!$P:$P,RawResultsLong!$A:$A,A211)</f>
        <v>1.426759670259987</v>
      </c>
      <c r="N211">
        <f t="shared" si="21"/>
        <v>45.211285720713455</v>
      </c>
      <c r="O211" t="s">
        <v>71</v>
      </c>
      <c r="P211">
        <f>SUMIFS(TechnologyMapping!$D:$D,TechnologyMapping!$A:$A,C211)</f>
        <v>1</v>
      </c>
      <c r="Q211">
        <f t="shared" si="22"/>
        <v>45.211285720713455</v>
      </c>
      <c r="R211">
        <f>SUMIFS(FactorInputs!$I:$I,FactorInputs!$A:$A,B211)</f>
        <v>4.3205610605400002</v>
      </c>
      <c r="S211" t="str">
        <f>_xlfn.XLOOKUP(B211,FactorInputs!$A$2:$A$888,FactorInputs!$F$2:$F$888,"")</f>
        <v>job-yr/MW</v>
      </c>
      <c r="T211" t="str">
        <f>_xlfn.XLOOKUP(B211,FactorInputs!$A$2:$A$888,FactorInputs!$B$2:$B$888,"")</f>
        <v>JEDI-US</v>
      </c>
      <c r="U211" t="str">
        <f>_xlfn.XLOOKUP(B211,FactorInputs!$A$2:$A$888,FactorInputs!$T$2:$T$888,"")</f>
        <v>JEDI-US</v>
      </c>
      <c r="V211">
        <f t="shared" si="23"/>
        <v>195.33812058186268</v>
      </c>
    </row>
    <row r="212" spans="1:23" x14ac:dyDescent="0.3">
      <c r="A212" t="str">
        <f t="shared" si="18"/>
        <v>PD|NewCapacity|RE1|PWRWNDONS|2052</v>
      </c>
      <c r="B212" t="str">
        <f t="shared" si="19"/>
        <v>Onshore wind|2052|Construction&amp;Manufacturing|Direct</v>
      </c>
      <c r="C212" t="str">
        <f t="shared" si="20"/>
        <v>PWRWNDONS|Onshore wind</v>
      </c>
      <c r="D212" t="s">
        <v>16</v>
      </c>
      <c r="E212" t="s">
        <v>17</v>
      </c>
      <c r="F212" t="s">
        <v>19</v>
      </c>
      <c r="G212" t="s">
        <v>36</v>
      </c>
      <c r="H212">
        <v>2052</v>
      </c>
      <c r="I212" t="s">
        <v>37</v>
      </c>
      <c r="J212" t="s">
        <v>69</v>
      </c>
      <c r="K212" t="s">
        <v>70</v>
      </c>
      <c r="L212" t="s">
        <v>65</v>
      </c>
      <c r="M212">
        <f>SUMIFS(RawResultsLong!$P:$P,RawResultsLong!$A:$A,A212)</f>
        <v>47.31</v>
      </c>
      <c r="N212">
        <f t="shared" si="21"/>
        <v>1499.1634344817096</v>
      </c>
      <c r="O212" t="s">
        <v>68</v>
      </c>
      <c r="P212">
        <f>SUMIFS(TechnologyMapping!$D:$D,TechnologyMapping!$A:$A,C212)</f>
        <v>1</v>
      </c>
      <c r="Q212">
        <f t="shared" si="22"/>
        <v>1499.1634344817096</v>
      </c>
      <c r="R212">
        <f>SUMIFS(FactorInputs!$I:$I,FactorInputs!$A:$A,B212)</f>
        <v>6.5127600165799997</v>
      </c>
      <c r="S212" t="str">
        <f>_xlfn.XLOOKUP(B212,FactorInputs!$A$2:$A$888,FactorInputs!$F$2:$F$888,"")</f>
        <v>job-yr/MW</v>
      </c>
      <c r="T212" t="str">
        <f>_xlfn.XLOOKUP(B212,FactorInputs!$A$2:$A$888,FactorInputs!$B$2:$B$888,"")</f>
        <v>I-JEDI</v>
      </c>
      <c r="U212" t="str">
        <f>_xlfn.XLOOKUP(B212,FactorInputs!$A$2:$A$888,FactorInputs!$T$2:$T$888,"")</f>
        <v>I-JEDI</v>
      </c>
      <c r="V212">
        <f t="shared" si="23"/>
        <v>9763.6916744112277</v>
      </c>
    </row>
    <row r="213" spans="1:23" x14ac:dyDescent="0.3">
      <c r="A213" t="str">
        <f t="shared" si="18"/>
        <v>PD|AccumulatedNewCapacity|RE1|PWRHYDDAM|2053</v>
      </c>
      <c r="B213" t="str">
        <f t="shared" si="19"/>
        <v>Hydro (large)|2053|O&amp;M|Direct</v>
      </c>
      <c r="C213" t="str">
        <f t="shared" si="20"/>
        <v>PWRHYDDAM|Hydro (large)</v>
      </c>
      <c r="D213" t="s">
        <v>16</v>
      </c>
      <c r="E213" t="s">
        <v>17</v>
      </c>
      <c r="F213" t="s">
        <v>19</v>
      </c>
      <c r="G213" t="s">
        <v>24</v>
      </c>
      <c r="H213">
        <v>2053</v>
      </c>
      <c r="I213" t="s">
        <v>18</v>
      </c>
      <c r="J213" t="s">
        <v>63</v>
      </c>
      <c r="K213" t="s">
        <v>64</v>
      </c>
      <c r="L213" t="s">
        <v>65</v>
      </c>
      <c r="M213">
        <f>SUMIFS(RawResultsLong!$P:$P,RawResultsLong!$A:$A,A213)</f>
        <v>37.840000000000003</v>
      </c>
      <c r="N213">
        <f t="shared" si="21"/>
        <v>1199.0772428828554</v>
      </c>
      <c r="O213" t="s">
        <v>72</v>
      </c>
      <c r="P213">
        <f>SUMIFS(TechnologyMapping!$D:$D,TechnologyMapping!$A:$A,C213)</f>
        <v>1</v>
      </c>
      <c r="Q213">
        <f t="shared" si="22"/>
        <v>1199.0772428828554</v>
      </c>
      <c r="R213">
        <f>SUMIFS(FactorInputs!$I:$I,FactorInputs!$A:$A,B213)</f>
        <v>0.63849180327900001</v>
      </c>
      <c r="S213" t="str">
        <f>_xlfn.XLOOKUP(B213,FactorInputs!$A$2:$A$888,FactorInputs!$F$2:$F$888,"")</f>
        <v>job/MW</v>
      </c>
      <c r="T213" t="str">
        <f>_xlfn.XLOOKUP(B213,FactorInputs!$A$2:$A$888,FactorInputs!$B$2:$B$888,"")</f>
        <v>Rutovitz 2015</v>
      </c>
      <c r="U213" t="str">
        <f>_xlfn.XLOOKUP(B213,FactorInputs!$A$2:$A$888,FactorInputs!$T$2:$T$888,"")</f>
        <v>Rutovitz 2015</v>
      </c>
      <c r="V213">
        <f t="shared" si="23"/>
        <v>765.60099107908582</v>
      </c>
    </row>
    <row r="214" spans="1:23" x14ac:dyDescent="0.3">
      <c r="A214" t="str">
        <f t="shared" si="18"/>
        <v>PD|AccumulatedNewCapacity|RE1|PWRSOLRTP|2053</v>
      </c>
      <c r="B214" t="str">
        <f t="shared" si="19"/>
        <v>Rooftop solar PV|2053|O&amp;M|Direct</v>
      </c>
      <c r="C214" t="str">
        <f t="shared" si="20"/>
        <v>PWRSOLRTP|Rooftop solar PV</v>
      </c>
      <c r="D214" t="s">
        <v>16</v>
      </c>
      <c r="E214" t="s">
        <v>17</v>
      </c>
      <c r="F214" t="s">
        <v>19</v>
      </c>
      <c r="G214" t="s">
        <v>31</v>
      </c>
      <c r="H214">
        <v>2053</v>
      </c>
      <c r="I214" t="s">
        <v>18</v>
      </c>
      <c r="J214" t="s">
        <v>63</v>
      </c>
      <c r="K214" t="s">
        <v>64</v>
      </c>
      <c r="L214" t="s">
        <v>65</v>
      </c>
      <c r="M214">
        <f>SUMIFS(RawResultsLong!$P:$P,RawResultsLong!$A:$A,A214)</f>
        <v>93.500317057704478</v>
      </c>
      <c r="N214">
        <f t="shared" si="21"/>
        <v>2962.8462575640883</v>
      </c>
      <c r="O214" t="s">
        <v>71</v>
      </c>
      <c r="P214">
        <f>SUMIFS(TechnologyMapping!$D:$D,TechnologyMapping!$A:$A,C214)</f>
        <v>1</v>
      </c>
      <c r="Q214">
        <f t="shared" si="22"/>
        <v>2962.8462575640883</v>
      </c>
      <c r="R214">
        <f>SUMIFS(FactorInputs!$I:$I,FactorInputs!$A:$A,B214)</f>
        <v>0.21705882352899999</v>
      </c>
      <c r="S214" t="str">
        <f>_xlfn.XLOOKUP(B214,FactorInputs!$A$2:$A$888,FactorInputs!$F$2:$F$888,"")</f>
        <v>job/MW</v>
      </c>
      <c r="T214" t="str">
        <f>_xlfn.XLOOKUP(B214,FactorInputs!$A$2:$A$888,FactorInputs!$B$2:$B$888,"")</f>
        <v>JEDI-US</v>
      </c>
      <c r="U214" t="str">
        <f>_xlfn.XLOOKUP(B214,FactorInputs!$A$2:$A$888,FactorInputs!$T$2:$T$888,"")</f>
        <v>JEDI-US</v>
      </c>
      <c r="V214">
        <f t="shared" si="23"/>
        <v>643.11192296416152</v>
      </c>
    </row>
    <row r="215" spans="1:23" x14ac:dyDescent="0.3">
      <c r="A215" t="str">
        <f t="shared" si="18"/>
        <v>PD|AccumulatedNewCapacity|RE1|PWRSOLRTP_ZNI|2053</v>
      </c>
      <c r="B215" t="str">
        <f t="shared" si="19"/>
        <v>Rooftop solar PV|2053|O&amp;M|Direct</v>
      </c>
      <c r="C215" t="str">
        <f t="shared" si="20"/>
        <v>PWRSOLRTP_ZNI|Rooftop solar PV</v>
      </c>
      <c r="D215" t="s">
        <v>16</v>
      </c>
      <c r="E215" t="s">
        <v>17</v>
      </c>
      <c r="F215" t="s">
        <v>19</v>
      </c>
      <c r="G215" t="s">
        <v>32</v>
      </c>
      <c r="H215">
        <v>2053</v>
      </c>
      <c r="I215" t="s">
        <v>18</v>
      </c>
      <c r="J215" t="s">
        <v>63</v>
      </c>
      <c r="K215" t="s">
        <v>64</v>
      </c>
      <c r="L215" t="s">
        <v>65</v>
      </c>
      <c r="M215">
        <f>SUMIFS(RawResultsLong!$P:$P,RawResultsLong!$A:$A,A215)</f>
        <v>0.88750826980907294</v>
      </c>
      <c r="N215">
        <f t="shared" si="21"/>
        <v>28.123439989386799</v>
      </c>
      <c r="O215" t="s">
        <v>71</v>
      </c>
      <c r="P215">
        <f>SUMIFS(TechnologyMapping!$D:$D,TechnologyMapping!$A:$A,C215)</f>
        <v>1</v>
      </c>
      <c r="Q215">
        <f t="shared" si="22"/>
        <v>28.123439989386799</v>
      </c>
      <c r="R215">
        <f>SUMIFS(FactorInputs!$I:$I,FactorInputs!$A:$A,B215)</f>
        <v>0.21705882352899999</v>
      </c>
      <c r="S215" t="str">
        <f>_xlfn.XLOOKUP(B215,FactorInputs!$A$2:$A$888,FactorInputs!$F$2:$F$888,"")</f>
        <v>job/MW</v>
      </c>
      <c r="T215" t="str">
        <f>_xlfn.XLOOKUP(B215,FactorInputs!$A$2:$A$888,FactorInputs!$B$2:$B$888,"")</f>
        <v>JEDI-US</v>
      </c>
      <c r="U215" t="str">
        <f>_xlfn.XLOOKUP(B215,FactorInputs!$A$2:$A$888,FactorInputs!$T$2:$T$888,"")</f>
        <v>JEDI-US</v>
      </c>
      <c r="V215">
        <f t="shared" si="23"/>
        <v>6.104440797684731</v>
      </c>
      <c r="W215" t="s">
        <v>73</v>
      </c>
    </row>
    <row r="216" spans="1:23" x14ac:dyDescent="0.3">
      <c r="A216" t="str">
        <f t="shared" si="18"/>
        <v>PD|AccumulatedNewCapacity|RE1|PWRSOLUGE|2053</v>
      </c>
      <c r="B216" t="str">
        <f t="shared" si="19"/>
        <v>Utility-scale solar PV|2053|O&amp;M|Direct</v>
      </c>
      <c r="C216" t="str">
        <f t="shared" si="20"/>
        <v>PWRSOLUGE|Utility-scale solar PV</v>
      </c>
      <c r="D216" t="s">
        <v>16</v>
      </c>
      <c r="E216" t="s">
        <v>17</v>
      </c>
      <c r="F216" t="s">
        <v>19</v>
      </c>
      <c r="G216" t="s">
        <v>33</v>
      </c>
      <c r="H216">
        <v>2053</v>
      </c>
      <c r="I216" t="s">
        <v>18</v>
      </c>
      <c r="J216" t="s">
        <v>63</v>
      </c>
      <c r="K216" t="s">
        <v>64</v>
      </c>
      <c r="L216" t="s">
        <v>65</v>
      </c>
      <c r="M216">
        <f>SUMIFS(RawResultsLong!$P:$P,RawResultsLong!$A:$A,A216)</f>
        <v>143.394192</v>
      </c>
      <c r="N216">
        <f t="shared" si="21"/>
        <v>4543.8877481177278</v>
      </c>
      <c r="O216" t="s">
        <v>66</v>
      </c>
      <c r="P216">
        <f>SUMIFS(TechnologyMapping!$D:$D,TechnologyMapping!$A:$A,C216)</f>
        <v>1</v>
      </c>
      <c r="Q216">
        <f t="shared" si="22"/>
        <v>4543.8877481177278</v>
      </c>
      <c r="R216">
        <f>SUMIFS(FactorInputs!$I:$I,FactorInputs!$A:$A,B216)</f>
        <v>7.0418918918899995E-2</v>
      </c>
      <c r="S216" t="str">
        <f>_xlfn.XLOOKUP(B216,FactorInputs!$A$2:$A$888,FactorInputs!$F$2:$F$888,"")</f>
        <v>job/MW</v>
      </c>
      <c r="T216" t="str">
        <f>_xlfn.XLOOKUP(B216,FactorInputs!$A$2:$A$888,FactorInputs!$B$2:$B$888,"")</f>
        <v>I-JEDI</v>
      </c>
      <c r="U216" t="str">
        <f>_xlfn.XLOOKUP(B216,FactorInputs!$A$2:$A$888,FactorInputs!$T$2:$T$888,"")</f>
        <v>I-JEDI</v>
      </c>
      <c r="V216">
        <f t="shared" si="23"/>
        <v>319.97566291128538</v>
      </c>
    </row>
    <row r="217" spans="1:23" x14ac:dyDescent="0.3">
      <c r="A217" t="str">
        <f t="shared" si="18"/>
        <v>PD|AccumulatedNewCapacity|RE1|PWRWNDONS|2053</v>
      </c>
      <c r="B217" t="str">
        <f t="shared" si="19"/>
        <v>Onshore wind|2053|O&amp;M|Direct</v>
      </c>
      <c r="C217" t="str">
        <f t="shared" si="20"/>
        <v>PWRWNDONS|Onshore wind</v>
      </c>
      <c r="D217" t="s">
        <v>16</v>
      </c>
      <c r="E217" t="s">
        <v>17</v>
      </c>
      <c r="F217" t="s">
        <v>19</v>
      </c>
      <c r="G217" t="s">
        <v>36</v>
      </c>
      <c r="H217">
        <v>2053</v>
      </c>
      <c r="I217" t="s">
        <v>18</v>
      </c>
      <c r="J217" t="s">
        <v>63</v>
      </c>
      <c r="K217" t="s">
        <v>64</v>
      </c>
      <c r="L217" t="s">
        <v>65</v>
      </c>
      <c r="M217">
        <f>SUMIFS(RawResultsLong!$P:$P,RawResultsLong!$A:$A,A217)</f>
        <v>533.66073660181576</v>
      </c>
      <c r="N217">
        <f t="shared" si="21"/>
        <v>16910.688284337713</v>
      </c>
      <c r="O217" t="s">
        <v>68</v>
      </c>
      <c r="P217">
        <f>SUMIFS(TechnologyMapping!$D:$D,TechnologyMapping!$A:$A,C217)</f>
        <v>1</v>
      </c>
      <c r="Q217">
        <f t="shared" si="22"/>
        <v>16910.688284337713</v>
      </c>
      <c r="R217">
        <f>SUMIFS(FactorInputs!$I:$I,FactorInputs!$A:$A,B217)</f>
        <v>2.6934306569300001E-2</v>
      </c>
      <c r="S217" t="str">
        <f>_xlfn.XLOOKUP(B217,FactorInputs!$A$2:$A$888,FactorInputs!$F$2:$F$888,"")</f>
        <v>job/MW</v>
      </c>
      <c r="T217" t="str">
        <f>_xlfn.XLOOKUP(B217,FactorInputs!$A$2:$A$888,FactorInputs!$B$2:$B$888,"")</f>
        <v>I-JEDI</v>
      </c>
      <c r="U217" t="str">
        <f>_xlfn.XLOOKUP(B217,FactorInputs!$A$2:$A$888,FactorInputs!$T$2:$T$888,"")</f>
        <v>I-JEDI</v>
      </c>
      <c r="V217">
        <f t="shared" si="23"/>
        <v>455.47766254822182</v>
      </c>
    </row>
    <row r="218" spans="1:23" x14ac:dyDescent="0.3">
      <c r="A218" t="str">
        <f t="shared" si="18"/>
        <v>PD|NewCapacity|RE1|PWRSOLRTP|2053</v>
      </c>
      <c r="B218" t="str">
        <f t="shared" si="19"/>
        <v>Rooftop solar PV|2053|Construction&amp;Manufacturing|Direct</v>
      </c>
      <c r="C218" t="str">
        <f t="shared" si="20"/>
        <v>PWRSOLRTP|Rooftop solar PV</v>
      </c>
      <c r="D218" t="s">
        <v>16</v>
      </c>
      <c r="E218" t="s">
        <v>17</v>
      </c>
      <c r="F218" t="s">
        <v>19</v>
      </c>
      <c r="G218" t="s">
        <v>31</v>
      </c>
      <c r="H218">
        <v>2053</v>
      </c>
      <c r="I218" t="s">
        <v>37</v>
      </c>
      <c r="J218" t="s">
        <v>69</v>
      </c>
      <c r="K218" t="s">
        <v>70</v>
      </c>
      <c r="L218" t="s">
        <v>65</v>
      </c>
      <c r="M218">
        <f>SUMIFS(RawResultsLong!$P:$P,RawResultsLong!$A:$A,A218)</f>
        <v>1.426759670259987</v>
      </c>
      <c r="N218">
        <f t="shared" si="21"/>
        <v>45.211285720713455</v>
      </c>
      <c r="O218" t="s">
        <v>71</v>
      </c>
      <c r="P218">
        <f>SUMIFS(TechnologyMapping!$D:$D,TechnologyMapping!$A:$A,C218)</f>
        <v>1</v>
      </c>
      <c r="Q218">
        <f t="shared" si="22"/>
        <v>45.211285720713455</v>
      </c>
      <c r="R218">
        <f>SUMIFS(FactorInputs!$I:$I,FactorInputs!$A:$A,B218)</f>
        <v>4.3205610605400002</v>
      </c>
      <c r="S218" t="str">
        <f>_xlfn.XLOOKUP(B218,FactorInputs!$A$2:$A$888,FactorInputs!$F$2:$F$888,"")</f>
        <v>job-yr/MW</v>
      </c>
      <c r="T218" t="str">
        <f>_xlfn.XLOOKUP(B218,FactorInputs!$A$2:$A$888,FactorInputs!$B$2:$B$888,"")</f>
        <v>JEDI-US</v>
      </c>
      <c r="U218" t="str">
        <f>_xlfn.XLOOKUP(B218,FactorInputs!$A$2:$A$888,FactorInputs!$T$2:$T$888,"")</f>
        <v>JEDI-US</v>
      </c>
      <c r="V218">
        <f t="shared" si="23"/>
        <v>195.33812058186268</v>
      </c>
    </row>
    <row r="219" spans="1:23" x14ac:dyDescent="0.3">
      <c r="A219" t="str">
        <f t="shared" si="18"/>
        <v>PD|NewCapacity|RE1|PWRWNDONS|2053</v>
      </c>
      <c r="B219" t="str">
        <f t="shared" si="19"/>
        <v>Onshore wind|2053|Construction&amp;Manufacturing|Direct</v>
      </c>
      <c r="C219" t="str">
        <f t="shared" si="20"/>
        <v>PWRWNDONS|Onshore wind</v>
      </c>
      <c r="D219" t="s">
        <v>16</v>
      </c>
      <c r="E219" t="s">
        <v>17</v>
      </c>
      <c r="F219" t="s">
        <v>19</v>
      </c>
      <c r="G219" t="s">
        <v>36</v>
      </c>
      <c r="H219">
        <v>2053</v>
      </c>
      <c r="I219" t="s">
        <v>37</v>
      </c>
      <c r="J219" t="s">
        <v>69</v>
      </c>
      <c r="K219" t="s">
        <v>70</v>
      </c>
      <c r="L219" t="s">
        <v>65</v>
      </c>
      <c r="M219">
        <f>SUMIFS(RawResultsLong!$P:$P,RawResultsLong!$A:$A,A219)</f>
        <v>47.31</v>
      </c>
      <c r="N219">
        <f t="shared" si="21"/>
        <v>1499.1634344817096</v>
      </c>
      <c r="O219" t="s">
        <v>68</v>
      </c>
      <c r="P219">
        <f>SUMIFS(TechnologyMapping!$D:$D,TechnologyMapping!$A:$A,C219)</f>
        <v>1</v>
      </c>
      <c r="Q219">
        <f t="shared" si="22"/>
        <v>1499.1634344817096</v>
      </c>
      <c r="R219">
        <f>SUMIFS(FactorInputs!$I:$I,FactorInputs!$A:$A,B219)</f>
        <v>6.5127600165799997</v>
      </c>
      <c r="S219" t="str">
        <f>_xlfn.XLOOKUP(B219,FactorInputs!$A$2:$A$888,FactorInputs!$F$2:$F$888,"")</f>
        <v>job-yr/MW</v>
      </c>
      <c r="T219" t="str">
        <f>_xlfn.XLOOKUP(B219,FactorInputs!$A$2:$A$888,FactorInputs!$B$2:$B$888,"")</f>
        <v>I-JEDI</v>
      </c>
      <c r="U219" t="str">
        <f>_xlfn.XLOOKUP(B219,FactorInputs!$A$2:$A$888,FactorInputs!$T$2:$T$888,"")</f>
        <v>I-JEDI</v>
      </c>
      <c r="V219">
        <f t="shared" si="23"/>
        <v>9763.6916744112277</v>
      </c>
    </row>
    <row r="220" spans="1:23" x14ac:dyDescent="0.3">
      <c r="A220" t="str">
        <f t="shared" si="18"/>
        <v>PD|AccumulatedNewCapacity|RE1|PWRHYDDAM|2054</v>
      </c>
      <c r="B220" t="str">
        <f t="shared" si="19"/>
        <v>Hydro (large)|2054|O&amp;M|Direct</v>
      </c>
      <c r="C220" t="str">
        <f t="shared" si="20"/>
        <v>PWRHYDDAM|Hydro (large)</v>
      </c>
      <c r="D220" t="s">
        <v>16</v>
      </c>
      <c r="E220" t="s">
        <v>17</v>
      </c>
      <c r="F220" t="s">
        <v>19</v>
      </c>
      <c r="G220" t="s">
        <v>24</v>
      </c>
      <c r="H220">
        <v>2054</v>
      </c>
      <c r="I220" t="s">
        <v>18</v>
      </c>
      <c r="J220" t="s">
        <v>63</v>
      </c>
      <c r="K220" t="s">
        <v>64</v>
      </c>
      <c r="L220" t="s">
        <v>65</v>
      </c>
      <c r="M220">
        <f>SUMIFS(RawResultsLong!$P:$P,RawResultsLong!$A:$A,A220)</f>
        <v>37.840000000000003</v>
      </c>
      <c r="N220">
        <f t="shared" si="21"/>
        <v>1199.0772428828554</v>
      </c>
      <c r="O220" t="s">
        <v>72</v>
      </c>
      <c r="P220">
        <f>SUMIFS(TechnologyMapping!$D:$D,TechnologyMapping!$A:$A,C220)</f>
        <v>1</v>
      </c>
      <c r="Q220">
        <f t="shared" si="22"/>
        <v>1199.0772428828554</v>
      </c>
      <c r="R220">
        <f>SUMIFS(FactorInputs!$I:$I,FactorInputs!$A:$A,B220)</f>
        <v>0.63849180327900001</v>
      </c>
      <c r="S220" t="str">
        <f>_xlfn.XLOOKUP(B220,FactorInputs!$A$2:$A$888,FactorInputs!$F$2:$F$888,"")</f>
        <v>job/MW</v>
      </c>
      <c r="T220" t="str">
        <f>_xlfn.XLOOKUP(B220,FactorInputs!$A$2:$A$888,FactorInputs!$B$2:$B$888,"")</f>
        <v>Rutovitz 2015</v>
      </c>
      <c r="U220" t="str">
        <f>_xlfn.XLOOKUP(B220,FactorInputs!$A$2:$A$888,FactorInputs!$T$2:$T$888,"")</f>
        <v>Rutovitz 2015</v>
      </c>
      <c r="V220">
        <f t="shared" si="23"/>
        <v>765.60099107908582</v>
      </c>
    </row>
    <row r="221" spans="1:23" x14ac:dyDescent="0.3">
      <c r="A221" t="str">
        <f t="shared" si="18"/>
        <v>PD|AccumulatedNewCapacity|RE1|PWRSOLRTP|2054</v>
      </c>
      <c r="B221" t="str">
        <f t="shared" si="19"/>
        <v>Rooftop solar PV|2054|O&amp;M|Direct</v>
      </c>
      <c r="C221" t="str">
        <f t="shared" si="20"/>
        <v>PWRSOLRTP|Rooftop solar PV</v>
      </c>
      <c r="D221" t="s">
        <v>16</v>
      </c>
      <c r="E221" t="s">
        <v>17</v>
      </c>
      <c r="F221" t="s">
        <v>19</v>
      </c>
      <c r="G221" t="s">
        <v>31</v>
      </c>
      <c r="H221">
        <v>2054</v>
      </c>
      <c r="I221" t="s">
        <v>18</v>
      </c>
      <c r="J221" t="s">
        <v>63</v>
      </c>
      <c r="K221" t="s">
        <v>64</v>
      </c>
      <c r="L221" t="s">
        <v>65</v>
      </c>
      <c r="M221">
        <f>SUMIFS(RawResultsLong!$P:$P,RawResultsLong!$A:$A,A221)</f>
        <v>83.671528218135677</v>
      </c>
      <c r="N221">
        <f t="shared" si="21"/>
        <v>2651.3907337102846</v>
      </c>
      <c r="O221" t="s">
        <v>71</v>
      </c>
      <c r="P221">
        <f>SUMIFS(TechnologyMapping!$D:$D,TechnologyMapping!$A:$A,C221)</f>
        <v>1</v>
      </c>
      <c r="Q221">
        <f t="shared" si="22"/>
        <v>2651.3907337102846</v>
      </c>
      <c r="R221">
        <f>SUMIFS(FactorInputs!$I:$I,FactorInputs!$A:$A,B221)</f>
        <v>0.21705882352899999</v>
      </c>
      <c r="S221" t="str">
        <f>_xlfn.XLOOKUP(B221,FactorInputs!$A$2:$A$888,FactorInputs!$F$2:$F$888,"")</f>
        <v>job/MW</v>
      </c>
      <c r="T221" t="str">
        <f>_xlfn.XLOOKUP(B221,FactorInputs!$A$2:$A$888,FactorInputs!$B$2:$B$888,"")</f>
        <v>JEDI-US</v>
      </c>
      <c r="U221" t="str">
        <f>_xlfn.XLOOKUP(B221,FactorInputs!$A$2:$A$888,FactorInputs!$T$2:$T$888,"")</f>
        <v>JEDI-US</v>
      </c>
      <c r="V221">
        <f t="shared" si="23"/>
        <v>575.50775337484652</v>
      </c>
    </row>
    <row r="222" spans="1:23" x14ac:dyDescent="0.3">
      <c r="A222" t="str">
        <f t="shared" si="18"/>
        <v>PD|AccumulatedNewCapacity|RE1|PWRSOLRTP_ZNI|2054</v>
      </c>
      <c r="B222" t="str">
        <f t="shared" si="19"/>
        <v>Rooftop solar PV|2054|O&amp;M|Direct</v>
      </c>
      <c r="C222" t="str">
        <f t="shared" si="20"/>
        <v>PWRSOLRTP_ZNI|Rooftop solar PV</v>
      </c>
      <c r="D222" t="s">
        <v>16</v>
      </c>
      <c r="E222" t="s">
        <v>17</v>
      </c>
      <c r="F222" t="s">
        <v>19</v>
      </c>
      <c r="G222" t="s">
        <v>32</v>
      </c>
      <c r="H222">
        <v>2054</v>
      </c>
      <c r="I222" t="s">
        <v>18</v>
      </c>
      <c r="J222" t="s">
        <v>63</v>
      </c>
      <c r="K222" t="s">
        <v>64</v>
      </c>
      <c r="L222" t="s">
        <v>65</v>
      </c>
      <c r="M222">
        <f>SUMIFS(RawResultsLong!$P:$P,RawResultsLong!$A:$A,A222)</f>
        <v>0.88750826980907294</v>
      </c>
      <c r="N222">
        <f t="shared" si="21"/>
        <v>28.123439989386799</v>
      </c>
      <c r="O222" t="s">
        <v>71</v>
      </c>
      <c r="P222">
        <f>SUMIFS(TechnologyMapping!$D:$D,TechnologyMapping!$A:$A,C222)</f>
        <v>1</v>
      </c>
      <c r="Q222">
        <f t="shared" si="22"/>
        <v>28.123439989386799</v>
      </c>
      <c r="R222">
        <f>SUMIFS(FactorInputs!$I:$I,FactorInputs!$A:$A,B222)</f>
        <v>0.21705882352899999</v>
      </c>
      <c r="S222" t="str">
        <f>_xlfn.XLOOKUP(B222,FactorInputs!$A$2:$A$888,FactorInputs!$F$2:$F$888,"")</f>
        <v>job/MW</v>
      </c>
      <c r="T222" t="str">
        <f>_xlfn.XLOOKUP(B222,FactorInputs!$A$2:$A$888,FactorInputs!$B$2:$B$888,"")</f>
        <v>JEDI-US</v>
      </c>
      <c r="U222" t="str">
        <f>_xlfn.XLOOKUP(B222,FactorInputs!$A$2:$A$888,FactorInputs!$T$2:$T$888,"")</f>
        <v>JEDI-US</v>
      </c>
      <c r="V222">
        <f t="shared" si="23"/>
        <v>6.104440797684731</v>
      </c>
      <c r="W222" t="s">
        <v>73</v>
      </c>
    </row>
    <row r="223" spans="1:23" x14ac:dyDescent="0.3">
      <c r="A223" t="str">
        <f t="shared" si="18"/>
        <v>PD|AccumulatedNewCapacity|RE1|PWRSOLUGE|2054</v>
      </c>
      <c r="B223" t="str">
        <f t="shared" si="19"/>
        <v>Utility-scale solar PV|2054|O&amp;M|Direct</v>
      </c>
      <c r="C223" t="str">
        <f t="shared" si="20"/>
        <v>PWRSOLUGE|Utility-scale solar PV</v>
      </c>
      <c r="D223" t="s">
        <v>16</v>
      </c>
      <c r="E223" t="s">
        <v>17</v>
      </c>
      <c r="F223" t="s">
        <v>19</v>
      </c>
      <c r="G223" t="s">
        <v>33</v>
      </c>
      <c r="H223">
        <v>2054</v>
      </c>
      <c r="I223" t="s">
        <v>18</v>
      </c>
      <c r="J223" t="s">
        <v>63</v>
      </c>
      <c r="K223" t="s">
        <v>64</v>
      </c>
      <c r="L223" t="s">
        <v>65</v>
      </c>
      <c r="M223">
        <f>SUMIFS(RawResultsLong!$P:$P,RawResultsLong!$A:$A,A223)</f>
        <v>143.394192</v>
      </c>
      <c r="N223">
        <f t="shared" si="21"/>
        <v>4543.8877481177278</v>
      </c>
      <c r="O223" t="s">
        <v>66</v>
      </c>
      <c r="P223">
        <f>SUMIFS(TechnologyMapping!$D:$D,TechnologyMapping!$A:$A,C223)</f>
        <v>1</v>
      </c>
      <c r="Q223">
        <f t="shared" si="22"/>
        <v>4543.8877481177278</v>
      </c>
      <c r="R223">
        <f>SUMIFS(FactorInputs!$I:$I,FactorInputs!$A:$A,B223)</f>
        <v>7.0418918918899995E-2</v>
      </c>
      <c r="S223" t="str">
        <f>_xlfn.XLOOKUP(B223,FactorInputs!$A$2:$A$888,FactorInputs!$F$2:$F$888,"")</f>
        <v>job/MW</v>
      </c>
      <c r="T223" t="str">
        <f>_xlfn.XLOOKUP(B223,FactorInputs!$A$2:$A$888,FactorInputs!$B$2:$B$888,"")</f>
        <v>I-JEDI</v>
      </c>
      <c r="U223" t="str">
        <f>_xlfn.XLOOKUP(B223,FactorInputs!$A$2:$A$888,FactorInputs!$T$2:$T$888,"")</f>
        <v>I-JEDI</v>
      </c>
      <c r="V223">
        <f t="shared" si="23"/>
        <v>319.97566291128538</v>
      </c>
    </row>
    <row r="224" spans="1:23" x14ac:dyDescent="0.3">
      <c r="A224" t="str">
        <f t="shared" si="18"/>
        <v>PD|AccumulatedNewCapacity|RE1|PWRWNDONS|2054</v>
      </c>
      <c r="B224" t="str">
        <f t="shared" si="19"/>
        <v>Onshore wind|2054|O&amp;M|Direct</v>
      </c>
      <c r="C224" t="str">
        <f t="shared" si="20"/>
        <v>PWRWNDONS|Onshore wind</v>
      </c>
      <c r="D224" t="s">
        <v>16</v>
      </c>
      <c r="E224" t="s">
        <v>17</v>
      </c>
      <c r="F224" t="s">
        <v>19</v>
      </c>
      <c r="G224" t="s">
        <v>36</v>
      </c>
      <c r="H224">
        <v>2054</v>
      </c>
      <c r="I224" t="s">
        <v>18</v>
      </c>
      <c r="J224" t="s">
        <v>63</v>
      </c>
      <c r="K224" t="s">
        <v>64</v>
      </c>
      <c r="L224" t="s">
        <v>65</v>
      </c>
      <c r="M224">
        <f>SUMIFS(RawResultsLong!$P:$P,RawResultsLong!$A:$A,A224)</f>
        <v>580.97073660181582</v>
      </c>
      <c r="N224">
        <f t="shared" si="21"/>
        <v>18409.85171881942</v>
      </c>
      <c r="O224" t="s">
        <v>68</v>
      </c>
      <c r="P224">
        <f>SUMIFS(TechnologyMapping!$D:$D,TechnologyMapping!$A:$A,C224)</f>
        <v>1</v>
      </c>
      <c r="Q224">
        <f t="shared" si="22"/>
        <v>18409.85171881942</v>
      </c>
      <c r="R224">
        <f>SUMIFS(FactorInputs!$I:$I,FactorInputs!$A:$A,B224)</f>
        <v>2.6934306569300001E-2</v>
      </c>
      <c r="S224" t="str">
        <f>_xlfn.XLOOKUP(B224,FactorInputs!$A$2:$A$888,FactorInputs!$F$2:$F$888,"")</f>
        <v>job/MW</v>
      </c>
      <c r="T224" t="str">
        <f>_xlfn.XLOOKUP(B224,FactorInputs!$A$2:$A$888,FactorInputs!$B$2:$B$888,"")</f>
        <v>I-JEDI</v>
      </c>
      <c r="U224" t="str">
        <f>_xlfn.XLOOKUP(B224,FactorInputs!$A$2:$A$888,FactorInputs!$T$2:$T$888,"")</f>
        <v>I-JEDI</v>
      </c>
      <c r="V224">
        <f t="shared" si="23"/>
        <v>495.85659009003683</v>
      </c>
    </row>
    <row r="225" spans="1:23" x14ac:dyDescent="0.3">
      <c r="A225" t="str">
        <f t="shared" si="18"/>
        <v>PD|NewCapacity|RE1|PWRSOLRTP|2054</v>
      </c>
      <c r="B225" t="str">
        <f t="shared" si="19"/>
        <v>Rooftop solar PV|2054|Construction&amp;Manufacturing|Direct</v>
      </c>
      <c r="C225" t="str">
        <f t="shared" si="20"/>
        <v>PWRSOLRTP|Rooftop solar PV</v>
      </c>
      <c r="D225" t="s">
        <v>16</v>
      </c>
      <c r="E225" t="s">
        <v>17</v>
      </c>
      <c r="F225" t="s">
        <v>19</v>
      </c>
      <c r="G225" t="s">
        <v>31</v>
      </c>
      <c r="H225">
        <v>2054</v>
      </c>
      <c r="I225" t="s">
        <v>37</v>
      </c>
      <c r="J225" t="s">
        <v>69</v>
      </c>
      <c r="K225" t="s">
        <v>70</v>
      </c>
      <c r="L225" t="s">
        <v>65</v>
      </c>
      <c r="M225">
        <f>SUMIFS(RawResultsLong!$P:$P,RawResultsLong!$A:$A,A225)</f>
        <v>1.426759670259987</v>
      </c>
      <c r="N225">
        <f t="shared" si="21"/>
        <v>45.211285720713455</v>
      </c>
      <c r="O225" t="s">
        <v>71</v>
      </c>
      <c r="P225">
        <f>SUMIFS(TechnologyMapping!$D:$D,TechnologyMapping!$A:$A,C225)</f>
        <v>1</v>
      </c>
      <c r="Q225">
        <f t="shared" si="22"/>
        <v>45.211285720713455</v>
      </c>
      <c r="R225">
        <f>SUMIFS(FactorInputs!$I:$I,FactorInputs!$A:$A,B225)</f>
        <v>4.3205610605400002</v>
      </c>
      <c r="S225" t="str">
        <f>_xlfn.XLOOKUP(B225,FactorInputs!$A$2:$A$888,FactorInputs!$F$2:$F$888,"")</f>
        <v>job-yr/MW</v>
      </c>
      <c r="T225" t="str">
        <f>_xlfn.XLOOKUP(B225,FactorInputs!$A$2:$A$888,FactorInputs!$B$2:$B$888,"")</f>
        <v>JEDI-US</v>
      </c>
      <c r="U225" t="str">
        <f>_xlfn.XLOOKUP(B225,FactorInputs!$A$2:$A$888,FactorInputs!$T$2:$T$888,"")</f>
        <v>JEDI-US</v>
      </c>
      <c r="V225">
        <f t="shared" si="23"/>
        <v>195.33812058186268</v>
      </c>
    </row>
    <row r="226" spans="1:23" x14ac:dyDescent="0.3">
      <c r="A226" t="str">
        <f t="shared" si="18"/>
        <v>PD|NewCapacity|RE1|PWRWNDONS|2054</v>
      </c>
      <c r="B226" t="str">
        <f t="shared" si="19"/>
        <v>Onshore wind|2054|Construction&amp;Manufacturing|Direct</v>
      </c>
      <c r="C226" t="str">
        <f t="shared" si="20"/>
        <v>PWRWNDONS|Onshore wind</v>
      </c>
      <c r="D226" t="s">
        <v>16</v>
      </c>
      <c r="E226" t="s">
        <v>17</v>
      </c>
      <c r="F226" t="s">
        <v>19</v>
      </c>
      <c r="G226" t="s">
        <v>36</v>
      </c>
      <c r="H226">
        <v>2054</v>
      </c>
      <c r="I226" t="s">
        <v>37</v>
      </c>
      <c r="J226" t="s">
        <v>69</v>
      </c>
      <c r="K226" t="s">
        <v>70</v>
      </c>
      <c r="L226" t="s">
        <v>65</v>
      </c>
      <c r="M226">
        <f>SUMIFS(RawResultsLong!$P:$P,RawResultsLong!$A:$A,A226)</f>
        <v>47.31</v>
      </c>
      <c r="N226">
        <f t="shared" si="21"/>
        <v>1499.1634344817096</v>
      </c>
      <c r="O226" t="s">
        <v>68</v>
      </c>
      <c r="P226">
        <f>SUMIFS(TechnologyMapping!$D:$D,TechnologyMapping!$A:$A,C226)</f>
        <v>1</v>
      </c>
      <c r="Q226">
        <f t="shared" si="22"/>
        <v>1499.1634344817096</v>
      </c>
      <c r="R226">
        <f>SUMIFS(FactorInputs!$I:$I,FactorInputs!$A:$A,B226)</f>
        <v>6.5127600165799997</v>
      </c>
      <c r="S226" t="str">
        <f>_xlfn.XLOOKUP(B226,FactorInputs!$A$2:$A$888,FactorInputs!$F$2:$F$888,"")</f>
        <v>job-yr/MW</v>
      </c>
      <c r="T226" t="str">
        <f>_xlfn.XLOOKUP(B226,FactorInputs!$A$2:$A$888,FactorInputs!$B$2:$B$888,"")</f>
        <v>I-JEDI</v>
      </c>
      <c r="U226" t="str">
        <f>_xlfn.XLOOKUP(B226,FactorInputs!$A$2:$A$888,FactorInputs!$T$2:$T$888,"")</f>
        <v>I-JEDI</v>
      </c>
      <c r="V226">
        <f t="shared" si="23"/>
        <v>9763.6916744112277</v>
      </c>
    </row>
    <row r="227" spans="1:23" x14ac:dyDescent="0.3">
      <c r="A227" t="str">
        <f t="shared" si="18"/>
        <v>PD|AccumulatedNewCapacity|RE1|PWRHYDDAM|2055</v>
      </c>
      <c r="B227" t="str">
        <f t="shared" si="19"/>
        <v>Hydro (large)|2055|O&amp;M|Direct</v>
      </c>
      <c r="C227" t="str">
        <f t="shared" si="20"/>
        <v>PWRHYDDAM|Hydro (large)</v>
      </c>
      <c r="D227" t="s">
        <v>16</v>
      </c>
      <c r="E227" t="s">
        <v>17</v>
      </c>
      <c r="F227" t="s">
        <v>19</v>
      </c>
      <c r="G227" t="s">
        <v>24</v>
      </c>
      <c r="H227">
        <v>2055</v>
      </c>
      <c r="I227" t="s">
        <v>18</v>
      </c>
      <c r="J227" t="s">
        <v>63</v>
      </c>
      <c r="K227" t="s">
        <v>64</v>
      </c>
      <c r="L227" t="s">
        <v>65</v>
      </c>
      <c r="M227">
        <f>SUMIFS(RawResultsLong!$P:$P,RawResultsLong!$A:$A,A227)</f>
        <v>37.840000000000003</v>
      </c>
      <c r="N227">
        <f t="shared" si="21"/>
        <v>1199.0772428828554</v>
      </c>
      <c r="O227" t="s">
        <v>72</v>
      </c>
      <c r="P227">
        <f>SUMIFS(TechnologyMapping!$D:$D,TechnologyMapping!$A:$A,C227)</f>
        <v>1</v>
      </c>
      <c r="Q227">
        <f t="shared" si="22"/>
        <v>1199.0772428828554</v>
      </c>
      <c r="R227">
        <f>SUMIFS(FactorInputs!$I:$I,FactorInputs!$A:$A,B227)</f>
        <v>0.63849180327900001</v>
      </c>
      <c r="S227" t="str">
        <f>_xlfn.XLOOKUP(B227,FactorInputs!$A$2:$A$888,FactorInputs!$F$2:$F$888,"")</f>
        <v>job/MW</v>
      </c>
      <c r="T227" t="str">
        <f>_xlfn.XLOOKUP(B227,FactorInputs!$A$2:$A$888,FactorInputs!$B$2:$B$888,"")</f>
        <v>Rutovitz 2015</v>
      </c>
      <c r="U227" t="str">
        <f>_xlfn.XLOOKUP(B227,FactorInputs!$A$2:$A$888,FactorInputs!$T$2:$T$888,"")</f>
        <v>Rutovitz 2015</v>
      </c>
      <c r="V227">
        <f t="shared" si="23"/>
        <v>765.60099107908582</v>
      </c>
    </row>
    <row r="228" spans="1:23" x14ac:dyDescent="0.3">
      <c r="A228" t="str">
        <f t="shared" si="18"/>
        <v>PD|AccumulatedNewCapacity|RE1|PWRSOLRTP|2055</v>
      </c>
      <c r="B228" t="str">
        <f t="shared" si="19"/>
        <v>Rooftop solar PV|2055|O&amp;M|Direct</v>
      </c>
      <c r="C228" t="str">
        <f t="shared" si="20"/>
        <v>PWRSOLRTP|Rooftop solar PV</v>
      </c>
      <c r="D228" t="s">
        <v>16</v>
      </c>
      <c r="E228" t="s">
        <v>17</v>
      </c>
      <c r="F228" t="s">
        <v>19</v>
      </c>
      <c r="G228" t="s">
        <v>31</v>
      </c>
      <c r="H228">
        <v>2055</v>
      </c>
      <c r="I228" t="s">
        <v>18</v>
      </c>
      <c r="J228" t="s">
        <v>63</v>
      </c>
      <c r="K228" t="s">
        <v>64</v>
      </c>
      <c r="L228" t="s">
        <v>65</v>
      </c>
      <c r="M228">
        <f>SUMIFS(RawResultsLong!$P:$P,RawResultsLong!$A:$A,A228)</f>
        <v>74.476854787571312</v>
      </c>
      <c r="N228">
        <f t="shared" si="21"/>
        <v>2360.0291146212421</v>
      </c>
      <c r="O228" t="s">
        <v>71</v>
      </c>
      <c r="P228">
        <f>SUMIFS(TechnologyMapping!$D:$D,TechnologyMapping!$A:$A,C228)</f>
        <v>1</v>
      </c>
      <c r="Q228">
        <f t="shared" si="22"/>
        <v>2360.0291146212421</v>
      </c>
      <c r="R228">
        <f>SUMIFS(FactorInputs!$I:$I,FactorInputs!$A:$A,B228)</f>
        <v>0.21705882352899999</v>
      </c>
      <c r="S228" t="str">
        <f>_xlfn.XLOOKUP(B228,FactorInputs!$A$2:$A$888,FactorInputs!$F$2:$F$888,"")</f>
        <v>job/MW</v>
      </c>
      <c r="T228" t="str">
        <f>_xlfn.XLOOKUP(B228,FactorInputs!$A$2:$A$888,FactorInputs!$B$2:$B$888,"")</f>
        <v>JEDI-US</v>
      </c>
      <c r="U228" t="str">
        <f>_xlfn.XLOOKUP(B228,FactorInputs!$A$2:$A$888,FactorInputs!$T$2:$T$888,"")</f>
        <v>JEDI-US</v>
      </c>
      <c r="V228">
        <f t="shared" si="23"/>
        <v>512.26514311387427</v>
      </c>
    </row>
    <row r="229" spans="1:23" x14ac:dyDescent="0.3">
      <c r="A229" t="str">
        <f t="shared" si="18"/>
        <v>PD|AccumulatedNewCapacity|RE1|PWRSOLRTP_ZNI|2055</v>
      </c>
      <c r="B229" t="str">
        <f t="shared" si="19"/>
        <v>Rooftop solar PV|2055|O&amp;M|Direct</v>
      </c>
      <c r="C229" t="str">
        <f t="shared" si="20"/>
        <v>PWRSOLRTP_ZNI|Rooftop solar PV</v>
      </c>
      <c r="D229" t="s">
        <v>16</v>
      </c>
      <c r="E229" t="s">
        <v>17</v>
      </c>
      <c r="F229" t="s">
        <v>19</v>
      </c>
      <c r="G229" t="s">
        <v>32</v>
      </c>
      <c r="H229">
        <v>2055</v>
      </c>
      <c r="I229" t="s">
        <v>18</v>
      </c>
      <c r="J229" t="s">
        <v>63</v>
      </c>
      <c r="K229" t="s">
        <v>64</v>
      </c>
      <c r="L229" t="s">
        <v>65</v>
      </c>
      <c r="M229">
        <f>SUMIFS(RawResultsLong!$P:$P,RawResultsLong!$A:$A,A229)</f>
        <v>0.88750826980907294</v>
      </c>
      <c r="N229">
        <f t="shared" si="21"/>
        <v>28.123439989386799</v>
      </c>
      <c r="O229" t="s">
        <v>71</v>
      </c>
      <c r="P229">
        <f>SUMIFS(TechnologyMapping!$D:$D,TechnologyMapping!$A:$A,C229)</f>
        <v>1</v>
      </c>
      <c r="Q229">
        <f t="shared" si="22"/>
        <v>28.123439989386799</v>
      </c>
      <c r="R229">
        <f>SUMIFS(FactorInputs!$I:$I,FactorInputs!$A:$A,B229)</f>
        <v>0.21705882352899999</v>
      </c>
      <c r="S229" t="str">
        <f>_xlfn.XLOOKUP(B229,FactorInputs!$A$2:$A$888,FactorInputs!$F$2:$F$888,"")</f>
        <v>job/MW</v>
      </c>
      <c r="T229" t="str">
        <f>_xlfn.XLOOKUP(B229,FactorInputs!$A$2:$A$888,FactorInputs!$B$2:$B$888,"")</f>
        <v>JEDI-US</v>
      </c>
      <c r="U229" t="str">
        <f>_xlfn.XLOOKUP(B229,FactorInputs!$A$2:$A$888,FactorInputs!$T$2:$T$888,"")</f>
        <v>JEDI-US</v>
      </c>
      <c r="V229">
        <f t="shared" si="23"/>
        <v>6.104440797684731</v>
      </c>
      <c r="W229" t="s">
        <v>73</v>
      </c>
    </row>
    <row r="230" spans="1:23" x14ac:dyDescent="0.3">
      <c r="A230" t="str">
        <f t="shared" si="18"/>
        <v>PD|AccumulatedNewCapacity|RE1|PWRSOLUGE|2055</v>
      </c>
      <c r="B230" t="str">
        <f t="shared" si="19"/>
        <v>Utility-scale solar PV|2055|O&amp;M|Direct</v>
      </c>
      <c r="C230" t="str">
        <f t="shared" si="20"/>
        <v>PWRSOLUGE|Utility-scale solar PV</v>
      </c>
      <c r="D230" t="s">
        <v>16</v>
      </c>
      <c r="E230" t="s">
        <v>17</v>
      </c>
      <c r="F230" t="s">
        <v>19</v>
      </c>
      <c r="G230" t="s">
        <v>33</v>
      </c>
      <c r="H230">
        <v>2055</v>
      </c>
      <c r="I230" t="s">
        <v>18</v>
      </c>
      <c r="J230" t="s">
        <v>63</v>
      </c>
      <c r="K230" t="s">
        <v>64</v>
      </c>
      <c r="L230" t="s">
        <v>65</v>
      </c>
      <c r="M230">
        <f>SUMIFS(RawResultsLong!$P:$P,RawResultsLong!$A:$A,A230)</f>
        <v>136.67702399999999</v>
      </c>
      <c r="N230">
        <f t="shared" si="21"/>
        <v>4331.0335386721417</v>
      </c>
      <c r="O230" t="s">
        <v>66</v>
      </c>
      <c r="P230">
        <f>SUMIFS(TechnologyMapping!$D:$D,TechnologyMapping!$A:$A,C230)</f>
        <v>1</v>
      </c>
      <c r="Q230">
        <f t="shared" si="22"/>
        <v>4331.0335386721417</v>
      </c>
      <c r="R230">
        <f>SUMIFS(FactorInputs!$I:$I,FactorInputs!$A:$A,B230)</f>
        <v>7.0418918918899995E-2</v>
      </c>
      <c r="S230" t="str">
        <f>_xlfn.XLOOKUP(B230,FactorInputs!$A$2:$A$888,FactorInputs!$F$2:$F$888,"")</f>
        <v>job/MW</v>
      </c>
      <c r="T230" t="str">
        <f>_xlfn.XLOOKUP(B230,FactorInputs!$A$2:$A$888,FactorInputs!$B$2:$B$888,"")</f>
        <v>I-JEDI</v>
      </c>
      <c r="U230" t="str">
        <f>_xlfn.XLOOKUP(B230,FactorInputs!$A$2:$A$888,FactorInputs!$T$2:$T$888,"")</f>
        <v>I-JEDI</v>
      </c>
      <c r="V230">
        <f t="shared" si="23"/>
        <v>304.98669959479008</v>
      </c>
    </row>
    <row r="231" spans="1:23" x14ac:dyDescent="0.3">
      <c r="A231" t="str">
        <f t="shared" si="18"/>
        <v>PD|AccumulatedNewCapacity|RE1|PWRWNDONS|2055</v>
      </c>
      <c r="B231" t="str">
        <f t="shared" si="19"/>
        <v>Onshore wind|2055|O&amp;M|Direct</v>
      </c>
      <c r="C231" t="str">
        <f t="shared" si="20"/>
        <v>PWRWNDONS|Onshore wind</v>
      </c>
      <c r="D231" t="s">
        <v>16</v>
      </c>
      <c r="E231" t="s">
        <v>17</v>
      </c>
      <c r="F231" t="s">
        <v>19</v>
      </c>
      <c r="G231" t="s">
        <v>36</v>
      </c>
      <c r="H231">
        <v>2055</v>
      </c>
      <c r="I231" t="s">
        <v>18</v>
      </c>
      <c r="J231" t="s">
        <v>63</v>
      </c>
      <c r="K231" t="s">
        <v>64</v>
      </c>
      <c r="L231" t="s">
        <v>65</v>
      </c>
      <c r="M231">
        <f>SUMIFS(RawResultsLong!$P:$P,RawResultsLong!$A:$A,A231)</f>
        <v>621.5943202703611</v>
      </c>
      <c r="N231">
        <f t="shared" si="21"/>
        <v>19697.135405428839</v>
      </c>
      <c r="O231" t="s">
        <v>68</v>
      </c>
      <c r="P231">
        <f>SUMIFS(TechnologyMapping!$D:$D,TechnologyMapping!$A:$A,C231)</f>
        <v>1</v>
      </c>
      <c r="Q231">
        <f t="shared" si="22"/>
        <v>19697.135405428839</v>
      </c>
      <c r="R231">
        <f>SUMIFS(FactorInputs!$I:$I,FactorInputs!$A:$A,B231)</f>
        <v>2.6934306569300001E-2</v>
      </c>
      <c r="S231" t="str">
        <f>_xlfn.XLOOKUP(B231,FactorInputs!$A$2:$A$888,FactorInputs!$F$2:$F$888,"")</f>
        <v>job/MW</v>
      </c>
      <c r="T231" t="str">
        <f>_xlfn.XLOOKUP(B231,FactorInputs!$A$2:$A$888,FactorInputs!$B$2:$B$888,"")</f>
        <v>I-JEDI</v>
      </c>
      <c r="U231" t="str">
        <f>_xlfn.XLOOKUP(B231,FactorInputs!$A$2:$A$888,FactorInputs!$T$2:$T$888,"")</f>
        <v>I-JEDI</v>
      </c>
      <c r="V231">
        <f t="shared" si="23"/>
        <v>530.52868354683358</v>
      </c>
    </row>
    <row r="232" spans="1:23" x14ac:dyDescent="0.3">
      <c r="A232" t="str">
        <f t="shared" si="18"/>
        <v>PD|NewCapacity|RE1|PWRSOLRTP|2055</v>
      </c>
      <c r="B232" t="str">
        <f t="shared" si="19"/>
        <v>Rooftop solar PV|2055|Construction&amp;Manufacturing|Direct</v>
      </c>
      <c r="C232" t="str">
        <f t="shared" si="20"/>
        <v>PWRSOLRTP|Rooftop solar PV</v>
      </c>
      <c r="D232" t="s">
        <v>16</v>
      </c>
      <c r="E232" t="s">
        <v>17</v>
      </c>
      <c r="F232" t="s">
        <v>19</v>
      </c>
      <c r="G232" t="s">
        <v>31</v>
      </c>
      <c r="H232">
        <v>2055</v>
      </c>
      <c r="I232" t="s">
        <v>37</v>
      </c>
      <c r="J232" t="s">
        <v>69</v>
      </c>
      <c r="K232" t="s">
        <v>70</v>
      </c>
      <c r="L232" t="s">
        <v>65</v>
      </c>
      <c r="M232">
        <f>SUMIFS(RawResultsLong!$P:$P,RawResultsLong!$A:$A,A232)</f>
        <v>1.426759670259987</v>
      </c>
      <c r="N232">
        <f t="shared" si="21"/>
        <v>45.211285720713455</v>
      </c>
      <c r="O232" t="s">
        <v>71</v>
      </c>
      <c r="P232">
        <f>SUMIFS(TechnologyMapping!$D:$D,TechnologyMapping!$A:$A,C232)</f>
        <v>1</v>
      </c>
      <c r="Q232">
        <f t="shared" si="22"/>
        <v>45.211285720713455</v>
      </c>
      <c r="R232">
        <f>SUMIFS(FactorInputs!$I:$I,FactorInputs!$A:$A,B232)</f>
        <v>4.3205610605400002</v>
      </c>
      <c r="S232" t="str">
        <f>_xlfn.XLOOKUP(B232,FactorInputs!$A$2:$A$888,FactorInputs!$F$2:$F$888,"")</f>
        <v>job-yr/MW</v>
      </c>
      <c r="T232" t="str">
        <f>_xlfn.XLOOKUP(B232,FactorInputs!$A$2:$A$888,FactorInputs!$B$2:$B$888,"")</f>
        <v>JEDI-US</v>
      </c>
      <c r="U232" t="str">
        <f>_xlfn.XLOOKUP(B232,FactorInputs!$A$2:$A$888,FactorInputs!$T$2:$T$888,"")</f>
        <v>JEDI-US</v>
      </c>
      <c r="V232">
        <f t="shared" si="23"/>
        <v>195.33812058186268</v>
      </c>
    </row>
    <row r="233" spans="1:23" x14ac:dyDescent="0.3">
      <c r="A233" t="str">
        <f t="shared" si="18"/>
        <v>PD|NewCapacity|RE1|PWRWNDONS|2055</v>
      </c>
      <c r="B233" t="str">
        <f t="shared" si="19"/>
        <v>Onshore wind|2055|Construction&amp;Manufacturing|Direct</v>
      </c>
      <c r="C233" t="str">
        <f t="shared" si="20"/>
        <v>PWRWNDONS|Onshore wind</v>
      </c>
      <c r="D233" t="s">
        <v>16</v>
      </c>
      <c r="E233" t="s">
        <v>17</v>
      </c>
      <c r="F233" t="s">
        <v>19</v>
      </c>
      <c r="G233" t="s">
        <v>36</v>
      </c>
      <c r="H233">
        <v>2055</v>
      </c>
      <c r="I233" t="s">
        <v>37</v>
      </c>
      <c r="J233" t="s">
        <v>69</v>
      </c>
      <c r="K233" t="s">
        <v>70</v>
      </c>
      <c r="L233" t="s">
        <v>65</v>
      </c>
      <c r="M233">
        <f>SUMIFS(RawResultsLong!$P:$P,RawResultsLong!$A:$A,A233)</f>
        <v>40.777206982831032</v>
      </c>
      <c r="N233">
        <f t="shared" si="21"/>
        <v>1292.1517156827842</v>
      </c>
      <c r="O233" t="s">
        <v>68</v>
      </c>
      <c r="P233">
        <f>SUMIFS(TechnologyMapping!$D:$D,TechnologyMapping!$A:$A,C233)</f>
        <v>1</v>
      </c>
      <c r="Q233">
        <f t="shared" si="22"/>
        <v>1292.1517156827842</v>
      </c>
      <c r="R233">
        <f>SUMIFS(FactorInputs!$I:$I,FactorInputs!$A:$A,B233)</f>
        <v>6.5127600165799997</v>
      </c>
      <c r="S233" t="str">
        <f>_xlfn.XLOOKUP(B233,FactorInputs!$A$2:$A$888,FactorInputs!$F$2:$F$888,"")</f>
        <v>job-yr/MW</v>
      </c>
      <c r="T233" t="str">
        <f>_xlfn.XLOOKUP(B233,FactorInputs!$A$2:$A$888,FactorInputs!$B$2:$B$888,"")</f>
        <v>I-JEDI</v>
      </c>
      <c r="U233" t="str">
        <f>_xlfn.XLOOKUP(B233,FactorInputs!$A$2:$A$888,FactorInputs!$T$2:$T$888,"")</f>
        <v>I-JEDI</v>
      </c>
      <c r="V233">
        <f t="shared" si="23"/>
        <v>8415.4740292540846</v>
      </c>
    </row>
    <row r="234" spans="1:23" x14ac:dyDescent="0.3">
      <c r="A234" t="str">
        <f t="shared" si="18"/>
        <v>CN|AccumulatedNewCapacity|RE1|PWRSOLUGE|2025</v>
      </c>
      <c r="B234" t="str">
        <f t="shared" si="19"/>
        <v>Utility-scale solar PV|2025|O&amp;M|Direct</v>
      </c>
      <c r="C234" t="str">
        <f t="shared" si="20"/>
        <v>PWRSOLUGE|Utility-scale solar PV</v>
      </c>
      <c r="D234" t="s">
        <v>39</v>
      </c>
      <c r="E234" t="s">
        <v>40</v>
      </c>
      <c r="F234" t="s">
        <v>19</v>
      </c>
      <c r="G234" t="s">
        <v>33</v>
      </c>
      <c r="H234">
        <v>2025</v>
      </c>
      <c r="I234" t="s">
        <v>18</v>
      </c>
      <c r="J234" t="s">
        <v>63</v>
      </c>
      <c r="K234" t="s">
        <v>64</v>
      </c>
      <c r="L234" t="s">
        <v>65</v>
      </c>
      <c r="M234">
        <f>SUMIFS(RawResultsLong!$P:$P,RawResultsLong!$A:$A,A234)</f>
        <v>6.717168</v>
      </c>
      <c r="N234">
        <f t="shared" si="21"/>
        <v>212.85420944558521</v>
      </c>
      <c r="O234" t="s">
        <v>66</v>
      </c>
      <c r="P234">
        <f>SUMIFS(TechnologyMapping!$D:$D,TechnologyMapping!$A:$A,C234)</f>
        <v>1</v>
      </c>
      <c r="Q234">
        <f t="shared" si="22"/>
        <v>212.85420944558521</v>
      </c>
      <c r="R234">
        <f>SUMIFS(FactorInputs!$I:$I,FactorInputs!$A:$A,B234)</f>
        <v>9.4109234234200007E-2</v>
      </c>
      <c r="S234" t="str">
        <f>_xlfn.XLOOKUP(B234,FactorInputs!$A$2:$A$888,FactorInputs!$F$2:$F$888,"")</f>
        <v>job/MW</v>
      </c>
      <c r="T234" t="str">
        <f>_xlfn.XLOOKUP(B234,FactorInputs!$A$2:$A$888,FactorInputs!$B$2:$B$888,"")</f>
        <v>I-JEDI</v>
      </c>
      <c r="U234" t="str">
        <f>_xlfn.XLOOKUP(B234,FactorInputs!$A$2:$A$888,FactorInputs!$T$2:$T$888,"")</f>
        <v>I-JEDI</v>
      </c>
      <c r="V234">
        <f t="shared" si="23"/>
        <v>20.031546654450047</v>
      </c>
    </row>
    <row r="235" spans="1:23" x14ac:dyDescent="0.3">
      <c r="A235" t="str">
        <f t="shared" si="18"/>
        <v>CN|AccumulatedNewCapacity|RE1|PWRSOLUPE|2025</v>
      </c>
      <c r="B235" t="str">
        <f t="shared" si="19"/>
        <v>Utility-scale solar PV|2025|O&amp;M|Direct</v>
      </c>
      <c r="C235" t="str">
        <f t="shared" si="20"/>
        <v>PWRSOLUPE|Utility-scale solar PV</v>
      </c>
      <c r="D235" t="s">
        <v>39</v>
      </c>
      <c r="E235" t="s">
        <v>40</v>
      </c>
      <c r="F235" t="s">
        <v>19</v>
      </c>
      <c r="G235" t="s">
        <v>34</v>
      </c>
      <c r="H235">
        <v>2025</v>
      </c>
      <c r="I235" t="s">
        <v>18</v>
      </c>
      <c r="J235" t="s">
        <v>63</v>
      </c>
      <c r="K235" t="s">
        <v>64</v>
      </c>
      <c r="L235" t="s">
        <v>65</v>
      </c>
      <c r="M235">
        <f>SUMIFS(RawResultsLong!$P:$P,RawResultsLong!$A:$A,A235)</f>
        <v>5.3106623999999574</v>
      </c>
      <c r="N235">
        <f t="shared" si="21"/>
        <v>168.28473648186039</v>
      </c>
      <c r="O235" t="s">
        <v>66</v>
      </c>
      <c r="P235">
        <f>SUMIFS(TechnologyMapping!$D:$D,TechnologyMapping!$A:$A,C235)</f>
        <v>1</v>
      </c>
      <c r="Q235">
        <f t="shared" si="22"/>
        <v>168.28473648186039</v>
      </c>
      <c r="R235">
        <f>SUMIFS(FactorInputs!$I:$I,FactorInputs!$A:$A,B235)</f>
        <v>9.4109234234200007E-2</v>
      </c>
      <c r="S235" t="str">
        <f>_xlfn.XLOOKUP(B235,FactorInputs!$A$2:$A$888,FactorInputs!$F$2:$F$888,"")</f>
        <v>job/MW</v>
      </c>
      <c r="T235" t="str">
        <f>_xlfn.XLOOKUP(B235,FactorInputs!$A$2:$A$888,FactorInputs!$B$2:$B$888,"")</f>
        <v>I-JEDI</v>
      </c>
      <c r="U235" t="str">
        <f>_xlfn.XLOOKUP(B235,FactorInputs!$A$2:$A$888,FactorInputs!$T$2:$T$888,"")</f>
        <v>I-JEDI</v>
      </c>
      <c r="V235">
        <f t="shared" si="23"/>
        <v>15.837147683612022</v>
      </c>
      <c r="W235" t="s">
        <v>67</v>
      </c>
    </row>
    <row r="236" spans="1:23" x14ac:dyDescent="0.3">
      <c r="A236" t="str">
        <f t="shared" si="18"/>
        <v>CN|AccumulatedNewCapacity|RE1|PWRWNDONS|2025</v>
      </c>
      <c r="B236" t="str">
        <f t="shared" si="19"/>
        <v>Onshore wind|2025|O&amp;M|Direct</v>
      </c>
      <c r="C236" t="str">
        <f t="shared" si="20"/>
        <v>PWRWNDONS|Onshore wind</v>
      </c>
      <c r="D236" t="s">
        <v>39</v>
      </c>
      <c r="E236" t="s">
        <v>40</v>
      </c>
      <c r="F236" t="s">
        <v>19</v>
      </c>
      <c r="G236" t="s">
        <v>36</v>
      </c>
      <c r="H236">
        <v>2025</v>
      </c>
      <c r="I236" t="s">
        <v>18</v>
      </c>
      <c r="J236" t="s">
        <v>63</v>
      </c>
      <c r="K236" t="s">
        <v>64</v>
      </c>
      <c r="L236" t="s">
        <v>65</v>
      </c>
      <c r="M236">
        <f>SUMIFS(RawResultsLong!$P:$P,RawResultsLong!$A:$A,A236)</f>
        <v>0.15362331428571441</v>
      </c>
      <c r="N236">
        <f t="shared" si="21"/>
        <v>4.8680290733678859</v>
      </c>
      <c r="O236" t="s">
        <v>68</v>
      </c>
      <c r="P236">
        <f>SUMIFS(TechnologyMapping!$D:$D,TechnologyMapping!$A:$A,C236)</f>
        <v>1</v>
      </c>
      <c r="Q236">
        <f t="shared" si="22"/>
        <v>4.8680290733678859</v>
      </c>
      <c r="R236">
        <f>SUMIFS(FactorInputs!$I:$I,FactorInputs!$A:$A,B236)</f>
        <v>2.9744525547400001E-2</v>
      </c>
      <c r="S236" t="str">
        <f>_xlfn.XLOOKUP(B236,FactorInputs!$A$2:$A$888,FactorInputs!$F$2:$F$888,"")</f>
        <v>job/MW</v>
      </c>
      <c r="T236" t="str">
        <f>_xlfn.XLOOKUP(B236,FactorInputs!$A$2:$A$888,FactorInputs!$B$2:$B$888,"")</f>
        <v>I-JEDI</v>
      </c>
      <c r="U236" t="str">
        <f>_xlfn.XLOOKUP(B236,FactorInputs!$A$2:$A$888,FactorInputs!$T$2:$T$888,"")</f>
        <v>I-JEDI</v>
      </c>
      <c r="V236">
        <f t="shared" si="23"/>
        <v>0.14479721513827704</v>
      </c>
    </row>
    <row r="237" spans="1:23" x14ac:dyDescent="0.3">
      <c r="A237" t="str">
        <f t="shared" si="18"/>
        <v>CN|NewCapacity|RE1|PWRSOLUGE|2025</v>
      </c>
      <c r="B237" t="str">
        <f t="shared" si="19"/>
        <v>Utility-scale solar PV|2025|Construction&amp;Manufacturing|Direct</v>
      </c>
      <c r="C237" t="str">
        <f t="shared" si="20"/>
        <v>PWRSOLUGE|Utility-scale solar PV</v>
      </c>
      <c r="D237" t="s">
        <v>39</v>
      </c>
      <c r="E237" t="s">
        <v>40</v>
      </c>
      <c r="F237" t="s">
        <v>19</v>
      </c>
      <c r="G237" t="s">
        <v>33</v>
      </c>
      <c r="H237">
        <v>2025</v>
      </c>
      <c r="I237" t="s">
        <v>37</v>
      </c>
      <c r="J237" t="s">
        <v>69</v>
      </c>
      <c r="K237" t="s">
        <v>70</v>
      </c>
      <c r="L237" t="s">
        <v>65</v>
      </c>
      <c r="M237">
        <f>SUMIFS(RawResultsLong!$P:$P,RawResultsLong!$A:$A,A237)</f>
        <v>6.717168</v>
      </c>
      <c r="N237">
        <f t="shared" si="21"/>
        <v>212.85420944558521</v>
      </c>
      <c r="O237" t="s">
        <v>66</v>
      </c>
      <c r="P237">
        <f>SUMIFS(TechnologyMapping!$D:$D,TechnologyMapping!$A:$A,C237)</f>
        <v>1</v>
      </c>
      <c r="Q237">
        <f t="shared" si="22"/>
        <v>212.85420944558521</v>
      </c>
      <c r="R237">
        <f>SUMIFS(FactorInputs!$I:$I,FactorInputs!$A:$A,B237)</f>
        <v>9.4551514256299996</v>
      </c>
      <c r="S237" t="str">
        <f>_xlfn.XLOOKUP(B237,FactorInputs!$A$2:$A$888,FactorInputs!$F$2:$F$888,"")</f>
        <v>job-yr/MW</v>
      </c>
      <c r="T237" t="str">
        <f>_xlfn.XLOOKUP(B237,FactorInputs!$A$2:$A$888,FactorInputs!$B$2:$B$888,"")</f>
        <v>I-JEDI</v>
      </c>
      <c r="U237" t="str">
        <f>_xlfn.XLOOKUP(B237,FactorInputs!$A$2:$A$888,FactorInputs!$T$2:$T$888,"")</f>
        <v>I-JEDI</v>
      </c>
      <c r="V237">
        <f t="shared" si="23"/>
        <v>2012.5687818907716</v>
      </c>
    </row>
    <row r="238" spans="1:23" x14ac:dyDescent="0.3">
      <c r="A238" t="str">
        <f t="shared" si="18"/>
        <v>CN|NewCapacity|RE1|PWRSOLUPE|2025</v>
      </c>
      <c r="B238" t="str">
        <f t="shared" si="19"/>
        <v>Utility-scale solar PV|2025|Construction&amp;Manufacturing|Direct</v>
      </c>
      <c r="C238" t="str">
        <f t="shared" si="20"/>
        <v>PWRSOLUPE|Utility-scale solar PV</v>
      </c>
      <c r="D238" t="s">
        <v>39</v>
      </c>
      <c r="E238" t="s">
        <v>40</v>
      </c>
      <c r="F238" t="s">
        <v>19</v>
      </c>
      <c r="G238" t="s">
        <v>34</v>
      </c>
      <c r="H238">
        <v>2025</v>
      </c>
      <c r="I238" t="s">
        <v>37</v>
      </c>
      <c r="J238" t="s">
        <v>69</v>
      </c>
      <c r="K238" t="s">
        <v>70</v>
      </c>
      <c r="L238" t="s">
        <v>65</v>
      </c>
      <c r="M238">
        <f>SUMIFS(RawResultsLong!$P:$P,RawResultsLong!$A:$A,A238)</f>
        <v>5.3106623999999574</v>
      </c>
      <c r="N238">
        <f t="shared" si="21"/>
        <v>168.28473648186039</v>
      </c>
      <c r="O238" t="s">
        <v>66</v>
      </c>
      <c r="P238">
        <f>SUMIFS(TechnologyMapping!$D:$D,TechnologyMapping!$A:$A,C238)</f>
        <v>1</v>
      </c>
      <c r="Q238">
        <f t="shared" si="22"/>
        <v>168.28473648186039</v>
      </c>
      <c r="R238">
        <f>SUMIFS(FactorInputs!$I:$I,FactorInputs!$A:$A,B238)</f>
        <v>9.4551514256299996</v>
      </c>
      <c r="S238" t="str">
        <f>_xlfn.XLOOKUP(B238,FactorInputs!$A$2:$A$888,FactorInputs!$F$2:$F$888,"")</f>
        <v>job-yr/MW</v>
      </c>
      <c r="T238" t="str">
        <f>_xlfn.XLOOKUP(B238,FactorInputs!$A$2:$A$888,FactorInputs!$B$2:$B$888,"")</f>
        <v>I-JEDI</v>
      </c>
      <c r="U238" t="str">
        <f>_xlfn.XLOOKUP(B238,FactorInputs!$A$2:$A$888,FactorInputs!$T$2:$T$888,"")</f>
        <v>I-JEDI</v>
      </c>
      <c r="V238">
        <f t="shared" si="23"/>
        <v>1591.1576660582311</v>
      </c>
      <c r="W238" t="s">
        <v>67</v>
      </c>
    </row>
    <row r="239" spans="1:23" x14ac:dyDescent="0.3">
      <c r="A239" t="str">
        <f t="shared" si="18"/>
        <v>CN|NewCapacity|RE1|PWRWNDONS|2025</v>
      </c>
      <c r="B239" t="str">
        <f t="shared" si="19"/>
        <v>Onshore wind|2025|Construction&amp;Manufacturing|Direct</v>
      </c>
      <c r="C239" t="str">
        <f t="shared" si="20"/>
        <v>PWRWNDONS|Onshore wind</v>
      </c>
      <c r="D239" t="s">
        <v>39</v>
      </c>
      <c r="E239" t="s">
        <v>40</v>
      </c>
      <c r="F239" t="s">
        <v>19</v>
      </c>
      <c r="G239" t="s">
        <v>36</v>
      </c>
      <c r="H239">
        <v>2025</v>
      </c>
      <c r="I239" t="s">
        <v>37</v>
      </c>
      <c r="J239" t="s">
        <v>69</v>
      </c>
      <c r="K239" t="s">
        <v>70</v>
      </c>
      <c r="L239" t="s">
        <v>65</v>
      </c>
      <c r="M239">
        <f>SUMIFS(RawResultsLong!$P:$P,RawResultsLong!$A:$A,A239)</f>
        <v>0.15362331428571441</v>
      </c>
      <c r="N239">
        <f t="shared" si="21"/>
        <v>4.8680290733678859</v>
      </c>
      <c r="O239" t="s">
        <v>68</v>
      </c>
      <c r="P239">
        <f>SUMIFS(TechnologyMapping!$D:$D,TechnologyMapping!$A:$A,C239)</f>
        <v>1</v>
      </c>
      <c r="Q239">
        <f t="shared" si="22"/>
        <v>4.8680290733678859</v>
      </c>
      <c r="R239">
        <f>SUMIFS(FactorInputs!$I:$I,FactorInputs!$A:$A,B239)</f>
        <v>7.1854324967599998</v>
      </c>
      <c r="S239" t="str">
        <f>_xlfn.XLOOKUP(B239,FactorInputs!$A$2:$A$888,FactorInputs!$F$2:$F$888,"")</f>
        <v>job-yr/MW</v>
      </c>
      <c r="T239" t="str">
        <f>_xlfn.XLOOKUP(B239,FactorInputs!$A$2:$A$888,FactorInputs!$B$2:$B$888,"")</f>
        <v>I-JEDI</v>
      </c>
      <c r="U239" t="str">
        <f>_xlfn.XLOOKUP(B239,FactorInputs!$A$2:$A$888,FactorInputs!$T$2:$T$888,"")</f>
        <v>I-JEDI</v>
      </c>
      <c r="V239">
        <f t="shared" si="23"/>
        <v>34.978894298950074</v>
      </c>
    </row>
    <row r="240" spans="1:23" x14ac:dyDescent="0.3">
      <c r="A240" t="str">
        <f t="shared" si="18"/>
        <v>CN|AccumulatedNewCapacity|RE1|PWRSOLRTP|2026</v>
      </c>
      <c r="B240" t="str">
        <f t="shared" si="19"/>
        <v>Rooftop solar PV|2026|O&amp;M|Direct</v>
      </c>
      <c r="C240" t="str">
        <f t="shared" si="20"/>
        <v>PWRSOLRTP|Rooftop solar PV</v>
      </c>
      <c r="D240" t="s">
        <v>39</v>
      </c>
      <c r="E240" t="s">
        <v>40</v>
      </c>
      <c r="F240" t="s">
        <v>19</v>
      </c>
      <c r="G240" t="s">
        <v>31</v>
      </c>
      <c r="H240">
        <v>2026</v>
      </c>
      <c r="I240" t="s">
        <v>18</v>
      </c>
      <c r="J240" t="s">
        <v>63</v>
      </c>
      <c r="K240" t="s">
        <v>64</v>
      </c>
      <c r="L240" t="s">
        <v>65</v>
      </c>
      <c r="M240">
        <f>SUMIFS(RawResultsLong!$P:$P,RawResultsLong!$A:$A,A240)</f>
        <v>10.37</v>
      </c>
      <c r="N240">
        <f t="shared" si="21"/>
        <v>328.60547063148022</v>
      </c>
      <c r="O240" t="s">
        <v>71</v>
      </c>
      <c r="P240">
        <f>SUMIFS(TechnologyMapping!$D:$D,TechnologyMapping!$A:$A,C240)</f>
        <v>1</v>
      </c>
      <c r="Q240">
        <f t="shared" si="22"/>
        <v>328.60547063148022</v>
      </c>
      <c r="R240">
        <f>SUMIFS(FactorInputs!$I:$I,FactorInputs!$A:$A,B240)</f>
        <v>0.28588235294100001</v>
      </c>
      <c r="S240" t="str">
        <f>_xlfn.XLOOKUP(B240,FactorInputs!$A$2:$A$888,FactorInputs!$F$2:$F$888,"")</f>
        <v>job/MW</v>
      </c>
      <c r="T240" t="str">
        <f>_xlfn.XLOOKUP(B240,FactorInputs!$A$2:$A$888,FactorInputs!$B$2:$B$888,"")</f>
        <v>JEDI-US</v>
      </c>
      <c r="U240" t="str">
        <f>_xlfn.XLOOKUP(B240,FactorInputs!$A$2:$A$888,FactorInputs!$T$2:$T$888,"")</f>
        <v>JEDI-US</v>
      </c>
      <c r="V240">
        <f t="shared" si="23"/>
        <v>93.94250513341224</v>
      </c>
    </row>
    <row r="241" spans="1:23" x14ac:dyDescent="0.3">
      <c r="A241" t="str">
        <f t="shared" si="18"/>
        <v>CN|AccumulatedNewCapacity|RE1|PWRSOLUGE|2026</v>
      </c>
      <c r="B241" t="str">
        <f t="shared" si="19"/>
        <v>Utility-scale solar PV|2026|O&amp;M|Direct</v>
      </c>
      <c r="C241" t="str">
        <f t="shared" si="20"/>
        <v>PWRSOLUGE|Utility-scale solar PV</v>
      </c>
      <c r="D241" t="s">
        <v>39</v>
      </c>
      <c r="E241" t="s">
        <v>40</v>
      </c>
      <c r="F241" t="s">
        <v>19</v>
      </c>
      <c r="G241" t="s">
        <v>33</v>
      </c>
      <c r="H241">
        <v>2026</v>
      </c>
      <c r="I241" t="s">
        <v>18</v>
      </c>
      <c r="J241" t="s">
        <v>63</v>
      </c>
      <c r="K241" t="s">
        <v>64</v>
      </c>
      <c r="L241" t="s">
        <v>65</v>
      </c>
      <c r="M241">
        <f>SUMIFS(RawResultsLong!$P:$P,RawResultsLong!$A:$A,A241)</f>
        <v>62.504351999999997</v>
      </c>
      <c r="N241">
        <f t="shared" si="21"/>
        <v>1980.643394934976</v>
      </c>
      <c r="O241" t="s">
        <v>66</v>
      </c>
      <c r="P241">
        <f>SUMIFS(TechnologyMapping!$D:$D,TechnologyMapping!$A:$A,C241)</f>
        <v>1</v>
      </c>
      <c r="Q241">
        <f t="shared" si="22"/>
        <v>1980.643394934976</v>
      </c>
      <c r="R241">
        <f>SUMIFS(FactorInputs!$I:$I,FactorInputs!$A:$A,B241)</f>
        <v>9.17184684685E-2</v>
      </c>
      <c r="S241" t="str">
        <f>_xlfn.XLOOKUP(B241,FactorInputs!$A$2:$A$888,FactorInputs!$F$2:$F$888,"")</f>
        <v>job/MW</v>
      </c>
      <c r="T241" t="str">
        <f>_xlfn.XLOOKUP(B241,FactorInputs!$A$2:$A$888,FactorInputs!$B$2:$B$888,"")</f>
        <v>I-JEDI</v>
      </c>
      <c r="U241" t="str">
        <f>_xlfn.XLOOKUP(B241,FactorInputs!$A$2:$A$888,FactorInputs!$T$2:$T$888,"")</f>
        <v>I-JEDI</v>
      </c>
      <c r="V241">
        <f t="shared" si="23"/>
        <v>181.66157876568639</v>
      </c>
    </row>
    <row r="242" spans="1:23" x14ac:dyDescent="0.3">
      <c r="A242" t="str">
        <f t="shared" si="18"/>
        <v>CN|AccumulatedNewCapacity|RE1|PWRSOLUPE|2026</v>
      </c>
      <c r="B242" t="str">
        <f t="shared" si="19"/>
        <v>Utility-scale solar PV|2026|O&amp;M|Direct</v>
      </c>
      <c r="C242" t="str">
        <f t="shared" si="20"/>
        <v>PWRSOLUPE|Utility-scale solar PV</v>
      </c>
      <c r="D242" t="s">
        <v>39</v>
      </c>
      <c r="E242" t="s">
        <v>40</v>
      </c>
      <c r="F242" t="s">
        <v>19</v>
      </c>
      <c r="G242" t="s">
        <v>34</v>
      </c>
      <c r="H242">
        <v>2026</v>
      </c>
      <c r="I242" t="s">
        <v>18</v>
      </c>
      <c r="J242" t="s">
        <v>63</v>
      </c>
      <c r="K242" t="s">
        <v>64</v>
      </c>
      <c r="L242" t="s">
        <v>65</v>
      </c>
      <c r="M242">
        <f>SUMIFS(RawResultsLong!$P:$P,RawResultsLong!$A:$A,A242)</f>
        <v>8.6752382399999313</v>
      </c>
      <c r="N242">
        <f t="shared" si="21"/>
        <v>274.90171115673979</v>
      </c>
      <c r="O242" t="s">
        <v>66</v>
      </c>
      <c r="P242">
        <f>SUMIFS(TechnologyMapping!$D:$D,TechnologyMapping!$A:$A,C242)</f>
        <v>1</v>
      </c>
      <c r="Q242">
        <f t="shared" si="22"/>
        <v>274.90171115673979</v>
      </c>
      <c r="R242">
        <f>SUMIFS(FactorInputs!$I:$I,FactorInputs!$A:$A,B242)</f>
        <v>9.17184684685E-2</v>
      </c>
      <c r="S242" t="str">
        <f>_xlfn.XLOOKUP(B242,FactorInputs!$A$2:$A$888,FactorInputs!$F$2:$F$888,"")</f>
        <v>job/MW</v>
      </c>
      <c r="T242" t="str">
        <f>_xlfn.XLOOKUP(B242,FactorInputs!$A$2:$A$888,FactorInputs!$B$2:$B$888,"")</f>
        <v>I-JEDI</v>
      </c>
      <c r="U242" t="str">
        <f>_xlfn.XLOOKUP(B242,FactorInputs!$A$2:$A$888,FactorInputs!$T$2:$T$888,"")</f>
        <v>I-JEDI</v>
      </c>
      <c r="V242">
        <f t="shared" si="23"/>
        <v>25.213563926666133</v>
      </c>
      <c r="W242" t="s">
        <v>67</v>
      </c>
    </row>
    <row r="243" spans="1:23" x14ac:dyDescent="0.3">
      <c r="A243" t="str">
        <f t="shared" si="18"/>
        <v>CN|AccumulatedNewCapacity|RE1|PWRWNDONS|2026</v>
      </c>
      <c r="B243" t="str">
        <f t="shared" si="19"/>
        <v>Onshore wind|2026|O&amp;M|Direct</v>
      </c>
      <c r="C243" t="str">
        <f t="shared" si="20"/>
        <v>PWRWNDONS|Onshore wind</v>
      </c>
      <c r="D243" t="s">
        <v>39</v>
      </c>
      <c r="E243" t="s">
        <v>40</v>
      </c>
      <c r="F243" t="s">
        <v>19</v>
      </c>
      <c r="G243" t="s">
        <v>36</v>
      </c>
      <c r="H243">
        <v>2026</v>
      </c>
      <c r="I243" t="s">
        <v>18</v>
      </c>
      <c r="J243" t="s">
        <v>63</v>
      </c>
      <c r="K243" t="s">
        <v>64</v>
      </c>
      <c r="L243" t="s">
        <v>65</v>
      </c>
      <c r="M243">
        <f>SUMIFS(RawResultsLong!$P:$P,RawResultsLong!$A:$A,A243)</f>
        <v>14.28944648443558</v>
      </c>
      <c r="N243">
        <f t="shared" si="21"/>
        <v>452.80523501266185</v>
      </c>
      <c r="O243" t="s">
        <v>68</v>
      </c>
      <c r="P243">
        <f>SUMIFS(TechnologyMapping!$D:$D,TechnologyMapping!$A:$A,C243)</f>
        <v>1</v>
      </c>
      <c r="Q243">
        <f t="shared" si="22"/>
        <v>452.80523501266185</v>
      </c>
      <c r="R243">
        <f>SUMIFS(FactorInputs!$I:$I,FactorInputs!$A:$A,B243)</f>
        <v>2.94890510949E-2</v>
      </c>
      <c r="S243" t="str">
        <f>_xlfn.XLOOKUP(B243,FactorInputs!$A$2:$A$888,FactorInputs!$F$2:$F$888,"")</f>
        <v>job/MW</v>
      </c>
      <c r="T243" t="str">
        <f>_xlfn.XLOOKUP(B243,FactorInputs!$A$2:$A$888,FactorInputs!$B$2:$B$888,"")</f>
        <v>I-JEDI</v>
      </c>
      <c r="U243" t="str">
        <f>_xlfn.XLOOKUP(B243,FactorInputs!$A$2:$A$888,FactorInputs!$T$2:$T$888,"")</f>
        <v>I-JEDI</v>
      </c>
      <c r="V243">
        <f t="shared" si="23"/>
        <v>13.352796711326588</v>
      </c>
    </row>
    <row r="244" spans="1:23" x14ac:dyDescent="0.3">
      <c r="A244" t="str">
        <f t="shared" si="18"/>
        <v>CN|NewCapacity|RE1|PWRSOLRTP|2026</v>
      </c>
      <c r="B244" t="str">
        <f t="shared" si="19"/>
        <v>Rooftop solar PV|2026|Construction&amp;Manufacturing|Direct</v>
      </c>
      <c r="C244" t="str">
        <f t="shared" si="20"/>
        <v>PWRSOLRTP|Rooftop solar PV</v>
      </c>
      <c r="D244" t="s">
        <v>39</v>
      </c>
      <c r="E244" t="s">
        <v>40</v>
      </c>
      <c r="F244" t="s">
        <v>19</v>
      </c>
      <c r="G244" t="s">
        <v>31</v>
      </c>
      <c r="H244">
        <v>2026</v>
      </c>
      <c r="I244" t="s">
        <v>37</v>
      </c>
      <c r="J244" t="s">
        <v>69</v>
      </c>
      <c r="K244" t="s">
        <v>70</v>
      </c>
      <c r="L244" t="s">
        <v>65</v>
      </c>
      <c r="M244">
        <f>SUMIFS(RawResultsLong!$P:$P,RawResultsLong!$A:$A,A244)</f>
        <v>10.37</v>
      </c>
      <c r="N244">
        <f t="shared" si="21"/>
        <v>328.60547063148022</v>
      </c>
      <c r="O244" t="s">
        <v>71</v>
      </c>
      <c r="P244">
        <f>SUMIFS(TechnologyMapping!$D:$D,TechnologyMapping!$A:$A,C244)</f>
        <v>1</v>
      </c>
      <c r="Q244">
        <f t="shared" si="22"/>
        <v>328.60547063148022</v>
      </c>
      <c r="R244">
        <f>SUMIFS(FactorInputs!$I:$I,FactorInputs!$A:$A,B244)</f>
        <v>8.3634066920999999</v>
      </c>
      <c r="S244" t="str">
        <f>_xlfn.XLOOKUP(B244,FactorInputs!$A$2:$A$888,FactorInputs!$F$2:$F$888,"")</f>
        <v>job-yr/MW</v>
      </c>
      <c r="T244" t="str">
        <f>_xlfn.XLOOKUP(B244,FactorInputs!$A$2:$A$888,FactorInputs!$B$2:$B$888,"")</f>
        <v>JEDI-US</v>
      </c>
      <c r="U244" t="str">
        <f>_xlfn.XLOOKUP(B244,FactorInputs!$A$2:$A$888,FactorInputs!$T$2:$T$888,"")</f>
        <v>JEDI-US</v>
      </c>
      <c r="V244">
        <f t="shared" si="23"/>
        <v>2748.2611921399916</v>
      </c>
    </row>
    <row r="245" spans="1:23" x14ac:dyDescent="0.3">
      <c r="A245" t="str">
        <f t="shared" si="18"/>
        <v>CN|NewCapacity|RE1|PWRSOLUGE|2026</v>
      </c>
      <c r="B245" t="str">
        <f t="shared" si="19"/>
        <v>Utility-scale solar PV|2026|Construction&amp;Manufacturing|Direct</v>
      </c>
      <c r="C245" t="str">
        <f t="shared" si="20"/>
        <v>PWRSOLUGE|Utility-scale solar PV</v>
      </c>
      <c r="D245" t="s">
        <v>39</v>
      </c>
      <c r="E245" t="s">
        <v>40</v>
      </c>
      <c r="F245" t="s">
        <v>19</v>
      </c>
      <c r="G245" t="s">
        <v>33</v>
      </c>
      <c r="H245">
        <v>2026</v>
      </c>
      <c r="I245" t="s">
        <v>37</v>
      </c>
      <c r="J245" t="s">
        <v>69</v>
      </c>
      <c r="K245" t="s">
        <v>70</v>
      </c>
      <c r="L245" t="s">
        <v>65</v>
      </c>
      <c r="M245">
        <f>SUMIFS(RawResultsLong!$P:$P,RawResultsLong!$A:$A,A245)</f>
        <v>55.787184000000003</v>
      </c>
      <c r="N245">
        <f t="shared" si="21"/>
        <v>1767.7891854893908</v>
      </c>
      <c r="O245" t="s">
        <v>66</v>
      </c>
      <c r="P245">
        <f>SUMIFS(TechnologyMapping!$D:$D,TechnologyMapping!$A:$A,C245)</f>
        <v>1</v>
      </c>
      <c r="Q245">
        <f t="shared" si="22"/>
        <v>1767.7891854893908</v>
      </c>
      <c r="R245">
        <f>SUMIFS(FactorInputs!$I:$I,FactorInputs!$A:$A,B245)</f>
        <v>8.9403028512499993</v>
      </c>
      <c r="S245" t="str">
        <f>_xlfn.XLOOKUP(B245,FactorInputs!$A$2:$A$888,FactorInputs!$F$2:$F$888,"")</f>
        <v>job-yr/MW</v>
      </c>
      <c r="T245" t="str">
        <f>_xlfn.XLOOKUP(B245,FactorInputs!$A$2:$A$888,FactorInputs!$B$2:$B$888,"")</f>
        <v>I-JEDI</v>
      </c>
      <c r="U245" t="str">
        <f>_xlfn.XLOOKUP(B245,FactorInputs!$A$2:$A$888,FactorInputs!$T$2:$T$888,"")</f>
        <v>I-JEDI</v>
      </c>
      <c r="V245">
        <f t="shared" si="23"/>
        <v>15804.570695439714</v>
      </c>
    </row>
    <row r="246" spans="1:23" x14ac:dyDescent="0.3">
      <c r="A246" t="str">
        <f t="shared" si="18"/>
        <v>CN|NewCapacity|RE1|PWRSOLUPE|2026</v>
      </c>
      <c r="B246" t="str">
        <f t="shared" si="19"/>
        <v>Utility-scale solar PV|2026|Construction&amp;Manufacturing|Direct</v>
      </c>
      <c r="C246" t="str">
        <f t="shared" si="20"/>
        <v>PWRSOLUPE|Utility-scale solar PV</v>
      </c>
      <c r="D246" t="s">
        <v>39</v>
      </c>
      <c r="E246" t="s">
        <v>40</v>
      </c>
      <c r="F246" t="s">
        <v>19</v>
      </c>
      <c r="G246" t="s">
        <v>34</v>
      </c>
      <c r="H246">
        <v>2026</v>
      </c>
      <c r="I246" t="s">
        <v>37</v>
      </c>
      <c r="J246" t="s">
        <v>69</v>
      </c>
      <c r="K246" t="s">
        <v>70</v>
      </c>
      <c r="L246" t="s">
        <v>65</v>
      </c>
      <c r="M246">
        <f>SUMIFS(RawResultsLong!$P:$P,RawResultsLong!$A:$A,A246)</f>
        <v>3.364575839999973</v>
      </c>
      <c r="N246">
        <f t="shared" si="21"/>
        <v>106.61697467487936</v>
      </c>
      <c r="O246" t="s">
        <v>66</v>
      </c>
      <c r="P246">
        <f>SUMIFS(TechnologyMapping!$D:$D,TechnologyMapping!$A:$A,C246)</f>
        <v>1</v>
      </c>
      <c r="Q246">
        <f t="shared" si="22"/>
        <v>106.61697467487936</v>
      </c>
      <c r="R246">
        <f>SUMIFS(FactorInputs!$I:$I,FactorInputs!$A:$A,B246)</f>
        <v>8.9403028512499993</v>
      </c>
      <c r="S246" t="str">
        <f>_xlfn.XLOOKUP(B246,FactorInputs!$A$2:$A$888,FactorInputs!$F$2:$F$888,"")</f>
        <v>job-yr/MW</v>
      </c>
      <c r="T246" t="str">
        <f>_xlfn.XLOOKUP(B246,FactorInputs!$A$2:$A$888,FactorInputs!$B$2:$B$888,"")</f>
        <v>I-JEDI</v>
      </c>
      <c r="U246" t="str">
        <f>_xlfn.XLOOKUP(B246,FactorInputs!$A$2:$A$888,FactorInputs!$T$2:$T$888,"")</f>
        <v>I-JEDI</v>
      </c>
      <c r="V246">
        <f t="shared" si="23"/>
        <v>953.18804267747294</v>
      </c>
      <c r="W246" t="s">
        <v>67</v>
      </c>
    </row>
    <row r="247" spans="1:23" x14ac:dyDescent="0.3">
      <c r="A247" t="str">
        <f t="shared" si="18"/>
        <v>CN|NewCapacity|RE1|PWRWNDONS|2026</v>
      </c>
      <c r="B247" t="str">
        <f t="shared" si="19"/>
        <v>Onshore wind|2026|Construction&amp;Manufacturing|Direct</v>
      </c>
      <c r="C247" t="str">
        <f t="shared" si="20"/>
        <v>PWRWNDONS|Onshore wind</v>
      </c>
      <c r="D247" t="s">
        <v>39</v>
      </c>
      <c r="E247" t="s">
        <v>40</v>
      </c>
      <c r="F247" t="s">
        <v>19</v>
      </c>
      <c r="G247" t="s">
        <v>36</v>
      </c>
      <c r="H247">
        <v>2026</v>
      </c>
      <c r="I247" t="s">
        <v>37</v>
      </c>
      <c r="J247" t="s">
        <v>69</v>
      </c>
      <c r="K247" t="s">
        <v>70</v>
      </c>
      <c r="L247" t="s">
        <v>65</v>
      </c>
      <c r="M247">
        <f>SUMIFS(RawResultsLong!$P:$P,RawResultsLong!$A:$A,A247)</f>
        <v>14.13582317014987</v>
      </c>
      <c r="N247">
        <f t="shared" si="21"/>
        <v>447.93720593929419</v>
      </c>
      <c r="O247" t="s">
        <v>68</v>
      </c>
      <c r="P247">
        <f>SUMIFS(TechnologyMapping!$D:$D,TechnologyMapping!$A:$A,C247)</f>
        <v>1</v>
      </c>
      <c r="Q247">
        <f t="shared" si="22"/>
        <v>447.93720593929419</v>
      </c>
      <c r="R247">
        <f>SUMIFS(FactorInputs!$I:$I,FactorInputs!$A:$A,B247)</f>
        <v>7.1238649935299998</v>
      </c>
      <c r="S247" t="str">
        <f>_xlfn.XLOOKUP(B247,FactorInputs!$A$2:$A$888,FactorInputs!$F$2:$F$888,"")</f>
        <v>job-yr/MW</v>
      </c>
      <c r="T247" t="str">
        <f>_xlfn.XLOOKUP(B247,FactorInputs!$A$2:$A$888,FactorInputs!$B$2:$B$888,"")</f>
        <v>I-JEDI</v>
      </c>
      <c r="U247" t="str">
        <f>_xlfn.XLOOKUP(B247,FactorInputs!$A$2:$A$888,FactorInputs!$T$2:$T$888,"")</f>
        <v>I-JEDI</v>
      </c>
      <c r="V247">
        <f t="shared" si="23"/>
        <v>3191.044180690576</v>
      </c>
    </row>
    <row r="248" spans="1:23" x14ac:dyDescent="0.3">
      <c r="A248" t="str">
        <f t="shared" si="18"/>
        <v>CN|AccumulatedNewCapacity|RE1|PWRSOLRTP|2027</v>
      </c>
      <c r="B248" t="str">
        <f t="shared" si="19"/>
        <v>Rooftop solar PV|2027|O&amp;M|Direct</v>
      </c>
      <c r="C248" t="str">
        <f t="shared" si="20"/>
        <v>PWRSOLRTP|Rooftop solar PV</v>
      </c>
      <c r="D248" t="s">
        <v>39</v>
      </c>
      <c r="E248" t="s">
        <v>40</v>
      </c>
      <c r="F248" t="s">
        <v>19</v>
      </c>
      <c r="G248" t="s">
        <v>31</v>
      </c>
      <c r="H248">
        <v>2027</v>
      </c>
      <c r="I248" t="s">
        <v>18</v>
      </c>
      <c r="J248" t="s">
        <v>63</v>
      </c>
      <c r="K248" t="s">
        <v>64</v>
      </c>
      <c r="L248" t="s">
        <v>65</v>
      </c>
      <c r="M248">
        <f>SUMIFS(RawResultsLong!$P:$P,RawResultsLong!$A:$A,A248)</f>
        <v>25.21</v>
      </c>
      <c r="N248">
        <f t="shared" si="21"/>
        <v>798.85669379166984</v>
      </c>
      <c r="O248" t="s">
        <v>71</v>
      </c>
      <c r="P248">
        <f>SUMIFS(TechnologyMapping!$D:$D,TechnologyMapping!$A:$A,C248)</f>
        <v>1</v>
      </c>
      <c r="Q248">
        <f t="shared" si="22"/>
        <v>798.85669379166984</v>
      </c>
      <c r="R248">
        <f>SUMIFS(FactorInputs!$I:$I,FactorInputs!$A:$A,B248)</f>
        <v>0.278823529412</v>
      </c>
      <c r="S248" t="str">
        <f>_xlfn.XLOOKUP(B248,FactorInputs!$A$2:$A$888,FactorInputs!$F$2:$F$888,"")</f>
        <v>job/MW</v>
      </c>
      <c r="T248" t="str">
        <f>_xlfn.XLOOKUP(B248,FactorInputs!$A$2:$A$888,FactorInputs!$B$2:$B$888,"")</f>
        <v>JEDI-US</v>
      </c>
      <c r="U248" t="str">
        <f>_xlfn.XLOOKUP(B248,FactorInputs!$A$2:$A$888,FactorInputs!$T$2:$T$888,"")</f>
        <v>JEDI-US</v>
      </c>
      <c r="V248">
        <f t="shared" si="23"/>
        <v>222.74004285739474</v>
      </c>
    </row>
    <row r="249" spans="1:23" x14ac:dyDescent="0.3">
      <c r="A249" t="str">
        <f t="shared" si="18"/>
        <v>CN|AccumulatedNewCapacity|RE1|PWRSOLUGE|2027</v>
      </c>
      <c r="B249" t="str">
        <f t="shared" si="19"/>
        <v>Utility-scale solar PV|2027|O&amp;M|Direct</v>
      </c>
      <c r="C249" t="str">
        <f t="shared" si="20"/>
        <v>PWRSOLUGE|Utility-scale solar PV</v>
      </c>
      <c r="D249" t="s">
        <v>39</v>
      </c>
      <c r="E249" t="s">
        <v>40</v>
      </c>
      <c r="F249" t="s">
        <v>19</v>
      </c>
      <c r="G249" t="s">
        <v>33</v>
      </c>
      <c r="H249">
        <v>2027</v>
      </c>
      <c r="I249" t="s">
        <v>18</v>
      </c>
      <c r="J249" t="s">
        <v>63</v>
      </c>
      <c r="K249" t="s">
        <v>64</v>
      </c>
      <c r="L249" t="s">
        <v>65</v>
      </c>
      <c r="M249">
        <f>SUMIFS(RawResultsLong!$P:$P,RawResultsLong!$A:$A,A249)</f>
        <v>135.51019199999999</v>
      </c>
      <c r="N249">
        <f t="shared" si="21"/>
        <v>4294.0588637919227</v>
      </c>
      <c r="O249" t="s">
        <v>66</v>
      </c>
      <c r="P249">
        <f>SUMIFS(TechnologyMapping!$D:$D,TechnologyMapping!$A:$A,C249)</f>
        <v>1</v>
      </c>
      <c r="Q249">
        <f t="shared" si="22"/>
        <v>4294.0588637919227</v>
      </c>
      <c r="R249">
        <f>SUMIFS(FactorInputs!$I:$I,FactorInputs!$A:$A,B249)</f>
        <v>8.9327702702700004E-2</v>
      </c>
      <c r="S249" t="str">
        <f>_xlfn.XLOOKUP(B249,FactorInputs!$A$2:$A$888,FactorInputs!$F$2:$F$888,"")</f>
        <v>job/MW</v>
      </c>
      <c r="T249" t="str">
        <f>_xlfn.XLOOKUP(B249,FactorInputs!$A$2:$A$888,FactorInputs!$B$2:$B$888,"")</f>
        <v>I-JEDI</v>
      </c>
      <c r="U249" t="str">
        <f>_xlfn.XLOOKUP(B249,FactorInputs!$A$2:$A$888,FactorInputs!$T$2:$T$888,"")</f>
        <v>I-JEDI</v>
      </c>
      <c r="V249">
        <f t="shared" si="23"/>
        <v>383.57841357269865</v>
      </c>
    </row>
    <row r="250" spans="1:23" x14ac:dyDescent="0.3">
      <c r="A250" t="str">
        <f t="shared" si="18"/>
        <v>CN|AccumulatedNewCapacity|RE1|PWRSOLUPE|2027</v>
      </c>
      <c r="B250" t="str">
        <f t="shared" si="19"/>
        <v>Utility-scale solar PV|2027|O&amp;M|Direct</v>
      </c>
      <c r="C250" t="str">
        <f t="shared" si="20"/>
        <v>PWRSOLUPE|Utility-scale solar PV</v>
      </c>
      <c r="D250" t="s">
        <v>39</v>
      </c>
      <c r="E250" t="s">
        <v>40</v>
      </c>
      <c r="F250" t="s">
        <v>19</v>
      </c>
      <c r="G250" t="s">
        <v>34</v>
      </c>
      <c r="H250">
        <v>2027</v>
      </c>
      <c r="I250" t="s">
        <v>18</v>
      </c>
      <c r="J250" t="s">
        <v>63</v>
      </c>
      <c r="K250" t="s">
        <v>64</v>
      </c>
      <c r="L250" t="s">
        <v>65</v>
      </c>
      <c r="M250">
        <f>SUMIFS(RawResultsLong!$P:$P,RawResultsLong!$A:$A,A250)</f>
        <v>12.14419823999993</v>
      </c>
      <c r="N250">
        <f t="shared" si="21"/>
        <v>384.82642026009364</v>
      </c>
      <c r="O250" t="s">
        <v>66</v>
      </c>
      <c r="P250">
        <f>SUMIFS(TechnologyMapping!$D:$D,TechnologyMapping!$A:$A,C250)</f>
        <v>1</v>
      </c>
      <c r="Q250">
        <f t="shared" si="22"/>
        <v>384.82642026009364</v>
      </c>
      <c r="R250">
        <f>SUMIFS(FactorInputs!$I:$I,FactorInputs!$A:$A,B250)</f>
        <v>8.9327702702700004E-2</v>
      </c>
      <c r="S250" t="str">
        <f>_xlfn.XLOOKUP(B250,FactorInputs!$A$2:$A$888,FactorInputs!$F$2:$F$888,"")</f>
        <v>job/MW</v>
      </c>
      <c r="T250" t="str">
        <f>_xlfn.XLOOKUP(B250,FactorInputs!$A$2:$A$888,FactorInputs!$B$2:$B$888,"")</f>
        <v>I-JEDI</v>
      </c>
      <c r="U250" t="str">
        <f>_xlfn.XLOOKUP(B250,FactorInputs!$A$2:$A$888,FactorInputs!$T$2:$T$888,"")</f>
        <v>I-JEDI</v>
      </c>
      <c r="V250">
        <f t="shared" si="23"/>
        <v>34.375660061137935</v>
      </c>
      <c r="W250" t="s">
        <v>67</v>
      </c>
    </row>
    <row r="251" spans="1:23" x14ac:dyDescent="0.3">
      <c r="A251" t="str">
        <f t="shared" si="18"/>
        <v>CN|AccumulatedNewCapacity|RE1|PWRWNDONS|2027</v>
      </c>
      <c r="B251" t="str">
        <f t="shared" si="19"/>
        <v>Onshore wind|2027|O&amp;M|Direct</v>
      </c>
      <c r="C251" t="str">
        <f t="shared" si="20"/>
        <v>PWRWNDONS|Onshore wind</v>
      </c>
      <c r="D251" t="s">
        <v>39</v>
      </c>
      <c r="E251" t="s">
        <v>40</v>
      </c>
      <c r="F251" t="s">
        <v>19</v>
      </c>
      <c r="G251" t="s">
        <v>36</v>
      </c>
      <c r="H251">
        <v>2027</v>
      </c>
      <c r="I251" t="s">
        <v>18</v>
      </c>
      <c r="J251" t="s">
        <v>63</v>
      </c>
      <c r="K251" t="s">
        <v>64</v>
      </c>
      <c r="L251" t="s">
        <v>65</v>
      </c>
      <c r="M251">
        <f>SUMIFS(RawResultsLong!$P:$P,RawResultsLong!$A:$A,A251)</f>
        <v>31.689446484435582</v>
      </c>
      <c r="N251">
        <f t="shared" si="21"/>
        <v>1004.1779629767657</v>
      </c>
      <c r="O251" t="s">
        <v>68</v>
      </c>
      <c r="P251">
        <f>SUMIFS(TechnologyMapping!$D:$D,TechnologyMapping!$A:$A,C251)</f>
        <v>1</v>
      </c>
      <c r="Q251">
        <f t="shared" si="22"/>
        <v>1004.1779629767657</v>
      </c>
      <c r="R251">
        <f>SUMIFS(FactorInputs!$I:$I,FactorInputs!$A:$A,B251)</f>
        <v>2.9233576642299999E-2</v>
      </c>
      <c r="S251" t="str">
        <f>_xlfn.XLOOKUP(B251,FactorInputs!$A$2:$A$888,FactorInputs!$F$2:$F$888,"")</f>
        <v>job/MW</v>
      </c>
      <c r="T251" t="str">
        <f>_xlfn.XLOOKUP(B251,FactorInputs!$A$2:$A$888,FactorInputs!$B$2:$B$888,"")</f>
        <v>I-JEDI</v>
      </c>
      <c r="U251" t="str">
        <f>_xlfn.XLOOKUP(B251,FactorInputs!$A$2:$A$888,FactorInputs!$T$2:$T$888,"")</f>
        <v>I-JEDI</v>
      </c>
      <c r="V251">
        <f t="shared" si="23"/>
        <v>29.35571344318997</v>
      </c>
    </row>
    <row r="252" spans="1:23" x14ac:dyDescent="0.3">
      <c r="A252" t="str">
        <f t="shared" si="18"/>
        <v>CN|NewCapacity|RE1|PWRSOLRTP|2027</v>
      </c>
      <c r="B252" t="str">
        <f t="shared" si="19"/>
        <v>Rooftop solar PV|2027|Construction&amp;Manufacturing|Direct</v>
      </c>
      <c r="C252" t="str">
        <f t="shared" si="20"/>
        <v>PWRSOLRTP|Rooftop solar PV</v>
      </c>
      <c r="D252" t="s">
        <v>39</v>
      </c>
      <c r="E252" t="s">
        <v>40</v>
      </c>
      <c r="F252" t="s">
        <v>19</v>
      </c>
      <c r="G252" t="s">
        <v>31</v>
      </c>
      <c r="H252">
        <v>2027</v>
      </c>
      <c r="I252" t="s">
        <v>37</v>
      </c>
      <c r="J252" t="s">
        <v>69</v>
      </c>
      <c r="K252" t="s">
        <v>70</v>
      </c>
      <c r="L252" t="s">
        <v>65</v>
      </c>
      <c r="M252">
        <f>SUMIFS(RawResultsLong!$P:$P,RawResultsLong!$A:$A,A252)</f>
        <v>14.84</v>
      </c>
      <c r="N252">
        <f t="shared" si="21"/>
        <v>470.25122316018962</v>
      </c>
      <c r="O252" t="s">
        <v>71</v>
      </c>
      <c r="P252">
        <f>SUMIFS(TechnologyMapping!$D:$D,TechnologyMapping!$A:$A,C252)</f>
        <v>1</v>
      </c>
      <c r="Q252">
        <f t="shared" si="22"/>
        <v>470.25122316018962</v>
      </c>
      <c r="R252">
        <f>SUMIFS(FactorInputs!$I:$I,FactorInputs!$A:$A,B252)</f>
        <v>7.8811100381600001</v>
      </c>
      <c r="S252" t="str">
        <f>_xlfn.XLOOKUP(B252,FactorInputs!$A$2:$A$888,FactorInputs!$F$2:$F$888,"")</f>
        <v>job-yr/MW</v>
      </c>
      <c r="T252" t="str">
        <f>_xlfn.XLOOKUP(B252,FactorInputs!$A$2:$A$888,FactorInputs!$B$2:$B$888,"")</f>
        <v>JEDI-US</v>
      </c>
      <c r="U252" t="str">
        <f>_xlfn.XLOOKUP(B252,FactorInputs!$A$2:$A$888,FactorInputs!$T$2:$T$888,"")</f>
        <v>JEDI-US</v>
      </c>
      <c r="V252">
        <f t="shared" si="23"/>
        <v>3706.1016353047889</v>
      </c>
    </row>
    <row r="253" spans="1:23" x14ac:dyDescent="0.3">
      <c r="A253" t="str">
        <f t="shared" si="18"/>
        <v>CN|NewCapacity|RE1|PWRSOLUGE|2027</v>
      </c>
      <c r="B253" t="str">
        <f t="shared" si="19"/>
        <v>Utility-scale solar PV|2027|Construction&amp;Manufacturing|Direct</v>
      </c>
      <c r="C253" t="str">
        <f t="shared" si="20"/>
        <v>PWRSOLUGE|Utility-scale solar PV</v>
      </c>
      <c r="D253" t="s">
        <v>39</v>
      </c>
      <c r="E253" t="s">
        <v>40</v>
      </c>
      <c r="F253" t="s">
        <v>19</v>
      </c>
      <c r="G253" t="s">
        <v>33</v>
      </c>
      <c r="H253">
        <v>2027</v>
      </c>
      <c r="I253" t="s">
        <v>37</v>
      </c>
      <c r="J253" t="s">
        <v>69</v>
      </c>
      <c r="K253" t="s">
        <v>70</v>
      </c>
      <c r="L253" t="s">
        <v>65</v>
      </c>
      <c r="M253">
        <f>SUMIFS(RawResultsLong!$P:$P,RawResultsLong!$A:$A,A253)</f>
        <v>73.005840000000006</v>
      </c>
      <c r="N253">
        <f t="shared" si="21"/>
        <v>2313.4154688569474</v>
      </c>
      <c r="O253" t="s">
        <v>66</v>
      </c>
      <c r="P253">
        <f>SUMIFS(TechnologyMapping!$D:$D,TechnologyMapping!$A:$A,C253)</f>
        <v>1</v>
      </c>
      <c r="Q253">
        <f t="shared" si="22"/>
        <v>2313.4154688569474</v>
      </c>
      <c r="R253">
        <f>SUMIFS(FactorInputs!$I:$I,FactorInputs!$A:$A,B253)</f>
        <v>8.42545427688</v>
      </c>
      <c r="S253" t="str">
        <f>_xlfn.XLOOKUP(B253,FactorInputs!$A$2:$A$888,FactorInputs!$F$2:$F$888,"")</f>
        <v>job-yr/MW</v>
      </c>
      <c r="T253" t="str">
        <f>_xlfn.XLOOKUP(B253,FactorInputs!$A$2:$A$888,FactorInputs!$B$2:$B$888,"")</f>
        <v>I-JEDI</v>
      </c>
      <c r="U253" t="str">
        <f>_xlfn.XLOOKUP(B253,FactorInputs!$A$2:$A$888,FactorInputs!$T$2:$T$888,"")</f>
        <v>I-JEDI</v>
      </c>
      <c r="V253">
        <f t="shared" si="23"/>
        <v>19491.576256281118</v>
      </c>
    </row>
    <row r="254" spans="1:23" x14ac:dyDescent="0.3">
      <c r="A254" t="str">
        <f t="shared" si="18"/>
        <v>CN|NewCapacity|RE1|PWRSOLUPE|2027</v>
      </c>
      <c r="B254" t="str">
        <f t="shared" si="19"/>
        <v>Utility-scale solar PV|2027|Construction&amp;Manufacturing|Direct</v>
      </c>
      <c r="C254" t="str">
        <f t="shared" si="20"/>
        <v>PWRSOLUPE|Utility-scale solar PV</v>
      </c>
      <c r="D254" t="s">
        <v>39</v>
      </c>
      <c r="E254" t="s">
        <v>40</v>
      </c>
      <c r="F254" t="s">
        <v>19</v>
      </c>
      <c r="G254" t="s">
        <v>34</v>
      </c>
      <c r="H254">
        <v>2027</v>
      </c>
      <c r="I254" t="s">
        <v>37</v>
      </c>
      <c r="J254" t="s">
        <v>69</v>
      </c>
      <c r="K254" t="s">
        <v>70</v>
      </c>
      <c r="L254" t="s">
        <v>65</v>
      </c>
      <c r="M254">
        <f>SUMIFS(RawResultsLong!$P:$P,RawResultsLong!$A:$A,A254)</f>
        <v>3.46896</v>
      </c>
      <c r="N254">
        <f t="shared" si="21"/>
        <v>109.92470910335386</v>
      </c>
      <c r="O254" t="s">
        <v>66</v>
      </c>
      <c r="P254">
        <f>SUMIFS(TechnologyMapping!$D:$D,TechnologyMapping!$A:$A,C254)</f>
        <v>1</v>
      </c>
      <c r="Q254">
        <f t="shared" si="22"/>
        <v>109.92470910335386</v>
      </c>
      <c r="R254">
        <f>SUMIFS(FactorInputs!$I:$I,FactorInputs!$A:$A,B254)</f>
        <v>8.42545427688</v>
      </c>
      <c r="S254" t="str">
        <f>_xlfn.XLOOKUP(B254,FactorInputs!$A$2:$A$888,FactorInputs!$F$2:$F$888,"")</f>
        <v>job-yr/MW</v>
      </c>
      <c r="T254" t="str">
        <f>_xlfn.XLOOKUP(B254,FactorInputs!$A$2:$A$888,FactorInputs!$B$2:$B$888,"")</f>
        <v>I-JEDI</v>
      </c>
      <c r="U254" t="str">
        <f>_xlfn.XLOOKUP(B254,FactorInputs!$A$2:$A$888,FactorInputs!$T$2:$T$888,"")</f>
        <v>I-JEDI</v>
      </c>
      <c r="V254">
        <f t="shared" si="23"/>
        <v>926.16561044964271</v>
      </c>
      <c r="W254" t="s">
        <v>67</v>
      </c>
    </row>
    <row r="255" spans="1:23" x14ac:dyDescent="0.3">
      <c r="A255" t="str">
        <f t="shared" si="18"/>
        <v>CN|NewCapacity|RE1|PWRWNDONS|2027</v>
      </c>
      <c r="B255" t="str">
        <f t="shared" si="19"/>
        <v>Onshore wind|2027|Construction&amp;Manufacturing|Direct</v>
      </c>
      <c r="C255" t="str">
        <f t="shared" si="20"/>
        <v>PWRWNDONS|Onshore wind</v>
      </c>
      <c r="D255" t="s">
        <v>39</v>
      </c>
      <c r="E255" t="s">
        <v>40</v>
      </c>
      <c r="F255" t="s">
        <v>19</v>
      </c>
      <c r="G255" t="s">
        <v>36</v>
      </c>
      <c r="H255">
        <v>2027</v>
      </c>
      <c r="I255" t="s">
        <v>37</v>
      </c>
      <c r="J255" t="s">
        <v>69</v>
      </c>
      <c r="K255" t="s">
        <v>70</v>
      </c>
      <c r="L255" t="s">
        <v>65</v>
      </c>
      <c r="M255">
        <f>SUMIFS(RawResultsLong!$P:$P,RawResultsLong!$A:$A,A255)</f>
        <v>17.399999999999999</v>
      </c>
      <c r="N255">
        <f t="shared" si="21"/>
        <v>551.37272796410377</v>
      </c>
      <c r="O255" t="s">
        <v>68</v>
      </c>
      <c r="P255">
        <f>SUMIFS(TechnologyMapping!$D:$D,TechnologyMapping!$A:$A,C255)</f>
        <v>1</v>
      </c>
      <c r="Q255">
        <f t="shared" si="22"/>
        <v>551.37272796410377</v>
      </c>
      <c r="R255">
        <f>SUMIFS(FactorInputs!$I:$I,FactorInputs!$A:$A,B255)</f>
        <v>7.0622974902899998</v>
      </c>
      <c r="S255" t="str">
        <f>_xlfn.XLOOKUP(B255,FactorInputs!$A$2:$A$888,FactorInputs!$F$2:$F$888,"")</f>
        <v>job-yr/MW</v>
      </c>
      <c r="T255" t="str">
        <f>_xlfn.XLOOKUP(B255,FactorInputs!$A$2:$A$888,FactorInputs!$B$2:$B$888,"")</f>
        <v>I-JEDI</v>
      </c>
      <c r="U255" t="str">
        <f>_xlfn.XLOOKUP(B255,FactorInputs!$A$2:$A$888,FactorInputs!$T$2:$T$888,"")</f>
        <v>I-JEDI</v>
      </c>
      <c r="V255">
        <f t="shared" si="23"/>
        <v>3893.9582329152408</v>
      </c>
    </row>
    <row r="256" spans="1:23" x14ac:dyDescent="0.3">
      <c r="A256" t="str">
        <f t="shared" si="18"/>
        <v>CN|AccumulatedNewCapacity|RE1|PWRHYDDAM|2028</v>
      </c>
      <c r="B256" t="str">
        <f t="shared" si="19"/>
        <v>Hydro (large)|2028|O&amp;M|Direct</v>
      </c>
      <c r="C256" t="str">
        <f t="shared" si="20"/>
        <v>PWRHYDDAM|Hydro (large)</v>
      </c>
      <c r="D256" t="s">
        <v>39</v>
      </c>
      <c r="E256" t="s">
        <v>40</v>
      </c>
      <c r="F256" t="s">
        <v>19</v>
      </c>
      <c r="G256" t="s">
        <v>24</v>
      </c>
      <c r="H256">
        <v>2028</v>
      </c>
      <c r="I256" t="s">
        <v>18</v>
      </c>
      <c r="J256" t="s">
        <v>63</v>
      </c>
      <c r="K256" t="s">
        <v>64</v>
      </c>
      <c r="L256" t="s">
        <v>65</v>
      </c>
      <c r="M256">
        <f>SUMIFS(RawResultsLong!$P:$P,RawResultsLong!$A:$A,A256)</f>
        <v>37.840000000000003</v>
      </c>
      <c r="N256">
        <f t="shared" si="21"/>
        <v>1199.0772428828554</v>
      </c>
      <c r="O256" t="s">
        <v>72</v>
      </c>
      <c r="P256">
        <f>SUMIFS(TechnologyMapping!$D:$D,TechnologyMapping!$A:$A,C256)</f>
        <v>1</v>
      </c>
      <c r="Q256">
        <f t="shared" si="22"/>
        <v>1199.0772428828554</v>
      </c>
      <c r="R256">
        <f>SUMIFS(FactorInputs!$I:$I,FactorInputs!$A:$A,B256)</f>
        <v>0.63639999999999997</v>
      </c>
      <c r="S256" t="str">
        <f>_xlfn.XLOOKUP(B256,FactorInputs!$A$2:$A$888,FactorInputs!$F$2:$F$888,"")</f>
        <v>job/MW</v>
      </c>
      <c r="T256" t="str">
        <f>_xlfn.XLOOKUP(B256,FactorInputs!$A$2:$A$888,FactorInputs!$B$2:$B$888,"")</f>
        <v>Rutovitz 2015</v>
      </c>
      <c r="U256" t="str">
        <f>_xlfn.XLOOKUP(B256,FactorInputs!$A$2:$A$888,FactorInputs!$T$2:$T$888,"")</f>
        <v>Rutovitz 2015</v>
      </c>
      <c r="V256">
        <f t="shared" si="23"/>
        <v>763.09275737064911</v>
      </c>
    </row>
    <row r="257" spans="1:23" x14ac:dyDescent="0.3">
      <c r="A257" t="str">
        <f t="shared" si="18"/>
        <v>CN|AccumulatedNewCapacity|RE1|PWRSOLRTP|2028</v>
      </c>
      <c r="B257" t="str">
        <f t="shared" si="19"/>
        <v>Rooftop solar PV|2028|O&amp;M|Direct</v>
      </c>
      <c r="C257" t="str">
        <f t="shared" si="20"/>
        <v>PWRSOLRTP|Rooftop solar PV</v>
      </c>
      <c r="D257" t="s">
        <v>39</v>
      </c>
      <c r="E257" t="s">
        <v>40</v>
      </c>
      <c r="F257" t="s">
        <v>19</v>
      </c>
      <c r="G257" t="s">
        <v>31</v>
      </c>
      <c r="H257">
        <v>2028</v>
      </c>
      <c r="I257" t="s">
        <v>18</v>
      </c>
      <c r="J257" t="s">
        <v>63</v>
      </c>
      <c r="K257" t="s">
        <v>64</v>
      </c>
      <c r="L257" t="s">
        <v>65</v>
      </c>
      <c r="M257">
        <f>SUMIFS(RawResultsLong!$P:$P,RawResultsLong!$A:$A,A257)</f>
        <v>41.54</v>
      </c>
      <c r="N257">
        <f t="shared" si="21"/>
        <v>1316.3231677947626</v>
      </c>
      <c r="O257" t="s">
        <v>71</v>
      </c>
      <c r="P257">
        <f>SUMIFS(TechnologyMapping!$D:$D,TechnologyMapping!$A:$A,C257)</f>
        <v>1</v>
      </c>
      <c r="Q257">
        <f t="shared" si="22"/>
        <v>1316.3231677947626</v>
      </c>
      <c r="R257">
        <f>SUMIFS(FactorInputs!$I:$I,FactorInputs!$A:$A,B257)</f>
        <v>0.27176470588200002</v>
      </c>
      <c r="S257" t="str">
        <f>_xlfn.XLOOKUP(B257,FactorInputs!$A$2:$A$888,FactorInputs!$F$2:$F$888,"")</f>
        <v>job/MW</v>
      </c>
      <c r="T257" t="str">
        <f>_xlfn.XLOOKUP(B257,FactorInputs!$A$2:$A$888,FactorInputs!$B$2:$B$888,"")</f>
        <v>JEDI-US</v>
      </c>
      <c r="U257" t="str">
        <f>_xlfn.XLOOKUP(B257,FactorInputs!$A$2:$A$888,FactorInputs!$T$2:$T$888,"")</f>
        <v>JEDI-US</v>
      </c>
      <c r="V257">
        <f t="shared" si="23"/>
        <v>357.73017854140625</v>
      </c>
    </row>
    <row r="258" spans="1:23" x14ac:dyDescent="0.3">
      <c r="A258" t="str">
        <f t="shared" ref="A258:A321" si="24">D258&amp;"|"&amp;I258&amp;"|"&amp;F258&amp;"|"&amp;G258&amp;"|"&amp;H258</f>
        <v>CN|AccumulatedNewCapacity|RE1|PWRSOLUGE|2028</v>
      </c>
      <c r="B258" t="str">
        <f t="shared" ref="B258:B321" si="25">O258&amp;"|"&amp;H258&amp;"|"&amp;K258&amp;"|"&amp;L258</f>
        <v>Utility-scale solar PV|2028|O&amp;M|Direct</v>
      </c>
      <c r="C258" t="str">
        <f t="shared" ref="C258:C321" si="26">G258&amp;"|"&amp;O258</f>
        <v>PWRSOLUGE|Utility-scale solar PV</v>
      </c>
      <c r="D258" t="s">
        <v>39</v>
      </c>
      <c r="E258" t="s">
        <v>40</v>
      </c>
      <c r="F258" t="s">
        <v>19</v>
      </c>
      <c r="G258" t="s">
        <v>33</v>
      </c>
      <c r="H258">
        <v>2028</v>
      </c>
      <c r="I258" t="s">
        <v>18</v>
      </c>
      <c r="J258" t="s">
        <v>63</v>
      </c>
      <c r="K258" t="s">
        <v>64</v>
      </c>
      <c r="L258" t="s">
        <v>65</v>
      </c>
      <c r="M258">
        <f>SUMIFS(RawResultsLong!$P:$P,RawResultsLong!$A:$A,A258)</f>
        <v>135.51019199999999</v>
      </c>
      <c r="N258">
        <f t="shared" ref="N258:N321" si="27">M258*1000/31.5576</f>
        <v>4294.0588637919227</v>
      </c>
      <c r="O258" t="s">
        <v>66</v>
      </c>
      <c r="P258">
        <f>SUMIFS(TechnologyMapping!$D:$D,TechnologyMapping!$A:$A,C258)</f>
        <v>1</v>
      </c>
      <c r="Q258">
        <f t="shared" ref="Q258:Q321" si="28">N258*P258</f>
        <v>4294.0588637919227</v>
      </c>
      <c r="R258">
        <f>SUMIFS(FactorInputs!$I:$I,FactorInputs!$A:$A,B258)</f>
        <v>8.6936936936899994E-2</v>
      </c>
      <c r="S258" t="str">
        <f>_xlfn.XLOOKUP(B258,FactorInputs!$A$2:$A$888,FactorInputs!$F$2:$F$888,"")</f>
        <v>job/MW</v>
      </c>
      <c r="T258" t="str">
        <f>_xlfn.XLOOKUP(B258,FactorInputs!$A$2:$A$888,FactorInputs!$B$2:$B$888,"")</f>
        <v>I-JEDI</v>
      </c>
      <c r="U258" t="str">
        <f>_xlfn.XLOOKUP(B258,FactorInputs!$A$2:$A$888,FactorInputs!$T$2:$T$888,"")</f>
        <v>I-JEDI</v>
      </c>
      <c r="V258">
        <f t="shared" ref="V258:V321" si="29">Q258*R258</f>
        <v>373.31232464481485</v>
      </c>
    </row>
    <row r="259" spans="1:23" x14ac:dyDescent="0.3">
      <c r="A259" t="str">
        <f t="shared" si="24"/>
        <v>CN|AccumulatedNewCapacity|RE1|PWRSOLUPE|2028</v>
      </c>
      <c r="B259" t="str">
        <f t="shared" si="25"/>
        <v>Utility-scale solar PV|2028|O&amp;M|Direct</v>
      </c>
      <c r="C259" t="str">
        <f t="shared" si="26"/>
        <v>PWRSOLUPE|Utility-scale solar PV</v>
      </c>
      <c r="D259" t="s">
        <v>39</v>
      </c>
      <c r="E259" t="s">
        <v>40</v>
      </c>
      <c r="F259" t="s">
        <v>19</v>
      </c>
      <c r="G259" t="s">
        <v>34</v>
      </c>
      <c r="H259">
        <v>2028</v>
      </c>
      <c r="I259" t="s">
        <v>18</v>
      </c>
      <c r="J259" t="s">
        <v>63</v>
      </c>
      <c r="K259" t="s">
        <v>64</v>
      </c>
      <c r="L259" t="s">
        <v>65</v>
      </c>
      <c r="M259">
        <f>SUMIFS(RawResultsLong!$P:$P,RawResultsLong!$A:$A,A259)</f>
        <v>12.14419823999993</v>
      </c>
      <c r="N259">
        <f t="shared" si="27"/>
        <v>384.82642026009364</v>
      </c>
      <c r="O259" t="s">
        <v>66</v>
      </c>
      <c r="P259">
        <f>SUMIFS(TechnologyMapping!$D:$D,TechnologyMapping!$A:$A,C259)</f>
        <v>1</v>
      </c>
      <c r="Q259">
        <f t="shared" si="28"/>
        <v>384.82642026009364</v>
      </c>
      <c r="R259">
        <f>SUMIFS(FactorInputs!$I:$I,FactorInputs!$A:$A,B259)</f>
        <v>8.6936936936899994E-2</v>
      </c>
      <c r="S259" t="str">
        <f>_xlfn.XLOOKUP(B259,FactorInputs!$A$2:$A$888,FactorInputs!$F$2:$F$888,"")</f>
        <v>job/MW</v>
      </c>
      <c r="T259" t="str">
        <f>_xlfn.XLOOKUP(B259,FactorInputs!$A$2:$A$888,FactorInputs!$B$2:$B$888,"")</f>
        <v>I-JEDI</v>
      </c>
      <c r="U259" t="str">
        <f>_xlfn.XLOOKUP(B259,FactorInputs!$A$2:$A$888,FactorInputs!$T$2:$T$888,"")</f>
        <v>I-JEDI</v>
      </c>
      <c r="V259">
        <f t="shared" si="29"/>
        <v>33.455630229804733</v>
      </c>
      <c r="W259" t="s">
        <v>67</v>
      </c>
    </row>
    <row r="260" spans="1:23" x14ac:dyDescent="0.3">
      <c r="A260" t="str">
        <f t="shared" si="24"/>
        <v>CN|AccumulatedNewCapacity|RE1|PWRWNDONS|2028</v>
      </c>
      <c r="B260" t="str">
        <f t="shared" si="25"/>
        <v>Onshore wind|2028|O&amp;M|Direct</v>
      </c>
      <c r="C260" t="str">
        <f t="shared" si="26"/>
        <v>PWRWNDONS|Onshore wind</v>
      </c>
      <c r="D260" t="s">
        <v>39</v>
      </c>
      <c r="E260" t="s">
        <v>40</v>
      </c>
      <c r="F260" t="s">
        <v>19</v>
      </c>
      <c r="G260" t="s">
        <v>36</v>
      </c>
      <c r="H260">
        <v>2028</v>
      </c>
      <c r="I260" t="s">
        <v>18</v>
      </c>
      <c r="J260" t="s">
        <v>63</v>
      </c>
      <c r="K260" t="s">
        <v>64</v>
      </c>
      <c r="L260" t="s">
        <v>65</v>
      </c>
      <c r="M260">
        <f>SUMIFS(RawResultsLong!$P:$P,RawResultsLong!$A:$A,A260)</f>
        <v>38.089446484435577</v>
      </c>
      <c r="N260">
        <f t="shared" si="27"/>
        <v>1206.9817249865507</v>
      </c>
      <c r="O260" t="s">
        <v>68</v>
      </c>
      <c r="P260">
        <f>SUMIFS(TechnologyMapping!$D:$D,TechnologyMapping!$A:$A,C260)</f>
        <v>1</v>
      </c>
      <c r="Q260">
        <f t="shared" si="28"/>
        <v>1206.9817249865507</v>
      </c>
      <c r="R260">
        <f>SUMIFS(FactorInputs!$I:$I,FactorInputs!$A:$A,B260)</f>
        <v>2.8978102189800001E-2</v>
      </c>
      <c r="S260" t="str">
        <f>_xlfn.XLOOKUP(B260,FactorInputs!$A$2:$A$888,FactorInputs!$F$2:$F$888,"")</f>
        <v>job/MW</v>
      </c>
      <c r="T260" t="str">
        <f>_xlfn.XLOOKUP(B260,FactorInputs!$A$2:$A$888,FactorInputs!$B$2:$B$888,"")</f>
        <v>I-JEDI</v>
      </c>
      <c r="U260" t="str">
        <f>_xlfn.XLOOKUP(B260,FactorInputs!$A$2:$A$888,FactorInputs!$T$2:$T$888,"")</f>
        <v>I-JEDI</v>
      </c>
      <c r="V260">
        <f t="shared" si="29"/>
        <v>34.976039767881346</v>
      </c>
    </row>
    <row r="261" spans="1:23" x14ac:dyDescent="0.3">
      <c r="A261" t="str">
        <f t="shared" si="24"/>
        <v>CN|NewCapacity|RE1|PWRHYDDAM|2028</v>
      </c>
      <c r="B261" t="str">
        <f t="shared" si="25"/>
        <v>Hydro (large)|2028|Construction&amp;Manufacturing|Direct</v>
      </c>
      <c r="C261" t="str">
        <f t="shared" si="26"/>
        <v>PWRHYDDAM|Hydro (large)</v>
      </c>
      <c r="D261" t="s">
        <v>39</v>
      </c>
      <c r="E261" t="s">
        <v>40</v>
      </c>
      <c r="F261" t="s">
        <v>19</v>
      </c>
      <c r="G261" t="s">
        <v>24</v>
      </c>
      <c r="H261">
        <v>2028</v>
      </c>
      <c r="I261" t="s">
        <v>37</v>
      </c>
      <c r="J261" t="s">
        <v>69</v>
      </c>
      <c r="K261" t="s">
        <v>70</v>
      </c>
      <c r="L261" t="s">
        <v>65</v>
      </c>
      <c r="M261">
        <f>SUMIFS(RawResultsLong!$P:$P,RawResultsLong!$A:$A,A261)</f>
        <v>37.840000000000003</v>
      </c>
      <c r="N261">
        <f t="shared" si="27"/>
        <v>1199.0772428828554</v>
      </c>
      <c r="O261" t="s">
        <v>72</v>
      </c>
      <c r="P261">
        <f>SUMIFS(TechnologyMapping!$D:$D,TechnologyMapping!$A:$A,C261)</f>
        <v>1</v>
      </c>
      <c r="Q261">
        <f t="shared" si="28"/>
        <v>1199.0772428828554</v>
      </c>
      <c r="R261">
        <f>SUMIFS(FactorInputs!$I:$I,FactorInputs!$A:$A,B261)</f>
        <v>11.5612666667</v>
      </c>
      <c r="S261" t="str">
        <f>_xlfn.XLOOKUP(B261,FactorInputs!$A$2:$A$888,FactorInputs!$F$2:$F$888,"")</f>
        <v>job-yr/MW</v>
      </c>
      <c r="T261" t="str">
        <f>_xlfn.XLOOKUP(B261,FactorInputs!$A$2:$A$888,FactorInputs!$B$2:$B$888,"")</f>
        <v>Rutovitz 2015</v>
      </c>
      <c r="U261" t="str">
        <f>_xlfn.XLOOKUP(B261,FactorInputs!$A$2:$A$888,FactorInputs!$T$2:$T$888,"")</f>
        <v>Rutovitz 2015</v>
      </c>
      <c r="V261">
        <f t="shared" si="29"/>
        <v>13862.851758940096</v>
      </c>
    </row>
    <row r="262" spans="1:23" x14ac:dyDescent="0.3">
      <c r="A262" t="str">
        <f t="shared" si="24"/>
        <v>CN|NewCapacity|RE1|PWRSOLRTP|2028</v>
      </c>
      <c r="B262" t="str">
        <f t="shared" si="25"/>
        <v>Rooftop solar PV|2028|Construction&amp;Manufacturing|Direct</v>
      </c>
      <c r="C262" t="str">
        <f t="shared" si="26"/>
        <v>PWRSOLRTP|Rooftop solar PV</v>
      </c>
      <c r="D262" t="s">
        <v>39</v>
      </c>
      <c r="E262" t="s">
        <v>40</v>
      </c>
      <c r="F262" t="s">
        <v>19</v>
      </c>
      <c r="G262" t="s">
        <v>31</v>
      </c>
      <c r="H262">
        <v>2028</v>
      </c>
      <c r="I262" t="s">
        <v>37</v>
      </c>
      <c r="J262" t="s">
        <v>69</v>
      </c>
      <c r="K262" t="s">
        <v>70</v>
      </c>
      <c r="L262" t="s">
        <v>65</v>
      </c>
      <c r="M262">
        <f>SUMIFS(RawResultsLong!$P:$P,RawResultsLong!$A:$A,A262)</f>
        <v>16.329999999999998</v>
      </c>
      <c r="N262">
        <f t="shared" si="27"/>
        <v>517.46647400309269</v>
      </c>
      <c r="O262" t="s">
        <v>71</v>
      </c>
      <c r="P262">
        <f>SUMIFS(TechnologyMapping!$D:$D,TechnologyMapping!$A:$A,C262)</f>
        <v>1</v>
      </c>
      <c r="Q262">
        <f t="shared" si="28"/>
        <v>517.46647400309269</v>
      </c>
      <c r="R262">
        <f>SUMIFS(FactorInputs!$I:$I,FactorInputs!$A:$A,B262)</f>
        <v>7.3988133842100003</v>
      </c>
      <c r="S262" t="str">
        <f>_xlfn.XLOOKUP(B262,FactorInputs!$A$2:$A$888,FactorInputs!$F$2:$F$888,"")</f>
        <v>job-yr/MW</v>
      </c>
      <c r="T262" t="str">
        <f>_xlfn.XLOOKUP(B262,FactorInputs!$A$2:$A$888,FactorInputs!$B$2:$B$888,"")</f>
        <v>JEDI-US</v>
      </c>
      <c r="U262" t="str">
        <f>_xlfn.XLOOKUP(B262,FactorInputs!$A$2:$A$888,FactorInputs!$T$2:$T$888,"")</f>
        <v>JEDI-US</v>
      </c>
      <c r="V262">
        <f t="shared" si="29"/>
        <v>3828.6378737340383</v>
      </c>
    </row>
    <row r="263" spans="1:23" x14ac:dyDescent="0.3">
      <c r="A263" t="str">
        <f t="shared" si="24"/>
        <v>CN|NewCapacity|RE1|PWRWNDONS|2028</v>
      </c>
      <c r="B263" t="str">
        <f t="shared" si="25"/>
        <v>Onshore wind|2028|Construction&amp;Manufacturing|Direct</v>
      </c>
      <c r="C263" t="str">
        <f t="shared" si="26"/>
        <v>PWRWNDONS|Onshore wind</v>
      </c>
      <c r="D263" t="s">
        <v>39</v>
      </c>
      <c r="E263" t="s">
        <v>40</v>
      </c>
      <c r="F263" t="s">
        <v>19</v>
      </c>
      <c r="G263" t="s">
        <v>36</v>
      </c>
      <c r="H263">
        <v>2028</v>
      </c>
      <c r="I263" t="s">
        <v>37</v>
      </c>
      <c r="J263" t="s">
        <v>69</v>
      </c>
      <c r="K263" t="s">
        <v>70</v>
      </c>
      <c r="L263" t="s">
        <v>65</v>
      </c>
      <c r="M263">
        <f>SUMIFS(RawResultsLong!$P:$P,RawResultsLong!$A:$A,A263)</f>
        <v>6.4</v>
      </c>
      <c r="N263">
        <f t="shared" si="27"/>
        <v>202.80376200978529</v>
      </c>
      <c r="O263" t="s">
        <v>68</v>
      </c>
      <c r="P263">
        <f>SUMIFS(TechnologyMapping!$D:$D,TechnologyMapping!$A:$A,C263)</f>
        <v>1</v>
      </c>
      <c r="Q263">
        <f t="shared" si="28"/>
        <v>202.80376200978529</v>
      </c>
      <c r="R263">
        <f>SUMIFS(FactorInputs!$I:$I,FactorInputs!$A:$A,B263)</f>
        <v>7.0007299870599997</v>
      </c>
      <c r="S263" t="str">
        <f>_xlfn.XLOOKUP(B263,FactorInputs!$A$2:$A$888,FactorInputs!$F$2:$F$888,"")</f>
        <v>job-yr/MW</v>
      </c>
      <c r="T263" t="str">
        <f>_xlfn.XLOOKUP(B263,FactorInputs!$A$2:$A$888,FactorInputs!$B$2:$B$888,"")</f>
        <v>I-JEDI</v>
      </c>
      <c r="U263" t="str">
        <f>_xlfn.XLOOKUP(B263,FactorInputs!$A$2:$A$888,FactorInputs!$T$2:$T$888,"")</f>
        <v>I-JEDI</v>
      </c>
      <c r="V263">
        <f t="shared" si="29"/>
        <v>1419.7743781904835</v>
      </c>
    </row>
    <row r="264" spans="1:23" x14ac:dyDescent="0.3">
      <c r="A264" t="str">
        <f t="shared" si="24"/>
        <v>CN|AccumulatedNewCapacity|RE1|PWRHYDDAM|2029</v>
      </c>
      <c r="B264" t="str">
        <f t="shared" si="25"/>
        <v>Hydro (large)|2029|O&amp;M|Direct</v>
      </c>
      <c r="C264" t="str">
        <f t="shared" si="26"/>
        <v>PWRHYDDAM|Hydro (large)</v>
      </c>
      <c r="D264" t="s">
        <v>39</v>
      </c>
      <c r="E264" t="s">
        <v>40</v>
      </c>
      <c r="F264" t="s">
        <v>19</v>
      </c>
      <c r="G264" t="s">
        <v>24</v>
      </c>
      <c r="H264">
        <v>2029</v>
      </c>
      <c r="I264" t="s">
        <v>18</v>
      </c>
      <c r="J264" t="s">
        <v>63</v>
      </c>
      <c r="K264" t="s">
        <v>64</v>
      </c>
      <c r="L264" t="s">
        <v>65</v>
      </c>
      <c r="M264">
        <f>SUMIFS(RawResultsLong!$P:$P,RawResultsLong!$A:$A,A264)</f>
        <v>37.840000000000003</v>
      </c>
      <c r="N264">
        <f t="shared" si="27"/>
        <v>1199.0772428828554</v>
      </c>
      <c r="O264" t="s">
        <v>72</v>
      </c>
      <c r="P264">
        <f>SUMIFS(TechnologyMapping!$D:$D,TechnologyMapping!$A:$A,C264)</f>
        <v>1</v>
      </c>
      <c r="Q264">
        <f t="shared" si="28"/>
        <v>1199.0772428828554</v>
      </c>
      <c r="R264">
        <f>SUMIFS(FactorInputs!$I:$I,FactorInputs!$A:$A,B264)</f>
        <v>0.63919999999999999</v>
      </c>
      <c r="S264" t="str">
        <f>_xlfn.XLOOKUP(B264,FactorInputs!$A$2:$A$888,FactorInputs!$F$2:$F$888,"")</f>
        <v>job/MW</v>
      </c>
      <c r="T264" t="str">
        <f>_xlfn.XLOOKUP(B264,FactorInputs!$A$2:$A$888,FactorInputs!$B$2:$B$888,"")</f>
        <v>Rutovitz 2015</v>
      </c>
      <c r="U264" t="str">
        <f>_xlfn.XLOOKUP(B264,FactorInputs!$A$2:$A$888,FactorInputs!$T$2:$T$888,"")</f>
        <v>Rutovitz 2015</v>
      </c>
      <c r="V264">
        <f t="shared" si="29"/>
        <v>766.45017365072124</v>
      </c>
    </row>
    <row r="265" spans="1:23" x14ac:dyDescent="0.3">
      <c r="A265" t="str">
        <f t="shared" si="24"/>
        <v>CN|AccumulatedNewCapacity|RE1|PWRSOLRTP|2029</v>
      </c>
      <c r="B265" t="str">
        <f t="shared" si="25"/>
        <v>Rooftop solar PV|2029|O&amp;M|Direct</v>
      </c>
      <c r="C265" t="str">
        <f t="shared" si="26"/>
        <v>PWRSOLRTP|Rooftop solar PV</v>
      </c>
      <c r="D265" t="s">
        <v>39</v>
      </c>
      <c r="E265" t="s">
        <v>40</v>
      </c>
      <c r="F265" t="s">
        <v>19</v>
      </c>
      <c r="G265" t="s">
        <v>31</v>
      </c>
      <c r="H265">
        <v>2029</v>
      </c>
      <c r="I265" t="s">
        <v>18</v>
      </c>
      <c r="J265" t="s">
        <v>63</v>
      </c>
      <c r="K265" t="s">
        <v>64</v>
      </c>
      <c r="L265" t="s">
        <v>65</v>
      </c>
      <c r="M265">
        <f>SUMIFS(RawResultsLong!$P:$P,RawResultsLong!$A:$A,A265)</f>
        <v>59.36</v>
      </c>
      <c r="N265">
        <f t="shared" si="27"/>
        <v>1881.0048926407585</v>
      </c>
      <c r="O265" t="s">
        <v>71</v>
      </c>
      <c r="P265">
        <f>SUMIFS(TechnologyMapping!$D:$D,TechnologyMapping!$A:$A,C265)</f>
        <v>1</v>
      </c>
      <c r="Q265">
        <f t="shared" si="28"/>
        <v>1881.0048926407585</v>
      </c>
      <c r="R265">
        <f>SUMIFS(FactorInputs!$I:$I,FactorInputs!$A:$A,B265)</f>
        <v>0.26470588235300002</v>
      </c>
      <c r="S265" t="str">
        <f>_xlfn.XLOOKUP(B265,FactorInputs!$A$2:$A$888,FactorInputs!$F$2:$F$888,"")</f>
        <v>job/MW</v>
      </c>
      <c r="T265" t="str">
        <f>_xlfn.XLOOKUP(B265,FactorInputs!$A$2:$A$888,FactorInputs!$B$2:$B$888,"")</f>
        <v>JEDI-US</v>
      </c>
      <c r="U265" t="str">
        <f>_xlfn.XLOOKUP(B265,FactorInputs!$A$2:$A$888,FactorInputs!$T$2:$T$888,"")</f>
        <v>JEDI-US</v>
      </c>
      <c r="V265">
        <f t="shared" si="29"/>
        <v>497.91305981678204</v>
      </c>
    </row>
    <row r="266" spans="1:23" x14ac:dyDescent="0.3">
      <c r="A266" t="str">
        <f t="shared" si="24"/>
        <v>CN|AccumulatedNewCapacity|RE1|PWRSOLUGE|2029</v>
      </c>
      <c r="B266" t="str">
        <f t="shared" si="25"/>
        <v>Utility-scale solar PV|2029|O&amp;M|Direct</v>
      </c>
      <c r="C266" t="str">
        <f t="shared" si="26"/>
        <v>PWRSOLUGE|Utility-scale solar PV</v>
      </c>
      <c r="D266" t="s">
        <v>39</v>
      </c>
      <c r="E266" t="s">
        <v>40</v>
      </c>
      <c r="F266" t="s">
        <v>19</v>
      </c>
      <c r="G266" t="s">
        <v>33</v>
      </c>
      <c r="H266">
        <v>2029</v>
      </c>
      <c r="I266" t="s">
        <v>18</v>
      </c>
      <c r="J266" t="s">
        <v>63</v>
      </c>
      <c r="K266" t="s">
        <v>64</v>
      </c>
      <c r="L266" t="s">
        <v>65</v>
      </c>
      <c r="M266">
        <f>SUMIFS(RawResultsLong!$P:$P,RawResultsLong!$A:$A,A266)</f>
        <v>135.51019199999999</v>
      </c>
      <c r="N266">
        <f t="shared" si="27"/>
        <v>4294.0588637919227</v>
      </c>
      <c r="O266" t="s">
        <v>66</v>
      </c>
      <c r="P266">
        <f>SUMIFS(TechnologyMapping!$D:$D,TechnologyMapping!$A:$A,C266)</f>
        <v>1</v>
      </c>
      <c r="Q266">
        <f t="shared" si="28"/>
        <v>4294.0588637919227</v>
      </c>
      <c r="R266">
        <f>SUMIFS(FactorInputs!$I:$I,FactorInputs!$A:$A,B266)</f>
        <v>8.4546171171200002E-2</v>
      </c>
      <c r="S266" t="str">
        <f>_xlfn.XLOOKUP(B266,FactorInputs!$A$2:$A$888,FactorInputs!$F$2:$F$888,"")</f>
        <v>job/MW</v>
      </c>
      <c r="T266" t="str">
        <f>_xlfn.XLOOKUP(B266,FactorInputs!$A$2:$A$888,FactorInputs!$B$2:$B$888,"")</f>
        <v>I-JEDI</v>
      </c>
      <c r="U266" t="str">
        <f>_xlfn.XLOOKUP(B266,FactorInputs!$A$2:$A$888,FactorInputs!$T$2:$T$888,"")</f>
        <v>I-JEDI</v>
      </c>
      <c r="V266">
        <f t="shared" si="29"/>
        <v>363.0462357173605</v>
      </c>
    </row>
    <row r="267" spans="1:23" x14ac:dyDescent="0.3">
      <c r="A267" t="str">
        <f t="shared" si="24"/>
        <v>CN|AccumulatedNewCapacity|RE1|PWRSOLUPE|2029</v>
      </c>
      <c r="B267" t="str">
        <f t="shared" si="25"/>
        <v>Utility-scale solar PV|2029|O&amp;M|Direct</v>
      </c>
      <c r="C267" t="str">
        <f t="shared" si="26"/>
        <v>PWRSOLUPE|Utility-scale solar PV</v>
      </c>
      <c r="D267" t="s">
        <v>39</v>
      </c>
      <c r="E267" t="s">
        <v>40</v>
      </c>
      <c r="F267" t="s">
        <v>19</v>
      </c>
      <c r="G267" t="s">
        <v>34</v>
      </c>
      <c r="H267">
        <v>2029</v>
      </c>
      <c r="I267" t="s">
        <v>18</v>
      </c>
      <c r="J267" t="s">
        <v>63</v>
      </c>
      <c r="K267" t="s">
        <v>64</v>
      </c>
      <c r="L267" t="s">
        <v>65</v>
      </c>
      <c r="M267">
        <f>SUMIFS(RawResultsLong!$P:$P,RawResultsLong!$A:$A,A267)</f>
        <v>12.14419823999993</v>
      </c>
      <c r="N267">
        <f t="shared" si="27"/>
        <v>384.82642026009364</v>
      </c>
      <c r="O267" t="s">
        <v>66</v>
      </c>
      <c r="P267">
        <f>SUMIFS(TechnologyMapping!$D:$D,TechnologyMapping!$A:$A,C267)</f>
        <v>1</v>
      </c>
      <c r="Q267">
        <f t="shared" si="28"/>
        <v>384.82642026009364</v>
      </c>
      <c r="R267">
        <f>SUMIFS(FactorInputs!$I:$I,FactorInputs!$A:$A,B267)</f>
        <v>8.4546171171200002E-2</v>
      </c>
      <c r="S267" t="str">
        <f>_xlfn.XLOOKUP(B267,FactorInputs!$A$2:$A$888,FactorInputs!$F$2:$F$888,"")</f>
        <v>job/MW</v>
      </c>
      <c r="T267" t="str">
        <f>_xlfn.XLOOKUP(B267,FactorInputs!$A$2:$A$888,FactorInputs!$B$2:$B$888,"")</f>
        <v>I-JEDI</v>
      </c>
      <c r="U267" t="str">
        <f>_xlfn.XLOOKUP(B267,FactorInputs!$A$2:$A$888,FactorInputs!$T$2:$T$888,"")</f>
        <v>I-JEDI</v>
      </c>
      <c r="V267">
        <f t="shared" si="29"/>
        <v>32.535600398510027</v>
      </c>
      <c r="W267" t="s">
        <v>67</v>
      </c>
    </row>
    <row r="268" spans="1:23" x14ac:dyDescent="0.3">
      <c r="A268" t="str">
        <f t="shared" si="24"/>
        <v>CN|AccumulatedNewCapacity|RE1|PWRWNDONS|2029</v>
      </c>
      <c r="B268" t="str">
        <f t="shared" si="25"/>
        <v>Onshore wind|2029|O&amp;M|Direct</v>
      </c>
      <c r="C268" t="str">
        <f t="shared" si="26"/>
        <v>PWRWNDONS|Onshore wind</v>
      </c>
      <c r="D268" t="s">
        <v>39</v>
      </c>
      <c r="E268" t="s">
        <v>40</v>
      </c>
      <c r="F268" t="s">
        <v>19</v>
      </c>
      <c r="G268" t="s">
        <v>36</v>
      </c>
      <c r="H268">
        <v>2029</v>
      </c>
      <c r="I268" t="s">
        <v>18</v>
      </c>
      <c r="J268" t="s">
        <v>63</v>
      </c>
      <c r="K268" t="s">
        <v>64</v>
      </c>
      <c r="L268" t="s">
        <v>65</v>
      </c>
      <c r="M268">
        <f>SUMIFS(RawResultsLong!$P:$P,RawResultsLong!$A:$A,A268)</f>
        <v>47.589446484435577</v>
      </c>
      <c r="N268">
        <f t="shared" si="27"/>
        <v>1508.0185592198259</v>
      </c>
      <c r="O268" t="s">
        <v>68</v>
      </c>
      <c r="P268">
        <f>SUMIFS(TechnologyMapping!$D:$D,TechnologyMapping!$A:$A,C268)</f>
        <v>1</v>
      </c>
      <c r="Q268">
        <f t="shared" si="28"/>
        <v>1508.0185592198259</v>
      </c>
      <c r="R268">
        <f>SUMIFS(FactorInputs!$I:$I,FactorInputs!$A:$A,B268)</f>
        <v>2.87226277372E-2</v>
      </c>
      <c r="S268" t="str">
        <f>_xlfn.XLOOKUP(B268,FactorInputs!$A$2:$A$888,FactorInputs!$F$2:$F$888,"")</f>
        <v>job/MW</v>
      </c>
      <c r="T268" t="str">
        <f>_xlfn.XLOOKUP(B268,FactorInputs!$A$2:$A$888,FactorInputs!$B$2:$B$888,"")</f>
        <v>I-JEDI</v>
      </c>
      <c r="U268" t="str">
        <f>_xlfn.XLOOKUP(B268,FactorInputs!$A$2:$A$888,FactorInputs!$T$2:$T$888,"")</f>
        <v>I-JEDI</v>
      </c>
      <c r="V268">
        <f t="shared" si="29"/>
        <v>43.314255697259753</v>
      </c>
    </row>
    <row r="269" spans="1:23" x14ac:dyDescent="0.3">
      <c r="A269" t="str">
        <f t="shared" si="24"/>
        <v>CN|NewCapacity|RE1|PWRSOLRTP|2029</v>
      </c>
      <c r="B269" t="str">
        <f t="shared" si="25"/>
        <v>Rooftop solar PV|2029|Construction&amp;Manufacturing|Direct</v>
      </c>
      <c r="C269" t="str">
        <f t="shared" si="26"/>
        <v>PWRSOLRTP|Rooftop solar PV</v>
      </c>
      <c r="D269" t="s">
        <v>39</v>
      </c>
      <c r="E269" t="s">
        <v>40</v>
      </c>
      <c r="F269" t="s">
        <v>19</v>
      </c>
      <c r="G269" t="s">
        <v>31</v>
      </c>
      <c r="H269">
        <v>2029</v>
      </c>
      <c r="I269" t="s">
        <v>37</v>
      </c>
      <c r="J269" t="s">
        <v>69</v>
      </c>
      <c r="K269" t="s">
        <v>70</v>
      </c>
      <c r="L269" t="s">
        <v>65</v>
      </c>
      <c r="M269">
        <f>SUMIFS(RawResultsLong!$P:$P,RawResultsLong!$A:$A,A269)</f>
        <v>17.82</v>
      </c>
      <c r="N269">
        <f t="shared" si="27"/>
        <v>564.68172484599586</v>
      </c>
      <c r="O269" t="s">
        <v>71</v>
      </c>
      <c r="P269">
        <f>SUMIFS(TechnologyMapping!$D:$D,TechnologyMapping!$A:$A,C269)</f>
        <v>1</v>
      </c>
      <c r="Q269">
        <f t="shared" si="28"/>
        <v>564.68172484599586</v>
      </c>
      <c r="R269">
        <f>SUMIFS(FactorInputs!$I:$I,FactorInputs!$A:$A,B269)</f>
        <v>6.9165167302599997</v>
      </c>
      <c r="S269" t="str">
        <f>_xlfn.XLOOKUP(B269,FactorInputs!$A$2:$A$888,FactorInputs!$F$2:$F$888,"")</f>
        <v>job-yr/MW</v>
      </c>
      <c r="T269" t="str">
        <f>_xlfn.XLOOKUP(B269,FactorInputs!$A$2:$A$888,FactorInputs!$B$2:$B$888,"")</f>
        <v>JEDI-US</v>
      </c>
      <c r="U269" t="str">
        <f>_xlfn.XLOOKUP(B269,FactorInputs!$A$2:$A$888,FactorInputs!$T$2:$T$888,"")</f>
        <v>JEDI-US</v>
      </c>
      <c r="V269">
        <f t="shared" si="29"/>
        <v>3905.6305971694042</v>
      </c>
    </row>
    <row r="270" spans="1:23" x14ac:dyDescent="0.3">
      <c r="A270" t="str">
        <f t="shared" si="24"/>
        <v>CN|NewCapacity|RE1|PWRWNDONS|2029</v>
      </c>
      <c r="B270" t="str">
        <f t="shared" si="25"/>
        <v>Onshore wind|2029|Construction&amp;Manufacturing|Direct</v>
      </c>
      <c r="C270" t="str">
        <f t="shared" si="26"/>
        <v>PWRWNDONS|Onshore wind</v>
      </c>
      <c r="D270" t="s">
        <v>39</v>
      </c>
      <c r="E270" t="s">
        <v>40</v>
      </c>
      <c r="F270" t="s">
        <v>19</v>
      </c>
      <c r="G270" t="s">
        <v>36</v>
      </c>
      <c r="H270">
        <v>2029</v>
      </c>
      <c r="I270" t="s">
        <v>37</v>
      </c>
      <c r="J270" t="s">
        <v>69</v>
      </c>
      <c r="K270" t="s">
        <v>70</v>
      </c>
      <c r="L270" t="s">
        <v>65</v>
      </c>
      <c r="M270">
        <f>SUMIFS(RawResultsLong!$P:$P,RawResultsLong!$A:$A,A270)</f>
        <v>9.5</v>
      </c>
      <c r="N270">
        <f t="shared" si="27"/>
        <v>301.03683423327504</v>
      </c>
      <c r="O270" t="s">
        <v>68</v>
      </c>
      <c r="P270">
        <f>SUMIFS(TechnologyMapping!$D:$D,TechnologyMapping!$A:$A,C270)</f>
        <v>1</v>
      </c>
      <c r="Q270">
        <f t="shared" si="28"/>
        <v>301.03683423327504</v>
      </c>
      <c r="R270">
        <f>SUMIFS(FactorInputs!$I:$I,FactorInputs!$A:$A,B270)</f>
        <v>6.9391624838199997</v>
      </c>
      <c r="S270" t="str">
        <f>_xlfn.XLOOKUP(B270,FactorInputs!$A$2:$A$888,FactorInputs!$F$2:$F$888,"")</f>
        <v>job-yr/MW</v>
      </c>
      <c r="T270" t="str">
        <f>_xlfn.XLOOKUP(B270,FactorInputs!$A$2:$A$888,FactorInputs!$B$2:$B$888,"")</f>
        <v>I-JEDI</v>
      </c>
      <c r="U270" t="str">
        <f>_xlfn.XLOOKUP(B270,FactorInputs!$A$2:$A$888,FactorInputs!$T$2:$T$888,"")</f>
        <v>I-JEDI</v>
      </c>
      <c r="V270">
        <f t="shared" si="29"/>
        <v>2088.9435063594824</v>
      </c>
    </row>
    <row r="271" spans="1:23" x14ac:dyDescent="0.3">
      <c r="A271" t="str">
        <f t="shared" si="24"/>
        <v>CN|AccumulatedNewCapacity|RE1|PWRHYDDAM|2030</v>
      </c>
      <c r="B271" t="str">
        <f t="shared" si="25"/>
        <v>Hydro (large)|2030|O&amp;M|Direct</v>
      </c>
      <c r="C271" t="str">
        <f t="shared" si="26"/>
        <v>PWRHYDDAM|Hydro (large)</v>
      </c>
      <c r="D271" t="s">
        <v>39</v>
      </c>
      <c r="E271" t="s">
        <v>40</v>
      </c>
      <c r="F271" t="s">
        <v>19</v>
      </c>
      <c r="G271" t="s">
        <v>24</v>
      </c>
      <c r="H271">
        <v>2030</v>
      </c>
      <c r="I271" t="s">
        <v>18</v>
      </c>
      <c r="J271" t="s">
        <v>63</v>
      </c>
      <c r="K271" t="s">
        <v>64</v>
      </c>
      <c r="L271" t="s">
        <v>65</v>
      </c>
      <c r="M271">
        <f>SUMIFS(RawResultsLong!$P:$P,RawResultsLong!$A:$A,A271)</f>
        <v>37.840000000000003</v>
      </c>
      <c r="N271">
        <f t="shared" si="27"/>
        <v>1199.0772428828554</v>
      </c>
      <c r="O271" t="s">
        <v>72</v>
      </c>
      <c r="P271">
        <f>SUMIFS(TechnologyMapping!$D:$D,TechnologyMapping!$A:$A,C271)</f>
        <v>1</v>
      </c>
      <c r="Q271">
        <f t="shared" si="28"/>
        <v>1199.0772428828554</v>
      </c>
      <c r="R271">
        <f>SUMIFS(FactorInputs!$I:$I,FactorInputs!$A:$A,B271)</f>
        <v>0.64200000000000002</v>
      </c>
      <c r="S271" t="str">
        <f>_xlfn.XLOOKUP(B271,FactorInputs!$A$2:$A$888,FactorInputs!$F$2:$F$888,"")</f>
        <v>job/MW</v>
      </c>
      <c r="T271" t="str">
        <f>_xlfn.XLOOKUP(B271,FactorInputs!$A$2:$A$888,FactorInputs!$B$2:$B$888,"")</f>
        <v>Rutovitz 2015</v>
      </c>
      <c r="U271" t="str">
        <f>_xlfn.XLOOKUP(B271,FactorInputs!$A$2:$A$888,FactorInputs!$T$2:$T$888,"")</f>
        <v>Rutovitz 2015</v>
      </c>
      <c r="V271">
        <f t="shared" si="29"/>
        <v>769.80758993079326</v>
      </c>
    </row>
    <row r="272" spans="1:23" x14ac:dyDescent="0.3">
      <c r="A272" t="str">
        <f t="shared" si="24"/>
        <v>CN|AccumulatedNewCapacity|RE1|PWRSOLRTP|2030</v>
      </c>
      <c r="B272" t="str">
        <f t="shared" si="25"/>
        <v>Rooftop solar PV|2030|O&amp;M|Direct</v>
      </c>
      <c r="C272" t="str">
        <f t="shared" si="26"/>
        <v>PWRSOLRTP|Rooftop solar PV</v>
      </c>
      <c r="D272" t="s">
        <v>39</v>
      </c>
      <c r="E272" t="s">
        <v>40</v>
      </c>
      <c r="F272" t="s">
        <v>19</v>
      </c>
      <c r="G272" t="s">
        <v>31</v>
      </c>
      <c r="H272">
        <v>2030</v>
      </c>
      <c r="I272" t="s">
        <v>18</v>
      </c>
      <c r="J272" t="s">
        <v>63</v>
      </c>
      <c r="K272" t="s">
        <v>64</v>
      </c>
      <c r="L272" t="s">
        <v>65</v>
      </c>
      <c r="M272">
        <f>SUMIFS(RawResultsLong!$P:$P,RawResultsLong!$A:$A,A272)</f>
        <v>77.460000000000008</v>
      </c>
      <c r="N272">
        <f t="shared" si="27"/>
        <v>2454.5592820746829</v>
      </c>
      <c r="O272" t="s">
        <v>71</v>
      </c>
      <c r="P272">
        <f>SUMIFS(TechnologyMapping!$D:$D,TechnologyMapping!$A:$A,C272)</f>
        <v>1</v>
      </c>
      <c r="Q272">
        <f t="shared" si="28"/>
        <v>2454.5592820746829</v>
      </c>
      <c r="R272">
        <f>SUMIFS(FactorInputs!$I:$I,FactorInputs!$A:$A,B272)</f>
        <v>0.25764705882400002</v>
      </c>
      <c r="S272" t="str">
        <f>_xlfn.XLOOKUP(B272,FactorInputs!$A$2:$A$888,FactorInputs!$F$2:$F$888,"")</f>
        <v>job/MW</v>
      </c>
      <c r="T272" t="str">
        <f>_xlfn.XLOOKUP(B272,FactorInputs!$A$2:$A$888,FactorInputs!$B$2:$B$888,"")</f>
        <v>JEDI-US</v>
      </c>
      <c r="U272" t="str">
        <f>_xlfn.XLOOKUP(B272,FactorInputs!$A$2:$A$888,FactorInputs!$T$2:$T$888,"")</f>
        <v>JEDI-US</v>
      </c>
      <c r="V272">
        <f t="shared" si="29"/>
        <v>632.40997973569108</v>
      </c>
    </row>
    <row r="273" spans="1:23" x14ac:dyDescent="0.3">
      <c r="A273" t="str">
        <f t="shared" si="24"/>
        <v>CN|AccumulatedNewCapacity|RE1|PWRSOLUGE|2030</v>
      </c>
      <c r="B273" t="str">
        <f t="shared" si="25"/>
        <v>Utility-scale solar PV|2030|O&amp;M|Direct</v>
      </c>
      <c r="C273" t="str">
        <f t="shared" si="26"/>
        <v>PWRSOLUGE|Utility-scale solar PV</v>
      </c>
      <c r="D273" t="s">
        <v>39</v>
      </c>
      <c r="E273" t="s">
        <v>40</v>
      </c>
      <c r="F273" t="s">
        <v>19</v>
      </c>
      <c r="G273" t="s">
        <v>33</v>
      </c>
      <c r="H273">
        <v>2030</v>
      </c>
      <c r="I273" t="s">
        <v>18</v>
      </c>
      <c r="J273" t="s">
        <v>63</v>
      </c>
      <c r="K273" t="s">
        <v>64</v>
      </c>
      <c r="L273" t="s">
        <v>65</v>
      </c>
      <c r="M273">
        <f>SUMIFS(RawResultsLong!$P:$P,RawResultsLong!$A:$A,A273)</f>
        <v>143.394192</v>
      </c>
      <c r="N273">
        <f t="shared" si="27"/>
        <v>4543.8877481177278</v>
      </c>
      <c r="O273" t="s">
        <v>66</v>
      </c>
      <c r="P273">
        <f>SUMIFS(TechnologyMapping!$D:$D,TechnologyMapping!$A:$A,C273)</f>
        <v>1</v>
      </c>
      <c r="Q273">
        <f t="shared" si="28"/>
        <v>4543.8877481177278</v>
      </c>
      <c r="R273">
        <f>SUMIFS(FactorInputs!$I:$I,FactorInputs!$A:$A,B273)</f>
        <v>8.2155405405400006E-2</v>
      </c>
      <c r="S273" t="str">
        <f>_xlfn.XLOOKUP(B273,FactorInputs!$A$2:$A$888,FactorInputs!$F$2:$F$888,"")</f>
        <v>job/MW</v>
      </c>
      <c r="T273" t="str">
        <f>_xlfn.XLOOKUP(B273,FactorInputs!$A$2:$A$888,FactorInputs!$B$2:$B$888,"")</f>
        <v>I-JEDI</v>
      </c>
      <c r="U273" t="str">
        <f>_xlfn.XLOOKUP(B273,FactorInputs!$A$2:$A$888,FactorInputs!$T$2:$T$888,"")</f>
        <v>I-JEDI</v>
      </c>
      <c r="V273">
        <f t="shared" si="29"/>
        <v>373.30494006324204</v>
      </c>
    </row>
    <row r="274" spans="1:23" x14ac:dyDescent="0.3">
      <c r="A274" t="str">
        <f t="shared" si="24"/>
        <v>CN|AccumulatedNewCapacity|RE1|PWRSOLUPE|2030</v>
      </c>
      <c r="B274" t="str">
        <f t="shared" si="25"/>
        <v>Utility-scale solar PV|2030|O&amp;M|Direct</v>
      </c>
      <c r="C274" t="str">
        <f t="shared" si="26"/>
        <v>PWRSOLUPE|Utility-scale solar PV</v>
      </c>
      <c r="D274" t="s">
        <v>39</v>
      </c>
      <c r="E274" t="s">
        <v>40</v>
      </c>
      <c r="F274" t="s">
        <v>19</v>
      </c>
      <c r="G274" t="s">
        <v>34</v>
      </c>
      <c r="H274">
        <v>2030</v>
      </c>
      <c r="I274" t="s">
        <v>18</v>
      </c>
      <c r="J274" t="s">
        <v>63</v>
      </c>
      <c r="K274" t="s">
        <v>64</v>
      </c>
      <c r="L274" t="s">
        <v>65</v>
      </c>
      <c r="M274">
        <f>SUMIFS(RawResultsLong!$P:$P,RawResultsLong!$A:$A,A274)</f>
        <v>12.14419823999993</v>
      </c>
      <c r="N274">
        <f t="shared" si="27"/>
        <v>384.82642026009364</v>
      </c>
      <c r="O274" t="s">
        <v>66</v>
      </c>
      <c r="P274">
        <f>SUMIFS(TechnologyMapping!$D:$D,TechnologyMapping!$A:$A,C274)</f>
        <v>1</v>
      </c>
      <c r="Q274">
        <f t="shared" si="28"/>
        <v>384.82642026009364</v>
      </c>
      <c r="R274">
        <f>SUMIFS(FactorInputs!$I:$I,FactorInputs!$A:$A,B274)</f>
        <v>8.2155405405400006E-2</v>
      </c>
      <c r="S274" t="str">
        <f>_xlfn.XLOOKUP(B274,FactorInputs!$A$2:$A$888,FactorInputs!$F$2:$F$888,"")</f>
        <v>job/MW</v>
      </c>
      <c r="T274" t="str">
        <f>_xlfn.XLOOKUP(B274,FactorInputs!$A$2:$A$888,FactorInputs!$B$2:$B$888,"")</f>
        <v>I-JEDI</v>
      </c>
      <c r="U274" t="str">
        <f>_xlfn.XLOOKUP(B274,FactorInputs!$A$2:$A$888,FactorInputs!$T$2:$T$888,"")</f>
        <v>I-JEDI</v>
      </c>
      <c r="V274">
        <f t="shared" si="29"/>
        <v>31.615570567176832</v>
      </c>
      <c r="W274" t="s">
        <v>67</v>
      </c>
    </row>
    <row r="275" spans="1:23" x14ac:dyDescent="0.3">
      <c r="A275" t="str">
        <f t="shared" si="24"/>
        <v>CN|AccumulatedNewCapacity|RE1|PWRWNDONS|2030</v>
      </c>
      <c r="B275" t="str">
        <f t="shared" si="25"/>
        <v>Onshore wind|2030|O&amp;M|Direct</v>
      </c>
      <c r="C275" t="str">
        <f t="shared" si="26"/>
        <v>PWRWNDONS|Onshore wind</v>
      </c>
      <c r="D275" t="s">
        <v>39</v>
      </c>
      <c r="E275" t="s">
        <v>40</v>
      </c>
      <c r="F275" t="s">
        <v>19</v>
      </c>
      <c r="G275" t="s">
        <v>36</v>
      </c>
      <c r="H275">
        <v>2030</v>
      </c>
      <c r="I275" t="s">
        <v>18</v>
      </c>
      <c r="J275" t="s">
        <v>63</v>
      </c>
      <c r="K275" t="s">
        <v>64</v>
      </c>
      <c r="L275" t="s">
        <v>65</v>
      </c>
      <c r="M275">
        <f>SUMIFS(RawResultsLong!$P:$P,RawResultsLong!$A:$A,A275)</f>
        <v>56.989446484435582</v>
      </c>
      <c r="N275">
        <f t="shared" si="27"/>
        <v>1805.8865846716981</v>
      </c>
      <c r="O275" t="s">
        <v>68</v>
      </c>
      <c r="P275">
        <f>SUMIFS(TechnologyMapping!$D:$D,TechnologyMapping!$A:$A,C275)</f>
        <v>1</v>
      </c>
      <c r="Q275">
        <f t="shared" si="28"/>
        <v>1805.8865846716981</v>
      </c>
      <c r="R275">
        <f>SUMIFS(FactorInputs!$I:$I,FactorInputs!$A:$A,B275)</f>
        <v>2.8467153284700002E-2</v>
      </c>
      <c r="S275" t="str">
        <f>_xlfn.XLOOKUP(B275,FactorInputs!$A$2:$A$888,FactorInputs!$F$2:$F$888,"")</f>
        <v>job/MW</v>
      </c>
      <c r="T275" t="str">
        <f>_xlfn.XLOOKUP(B275,FactorInputs!$A$2:$A$888,FactorInputs!$B$2:$B$888,"")</f>
        <v>I-JEDI</v>
      </c>
      <c r="U275" t="str">
        <f>_xlfn.XLOOKUP(B275,FactorInputs!$A$2:$A$888,FactorInputs!$T$2:$T$888,"")</f>
        <v>I-JEDI</v>
      </c>
      <c r="V275">
        <f t="shared" si="29"/>
        <v>51.408450220632595</v>
      </c>
    </row>
    <row r="276" spans="1:23" x14ac:dyDescent="0.3">
      <c r="A276" t="str">
        <f t="shared" si="24"/>
        <v>CN|NewCapacity|RE1|PWRSOLRTP|2030</v>
      </c>
      <c r="B276" t="str">
        <f t="shared" si="25"/>
        <v>Rooftop solar PV|2030|Construction&amp;Manufacturing|Direct</v>
      </c>
      <c r="C276" t="str">
        <f t="shared" si="26"/>
        <v>PWRSOLRTP|Rooftop solar PV</v>
      </c>
      <c r="D276" t="s">
        <v>39</v>
      </c>
      <c r="E276" t="s">
        <v>40</v>
      </c>
      <c r="F276" t="s">
        <v>19</v>
      </c>
      <c r="G276" t="s">
        <v>31</v>
      </c>
      <c r="H276">
        <v>2030</v>
      </c>
      <c r="I276" t="s">
        <v>37</v>
      </c>
      <c r="J276" t="s">
        <v>69</v>
      </c>
      <c r="K276" t="s">
        <v>70</v>
      </c>
      <c r="L276" t="s">
        <v>65</v>
      </c>
      <c r="M276">
        <f>SUMIFS(RawResultsLong!$P:$P,RawResultsLong!$A:$A,A276)</f>
        <v>18.100000000000001</v>
      </c>
      <c r="N276">
        <f t="shared" si="27"/>
        <v>573.55438943392403</v>
      </c>
      <c r="O276" t="s">
        <v>71</v>
      </c>
      <c r="P276">
        <f>SUMIFS(TechnologyMapping!$D:$D,TechnologyMapping!$A:$A,C276)</f>
        <v>1</v>
      </c>
      <c r="Q276">
        <f t="shared" si="28"/>
        <v>573.55438943392403</v>
      </c>
      <c r="R276">
        <f>SUMIFS(FactorInputs!$I:$I,FactorInputs!$A:$A,B276)</f>
        <v>6.4342200763099999</v>
      </c>
      <c r="S276" t="str">
        <f>_xlfn.XLOOKUP(B276,FactorInputs!$A$2:$A$888,FactorInputs!$F$2:$F$888,"")</f>
        <v>job-yr/MW</v>
      </c>
      <c r="T276" t="str">
        <f>_xlfn.XLOOKUP(B276,FactorInputs!$A$2:$A$888,FactorInputs!$B$2:$B$888,"")</f>
        <v>JEDI-US</v>
      </c>
      <c r="U276" t="str">
        <f>_xlfn.XLOOKUP(B276,FactorInputs!$A$2:$A$888,FactorInputs!$T$2:$T$888,"")</f>
        <v>JEDI-US</v>
      </c>
      <c r="V276">
        <f t="shared" si="29"/>
        <v>3690.375167351478</v>
      </c>
    </row>
    <row r="277" spans="1:23" x14ac:dyDescent="0.3">
      <c r="A277" t="str">
        <f t="shared" si="24"/>
        <v>CN|NewCapacity|RE1|PWRSOLUGE|2030</v>
      </c>
      <c r="B277" t="str">
        <f t="shared" si="25"/>
        <v>Utility-scale solar PV|2030|Construction&amp;Manufacturing|Direct</v>
      </c>
      <c r="C277" t="str">
        <f t="shared" si="26"/>
        <v>PWRSOLUGE|Utility-scale solar PV</v>
      </c>
      <c r="D277" t="s">
        <v>39</v>
      </c>
      <c r="E277" t="s">
        <v>40</v>
      </c>
      <c r="F277" t="s">
        <v>19</v>
      </c>
      <c r="G277" t="s">
        <v>33</v>
      </c>
      <c r="H277">
        <v>2030</v>
      </c>
      <c r="I277" t="s">
        <v>37</v>
      </c>
      <c r="J277" t="s">
        <v>69</v>
      </c>
      <c r="K277" t="s">
        <v>70</v>
      </c>
      <c r="L277" t="s">
        <v>65</v>
      </c>
      <c r="M277">
        <f>SUMIFS(RawResultsLong!$P:$P,RawResultsLong!$A:$A,A277)</f>
        <v>7.8840000000000003</v>
      </c>
      <c r="N277">
        <f t="shared" si="27"/>
        <v>249.82888432580424</v>
      </c>
      <c r="O277" t="s">
        <v>66</v>
      </c>
      <c r="P277">
        <f>SUMIFS(TechnologyMapping!$D:$D,TechnologyMapping!$A:$A,C277)</f>
        <v>1</v>
      </c>
      <c r="Q277">
        <f t="shared" si="28"/>
        <v>249.82888432580424</v>
      </c>
      <c r="R277">
        <f>SUMIFS(FactorInputs!$I:$I,FactorInputs!$A:$A,B277)</f>
        <v>6.8809085537600003</v>
      </c>
      <c r="S277" t="str">
        <f>_xlfn.XLOOKUP(B277,FactorInputs!$A$2:$A$888,FactorInputs!$F$2:$F$888,"")</f>
        <v>job-yr/MW</v>
      </c>
      <c r="T277" t="str">
        <f>_xlfn.XLOOKUP(B277,FactorInputs!$A$2:$A$888,FactorInputs!$B$2:$B$888,"")</f>
        <v>I-JEDI</v>
      </c>
      <c r="U277" t="str">
        <f>_xlfn.XLOOKUP(B277,FactorInputs!$A$2:$A$888,FactorInputs!$T$2:$T$888,"")</f>
        <v>I-JEDI</v>
      </c>
      <c r="V277">
        <f t="shared" si="29"/>
        <v>1719.0497071337441</v>
      </c>
    </row>
    <row r="278" spans="1:23" x14ac:dyDescent="0.3">
      <c r="A278" t="str">
        <f t="shared" si="24"/>
        <v>CN|NewCapacity|RE1|PWRWNDONS|2030</v>
      </c>
      <c r="B278" t="str">
        <f t="shared" si="25"/>
        <v>Onshore wind|2030|Construction&amp;Manufacturing|Direct</v>
      </c>
      <c r="C278" t="str">
        <f t="shared" si="26"/>
        <v>PWRWNDONS|Onshore wind</v>
      </c>
      <c r="D278" t="s">
        <v>39</v>
      </c>
      <c r="E278" t="s">
        <v>40</v>
      </c>
      <c r="F278" t="s">
        <v>19</v>
      </c>
      <c r="G278" t="s">
        <v>36</v>
      </c>
      <c r="H278">
        <v>2030</v>
      </c>
      <c r="I278" t="s">
        <v>37</v>
      </c>
      <c r="J278" t="s">
        <v>69</v>
      </c>
      <c r="K278" t="s">
        <v>70</v>
      </c>
      <c r="L278" t="s">
        <v>65</v>
      </c>
      <c r="M278">
        <f>SUMIFS(RawResultsLong!$P:$P,RawResultsLong!$A:$A,A278)</f>
        <v>9.4</v>
      </c>
      <c r="N278">
        <f t="shared" si="27"/>
        <v>297.86802545187214</v>
      </c>
      <c r="O278" t="s">
        <v>68</v>
      </c>
      <c r="P278">
        <f>SUMIFS(TechnologyMapping!$D:$D,TechnologyMapping!$A:$A,C278)</f>
        <v>1</v>
      </c>
      <c r="Q278">
        <f t="shared" si="28"/>
        <v>297.86802545187214</v>
      </c>
      <c r="R278">
        <f>SUMIFS(FactorInputs!$I:$I,FactorInputs!$A:$A,B278)</f>
        <v>6.8775949805799996</v>
      </c>
      <c r="S278" t="str">
        <f>_xlfn.XLOOKUP(B278,FactorInputs!$A$2:$A$888,FactorInputs!$F$2:$F$888,"")</f>
        <v>job-yr/MW</v>
      </c>
      <c r="T278" t="str">
        <f>_xlfn.XLOOKUP(B278,FactorInputs!$A$2:$A$888,FactorInputs!$B$2:$B$888,"")</f>
        <v>I-JEDI</v>
      </c>
      <c r="U278" t="str">
        <f>_xlfn.XLOOKUP(B278,FactorInputs!$A$2:$A$888,FactorInputs!$T$2:$T$888,"")</f>
        <v>I-JEDI</v>
      </c>
      <c r="V278">
        <f t="shared" si="29"/>
        <v>2048.6156367230715</v>
      </c>
    </row>
    <row r="279" spans="1:23" x14ac:dyDescent="0.3">
      <c r="A279" t="str">
        <f t="shared" si="24"/>
        <v>CN|AccumulatedNewCapacity|RE1|PWRHYDDAM|2031</v>
      </c>
      <c r="B279" t="str">
        <f t="shared" si="25"/>
        <v>Hydro (large)|2031|O&amp;M|Direct</v>
      </c>
      <c r="C279" t="str">
        <f t="shared" si="26"/>
        <v>PWRHYDDAM|Hydro (large)</v>
      </c>
      <c r="D279" t="s">
        <v>39</v>
      </c>
      <c r="E279" t="s">
        <v>40</v>
      </c>
      <c r="F279" t="s">
        <v>19</v>
      </c>
      <c r="G279" t="s">
        <v>24</v>
      </c>
      <c r="H279">
        <v>2031</v>
      </c>
      <c r="I279" t="s">
        <v>18</v>
      </c>
      <c r="J279" t="s">
        <v>63</v>
      </c>
      <c r="K279" t="s">
        <v>64</v>
      </c>
      <c r="L279" t="s">
        <v>65</v>
      </c>
      <c r="M279">
        <f>SUMIFS(RawResultsLong!$P:$P,RawResultsLong!$A:$A,A279)</f>
        <v>37.840000000000003</v>
      </c>
      <c r="N279">
        <f t="shared" si="27"/>
        <v>1199.0772428828554</v>
      </c>
      <c r="O279" t="s">
        <v>72</v>
      </c>
      <c r="P279">
        <f>SUMIFS(TechnologyMapping!$D:$D,TechnologyMapping!$A:$A,C279)</f>
        <v>1</v>
      </c>
      <c r="Q279">
        <f t="shared" si="28"/>
        <v>1199.0772428828554</v>
      </c>
      <c r="R279">
        <f>SUMIFS(FactorInputs!$I:$I,FactorInputs!$A:$A,B279)</f>
        <v>0.64182459016399995</v>
      </c>
      <c r="S279" t="str">
        <f>_xlfn.XLOOKUP(B279,FactorInputs!$A$2:$A$888,FactorInputs!$F$2:$F$888,"")</f>
        <v>job/MW</v>
      </c>
      <c r="T279" t="str">
        <f>_xlfn.XLOOKUP(B279,FactorInputs!$A$2:$A$888,FactorInputs!$B$2:$B$888,"")</f>
        <v>Rutovitz 2015</v>
      </c>
      <c r="U279" t="str">
        <f>_xlfn.XLOOKUP(B279,FactorInputs!$A$2:$A$888,FactorInputs!$T$2:$T$888,"")</f>
        <v>Rutovitz 2015</v>
      </c>
      <c r="V279">
        <f t="shared" si="29"/>
        <v>769.59725998826775</v>
      </c>
    </row>
    <row r="280" spans="1:23" x14ac:dyDescent="0.3">
      <c r="A280" t="str">
        <f t="shared" si="24"/>
        <v>CN|AccumulatedNewCapacity|RE1|PWRSOLRTP|2031</v>
      </c>
      <c r="B280" t="str">
        <f t="shared" si="25"/>
        <v>Rooftop solar PV|2031|O&amp;M|Direct</v>
      </c>
      <c r="C280" t="str">
        <f t="shared" si="26"/>
        <v>PWRSOLRTP|Rooftop solar PV</v>
      </c>
      <c r="D280" t="s">
        <v>39</v>
      </c>
      <c r="E280" t="s">
        <v>40</v>
      </c>
      <c r="F280" t="s">
        <v>19</v>
      </c>
      <c r="G280" t="s">
        <v>31</v>
      </c>
      <c r="H280">
        <v>2031</v>
      </c>
      <c r="I280" t="s">
        <v>18</v>
      </c>
      <c r="J280" t="s">
        <v>63</v>
      </c>
      <c r="K280" t="s">
        <v>64</v>
      </c>
      <c r="L280" t="s">
        <v>65</v>
      </c>
      <c r="M280">
        <f>SUMIFS(RawResultsLong!$P:$P,RawResultsLong!$A:$A,A280)</f>
        <v>95.09</v>
      </c>
      <c r="N280">
        <f t="shared" si="27"/>
        <v>3013.2202702360128</v>
      </c>
      <c r="O280" t="s">
        <v>71</v>
      </c>
      <c r="P280">
        <f>SUMIFS(TechnologyMapping!$D:$D,TechnologyMapping!$A:$A,C280)</f>
        <v>1</v>
      </c>
      <c r="Q280">
        <f t="shared" si="28"/>
        <v>3013.2202702360128</v>
      </c>
      <c r="R280">
        <f>SUMIFS(FactorInputs!$I:$I,FactorInputs!$A:$A,B280)</f>
        <v>0.25561764705899997</v>
      </c>
      <c r="S280" t="str">
        <f>_xlfn.XLOOKUP(B280,FactorInputs!$A$2:$A$888,FactorInputs!$F$2:$F$888,"")</f>
        <v>job/MW</v>
      </c>
      <c r="T280" t="str">
        <f>_xlfn.XLOOKUP(B280,FactorInputs!$A$2:$A$888,FactorInputs!$B$2:$B$888,"")</f>
        <v>JEDI-US</v>
      </c>
      <c r="U280" t="str">
        <f>_xlfn.XLOOKUP(B280,FactorInputs!$A$2:$A$888,FactorInputs!$T$2:$T$888,"")</f>
        <v>JEDI-US</v>
      </c>
      <c r="V280">
        <f t="shared" si="29"/>
        <v>770.23227554821369</v>
      </c>
    </row>
    <row r="281" spans="1:23" x14ac:dyDescent="0.3">
      <c r="A281" t="str">
        <f t="shared" si="24"/>
        <v>CN|AccumulatedNewCapacity|RE1|PWRSOLRTP_ZNI|2031</v>
      </c>
      <c r="B281" t="str">
        <f t="shared" si="25"/>
        <v>Rooftop solar PV|2031|O&amp;M|Direct</v>
      </c>
      <c r="C281" t="str">
        <f t="shared" si="26"/>
        <v>PWRSOLRTP_ZNI|Rooftop solar PV</v>
      </c>
      <c r="D281" t="s">
        <v>39</v>
      </c>
      <c r="E281" t="s">
        <v>40</v>
      </c>
      <c r="F281" t="s">
        <v>19</v>
      </c>
      <c r="G281" t="s">
        <v>32</v>
      </c>
      <c r="H281">
        <v>2031</v>
      </c>
      <c r="I281" t="s">
        <v>18</v>
      </c>
      <c r="J281" t="s">
        <v>63</v>
      </c>
      <c r="K281" t="s">
        <v>64</v>
      </c>
      <c r="L281" t="s">
        <v>65</v>
      </c>
      <c r="M281">
        <f>SUMIFS(RawResultsLong!$P:$P,RawResultsLong!$A:$A,A281)</f>
        <v>0.57301432913016792</v>
      </c>
      <c r="N281">
        <f t="shared" si="27"/>
        <v>18.157728380173648</v>
      </c>
      <c r="O281" t="s">
        <v>71</v>
      </c>
      <c r="P281">
        <f>SUMIFS(TechnologyMapping!$D:$D,TechnologyMapping!$A:$A,C281)</f>
        <v>1</v>
      </c>
      <c r="Q281">
        <f t="shared" si="28"/>
        <v>18.157728380173648</v>
      </c>
      <c r="R281">
        <f>SUMIFS(FactorInputs!$I:$I,FactorInputs!$A:$A,B281)</f>
        <v>0.25561764705899997</v>
      </c>
      <c r="S281" t="str">
        <f>_xlfn.XLOOKUP(B281,FactorInputs!$A$2:$A$888,FactorInputs!$F$2:$F$888,"")</f>
        <v>job/MW</v>
      </c>
      <c r="T281" t="str">
        <f>_xlfn.XLOOKUP(B281,FactorInputs!$A$2:$A$888,FactorInputs!$B$2:$B$888,"")</f>
        <v>JEDI-US</v>
      </c>
      <c r="U281" t="str">
        <f>_xlfn.XLOOKUP(B281,FactorInputs!$A$2:$A$888,FactorInputs!$T$2:$T$888,"")</f>
        <v>JEDI-US</v>
      </c>
      <c r="V281">
        <f t="shared" si="29"/>
        <v>4.6414358044764148</v>
      </c>
      <c r="W281" t="s">
        <v>73</v>
      </c>
    </row>
    <row r="282" spans="1:23" x14ac:dyDescent="0.3">
      <c r="A282" t="str">
        <f t="shared" si="24"/>
        <v>CN|AccumulatedNewCapacity|RE1|PWRSOLUGE|2031</v>
      </c>
      <c r="B282" t="str">
        <f t="shared" si="25"/>
        <v>Utility-scale solar PV|2031|O&amp;M|Direct</v>
      </c>
      <c r="C282" t="str">
        <f t="shared" si="26"/>
        <v>PWRSOLUGE|Utility-scale solar PV</v>
      </c>
      <c r="D282" t="s">
        <v>39</v>
      </c>
      <c r="E282" t="s">
        <v>40</v>
      </c>
      <c r="F282" t="s">
        <v>19</v>
      </c>
      <c r="G282" t="s">
        <v>33</v>
      </c>
      <c r="H282">
        <v>2031</v>
      </c>
      <c r="I282" t="s">
        <v>18</v>
      </c>
      <c r="J282" t="s">
        <v>63</v>
      </c>
      <c r="K282" t="s">
        <v>64</v>
      </c>
      <c r="L282" t="s">
        <v>65</v>
      </c>
      <c r="M282">
        <f>SUMIFS(RawResultsLong!$P:$P,RawResultsLong!$A:$A,A282)</f>
        <v>143.394192</v>
      </c>
      <c r="N282">
        <f t="shared" si="27"/>
        <v>4543.8877481177278</v>
      </c>
      <c r="O282" t="s">
        <v>66</v>
      </c>
      <c r="P282">
        <f>SUMIFS(TechnologyMapping!$D:$D,TechnologyMapping!$A:$A,C282)</f>
        <v>1</v>
      </c>
      <c r="Q282">
        <f t="shared" si="28"/>
        <v>4543.8877481177278</v>
      </c>
      <c r="R282">
        <f>SUMIFS(FactorInputs!$I:$I,FactorInputs!$A:$A,B282)</f>
        <v>8.1568581081100003E-2</v>
      </c>
      <c r="S282" t="str">
        <f>_xlfn.XLOOKUP(B282,FactorInputs!$A$2:$A$888,FactorInputs!$F$2:$F$888,"")</f>
        <v>job/MW</v>
      </c>
      <c r="T282" t="str">
        <f>_xlfn.XLOOKUP(B282,FactorInputs!$A$2:$A$888,FactorInputs!$B$2:$B$888,"")</f>
        <v>I-JEDI</v>
      </c>
      <c r="U282" t="str">
        <f>_xlfn.XLOOKUP(B282,FactorInputs!$A$2:$A$888,FactorInputs!$T$2:$T$888,"")</f>
        <v>I-JEDI</v>
      </c>
      <c r="V282">
        <f t="shared" si="29"/>
        <v>370.6384762057578</v>
      </c>
    </row>
    <row r="283" spans="1:23" x14ac:dyDescent="0.3">
      <c r="A283" t="str">
        <f t="shared" si="24"/>
        <v>CN|AccumulatedNewCapacity|RE1|PWRSOLUPE|2031</v>
      </c>
      <c r="B283" t="str">
        <f t="shared" si="25"/>
        <v>Utility-scale solar PV|2031|O&amp;M|Direct</v>
      </c>
      <c r="C283" t="str">
        <f t="shared" si="26"/>
        <v>PWRSOLUPE|Utility-scale solar PV</v>
      </c>
      <c r="D283" t="s">
        <v>39</v>
      </c>
      <c r="E283" t="s">
        <v>40</v>
      </c>
      <c r="F283" t="s">
        <v>19</v>
      </c>
      <c r="G283" t="s">
        <v>34</v>
      </c>
      <c r="H283">
        <v>2031</v>
      </c>
      <c r="I283" t="s">
        <v>18</v>
      </c>
      <c r="J283" t="s">
        <v>63</v>
      </c>
      <c r="K283" t="s">
        <v>64</v>
      </c>
      <c r="L283" t="s">
        <v>65</v>
      </c>
      <c r="M283">
        <f>SUMIFS(RawResultsLong!$P:$P,RawResultsLong!$A:$A,A283)</f>
        <v>12.14419823999993</v>
      </c>
      <c r="N283">
        <f t="shared" si="27"/>
        <v>384.82642026009364</v>
      </c>
      <c r="O283" t="s">
        <v>66</v>
      </c>
      <c r="P283">
        <f>SUMIFS(TechnologyMapping!$D:$D,TechnologyMapping!$A:$A,C283)</f>
        <v>1</v>
      </c>
      <c r="Q283">
        <f t="shared" si="28"/>
        <v>384.82642026009364</v>
      </c>
      <c r="R283">
        <f>SUMIFS(FactorInputs!$I:$I,FactorInputs!$A:$A,B283)</f>
        <v>8.1568581081100003E-2</v>
      </c>
      <c r="S283" t="str">
        <f>_xlfn.XLOOKUP(B283,FactorInputs!$A$2:$A$888,FactorInputs!$F$2:$F$888,"")</f>
        <v>job/MW</v>
      </c>
      <c r="T283" t="str">
        <f>_xlfn.XLOOKUP(B283,FactorInputs!$A$2:$A$888,FactorInputs!$B$2:$B$888,"")</f>
        <v>I-JEDI</v>
      </c>
      <c r="U283" t="str">
        <f>_xlfn.XLOOKUP(B283,FactorInputs!$A$2:$A$888,FactorInputs!$T$2:$T$888,"")</f>
        <v>I-JEDI</v>
      </c>
      <c r="V283">
        <f t="shared" si="29"/>
        <v>31.389745063134914</v>
      </c>
      <c r="W283" t="s">
        <v>67</v>
      </c>
    </row>
    <row r="284" spans="1:23" x14ac:dyDescent="0.3">
      <c r="A284" t="str">
        <f t="shared" si="24"/>
        <v>CN|AccumulatedNewCapacity|RE1|PWRWNDONS|2031</v>
      </c>
      <c r="B284" t="str">
        <f t="shared" si="25"/>
        <v>Onshore wind|2031|O&amp;M|Direct</v>
      </c>
      <c r="C284" t="str">
        <f t="shared" si="26"/>
        <v>PWRWNDONS|Onshore wind</v>
      </c>
      <c r="D284" t="s">
        <v>39</v>
      </c>
      <c r="E284" t="s">
        <v>40</v>
      </c>
      <c r="F284" t="s">
        <v>19</v>
      </c>
      <c r="G284" t="s">
        <v>36</v>
      </c>
      <c r="H284">
        <v>2031</v>
      </c>
      <c r="I284" t="s">
        <v>18</v>
      </c>
      <c r="J284" t="s">
        <v>63</v>
      </c>
      <c r="K284" t="s">
        <v>64</v>
      </c>
      <c r="L284" t="s">
        <v>65</v>
      </c>
      <c r="M284">
        <f>SUMIFS(RawResultsLong!$P:$P,RawResultsLong!$A:$A,A284)</f>
        <v>66.389446484435581</v>
      </c>
      <c r="N284">
        <f t="shared" si="27"/>
        <v>2103.7546101235703</v>
      </c>
      <c r="O284" t="s">
        <v>68</v>
      </c>
      <c r="P284">
        <f>SUMIFS(TechnologyMapping!$D:$D,TechnologyMapping!$A:$A,C284)</f>
        <v>1</v>
      </c>
      <c r="Q284">
        <f t="shared" si="28"/>
        <v>2103.7546101235703</v>
      </c>
      <c r="R284">
        <f>SUMIFS(FactorInputs!$I:$I,FactorInputs!$A:$A,B284)</f>
        <v>2.8390510948900001E-2</v>
      </c>
      <c r="S284" t="str">
        <f>_xlfn.XLOOKUP(B284,FactorInputs!$A$2:$A$888,FactorInputs!$F$2:$F$888,"")</f>
        <v>job/MW</v>
      </c>
      <c r="T284" t="str">
        <f>_xlfn.XLOOKUP(B284,FactorInputs!$A$2:$A$888,FactorInputs!$B$2:$B$888,"")</f>
        <v>I-JEDI</v>
      </c>
      <c r="U284" t="str">
        <f>_xlfn.XLOOKUP(B284,FactorInputs!$A$2:$A$888,FactorInputs!$T$2:$T$888,"")</f>
        <v>I-JEDI</v>
      </c>
      <c r="V284">
        <f t="shared" si="29"/>
        <v>59.726668292512073</v>
      </c>
    </row>
    <row r="285" spans="1:23" x14ac:dyDescent="0.3">
      <c r="A285" t="str">
        <f t="shared" si="24"/>
        <v>CN|NewCapacity|RE1|PWRSOLRTP|2031</v>
      </c>
      <c r="B285" t="str">
        <f t="shared" si="25"/>
        <v>Rooftop solar PV|2031|Construction&amp;Manufacturing|Direct</v>
      </c>
      <c r="C285" t="str">
        <f t="shared" si="26"/>
        <v>PWRSOLRTP|Rooftop solar PV</v>
      </c>
      <c r="D285" t="s">
        <v>39</v>
      </c>
      <c r="E285" t="s">
        <v>40</v>
      </c>
      <c r="F285" t="s">
        <v>19</v>
      </c>
      <c r="G285" t="s">
        <v>31</v>
      </c>
      <c r="H285">
        <v>2031</v>
      </c>
      <c r="I285" t="s">
        <v>37</v>
      </c>
      <c r="J285" t="s">
        <v>69</v>
      </c>
      <c r="K285" t="s">
        <v>70</v>
      </c>
      <c r="L285" t="s">
        <v>65</v>
      </c>
      <c r="M285">
        <f>SUMIFS(RawResultsLong!$P:$P,RawResultsLong!$A:$A,A285)</f>
        <v>17.63</v>
      </c>
      <c r="N285">
        <f t="shared" si="27"/>
        <v>558.66098816133035</v>
      </c>
      <c r="O285" t="s">
        <v>71</v>
      </c>
      <c r="P285">
        <f>SUMIFS(TechnologyMapping!$D:$D,TechnologyMapping!$A:$A,C285)</f>
        <v>1</v>
      </c>
      <c r="Q285">
        <f t="shared" si="28"/>
        <v>558.66098816133035</v>
      </c>
      <c r="R285">
        <f>SUMIFS(FactorInputs!$I:$I,FactorInputs!$A:$A,B285)</f>
        <v>6.3285371255299996</v>
      </c>
      <c r="S285" t="str">
        <f>_xlfn.XLOOKUP(B285,FactorInputs!$A$2:$A$888,FactorInputs!$F$2:$F$888,"")</f>
        <v>job-yr/MW</v>
      </c>
      <c r="T285" t="str">
        <f>_xlfn.XLOOKUP(B285,FactorInputs!$A$2:$A$888,FactorInputs!$B$2:$B$888,"")</f>
        <v>JEDI-US</v>
      </c>
      <c r="U285" t="str">
        <f>_xlfn.XLOOKUP(B285,FactorInputs!$A$2:$A$888,FactorInputs!$T$2:$T$888,"")</f>
        <v>JEDI-US</v>
      </c>
      <c r="V285">
        <f t="shared" si="29"/>
        <v>3535.5068041642548</v>
      </c>
    </row>
    <row r="286" spans="1:23" x14ac:dyDescent="0.3">
      <c r="A286" t="str">
        <f t="shared" si="24"/>
        <v>CN|NewCapacity|RE1|PWRSOLRTP_ZNI|2031</v>
      </c>
      <c r="B286" t="str">
        <f t="shared" si="25"/>
        <v>Rooftop solar PV|2031|Construction&amp;Manufacturing|Direct</v>
      </c>
      <c r="C286" t="str">
        <f t="shared" si="26"/>
        <v>PWRSOLRTP_ZNI|Rooftop solar PV</v>
      </c>
      <c r="D286" t="s">
        <v>39</v>
      </c>
      <c r="E286" t="s">
        <v>40</v>
      </c>
      <c r="F286" t="s">
        <v>19</v>
      </c>
      <c r="G286" t="s">
        <v>32</v>
      </c>
      <c r="H286">
        <v>2031</v>
      </c>
      <c r="I286" t="s">
        <v>37</v>
      </c>
      <c r="J286" t="s">
        <v>69</v>
      </c>
      <c r="K286" t="s">
        <v>70</v>
      </c>
      <c r="L286" t="s">
        <v>65</v>
      </c>
      <c r="M286">
        <f>SUMIFS(RawResultsLong!$P:$P,RawResultsLong!$A:$A,A286)</f>
        <v>0.57301432913016792</v>
      </c>
      <c r="N286">
        <f t="shared" si="27"/>
        <v>18.157728380173648</v>
      </c>
      <c r="O286" t="s">
        <v>71</v>
      </c>
      <c r="P286">
        <f>SUMIFS(TechnologyMapping!$D:$D,TechnologyMapping!$A:$A,C286)</f>
        <v>1</v>
      </c>
      <c r="Q286">
        <f t="shared" si="28"/>
        <v>18.157728380173648</v>
      </c>
      <c r="R286">
        <f>SUMIFS(FactorInputs!$I:$I,FactorInputs!$A:$A,B286)</f>
        <v>6.3285371255299996</v>
      </c>
      <c r="S286" t="str">
        <f>_xlfn.XLOOKUP(B286,FactorInputs!$A$2:$A$888,FactorInputs!$F$2:$F$888,"")</f>
        <v>job-yr/MW</v>
      </c>
      <c r="T286" t="str">
        <f>_xlfn.XLOOKUP(B286,FactorInputs!$A$2:$A$888,FactorInputs!$B$2:$B$888,"")</f>
        <v>JEDI-US</v>
      </c>
      <c r="U286" t="str">
        <f>_xlfn.XLOOKUP(B286,FactorInputs!$A$2:$A$888,FactorInputs!$T$2:$T$888,"")</f>
        <v>JEDI-US</v>
      </c>
      <c r="V286">
        <f t="shared" si="29"/>
        <v>114.91185816921863</v>
      </c>
      <c r="W286" t="s">
        <v>73</v>
      </c>
    </row>
    <row r="287" spans="1:23" x14ac:dyDescent="0.3">
      <c r="A287" t="str">
        <f t="shared" si="24"/>
        <v>CN|NewCapacity|RE1|PWRWNDONS|2031</v>
      </c>
      <c r="B287" t="str">
        <f t="shared" si="25"/>
        <v>Onshore wind|2031|Construction&amp;Manufacturing|Direct</v>
      </c>
      <c r="C287" t="str">
        <f t="shared" si="26"/>
        <v>PWRWNDONS|Onshore wind</v>
      </c>
      <c r="D287" t="s">
        <v>39</v>
      </c>
      <c r="E287" t="s">
        <v>40</v>
      </c>
      <c r="F287" t="s">
        <v>19</v>
      </c>
      <c r="G287" t="s">
        <v>36</v>
      </c>
      <c r="H287">
        <v>2031</v>
      </c>
      <c r="I287" t="s">
        <v>37</v>
      </c>
      <c r="J287" t="s">
        <v>69</v>
      </c>
      <c r="K287" t="s">
        <v>70</v>
      </c>
      <c r="L287" t="s">
        <v>65</v>
      </c>
      <c r="M287">
        <f>SUMIFS(RawResultsLong!$P:$P,RawResultsLong!$A:$A,A287)</f>
        <v>9.4</v>
      </c>
      <c r="N287">
        <f t="shared" si="27"/>
        <v>297.86802545187214</v>
      </c>
      <c r="O287" t="s">
        <v>68</v>
      </c>
      <c r="P287">
        <f>SUMIFS(TechnologyMapping!$D:$D,TechnologyMapping!$A:$A,C287)</f>
        <v>1</v>
      </c>
      <c r="Q287">
        <f t="shared" si="28"/>
        <v>297.86802545187214</v>
      </c>
      <c r="R287">
        <f>SUMIFS(FactorInputs!$I:$I,FactorInputs!$A:$A,B287)</f>
        <v>6.8593532323800002</v>
      </c>
      <c r="S287" t="str">
        <f>_xlfn.XLOOKUP(B287,FactorInputs!$A$2:$A$888,FactorInputs!$F$2:$F$888,"")</f>
        <v>job-yr/MW</v>
      </c>
      <c r="T287" t="str">
        <f>_xlfn.XLOOKUP(B287,FactorInputs!$A$2:$A$888,FactorInputs!$B$2:$B$888,"")</f>
        <v>I-JEDI</v>
      </c>
      <c r="U287" t="str">
        <f>_xlfn.XLOOKUP(B287,FactorInputs!$A$2:$A$888,FactorInputs!$T$2:$T$888,"")</f>
        <v>I-JEDI</v>
      </c>
      <c r="V287">
        <f t="shared" si="29"/>
        <v>2043.1820032059472</v>
      </c>
    </row>
    <row r="288" spans="1:23" x14ac:dyDescent="0.3">
      <c r="A288" t="str">
        <f t="shared" si="24"/>
        <v>CN|AccumulatedNewCapacity|RE1|PWRHYDDAM|2032</v>
      </c>
      <c r="B288" t="str">
        <f t="shared" si="25"/>
        <v>Hydro (large)|2032|O&amp;M|Direct</v>
      </c>
      <c r="C288" t="str">
        <f t="shared" si="26"/>
        <v>PWRHYDDAM|Hydro (large)</v>
      </c>
      <c r="D288" t="s">
        <v>39</v>
      </c>
      <c r="E288" t="s">
        <v>40</v>
      </c>
      <c r="F288" t="s">
        <v>19</v>
      </c>
      <c r="G288" t="s">
        <v>24</v>
      </c>
      <c r="H288">
        <v>2032</v>
      </c>
      <c r="I288" t="s">
        <v>18</v>
      </c>
      <c r="J288" t="s">
        <v>63</v>
      </c>
      <c r="K288" t="s">
        <v>64</v>
      </c>
      <c r="L288" t="s">
        <v>65</v>
      </c>
      <c r="M288">
        <f>SUMIFS(RawResultsLong!$P:$P,RawResultsLong!$A:$A,A288)</f>
        <v>37.840000000000003</v>
      </c>
      <c r="N288">
        <f t="shared" si="27"/>
        <v>1199.0772428828554</v>
      </c>
      <c r="O288" t="s">
        <v>72</v>
      </c>
      <c r="P288">
        <f>SUMIFS(TechnologyMapping!$D:$D,TechnologyMapping!$A:$A,C288)</f>
        <v>1</v>
      </c>
      <c r="Q288">
        <f t="shared" si="28"/>
        <v>1199.0772428828554</v>
      </c>
      <c r="R288">
        <f>SUMIFS(FactorInputs!$I:$I,FactorInputs!$A:$A,B288)</f>
        <v>0.641649180328</v>
      </c>
      <c r="S288" t="str">
        <f>_xlfn.XLOOKUP(B288,FactorInputs!$A$2:$A$888,FactorInputs!$F$2:$F$888,"")</f>
        <v>job/MW</v>
      </c>
      <c r="T288" t="str">
        <f>_xlfn.XLOOKUP(B288,FactorInputs!$A$2:$A$888,FactorInputs!$B$2:$B$888,"")</f>
        <v>Rutovitz 2015</v>
      </c>
      <c r="U288" t="str">
        <f>_xlfn.XLOOKUP(B288,FactorInputs!$A$2:$A$888,FactorInputs!$T$2:$T$888,"")</f>
        <v>Rutovitz 2015</v>
      </c>
      <c r="V288">
        <f t="shared" si="29"/>
        <v>769.38693004574236</v>
      </c>
    </row>
    <row r="289" spans="1:23" x14ac:dyDescent="0.3">
      <c r="A289" t="str">
        <f t="shared" si="24"/>
        <v>CN|AccumulatedNewCapacity|RE1|PWRSOLRTP|2032</v>
      </c>
      <c r="B289" t="str">
        <f t="shared" si="25"/>
        <v>Rooftop solar PV|2032|O&amp;M|Direct</v>
      </c>
      <c r="C289" t="str">
        <f t="shared" si="26"/>
        <v>PWRSOLRTP|Rooftop solar PV</v>
      </c>
      <c r="D289" t="s">
        <v>39</v>
      </c>
      <c r="E289" t="s">
        <v>40</v>
      </c>
      <c r="F289" t="s">
        <v>19</v>
      </c>
      <c r="G289" t="s">
        <v>31</v>
      </c>
      <c r="H289">
        <v>2032</v>
      </c>
      <c r="I289" t="s">
        <v>18</v>
      </c>
      <c r="J289" t="s">
        <v>63</v>
      </c>
      <c r="K289" t="s">
        <v>64</v>
      </c>
      <c r="L289" t="s">
        <v>65</v>
      </c>
      <c r="M289">
        <f>SUMIFS(RawResultsLong!$P:$P,RawResultsLong!$A:$A,A289)</f>
        <v>110.88</v>
      </c>
      <c r="N289">
        <f t="shared" si="27"/>
        <v>3513.57517681953</v>
      </c>
      <c r="O289" t="s">
        <v>71</v>
      </c>
      <c r="P289">
        <f>SUMIFS(TechnologyMapping!$D:$D,TechnologyMapping!$A:$A,C289)</f>
        <v>1</v>
      </c>
      <c r="Q289">
        <f t="shared" si="28"/>
        <v>3513.57517681953</v>
      </c>
      <c r="R289">
        <f>SUMIFS(FactorInputs!$I:$I,FactorInputs!$A:$A,B289)</f>
        <v>0.25358823529399999</v>
      </c>
      <c r="S289" t="str">
        <f>_xlfn.XLOOKUP(B289,FactorInputs!$A$2:$A$888,FactorInputs!$F$2:$F$888,"")</f>
        <v>job/MW</v>
      </c>
      <c r="T289" t="str">
        <f>_xlfn.XLOOKUP(B289,FactorInputs!$A$2:$A$888,FactorInputs!$B$2:$B$888,"")</f>
        <v>JEDI-US</v>
      </c>
      <c r="U289" t="str">
        <f>_xlfn.XLOOKUP(B289,FactorInputs!$A$2:$A$888,FactorInputs!$T$2:$T$888,"")</f>
        <v>JEDI-US</v>
      </c>
      <c r="V289">
        <f t="shared" si="29"/>
        <v>891.00132866246861</v>
      </c>
    </row>
    <row r="290" spans="1:23" x14ac:dyDescent="0.3">
      <c r="A290" t="str">
        <f t="shared" si="24"/>
        <v>CN|AccumulatedNewCapacity|RE1|PWRSOLRTP_ZNI|2032</v>
      </c>
      <c r="B290" t="str">
        <f t="shared" si="25"/>
        <v>Rooftop solar PV|2032|O&amp;M|Direct</v>
      </c>
      <c r="C290" t="str">
        <f t="shared" si="26"/>
        <v>PWRSOLRTP_ZNI|Rooftop solar PV</v>
      </c>
      <c r="D290" t="s">
        <v>39</v>
      </c>
      <c r="E290" t="s">
        <v>40</v>
      </c>
      <c r="F290" t="s">
        <v>19</v>
      </c>
      <c r="G290" t="s">
        <v>32</v>
      </c>
      <c r="H290">
        <v>2032</v>
      </c>
      <c r="I290" t="s">
        <v>18</v>
      </c>
      <c r="J290" t="s">
        <v>63</v>
      </c>
      <c r="K290" t="s">
        <v>64</v>
      </c>
      <c r="L290" t="s">
        <v>65</v>
      </c>
      <c r="M290">
        <f>SUMIFS(RawResultsLong!$P:$P,RawResultsLong!$A:$A,A290)</f>
        <v>0.61180159045846327</v>
      </c>
      <c r="N290">
        <f t="shared" si="27"/>
        <v>19.386822523210359</v>
      </c>
      <c r="O290" t="s">
        <v>71</v>
      </c>
      <c r="P290">
        <f>SUMIFS(TechnologyMapping!$D:$D,TechnologyMapping!$A:$A,C290)</f>
        <v>1</v>
      </c>
      <c r="Q290">
        <f t="shared" si="28"/>
        <v>19.386822523210359</v>
      </c>
      <c r="R290">
        <f>SUMIFS(FactorInputs!$I:$I,FactorInputs!$A:$A,B290)</f>
        <v>0.25358823529399999</v>
      </c>
      <c r="S290" t="str">
        <f>_xlfn.XLOOKUP(B290,FactorInputs!$A$2:$A$888,FactorInputs!$F$2:$F$888,"")</f>
        <v>job/MW</v>
      </c>
      <c r="T290" t="str">
        <f>_xlfn.XLOOKUP(B290,FactorInputs!$A$2:$A$888,FactorInputs!$B$2:$B$888,"")</f>
        <v>JEDI-US</v>
      </c>
      <c r="U290" t="str">
        <f>_xlfn.XLOOKUP(B290,FactorInputs!$A$2:$A$888,FactorInputs!$T$2:$T$888,"")</f>
        <v>JEDI-US</v>
      </c>
      <c r="V290">
        <f t="shared" si="29"/>
        <v>4.9162701116188874</v>
      </c>
      <c r="W290" t="s">
        <v>73</v>
      </c>
    </row>
    <row r="291" spans="1:23" x14ac:dyDescent="0.3">
      <c r="A291" t="str">
        <f t="shared" si="24"/>
        <v>CN|AccumulatedNewCapacity|RE1|PWRSOLUGE|2032</v>
      </c>
      <c r="B291" t="str">
        <f t="shared" si="25"/>
        <v>Utility-scale solar PV|2032|O&amp;M|Direct</v>
      </c>
      <c r="C291" t="str">
        <f t="shared" si="26"/>
        <v>PWRSOLUGE|Utility-scale solar PV</v>
      </c>
      <c r="D291" t="s">
        <v>39</v>
      </c>
      <c r="E291" t="s">
        <v>40</v>
      </c>
      <c r="F291" t="s">
        <v>19</v>
      </c>
      <c r="G291" t="s">
        <v>33</v>
      </c>
      <c r="H291">
        <v>2032</v>
      </c>
      <c r="I291" t="s">
        <v>18</v>
      </c>
      <c r="J291" t="s">
        <v>63</v>
      </c>
      <c r="K291" t="s">
        <v>64</v>
      </c>
      <c r="L291" t="s">
        <v>65</v>
      </c>
      <c r="M291">
        <f>SUMIFS(RawResultsLong!$P:$P,RawResultsLong!$A:$A,A291)</f>
        <v>143.394192</v>
      </c>
      <c r="N291">
        <f t="shared" si="27"/>
        <v>4543.8877481177278</v>
      </c>
      <c r="O291" t="s">
        <v>66</v>
      </c>
      <c r="P291">
        <f>SUMIFS(TechnologyMapping!$D:$D,TechnologyMapping!$A:$A,C291)</f>
        <v>1</v>
      </c>
      <c r="Q291">
        <f t="shared" si="28"/>
        <v>4543.8877481177278</v>
      </c>
      <c r="R291">
        <f>SUMIFS(FactorInputs!$I:$I,FactorInputs!$A:$A,B291)</f>
        <v>8.09817567568E-2</v>
      </c>
      <c r="S291" t="str">
        <f>_xlfn.XLOOKUP(B291,FactorInputs!$A$2:$A$888,FactorInputs!$F$2:$F$888,"")</f>
        <v>job/MW</v>
      </c>
      <c r="T291" t="str">
        <f>_xlfn.XLOOKUP(B291,FactorInputs!$A$2:$A$888,FactorInputs!$B$2:$B$888,"")</f>
        <v>I-JEDI</v>
      </c>
      <c r="U291" t="str">
        <f>_xlfn.XLOOKUP(B291,FactorInputs!$A$2:$A$888,FactorInputs!$T$2:$T$888,"")</f>
        <v>I-JEDI</v>
      </c>
      <c r="V291">
        <f t="shared" si="29"/>
        <v>367.97201234827355</v>
      </c>
    </row>
    <row r="292" spans="1:23" x14ac:dyDescent="0.3">
      <c r="A292" t="str">
        <f t="shared" si="24"/>
        <v>CN|AccumulatedNewCapacity|RE1|PWRSOLUPE|2032</v>
      </c>
      <c r="B292" t="str">
        <f t="shared" si="25"/>
        <v>Utility-scale solar PV|2032|O&amp;M|Direct</v>
      </c>
      <c r="C292" t="str">
        <f t="shared" si="26"/>
        <v>PWRSOLUPE|Utility-scale solar PV</v>
      </c>
      <c r="D292" t="s">
        <v>39</v>
      </c>
      <c r="E292" t="s">
        <v>40</v>
      </c>
      <c r="F292" t="s">
        <v>19</v>
      </c>
      <c r="G292" t="s">
        <v>34</v>
      </c>
      <c r="H292">
        <v>2032</v>
      </c>
      <c r="I292" t="s">
        <v>18</v>
      </c>
      <c r="J292" t="s">
        <v>63</v>
      </c>
      <c r="K292" t="s">
        <v>64</v>
      </c>
      <c r="L292" t="s">
        <v>65</v>
      </c>
      <c r="M292">
        <f>SUMIFS(RawResultsLong!$P:$P,RawResultsLong!$A:$A,A292)</f>
        <v>12.14419823999993</v>
      </c>
      <c r="N292">
        <f t="shared" si="27"/>
        <v>384.82642026009364</v>
      </c>
      <c r="O292" t="s">
        <v>66</v>
      </c>
      <c r="P292">
        <f>SUMIFS(TechnologyMapping!$D:$D,TechnologyMapping!$A:$A,C292)</f>
        <v>1</v>
      </c>
      <c r="Q292">
        <f t="shared" si="28"/>
        <v>384.82642026009364</v>
      </c>
      <c r="R292">
        <f>SUMIFS(FactorInputs!$I:$I,FactorInputs!$A:$A,B292)</f>
        <v>8.09817567568E-2</v>
      </c>
      <c r="S292" t="str">
        <f>_xlfn.XLOOKUP(B292,FactorInputs!$A$2:$A$888,FactorInputs!$F$2:$F$888,"")</f>
        <v>job/MW</v>
      </c>
      <c r="T292" t="str">
        <f>_xlfn.XLOOKUP(B292,FactorInputs!$A$2:$A$888,FactorInputs!$B$2:$B$888,"")</f>
        <v>I-JEDI</v>
      </c>
      <c r="U292" t="str">
        <f>_xlfn.XLOOKUP(B292,FactorInputs!$A$2:$A$888,FactorInputs!$T$2:$T$888,"")</f>
        <v>I-JEDI</v>
      </c>
      <c r="V292">
        <f t="shared" si="29"/>
        <v>31.163919559092996</v>
      </c>
      <c r="W292" t="s">
        <v>67</v>
      </c>
    </row>
    <row r="293" spans="1:23" x14ac:dyDescent="0.3">
      <c r="A293" t="str">
        <f t="shared" si="24"/>
        <v>CN|AccumulatedNewCapacity|RE1|PWRWNDONS|2032</v>
      </c>
      <c r="B293" t="str">
        <f t="shared" si="25"/>
        <v>Onshore wind|2032|O&amp;M|Direct</v>
      </c>
      <c r="C293" t="str">
        <f t="shared" si="26"/>
        <v>PWRWNDONS|Onshore wind</v>
      </c>
      <c r="D293" t="s">
        <v>39</v>
      </c>
      <c r="E293" t="s">
        <v>40</v>
      </c>
      <c r="F293" t="s">
        <v>19</v>
      </c>
      <c r="G293" t="s">
        <v>36</v>
      </c>
      <c r="H293">
        <v>2032</v>
      </c>
      <c r="I293" t="s">
        <v>18</v>
      </c>
      <c r="J293" t="s">
        <v>63</v>
      </c>
      <c r="K293" t="s">
        <v>64</v>
      </c>
      <c r="L293" t="s">
        <v>65</v>
      </c>
      <c r="M293">
        <f>SUMIFS(RawResultsLong!$P:$P,RawResultsLong!$A:$A,A293)</f>
        <v>75.789446484435587</v>
      </c>
      <c r="N293">
        <f t="shared" si="27"/>
        <v>2401.6226355754425</v>
      </c>
      <c r="O293" t="s">
        <v>68</v>
      </c>
      <c r="P293">
        <f>SUMIFS(TechnologyMapping!$D:$D,TechnologyMapping!$A:$A,C293)</f>
        <v>1</v>
      </c>
      <c r="Q293">
        <f t="shared" si="28"/>
        <v>2401.6226355754425</v>
      </c>
      <c r="R293">
        <f>SUMIFS(FactorInputs!$I:$I,FactorInputs!$A:$A,B293)</f>
        <v>2.83138686131E-2</v>
      </c>
      <c r="S293" t="str">
        <f>_xlfn.XLOOKUP(B293,FactorInputs!$A$2:$A$888,FactorInputs!$F$2:$F$888,"")</f>
        <v>job/MW</v>
      </c>
      <c r="T293" t="str">
        <f>_xlfn.XLOOKUP(B293,FactorInputs!$A$2:$A$888,FactorInputs!$B$2:$B$888,"")</f>
        <v>I-JEDI</v>
      </c>
      <c r="U293" t="str">
        <f>_xlfn.XLOOKUP(B293,FactorInputs!$A$2:$A$888,FactorInputs!$T$2:$T$888,"")</f>
        <v>I-JEDI</v>
      </c>
      <c r="V293">
        <f t="shared" si="29"/>
        <v>67.999227761930015</v>
      </c>
    </row>
    <row r="294" spans="1:23" x14ac:dyDescent="0.3">
      <c r="A294" t="str">
        <f t="shared" si="24"/>
        <v>CN|NewCapacity|RE1|PWRSOLRTP|2032</v>
      </c>
      <c r="B294" t="str">
        <f t="shared" si="25"/>
        <v>Rooftop solar PV|2032|Construction&amp;Manufacturing|Direct</v>
      </c>
      <c r="C294" t="str">
        <f t="shared" si="26"/>
        <v>PWRSOLRTP|Rooftop solar PV</v>
      </c>
      <c r="D294" t="s">
        <v>39</v>
      </c>
      <c r="E294" t="s">
        <v>40</v>
      </c>
      <c r="F294" t="s">
        <v>19</v>
      </c>
      <c r="G294" t="s">
        <v>31</v>
      </c>
      <c r="H294">
        <v>2032</v>
      </c>
      <c r="I294" t="s">
        <v>37</v>
      </c>
      <c r="J294" t="s">
        <v>69</v>
      </c>
      <c r="K294" t="s">
        <v>70</v>
      </c>
      <c r="L294" t="s">
        <v>65</v>
      </c>
      <c r="M294">
        <f>SUMIFS(RawResultsLong!$P:$P,RawResultsLong!$A:$A,A294)</f>
        <v>15.79</v>
      </c>
      <c r="N294">
        <f t="shared" si="27"/>
        <v>500.35490658351711</v>
      </c>
      <c r="O294" t="s">
        <v>71</v>
      </c>
      <c r="P294">
        <f>SUMIFS(TechnologyMapping!$D:$D,TechnologyMapping!$A:$A,C294)</f>
        <v>1</v>
      </c>
      <c r="Q294">
        <f t="shared" si="28"/>
        <v>500.35490658351711</v>
      </c>
      <c r="R294">
        <f>SUMIFS(FactorInputs!$I:$I,FactorInputs!$A:$A,B294)</f>
        <v>6.2228541747400001</v>
      </c>
      <c r="S294" t="str">
        <f>_xlfn.XLOOKUP(B294,FactorInputs!$A$2:$A$888,FactorInputs!$F$2:$F$888,"")</f>
        <v>job-yr/MW</v>
      </c>
      <c r="T294" t="str">
        <f>_xlfn.XLOOKUP(B294,FactorInputs!$A$2:$A$888,FactorInputs!$B$2:$B$888,"")</f>
        <v>JEDI-US</v>
      </c>
      <c r="U294" t="str">
        <f>_xlfn.XLOOKUP(B294,FactorInputs!$A$2:$A$888,FactorInputs!$T$2:$T$888,"")</f>
        <v>JEDI-US</v>
      </c>
      <c r="V294">
        <f t="shared" si="29"/>
        <v>3113.6356192848821</v>
      </c>
    </row>
    <row r="295" spans="1:23" x14ac:dyDescent="0.3">
      <c r="A295" t="str">
        <f t="shared" si="24"/>
        <v>CN|NewCapacity|RE1|PWRSOLRTP_ZNI|2032</v>
      </c>
      <c r="B295" t="str">
        <f t="shared" si="25"/>
        <v>Rooftop solar PV|2032|Construction&amp;Manufacturing|Direct</v>
      </c>
      <c r="C295" t="str">
        <f t="shared" si="26"/>
        <v>PWRSOLRTP_ZNI|Rooftop solar PV</v>
      </c>
      <c r="D295" t="s">
        <v>39</v>
      </c>
      <c r="E295" t="s">
        <v>40</v>
      </c>
      <c r="F295" t="s">
        <v>19</v>
      </c>
      <c r="G295" t="s">
        <v>32</v>
      </c>
      <c r="H295">
        <v>2032</v>
      </c>
      <c r="I295" t="s">
        <v>37</v>
      </c>
      <c r="J295" t="s">
        <v>69</v>
      </c>
      <c r="K295" t="s">
        <v>70</v>
      </c>
      <c r="L295" t="s">
        <v>65</v>
      </c>
      <c r="M295">
        <f>SUMIFS(RawResultsLong!$P:$P,RawResultsLong!$A:$A,A295)</f>
        <v>3.878726132829538E-2</v>
      </c>
      <c r="N295">
        <f t="shared" si="27"/>
        <v>1.229094143036713</v>
      </c>
      <c r="O295" t="s">
        <v>71</v>
      </c>
      <c r="P295">
        <f>SUMIFS(TechnologyMapping!$D:$D,TechnologyMapping!$A:$A,C295)</f>
        <v>1</v>
      </c>
      <c r="Q295">
        <f t="shared" si="28"/>
        <v>1.229094143036713</v>
      </c>
      <c r="R295">
        <f>SUMIFS(FactorInputs!$I:$I,FactorInputs!$A:$A,B295)</f>
        <v>6.2228541747400001</v>
      </c>
      <c r="S295" t="str">
        <f>_xlfn.XLOOKUP(B295,FactorInputs!$A$2:$A$888,FactorInputs!$F$2:$F$888,"")</f>
        <v>job-yr/MW</v>
      </c>
      <c r="T295" t="str">
        <f>_xlfn.XLOOKUP(B295,FactorInputs!$A$2:$A$888,FactorInputs!$B$2:$B$888,"")</f>
        <v>JEDI-US</v>
      </c>
      <c r="U295" t="str">
        <f>_xlfn.XLOOKUP(B295,FactorInputs!$A$2:$A$888,FactorInputs!$T$2:$T$888,"")</f>
        <v>JEDI-US</v>
      </c>
      <c r="V295">
        <f t="shared" si="29"/>
        <v>7.6484736191444931</v>
      </c>
      <c r="W295" t="s">
        <v>73</v>
      </c>
    </row>
    <row r="296" spans="1:23" x14ac:dyDescent="0.3">
      <c r="A296" t="str">
        <f t="shared" si="24"/>
        <v>CN|NewCapacity|RE1|PWRWNDONS|2032</v>
      </c>
      <c r="B296" t="str">
        <f t="shared" si="25"/>
        <v>Onshore wind|2032|Construction&amp;Manufacturing|Direct</v>
      </c>
      <c r="C296" t="str">
        <f t="shared" si="26"/>
        <v>PWRWNDONS|Onshore wind</v>
      </c>
      <c r="D296" t="s">
        <v>39</v>
      </c>
      <c r="E296" t="s">
        <v>40</v>
      </c>
      <c r="F296" t="s">
        <v>19</v>
      </c>
      <c r="G296" t="s">
        <v>36</v>
      </c>
      <c r="H296">
        <v>2032</v>
      </c>
      <c r="I296" t="s">
        <v>37</v>
      </c>
      <c r="J296" t="s">
        <v>69</v>
      </c>
      <c r="K296" t="s">
        <v>70</v>
      </c>
      <c r="L296" t="s">
        <v>65</v>
      </c>
      <c r="M296">
        <f>SUMIFS(RawResultsLong!$P:$P,RawResultsLong!$A:$A,A296)</f>
        <v>9.4</v>
      </c>
      <c r="N296">
        <f t="shared" si="27"/>
        <v>297.86802545187214</v>
      </c>
      <c r="O296" t="s">
        <v>68</v>
      </c>
      <c r="P296">
        <f>SUMIFS(TechnologyMapping!$D:$D,TechnologyMapping!$A:$A,C296)</f>
        <v>1</v>
      </c>
      <c r="Q296">
        <f t="shared" si="28"/>
        <v>297.86802545187214</v>
      </c>
      <c r="R296">
        <f>SUMIFS(FactorInputs!$I:$I,FactorInputs!$A:$A,B296)</f>
        <v>6.8411114841799998</v>
      </c>
      <c r="S296" t="str">
        <f>_xlfn.XLOOKUP(B296,FactorInputs!$A$2:$A$888,FactorInputs!$F$2:$F$888,"")</f>
        <v>job-yr/MW</v>
      </c>
      <c r="T296" t="str">
        <f>_xlfn.XLOOKUP(B296,FactorInputs!$A$2:$A$888,FactorInputs!$B$2:$B$888,"")</f>
        <v>I-JEDI</v>
      </c>
      <c r="U296" t="str">
        <f>_xlfn.XLOOKUP(B296,FactorInputs!$A$2:$A$888,FactorInputs!$T$2:$T$888,"")</f>
        <v>I-JEDI</v>
      </c>
      <c r="V296">
        <f t="shared" si="29"/>
        <v>2037.748369688823</v>
      </c>
    </row>
    <row r="297" spans="1:23" x14ac:dyDescent="0.3">
      <c r="A297" t="str">
        <f t="shared" si="24"/>
        <v>CN|AccumulatedNewCapacity|RE1|PWRHYDDAM|2033</v>
      </c>
      <c r="B297" t="str">
        <f t="shared" si="25"/>
        <v>Hydro (large)|2033|O&amp;M|Direct</v>
      </c>
      <c r="C297" t="str">
        <f t="shared" si="26"/>
        <v>PWRHYDDAM|Hydro (large)</v>
      </c>
      <c r="D297" t="s">
        <v>39</v>
      </c>
      <c r="E297" t="s">
        <v>40</v>
      </c>
      <c r="F297" t="s">
        <v>19</v>
      </c>
      <c r="G297" t="s">
        <v>24</v>
      </c>
      <c r="H297">
        <v>2033</v>
      </c>
      <c r="I297" t="s">
        <v>18</v>
      </c>
      <c r="J297" t="s">
        <v>63</v>
      </c>
      <c r="K297" t="s">
        <v>64</v>
      </c>
      <c r="L297" t="s">
        <v>65</v>
      </c>
      <c r="M297">
        <f>SUMIFS(RawResultsLong!$P:$P,RawResultsLong!$A:$A,A297)</f>
        <v>37.840000000000003</v>
      </c>
      <c r="N297">
        <f t="shared" si="27"/>
        <v>1199.0772428828554</v>
      </c>
      <c r="O297" t="s">
        <v>72</v>
      </c>
      <c r="P297">
        <f>SUMIFS(TechnologyMapping!$D:$D,TechnologyMapping!$A:$A,C297)</f>
        <v>1</v>
      </c>
      <c r="Q297">
        <f t="shared" si="28"/>
        <v>1199.0772428828554</v>
      </c>
      <c r="R297">
        <f>SUMIFS(FactorInputs!$I:$I,FactorInputs!$A:$A,B297)</f>
        <v>0.64147377049200005</v>
      </c>
      <c r="S297" t="str">
        <f>_xlfn.XLOOKUP(B297,FactorInputs!$A$2:$A$888,FactorInputs!$F$2:$F$888,"")</f>
        <v>job/MW</v>
      </c>
      <c r="T297" t="str">
        <f>_xlfn.XLOOKUP(B297,FactorInputs!$A$2:$A$888,FactorInputs!$B$2:$B$888,"")</f>
        <v>Rutovitz 2015</v>
      </c>
      <c r="U297" t="str">
        <f>_xlfn.XLOOKUP(B297,FactorInputs!$A$2:$A$888,FactorInputs!$T$2:$T$888,"")</f>
        <v>Rutovitz 2015</v>
      </c>
      <c r="V297">
        <f t="shared" si="29"/>
        <v>769.17660010321697</v>
      </c>
    </row>
    <row r="298" spans="1:23" x14ac:dyDescent="0.3">
      <c r="A298" t="str">
        <f t="shared" si="24"/>
        <v>CN|AccumulatedNewCapacity|RE1|PWRSOLRTP|2033</v>
      </c>
      <c r="B298" t="str">
        <f t="shared" si="25"/>
        <v>Rooftop solar PV|2033|O&amp;M|Direct</v>
      </c>
      <c r="C298" t="str">
        <f t="shared" si="26"/>
        <v>PWRSOLRTP|Rooftop solar PV</v>
      </c>
      <c r="D298" t="s">
        <v>39</v>
      </c>
      <c r="E298" t="s">
        <v>40</v>
      </c>
      <c r="F298" t="s">
        <v>19</v>
      </c>
      <c r="G298" t="s">
        <v>31</v>
      </c>
      <c r="H298">
        <v>2033</v>
      </c>
      <c r="I298" t="s">
        <v>18</v>
      </c>
      <c r="J298" t="s">
        <v>63</v>
      </c>
      <c r="K298" t="s">
        <v>64</v>
      </c>
      <c r="L298" t="s">
        <v>65</v>
      </c>
      <c r="M298">
        <f>SUMIFS(RawResultsLong!$P:$P,RawResultsLong!$A:$A,A298)</f>
        <v>126.8</v>
      </c>
      <c r="N298">
        <f t="shared" si="27"/>
        <v>4018.0495348188706</v>
      </c>
      <c r="O298" t="s">
        <v>71</v>
      </c>
      <c r="P298">
        <f>SUMIFS(TechnologyMapping!$D:$D,TechnologyMapping!$A:$A,C298)</f>
        <v>1</v>
      </c>
      <c r="Q298">
        <f t="shared" si="28"/>
        <v>4018.0495348188706</v>
      </c>
      <c r="R298">
        <f>SUMIFS(FactorInputs!$I:$I,FactorInputs!$A:$A,B298)</f>
        <v>0.251558823529</v>
      </c>
      <c r="S298" t="str">
        <f>_xlfn.XLOOKUP(B298,FactorInputs!$A$2:$A$888,FactorInputs!$F$2:$F$888,"")</f>
        <v>job/MW</v>
      </c>
      <c r="T298" t="str">
        <f>_xlfn.XLOOKUP(B298,FactorInputs!$A$2:$A$888,FactorInputs!$B$2:$B$888,"")</f>
        <v>JEDI-US</v>
      </c>
      <c r="U298" t="str">
        <f>_xlfn.XLOOKUP(B298,FactorInputs!$A$2:$A$888,FactorInputs!$T$2:$T$888,"")</f>
        <v>JEDI-US</v>
      </c>
      <c r="V298">
        <f t="shared" si="29"/>
        <v>1010.7758138602808</v>
      </c>
    </row>
    <row r="299" spans="1:23" x14ac:dyDescent="0.3">
      <c r="A299" t="str">
        <f t="shared" si="24"/>
        <v>CN|AccumulatedNewCapacity|RE1|PWRSOLRTP_ZNI|2033</v>
      </c>
      <c r="B299" t="str">
        <f t="shared" si="25"/>
        <v>Rooftop solar PV|2033|O&amp;M|Direct</v>
      </c>
      <c r="C299" t="str">
        <f t="shared" si="26"/>
        <v>PWRSOLRTP_ZNI|Rooftop solar PV</v>
      </c>
      <c r="D299" t="s">
        <v>39</v>
      </c>
      <c r="E299" t="s">
        <v>40</v>
      </c>
      <c r="F299" t="s">
        <v>19</v>
      </c>
      <c r="G299" t="s">
        <v>32</v>
      </c>
      <c r="H299">
        <v>2033</v>
      </c>
      <c r="I299" t="s">
        <v>18</v>
      </c>
      <c r="J299" t="s">
        <v>63</v>
      </c>
      <c r="K299" t="s">
        <v>64</v>
      </c>
      <c r="L299" t="s">
        <v>65</v>
      </c>
      <c r="M299">
        <f>SUMIFS(RawResultsLong!$P:$P,RawResultsLong!$A:$A,A299)</f>
        <v>0.65090298158580084</v>
      </c>
      <c r="N299">
        <f t="shared" si="27"/>
        <v>20.625870838904124</v>
      </c>
      <c r="O299" t="s">
        <v>71</v>
      </c>
      <c r="P299">
        <f>SUMIFS(TechnologyMapping!$D:$D,TechnologyMapping!$A:$A,C299)</f>
        <v>1</v>
      </c>
      <c r="Q299">
        <f t="shared" si="28"/>
        <v>20.625870838904124</v>
      </c>
      <c r="R299">
        <f>SUMIFS(FactorInputs!$I:$I,FactorInputs!$A:$A,B299)</f>
        <v>0.251558823529</v>
      </c>
      <c r="S299" t="str">
        <f>_xlfn.XLOOKUP(B299,FactorInputs!$A$2:$A$888,FactorInputs!$F$2:$F$888,"")</f>
        <v>job/MW</v>
      </c>
      <c r="T299" t="str">
        <f>_xlfn.XLOOKUP(B299,FactorInputs!$A$2:$A$888,FactorInputs!$B$2:$B$888,"")</f>
        <v>JEDI-US</v>
      </c>
      <c r="U299" t="str">
        <f>_xlfn.XLOOKUP(B299,FactorInputs!$A$2:$A$888,FactorInputs!$T$2:$T$888,"")</f>
        <v>JEDI-US</v>
      </c>
      <c r="V299">
        <f t="shared" si="29"/>
        <v>5.1886198024958299</v>
      </c>
      <c r="W299" t="s">
        <v>73</v>
      </c>
    </row>
    <row r="300" spans="1:23" x14ac:dyDescent="0.3">
      <c r="A300" t="str">
        <f t="shared" si="24"/>
        <v>CN|AccumulatedNewCapacity|RE1|PWRSOLUGE|2033</v>
      </c>
      <c r="B300" t="str">
        <f t="shared" si="25"/>
        <v>Utility-scale solar PV|2033|O&amp;M|Direct</v>
      </c>
      <c r="C300" t="str">
        <f t="shared" si="26"/>
        <v>PWRSOLUGE|Utility-scale solar PV</v>
      </c>
      <c r="D300" t="s">
        <v>39</v>
      </c>
      <c r="E300" t="s">
        <v>40</v>
      </c>
      <c r="F300" t="s">
        <v>19</v>
      </c>
      <c r="G300" t="s">
        <v>33</v>
      </c>
      <c r="H300">
        <v>2033</v>
      </c>
      <c r="I300" t="s">
        <v>18</v>
      </c>
      <c r="J300" t="s">
        <v>63</v>
      </c>
      <c r="K300" t="s">
        <v>64</v>
      </c>
      <c r="L300" t="s">
        <v>65</v>
      </c>
      <c r="M300">
        <f>SUMIFS(RawResultsLong!$P:$P,RawResultsLong!$A:$A,A300)</f>
        <v>143.394192</v>
      </c>
      <c r="N300">
        <f t="shared" si="27"/>
        <v>4543.8877481177278</v>
      </c>
      <c r="O300" t="s">
        <v>66</v>
      </c>
      <c r="P300">
        <f>SUMIFS(TechnologyMapping!$D:$D,TechnologyMapping!$A:$A,C300)</f>
        <v>1</v>
      </c>
      <c r="Q300">
        <f t="shared" si="28"/>
        <v>4543.8877481177278</v>
      </c>
      <c r="R300">
        <f>SUMIFS(FactorInputs!$I:$I,FactorInputs!$A:$A,B300)</f>
        <v>8.0394932432399993E-2</v>
      </c>
      <c r="S300" t="str">
        <f>_xlfn.XLOOKUP(B300,FactorInputs!$A$2:$A$888,FactorInputs!$F$2:$F$888,"")</f>
        <v>job/MW</v>
      </c>
      <c r="T300" t="str">
        <f>_xlfn.XLOOKUP(B300,FactorInputs!$A$2:$A$888,FactorInputs!$B$2:$B$888,"")</f>
        <v>I-JEDI</v>
      </c>
      <c r="U300" t="str">
        <f>_xlfn.XLOOKUP(B300,FactorInputs!$A$2:$A$888,FactorInputs!$T$2:$T$888,"")</f>
        <v>I-JEDI</v>
      </c>
      <c r="V300">
        <f t="shared" si="29"/>
        <v>365.3055484903349</v>
      </c>
    </row>
    <row r="301" spans="1:23" x14ac:dyDescent="0.3">
      <c r="A301" t="str">
        <f t="shared" si="24"/>
        <v>CN|AccumulatedNewCapacity|RE1|PWRSOLUPE|2033</v>
      </c>
      <c r="B301" t="str">
        <f t="shared" si="25"/>
        <v>Utility-scale solar PV|2033|O&amp;M|Direct</v>
      </c>
      <c r="C301" t="str">
        <f t="shared" si="26"/>
        <v>PWRSOLUPE|Utility-scale solar PV</v>
      </c>
      <c r="D301" t="s">
        <v>39</v>
      </c>
      <c r="E301" t="s">
        <v>40</v>
      </c>
      <c r="F301" t="s">
        <v>19</v>
      </c>
      <c r="G301" t="s">
        <v>34</v>
      </c>
      <c r="H301">
        <v>2033</v>
      </c>
      <c r="I301" t="s">
        <v>18</v>
      </c>
      <c r="J301" t="s">
        <v>63</v>
      </c>
      <c r="K301" t="s">
        <v>64</v>
      </c>
      <c r="L301" t="s">
        <v>65</v>
      </c>
      <c r="M301">
        <f>SUMIFS(RawResultsLong!$P:$P,RawResultsLong!$A:$A,A301)</f>
        <v>12.14419823999993</v>
      </c>
      <c r="N301">
        <f t="shared" si="27"/>
        <v>384.82642026009364</v>
      </c>
      <c r="O301" t="s">
        <v>66</v>
      </c>
      <c r="P301">
        <f>SUMIFS(TechnologyMapping!$D:$D,TechnologyMapping!$A:$A,C301)</f>
        <v>1</v>
      </c>
      <c r="Q301">
        <f t="shared" si="28"/>
        <v>384.82642026009364</v>
      </c>
      <c r="R301">
        <f>SUMIFS(FactorInputs!$I:$I,FactorInputs!$A:$A,B301)</f>
        <v>8.0394932432399993E-2</v>
      </c>
      <c r="S301" t="str">
        <f>_xlfn.XLOOKUP(B301,FactorInputs!$A$2:$A$888,FactorInputs!$F$2:$F$888,"")</f>
        <v>job/MW</v>
      </c>
      <c r="T301" t="str">
        <f>_xlfn.XLOOKUP(B301,FactorInputs!$A$2:$A$888,FactorInputs!$B$2:$B$888,"")</f>
        <v>I-JEDI</v>
      </c>
      <c r="U301" t="str">
        <f>_xlfn.XLOOKUP(B301,FactorInputs!$A$2:$A$888,FactorInputs!$T$2:$T$888,"")</f>
        <v>I-JEDI</v>
      </c>
      <c r="V301">
        <f t="shared" si="29"/>
        <v>30.938094055012591</v>
      </c>
      <c r="W301" t="s">
        <v>67</v>
      </c>
    </row>
    <row r="302" spans="1:23" x14ac:dyDescent="0.3">
      <c r="A302" t="str">
        <f t="shared" si="24"/>
        <v>CN|AccumulatedNewCapacity|RE1|PWRWNDONS|2033</v>
      </c>
      <c r="B302" t="str">
        <f t="shared" si="25"/>
        <v>Onshore wind|2033|O&amp;M|Direct</v>
      </c>
      <c r="C302" t="str">
        <f t="shared" si="26"/>
        <v>PWRWNDONS|Onshore wind</v>
      </c>
      <c r="D302" t="s">
        <v>39</v>
      </c>
      <c r="E302" t="s">
        <v>40</v>
      </c>
      <c r="F302" t="s">
        <v>19</v>
      </c>
      <c r="G302" t="s">
        <v>36</v>
      </c>
      <c r="H302">
        <v>2033</v>
      </c>
      <c r="I302" t="s">
        <v>18</v>
      </c>
      <c r="J302" t="s">
        <v>63</v>
      </c>
      <c r="K302" t="s">
        <v>64</v>
      </c>
      <c r="L302" t="s">
        <v>65</v>
      </c>
      <c r="M302">
        <f>SUMIFS(RawResultsLong!$P:$P,RawResultsLong!$A:$A,A302)</f>
        <v>85.189446484435592</v>
      </c>
      <c r="N302">
        <f t="shared" si="27"/>
        <v>2699.4906610273151</v>
      </c>
      <c r="O302" t="s">
        <v>68</v>
      </c>
      <c r="P302">
        <f>SUMIFS(TechnologyMapping!$D:$D,TechnologyMapping!$A:$A,C302)</f>
        <v>1</v>
      </c>
      <c r="Q302">
        <f t="shared" si="28"/>
        <v>2699.4906610273151</v>
      </c>
      <c r="R302">
        <f>SUMIFS(FactorInputs!$I:$I,FactorInputs!$A:$A,B302)</f>
        <v>2.8237226277399999E-2</v>
      </c>
      <c r="S302" t="str">
        <f>_xlfn.XLOOKUP(B302,FactorInputs!$A$2:$A$888,FactorInputs!$F$2:$F$888,"")</f>
        <v>job/MW</v>
      </c>
      <c r="T302" t="str">
        <f>_xlfn.XLOOKUP(B302,FactorInputs!$A$2:$A$888,FactorInputs!$B$2:$B$888,"")</f>
        <v>I-JEDI</v>
      </c>
      <c r="U302" t="str">
        <f>_xlfn.XLOOKUP(B302,FactorInputs!$A$2:$A$888,FactorInputs!$T$2:$T$888,"")</f>
        <v>I-JEDI</v>
      </c>
      <c r="V302">
        <f t="shared" si="29"/>
        <v>76.226128629156392</v>
      </c>
    </row>
    <row r="303" spans="1:23" x14ac:dyDescent="0.3">
      <c r="A303" t="str">
        <f t="shared" si="24"/>
        <v>CN|NewCapacity|RE1|PWRSOLRTP|2033</v>
      </c>
      <c r="B303" t="str">
        <f t="shared" si="25"/>
        <v>Rooftop solar PV|2033|Construction&amp;Manufacturing|Direct</v>
      </c>
      <c r="C303" t="str">
        <f t="shared" si="26"/>
        <v>PWRSOLRTP|Rooftop solar PV</v>
      </c>
      <c r="D303" t="s">
        <v>39</v>
      </c>
      <c r="E303" t="s">
        <v>40</v>
      </c>
      <c r="F303" t="s">
        <v>19</v>
      </c>
      <c r="G303" t="s">
        <v>31</v>
      </c>
      <c r="H303">
        <v>2033</v>
      </c>
      <c r="I303" t="s">
        <v>37</v>
      </c>
      <c r="J303" t="s">
        <v>69</v>
      </c>
      <c r="K303" t="s">
        <v>70</v>
      </c>
      <c r="L303" t="s">
        <v>65</v>
      </c>
      <c r="M303">
        <f>SUMIFS(RawResultsLong!$P:$P,RawResultsLong!$A:$A,A303)</f>
        <v>15.92</v>
      </c>
      <c r="N303">
        <f t="shared" si="27"/>
        <v>504.4743579993409</v>
      </c>
      <c r="O303" t="s">
        <v>71</v>
      </c>
      <c r="P303">
        <f>SUMIFS(TechnologyMapping!$D:$D,TechnologyMapping!$A:$A,C303)</f>
        <v>1</v>
      </c>
      <c r="Q303">
        <f t="shared" si="28"/>
        <v>504.4743579993409</v>
      </c>
      <c r="R303">
        <f>SUMIFS(FactorInputs!$I:$I,FactorInputs!$A:$A,B303)</f>
        <v>6.1171712239499998</v>
      </c>
      <c r="S303" t="str">
        <f>_xlfn.XLOOKUP(B303,FactorInputs!$A$2:$A$888,FactorInputs!$F$2:$F$888,"")</f>
        <v>job-yr/MW</v>
      </c>
      <c r="T303" t="str">
        <f>_xlfn.XLOOKUP(B303,FactorInputs!$A$2:$A$888,FactorInputs!$B$2:$B$888,"")</f>
        <v>JEDI-US</v>
      </c>
      <c r="U303" t="str">
        <f>_xlfn.XLOOKUP(B303,FactorInputs!$A$2:$A$888,FactorInputs!$T$2:$T$888,"")</f>
        <v>JEDI-US</v>
      </c>
      <c r="V303">
        <f t="shared" si="29"/>
        <v>3085.9560259742184</v>
      </c>
    </row>
    <row r="304" spans="1:23" x14ac:dyDescent="0.3">
      <c r="A304" t="str">
        <f t="shared" si="24"/>
        <v>CN|NewCapacity|RE1|PWRSOLRTP_ZNI|2033</v>
      </c>
      <c r="B304" t="str">
        <f t="shared" si="25"/>
        <v>Rooftop solar PV|2033|Construction&amp;Manufacturing|Direct</v>
      </c>
      <c r="C304" t="str">
        <f t="shared" si="26"/>
        <v>PWRSOLRTP_ZNI|Rooftop solar PV</v>
      </c>
      <c r="D304" t="s">
        <v>39</v>
      </c>
      <c r="E304" t="s">
        <v>40</v>
      </c>
      <c r="F304" t="s">
        <v>19</v>
      </c>
      <c r="G304" t="s">
        <v>32</v>
      </c>
      <c r="H304">
        <v>2033</v>
      </c>
      <c r="I304" t="s">
        <v>37</v>
      </c>
      <c r="J304" t="s">
        <v>69</v>
      </c>
      <c r="K304" t="s">
        <v>70</v>
      </c>
      <c r="L304" t="s">
        <v>65</v>
      </c>
      <c r="M304">
        <f>SUMIFS(RawResultsLong!$P:$P,RawResultsLong!$A:$A,A304)</f>
        <v>3.9101391127337522E-2</v>
      </c>
      <c r="N304">
        <f t="shared" si="27"/>
        <v>1.2390483156937637</v>
      </c>
      <c r="O304" t="s">
        <v>71</v>
      </c>
      <c r="P304">
        <f>SUMIFS(TechnologyMapping!$D:$D,TechnologyMapping!$A:$A,C304)</f>
        <v>1</v>
      </c>
      <c r="Q304">
        <f t="shared" si="28"/>
        <v>1.2390483156937637</v>
      </c>
      <c r="R304">
        <f>SUMIFS(FactorInputs!$I:$I,FactorInputs!$A:$A,B304)</f>
        <v>6.1171712239499998</v>
      </c>
      <c r="S304" t="str">
        <f>_xlfn.XLOOKUP(B304,FactorInputs!$A$2:$A$888,FactorInputs!$F$2:$F$888,"")</f>
        <v>job-yr/MW</v>
      </c>
      <c r="T304" t="str">
        <f>_xlfn.XLOOKUP(B304,FactorInputs!$A$2:$A$888,FactorInputs!$B$2:$B$888,"")</f>
        <v>JEDI-US</v>
      </c>
      <c r="U304" t="str">
        <f>_xlfn.XLOOKUP(B304,FactorInputs!$A$2:$A$888,FactorInputs!$T$2:$T$888,"")</f>
        <v>JEDI-US</v>
      </c>
      <c r="V304">
        <f t="shared" si="29"/>
        <v>7.5794707018456062</v>
      </c>
      <c r="W304" t="s">
        <v>73</v>
      </c>
    </row>
    <row r="305" spans="1:23" x14ac:dyDescent="0.3">
      <c r="A305" t="str">
        <f t="shared" si="24"/>
        <v>CN|NewCapacity|RE1|PWRWNDONS|2033</v>
      </c>
      <c r="B305" t="str">
        <f t="shared" si="25"/>
        <v>Onshore wind|2033|Construction&amp;Manufacturing|Direct</v>
      </c>
      <c r="C305" t="str">
        <f t="shared" si="26"/>
        <v>PWRWNDONS|Onshore wind</v>
      </c>
      <c r="D305" t="s">
        <v>39</v>
      </c>
      <c r="E305" t="s">
        <v>40</v>
      </c>
      <c r="F305" t="s">
        <v>19</v>
      </c>
      <c r="G305" t="s">
        <v>36</v>
      </c>
      <c r="H305">
        <v>2033</v>
      </c>
      <c r="I305" t="s">
        <v>37</v>
      </c>
      <c r="J305" t="s">
        <v>69</v>
      </c>
      <c r="K305" t="s">
        <v>70</v>
      </c>
      <c r="L305" t="s">
        <v>65</v>
      </c>
      <c r="M305">
        <f>SUMIFS(RawResultsLong!$P:$P,RawResultsLong!$A:$A,A305)</f>
        <v>9.4</v>
      </c>
      <c r="N305">
        <f t="shared" si="27"/>
        <v>297.86802545187214</v>
      </c>
      <c r="O305" t="s">
        <v>68</v>
      </c>
      <c r="P305">
        <f>SUMIFS(TechnologyMapping!$D:$D,TechnologyMapping!$A:$A,C305)</f>
        <v>1</v>
      </c>
      <c r="Q305">
        <f t="shared" si="28"/>
        <v>297.86802545187214</v>
      </c>
      <c r="R305">
        <f>SUMIFS(FactorInputs!$I:$I,FactorInputs!$A:$A,B305)</f>
        <v>6.8228697359800003</v>
      </c>
      <c r="S305" t="str">
        <f>_xlfn.XLOOKUP(B305,FactorInputs!$A$2:$A$888,FactorInputs!$F$2:$F$888,"")</f>
        <v>job-yr/MW</v>
      </c>
      <c r="T305" t="str">
        <f>_xlfn.XLOOKUP(B305,FactorInputs!$A$2:$A$888,FactorInputs!$B$2:$B$888,"")</f>
        <v>I-JEDI</v>
      </c>
      <c r="U305" t="str">
        <f>_xlfn.XLOOKUP(B305,FactorInputs!$A$2:$A$888,FactorInputs!$T$2:$T$888,"")</f>
        <v>I-JEDI</v>
      </c>
      <c r="V305">
        <f t="shared" si="29"/>
        <v>2032.314736171699</v>
      </c>
    </row>
    <row r="306" spans="1:23" x14ac:dyDescent="0.3">
      <c r="A306" t="str">
        <f t="shared" si="24"/>
        <v>CN|AccumulatedNewCapacity|RE1|PWRHYDDAM|2034</v>
      </c>
      <c r="B306" t="str">
        <f t="shared" si="25"/>
        <v>Hydro (large)|2034|O&amp;M|Direct</v>
      </c>
      <c r="C306" t="str">
        <f t="shared" si="26"/>
        <v>PWRHYDDAM|Hydro (large)</v>
      </c>
      <c r="D306" t="s">
        <v>39</v>
      </c>
      <c r="E306" t="s">
        <v>40</v>
      </c>
      <c r="F306" t="s">
        <v>19</v>
      </c>
      <c r="G306" t="s">
        <v>24</v>
      </c>
      <c r="H306">
        <v>2034</v>
      </c>
      <c r="I306" t="s">
        <v>18</v>
      </c>
      <c r="J306" t="s">
        <v>63</v>
      </c>
      <c r="K306" t="s">
        <v>64</v>
      </c>
      <c r="L306" t="s">
        <v>65</v>
      </c>
      <c r="M306">
        <f>SUMIFS(RawResultsLong!$P:$P,RawResultsLong!$A:$A,A306)</f>
        <v>37.840000000000003</v>
      </c>
      <c r="N306">
        <f t="shared" si="27"/>
        <v>1199.0772428828554</v>
      </c>
      <c r="O306" t="s">
        <v>72</v>
      </c>
      <c r="P306">
        <f>SUMIFS(TechnologyMapping!$D:$D,TechnologyMapping!$A:$A,C306)</f>
        <v>1</v>
      </c>
      <c r="Q306">
        <f t="shared" si="28"/>
        <v>1199.0772428828554</v>
      </c>
      <c r="R306">
        <f>SUMIFS(FactorInputs!$I:$I,FactorInputs!$A:$A,B306)</f>
        <v>0.64129836065599999</v>
      </c>
      <c r="S306" t="str">
        <f>_xlfn.XLOOKUP(B306,FactorInputs!$A$2:$A$888,FactorInputs!$F$2:$F$888,"")</f>
        <v>job/MW</v>
      </c>
      <c r="T306" t="str">
        <f>_xlfn.XLOOKUP(B306,FactorInputs!$A$2:$A$888,FactorInputs!$B$2:$B$888,"")</f>
        <v>Rutovitz 2015</v>
      </c>
      <c r="U306" t="str">
        <f>_xlfn.XLOOKUP(B306,FactorInputs!$A$2:$A$888,FactorInputs!$T$2:$T$888,"")</f>
        <v>Rutovitz 2015</v>
      </c>
      <c r="V306">
        <f t="shared" si="29"/>
        <v>768.96627016069158</v>
      </c>
    </row>
    <row r="307" spans="1:23" x14ac:dyDescent="0.3">
      <c r="A307" t="str">
        <f t="shared" si="24"/>
        <v>CN|AccumulatedNewCapacity|RE1|PWRSOLRTP|2034</v>
      </c>
      <c r="B307" t="str">
        <f t="shared" si="25"/>
        <v>Rooftop solar PV|2034|O&amp;M|Direct</v>
      </c>
      <c r="C307" t="str">
        <f t="shared" si="26"/>
        <v>PWRSOLRTP|Rooftop solar PV</v>
      </c>
      <c r="D307" t="s">
        <v>39</v>
      </c>
      <c r="E307" t="s">
        <v>40</v>
      </c>
      <c r="F307" t="s">
        <v>19</v>
      </c>
      <c r="G307" t="s">
        <v>31</v>
      </c>
      <c r="H307">
        <v>2034</v>
      </c>
      <c r="I307" t="s">
        <v>18</v>
      </c>
      <c r="J307" t="s">
        <v>63</v>
      </c>
      <c r="K307" t="s">
        <v>64</v>
      </c>
      <c r="L307" t="s">
        <v>65</v>
      </c>
      <c r="M307">
        <f>SUMIFS(RawResultsLong!$P:$P,RawResultsLong!$A:$A,A307)</f>
        <v>140.15</v>
      </c>
      <c r="N307">
        <f t="shared" si="27"/>
        <v>4441.0855071361575</v>
      </c>
      <c r="O307" t="s">
        <v>71</v>
      </c>
      <c r="P307">
        <f>SUMIFS(TechnologyMapping!$D:$D,TechnologyMapping!$A:$A,C307)</f>
        <v>1</v>
      </c>
      <c r="Q307">
        <f t="shared" si="28"/>
        <v>4441.0855071361575</v>
      </c>
      <c r="R307">
        <f>SUMIFS(FactorInputs!$I:$I,FactorInputs!$A:$A,B307)</f>
        <v>0.24952941176499999</v>
      </c>
      <c r="S307" t="str">
        <f>_xlfn.XLOOKUP(B307,FactorInputs!$A$2:$A$888,FactorInputs!$F$2:$F$888,"")</f>
        <v>job/MW</v>
      </c>
      <c r="T307" t="str">
        <f>_xlfn.XLOOKUP(B307,FactorInputs!$A$2:$A$888,FactorInputs!$B$2:$B$888,"")</f>
        <v>JEDI-US</v>
      </c>
      <c r="U307" t="str">
        <f>_xlfn.XLOOKUP(B307,FactorInputs!$A$2:$A$888,FactorInputs!$T$2:$T$888,"")</f>
        <v>JEDI-US</v>
      </c>
      <c r="V307">
        <f t="shared" si="29"/>
        <v>1108.181454193752</v>
      </c>
    </row>
    <row r="308" spans="1:23" x14ac:dyDescent="0.3">
      <c r="A308" t="str">
        <f t="shared" si="24"/>
        <v>CN|AccumulatedNewCapacity|RE1|PWRSOLRTP_ZNI|2034</v>
      </c>
      <c r="B308" t="str">
        <f t="shared" si="25"/>
        <v>Rooftop solar PV|2034|O&amp;M|Direct</v>
      </c>
      <c r="C308" t="str">
        <f t="shared" si="26"/>
        <v>PWRSOLRTP_ZNI|Rooftop solar PV</v>
      </c>
      <c r="D308" t="s">
        <v>39</v>
      </c>
      <c r="E308" t="s">
        <v>40</v>
      </c>
      <c r="F308" t="s">
        <v>19</v>
      </c>
      <c r="G308" t="s">
        <v>32</v>
      </c>
      <c r="H308">
        <v>2034</v>
      </c>
      <c r="I308" t="s">
        <v>18</v>
      </c>
      <c r="J308" t="s">
        <v>63</v>
      </c>
      <c r="K308" t="s">
        <v>64</v>
      </c>
      <c r="L308" t="s">
        <v>65</v>
      </c>
      <c r="M308">
        <f>SUMIFS(RawResultsLong!$P:$P,RawResultsLong!$A:$A,A308)</f>
        <v>0.69024263684958787</v>
      </c>
      <c r="N308">
        <f t="shared" si="27"/>
        <v>21.872469289476633</v>
      </c>
      <c r="O308" t="s">
        <v>71</v>
      </c>
      <c r="P308">
        <f>SUMIFS(TechnologyMapping!$D:$D,TechnologyMapping!$A:$A,C308)</f>
        <v>1</v>
      </c>
      <c r="Q308">
        <f t="shared" si="28"/>
        <v>21.872469289476633</v>
      </c>
      <c r="R308">
        <f>SUMIFS(FactorInputs!$I:$I,FactorInputs!$A:$A,B308)</f>
        <v>0.24952941176499999</v>
      </c>
      <c r="S308" t="str">
        <f>_xlfn.XLOOKUP(B308,FactorInputs!$A$2:$A$888,FactorInputs!$F$2:$F$888,"")</f>
        <v>job/MW</v>
      </c>
      <c r="T308" t="str">
        <f>_xlfn.XLOOKUP(B308,FactorInputs!$A$2:$A$888,FactorInputs!$B$2:$B$888,"")</f>
        <v>JEDI-US</v>
      </c>
      <c r="U308" t="str">
        <f>_xlfn.XLOOKUP(B308,FactorInputs!$A$2:$A$888,FactorInputs!$T$2:$T$888,"")</f>
        <v>JEDI-US</v>
      </c>
      <c r="V308">
        <f t="shared" si="29"/>
        <v>5.4578243956511319</v>
      </c>
      <c r="W308" t="s">
        <v>73</v>
      </c>
    </row>
    <row r="309" spans="1:23" x14ac:dyDescent="0.3">
      <c r="A309" t="str">
        <f t="shared" si="24"/>
        <v>CN|AccumulatedNewCapacity|RE1|PWRSOLUGE|2034</v>
      </c>
      <c r="B309" t="str">
        <f t="shared" si="25"/>
        <v>Utility-scale solar PV|2034|O&amp;M|Direct</v>
      </c>
      <c r="C309" t="str">
        <f t="shared" si="26"/>
        <v>PWRSOLUGE|Utility-scale solar PV</v>
      </c>
      <c r="D309" t="s">
        <v>39</v>
      </c>
      <c r="E309" t="s">
        <v>40</v>
      </c>
      <c r="F309" t="s">
        <v>19</v>
      </c>
      <c r="G309" t="s">
        <v>33</v>
      </c>
      <c r="H309">
        <v>2034</v>
      </c>
      <c r="I309" t="s">
        <v>18</v>
      </c>
      <c r="J309" t="s">
        <v>63</v>
      </c>
      <c r="K309" t="s">
        <v>64</v>
      </c>
      <c r="L309" t="s">
        <v>65</v>
      </c>
      <c r="M309">
        <f>SUMIFS(RawResultsLong!$P:$P,RawResultsLong!$A:$A,A309)</f>
        <v>143.394192</v>
      </c>
      <c r="N309">
        <f t="shared" si="27"/>
        <v>4543.8877481177278</v>
      </c>
      <c r="O309" t="s">
        <v>66</v>
      </c>
      <c r="P309">
        <f>SUMIFS(TechnologyMapping!$D:$D,TechnologyMapping!$A:$A,C309)</f>
        <v>1</v>
      </c>
      <c r="Q309">
        <f t="shared" si="28"/>
        <v>4543.8877481177278</v>
      </c>
      <c r="R309">
        <f>SUMIFS(FactorInputs!$I:$I,FactorInputs!$A:$A,B309)</f>
        <v>7.9808108108100004E-2</v>
      </c>
      <c r="S309" t="str">
        <f>_xlfn.XLOOKUP(B309,FactorInputs!$A$2:$A$888,FactorInputs!$F$2:$F$888,"")</f>
        <v>job/MW</v>
      </c>
      <c r="T309" t="str">
        <f>_xlfn.XLOOKUP(B309,FactorInputs!$A$2:$A$888,FactorInputs!$B$2:$B$888,"")</f>
        <v>I-JEDI</v>
      </c>
      <c r="U309" t="str">
        <f>_xlfn.XLOOKUP(B309,FactorInputs!$A$2:$A$888,FactorInputs!$T$2:$T$888,"")</f>
        <v>I-JEDI</v>
      </c>
      <c r="V309">
        <f t="shared" si="29"/>
        <v>362.63908463285071</v>
      </c>
    </row>
    <row r="310" spans="1:23" x14ac:dyDescent="0.3">
      <c r="A310" t="str">
        <f t="shared" si="24"/>
        <v>CN|AccumulatedNewCapacity|RE1|PWRSOLUPE|2034</v>
      </c>
      <c r="B310" t="str">
        <f t="shared" si="25"/>
        <v>Utility-scale solar PV|2034|O&amp;M|Direct</v>
      </c>
      <c r="C310" t="str">
        <f t="shared" si="26"/>
        <v>PWRSOLUPE|Utility-scale solar PV</v>
      </c>
      <c r="D310" t="s">
        <v>39</v>
      </c>
      <c r="E310" t="s">
        <v>40</v>
      </c>
      <c r="F310" t="s">
        <v>19</v>
      </c>
      <c r="G310" t="s">
        <v>34</v>
      </c>
      <c r="H310">
        <v>2034</v>
      </c>
      <c r="I310" t="s">
        <v>18</v>
      </c>
      <c r="J310" t="s">
        <v>63</v>
      </c>
      <c r="K310" t="s">
        <v>64</v>
      </c>
      <c r="L310" t="s">
        <v>65</v>
      </c>
      <c r="M310">
        <f>SUMIFS(RawResultsLong!$P:$P,RawResultsLong!$A:$A,A310)</f>
        <v>12.14419823999993</v>
      </c>
      <c r="N310">
        <f t="shared" si="27"/>
        <v>384.82642026009364</v>
      </c>
      <c r="O310" t="s">
        <v>66</v>
      </c>
      <c r="P310">
        <f>SUMIFS(TechnologyMapping!$D:$D,TechnologyMapping!$A:$A,C310)</f>
        <v>1</v>
      </c>
      <c r="Q310">
        <f t="shared" si="28"/>
        <v>384.82642026009364</v>
      </c>
      <c r="R310">
        <f>SUMIFS(FactorInputs!$I:$I,FactorInputs!$A:$A,B310)</f>
        <v>7.9808108108100004E-2</v>
      </c>
      <c r="S310" t="str">
        <f>_xlfn.XLOOKUP(B310,FactorInputs!$A$2:$A$888,FactorInputs!$F$2:$F$888,"")</f>
        <v>job/MW</v>
      </c>
      <c r="T310" t="str">
        <f>_xlfn.XLOOKUP(B310,FactorInputs!$A$2:$A$888,FactorInputs!$B$2:$B$888,"")</f>
        <v>I-JEDI</v>
      </c>
      <c r="U310" t="str">
        <f>_xlfn.XLOOKUP(B310,FactorInputs!$A$2:$A$888,FactorInputs!$T$2:$T$888,"")</f>
        <v>I-JEDI</v>
      </c>
      <c r="V310">
        <f t="shared" si="29"/>
        <v>30.712268550970681</v>
      </c>
      <c r="W310" t="s">
        <v>67</v>
      </c>
    </row>
    <row r="311" spans="1:23" x14ac:dyDescent="0.3">
      <c r="A311" t="str">
        <f t="shared" si="24"/>
        <v>CN|AccumulatedNewCapacity|RE1|PWRWNDONS|2034</v>
      </c>
      <c r="B311" t="str">
        <f t="shared" si="25"/>
        <v>Onshore wind|2034|O&amp;M|Direct</v>
      </c>
      <c r="C311" t="str">
        <f t="shared" si="26"/>
        <v>PWRWNDONS|Onshore wind</v>
      </c>
      <c r="D311" t="s">
        <v>39</v>
      </c>
      <c r="E311" t="s">
        <v>40</v>
      </c>
      <c r="F311" t="s">
        <v>19</v>
      </c>
      <c r="G311" t="s">
        <v>36</v>
      </c>
      <c r="H311">
        <v>2034</v>
      </c>
      <c r="I311" t="s">
        <v>18</v>
      </c>
      <c r="J311" t="s">
        <v>63</v>
      </c>
      <c r="K311" t="s">
        <v>64</v>
      </c>
      <c r="L311" t="s">
        <v>65</v>
      </c>
      <c r="M311">
        <f>SUMIFS(RawResultsLong!$P:$P,RawResultsLong!$A:$A,A311)</f>
        <v>94.589446484435598</v>
      </c>
      <c r="N311">
        <f t="shared" si="27"/>
        <v>2997.3586864791869</v>
      </c>
      <c r="O311" t="s">
        <v>68</v>
      </c>
      <c r="P311">
        <f>SUMIFS(TechnologyMapping!$D:$D,TechnologyMapping!$A:$A,C311)</f>
        <v>1</v>
      </c>
      <c r="Q311">
        <f t="shared" si="28"/>
        <v>2997.3586864791869</v>
      </c>
      <c r="R311">
        <f>SUMIFS(FactorInputs!$I:$I,FactorInputs!$A:$A,B311)</f>
        <v>2.8160583941599999E-2</v>
      </c>
      <c r="S311" t="str">
        <f>_xlfn.XLOOKUP(B311,FactorInputs!$A$2:$A$888,FactorInputs!$F$2:$F$888,"")</f>
        <v>job/MW</v>
      </c>
      <c r="T311" t="str">
        <f>_xlfn.XLOOKUP(B311,FactorInputs!$A$2:$A$888,FactorInputs!$B$2:$B$888,"")</f>
        <v>I-JEDI</v>
      </c>
      <c r="U311" t="str">
        <f>_xlfn.XLOOKUP(B311,FactorInputs!$A$2:$A$888,FactorInputs!$T$2:$T$888,"")</f>
        <v>I-JEDI</v>
      </c>
      <c r="V311">
        <f t="shared" si="29"/>
        <v>84.407370893681062</v>
      </c>
    </row>
    <row r="312" spans="1:23" x14ac:dyDescent="0.3">
      <c r="A312" t="str">
        <f t="shared" si="24"/>
        <v>CN|NewCapacity|RE1|PWRSOLRTP|2034</v>
      </c>
      <c r="B312" t="str">
        <f t="shared" si="25"/>
        <v>Rooftop solar PV|2034|Construction&amp;Manufacturing|Direct</v>
      </c>
      <c r="C312" t="str">
        <f t="shared" si="26"/>
        <v>PWRSOLRTP|Rooftop solar PV</v>
      </c>
      <c r="D312" t="s">
        <v>39</v>
      </c>
      <c r="E312" t="s">
        <v>40</v>
      </c>
      <c r="F312" t="s">
        <v>19</v>
      </c>
      <c r="G312" t="s">
        <v>31</v>
      </c>
      <c r="H312">
        <v>2034</v>
      </c>
      <c r="I312" t="s">
        <v>37</v>
      </c>
      <c r="J312" t="s">
        <v>69</v>
      </c>
      <c r="K312" t="s">
        <v>70</v>
      </c>
      <c r="L312" t="s">
        <v>65</v>
      </c>
      <c r="M312">
        <f>SUMIFS(RawResultsLong!$P:$P,RawResultsLong!$A:$A,A312)</f>
        <v>13.35</v>
      </c>
      <c r="N312">
        <f t="shared" si="27"/>
        <v>423.03597231728645</v>
      </c>
      <c r="O312" t="s">
        <v>71</v>
      </c>
      <c r="P312">
        <f>SUMIFS(TechnologyMapping!$D:$D,TechnologyMapping!$A:$A,C312)</f>
        <v>1</v>
      </c>
      <c r="Q312">
        <f t="shared" si="28"/>
        <v>423.03597231728645</v>
      </c>
      <c r="R312">
        <f>SUMIFS(FactorInputs!$I:$I,FactorInputs!$A:$A,B312)</f>
        <v>6.0114882731600003</v>
      </c>
      <c r="S312" t="str">
        <f>_xlfn.XLOOKUP(B312,FactorInputs!$A$2:$A$888,FactorInputs!$F$2:$F$888,"")</f>
        <v>job-yr/MW</v>
      </c>
      <c r="T312" t="str">
        <f>_xlfn.XLOOKUP(B312,FactorInputs!$A$2:$A$888,FactorInputs!$B$2:$B$888,"")</f>
        <v>JEDI-US</v>
      </c>
      <c r="U312" t="str">
        <f>_xlfn.XLOOKUP(B312,FactorInputs!$A$2:$A$888,FactorInputs!$T$2:$T$888,"")</f>
        <v>JEDI-US</v>
      </c>
      <c r="V312">
        <f t="shared" si="29"/>
        <v>2543.0757867102061</v>
      </c>
    </row>
    <row r="313" spans="1:23" x14ac:dyDescent="0.3">
      <c r="A313" t="str">
        <f t="shared" si="24"/>
        <v>CN|NewCapacity|RE1|PWRSOLRTP_ZNI|2034</v>
      </c>
      <c r="B313" t="str">
        <f t="shared" si="25"/>
        <v>Rooftop solar PV|2034|Construction&amp;Manufacturing|Direct</v>
      </c>
      <c r="C313" t="str">
        <f t="shared" si="26"/>
        <v>PWRSOLRTP_ZNI|Rooftop solar PV</v>
      </c>
      <c r="D313" t="s">
        <v>39</v>
      </c>
      <c r="E313" t="s">
        <v>40</v>
      </c>
      <c r="F313" t="s">
        <v>19</v>
      </c>
      <c r="G313" t="s">
        <v>32</v>
      </c>
      <c r="H313">
        <v>2034</v>
      </c>
      <c r="I313" t="s">
        <v>37</v>
      </c>
      <c r="J313" t="s">
        <v>69</v>
      </c>
      <c r="K313" t="s">
        <v>70</v>
      </c>
      <c r="L313" t="s">
        <v>65</v>
      </c>
      <c r="M313">
        <f>SUMIFS(RawResultsLong!$P:$P,RawResultsLong!$A:$A,A313)</f>
        <v>3.9339655263787021E-2</v>
      </c>
      <c r="N313">
        <f t="shared" si="27"/>
        <v>1.2465984505725094</v>
      </c>
      <c r="O313" t="s">
        <v>71</v>
      </c>
      <c r="P313">
        <f>SUMIFS(TechnologyMapping!$D:$D,TechnologyMapping!$A:$A,C313)</f>
        <v>1</v>
      </c>
      <c r="Q313">
        <f t="shared" si="28"/>
        <v>1.2465984505725094</v>
      </c>
      <c r="R313">
        <f>SUMIFS(FactorInputs!$I:$I,FactorInputs!$A:$A,B313)</f>
        <v>6.0114882731600003</v>
      </c>
      <c r="S313" t="str">
        <f>_xlfn.XLOOKUP(B313,FactorInputs!$A$2:$A$888,FactorInputs!$F$2:$F$888,"")</f>
        <v>job-yr/MW</v>
      </c>
      <c r="T313" t="str">
        <f>_xlfn.XLOOKUP(B313,FactorInputs!$A$2:$A$888,FactorInputs!$B$2:$B$888,"")</f>
        <v>JEDI-US</v>
      </c>
      <c r="U313" t="str">
        <f>_xlfn.XLOOKUP(B313,FactorInputs!$A$2:$A$888,FactorInputs!$T$2:$T$888,"")</f>
        <v>JEDI-US</v>
      </c>
      <c r="V313">
        <f t="shared" si="29"/>
        <v>7.493911966956067</v>
      </c>
      <c r="W313" t="s">
        <v>73</v>
      </c>
    </row>
    <row r="314" spans="1:23" x14ac:dyDescent="0.3">
      <c r="A314" t="str">
        <f t="shared" si="24"/>
        <v>CN|NewCapacity|RE1|PWRWNDONS|2034</v>
      </c>
      <c r="B314" t="str">
        <f t="shared" si="25"/>
        <v>Onshore wind|2034|Construction&amp;Manufacturing|Direct</v>
      </c>
      <c r="C314" t="str">
        <f t="shared" si="26"/>
        <v>PWRWNDONS|Onshore wind</v>
      </c>
      <c r="D314" t="s">
        <v>39</v>
      </c>
      <c r="E314" t="s">
        <v>40</v>
      </c>
      <c r="F314" t="s">
        <v>19</v>
      </c>
      <c r="G314" t="s">
        <v>36</v>
      </c>
      <c r="H314">
        <v>2034</v>
      </c>
      <c r="I314" t="s">
        <v>37</v>
      </c>
      <c r="J314" t="s">
        <v>69</v>
      </c>
      <c r="K314" t="s">
        <v>70</v>
      </c>
      <c r="L314" t="s">
        <v>65</v>
      </c>
      <c r="M314">
        <f>SUMIFS(RawResultsLong!$P:$P,RawResultsLong!$A:$A,A314)</f>
        <v>9.4</v>
      </c>
      <c r="N314">
        <f t="shared" si="27"/>
        <v>297.86802545187214</v>
      </c>
      <c r="O314" t="s">
        <v>68</v>
      </c>
      <c r="P314">
        <f>SUMIFS(TechnologyMapping!$D:$D,TechnologyMapping!$A:$A,C314)</f>
        <v>1</v>
      </c>
      <c r="Q314">
        <f t="shared" si="28"/>
        <v>297.86802545187214</v>
      </c>
      <c r="R314">
        <f>SUMIFS(FactorInputs!$I:$I,FactorInputs!$A:$A,B314)</f>
        <v>6.80462798778</v>
      </c>
      <c r="S314" t="str">
        <f>_xlfn.XLOOKUP(B314,FactorInputs!$A$2:$A$888,FactorInputs!$F$2:$F$888,"")</f>
        <v>job-yr/MW</v>
      </c>
      <c r="T314" t="str">
        <f>_xlfn.XLOOKUP(B314,FactorInputs!$A$2:$A$888,FactorInputs!$B$2:$B$888,"")</f>
        <v>I-JEDI</v>
      </c>
      <c r="U314" t="str">
        <f>_xlfn.XLOOKUP(B314,FactorInputs!$A$2:$A$888,FactorInputs!$T$2:$T$888,"")</f>
        <v>I-JEDI</v>
      </c>
      <c r="V314">
        <f t="shared" si="29"/>
        <v>2026.8811026545745</v>
      </c>
    </row>
    <row r="315" spans="1:23" x14ac:dyDescent="0.3">
      <c r="A315" t="str">
        <f t="shared" si="24"/>
        <v>CN|AccumulatedNewCapacity|RE1|PWRHYDDAM|2035</v>
      </c>
      <c r="B315" t="str">
        <f t="shared" si="25"/>
        <v>Hydro (large)|2035|O&amp;M|Direct</v>
      </c>
      <c r="C315" t="str">
        <f t="shared" si="26"/>
        <v>PWRHYDDAM|Hydro (large)</v>
      </c>
      <c r="D315" t="s">
        <v>39</v>
      </c>
      <c r="E315" t="s">
        <v>40</v>
      </c>
      <c r="F315" t="s">
        <v>19</v>
      </c>
      <c r="G315" t="s">
        <v>24</v>
      </c>
      <c r="H315">
        <v>2035</v>
      </c>
      <c r="I315" t="s">
        <v>18</v>
      </c>
      <c r="J315" t="s">
        <v>63</v>
      </c>
      <c r="K315" t="s">
        <v>64</v>
      </c>
      <c r="L315" t="s">
        <v>65</v>
      </c>
      <c r="M315">
        <f>SUMIFS(RawResultsLong!$P:$P,RawResultsLong!$A:$A,A315)</f>
        <v>37.840000000000003</v>
      </c>
      <c r="N315">
        <f t="shared" si="27"/>
        <v>1199.0772428828554</v>
      </c>
      <c r="O315" t="s">
        <v>72</v>
      </c>
      <c r="P315">
        <f>SUMIFS(TechnologyMapping!$D:$D,TechnologyMapping!$A:$A,C315)</f>
        <v>1</v>
      </c>
      <c r="Q315">
        <f t="shared" si="28"/>
        <v>1199.0772428828554</v>
      </c>
      <c r="R315">
        <f>SUMIFS(FactorInputs!$I:$I,FactorInputs!$A:$A,B315)</f>
        <v>0.64112295082000004</v>
      </c>
      <c r="S315" t="str">
        <f>_xlfn.XLOOKUP(B315,FactorInputs!$A$2:$A$888,FactorInputs!$F$2:$F$888,"")</f>
        <v>job/MW</v>
      </c>
      <c r="T315" t="str">
        <f>_xlfn.XLOOKUP(B315,FactorInputs!$A$2:$A$888,FactorInputs!$B$2:$B$888,"")</f>
        <v>Rutovitz 2015</v>
      </c>
      <c r="U315" t="str">
        <f>_xlfn.XLOOKUP(B315,FactorInputs!$A$2:$A$888,FactorInputs!$T$2:$T$888,"")</f>
        <v>Rutovitz 2015</v>
      </c>
      <c r="V315">
        <f t="shared" si="29"/>
        <v>768.75594021816619</v>
      </c>
    </row>
    <row r="316" spans="1:23" x14ac:dyDescent="0.3">
      <c r="A316" t="str">
        <f t="shared" si="24"/>
        <v>CN|AccumulatedNewCapacity|RE1|PWRSOLRTP|2035</v>
      </c>
      <c r="B316" t="str">
        <f t="shared" si="25"/>
        <v>Rooftop solar PV|2035|O&amp;M|Direct</v>
      </c>
      <c r="C316" t="str">
        <f t="shared" si="26"/>
        <v>PWRSOLRTP|Rooftop solar PV</v>
      </c>
      <c r="D316" t="s">
        <v>39</v>
      </c>
      <c r="E316" t="s">
        <v>40</v>
      </c>
      <c r="F316" t="s">
        <v>19</v>
      </c>
      <c r="G316" t="s">
        <v>31</v>
      </c>
      <c r="H316">
        <v>2035</v>
      </c>
      <c r="I316" t="s">
        <v>18</v>
      </c>
      <c r="J316" t="s">
        <v>63</v>
      </c>
      <c r="K316" t="s">
        <v>64</v>
      </c>
      <c r="L316" t="s">
        <v>65</v>
      </c>
      <c r="M316">
        <f>SUMIFS(RawResultsLong!$P:$P,RawResultsLong!$A:$A,A316)</f>
        <v>151.94</v>
      </c>
      <c r="N316">
        <f t="shared" si="27"/>
        <v>4814.6880624635587</v>
      </c>
      <c r="O316" t="s">
        <v>71</v>
      </c>
      <c r="P316">
        <f>SUMIFS(TechnologyMapping!$D:$D,TechnologyMapping!$A:$A,C316)</f>
        <v>1</v>
      </c>
      <c r="Q316">
        <f t="shared" si="28"/>
        <v>4814.6880624635587</v>
      </c>
      <c r="R316">
        <f>SUMIFS(FactorInputs!$I:$I,FactorInputs!$A:$A,B316)</f>
        <v>0.2475</v>
      </c>
      <c r="S316" t="str">
        <f>_xlfn.XLOOKUP(B316,FactorInputs!$A$2:$A$888,FactorInputs!$F$2:$F$888,"")</f>
        <v>job/MW</v>
      </c>
      <c r="T316" t="str">
        <f>_xlfn.XLOOKUP(B316,FactorInputs!$A$2:$A$888,FactorInputs!$B$2:$B$888,"")</f>
        <v>JEDI-US</v>
      </c>
      <c r="U316" t="str">
        <f>_xlfn.XLOOKUP(B316,FactorInputs!$A$2:$A$888,FactorInputs!$T$2:$T$888,"")</f>
        <v>JEDI-US</v>
      </c>
      <c r="V316">
        <f t="shared" si="29"/>
        <v>1191.6352954597307</v>
      </c>
    </row>
    <row r="317" spans="1:23" x14ac:dyDescent="0.3">
      <c r="A317" t="str">
        <f t="shared" si="24"/>
        <v>CN|AccumulatedNewCapacity|RE1|PWRSOLRTP_ZNI|2035</v>
      </c>
      <c r="B317" t="str">
        <f t="shared" si="25"/>
        <v>Rooftop solar PV|2035|O&amp;M|Direct</v>
      </c>
      <c r="C317" t="str">
        <f t="shared" si="26"/>
        <v>PWRSOLRTP_ZNI|Rooftop solar PV</v>
      </c>
      <c r="D317" t="s">
        <v>39</v>
      </c>
      <c r="E317" t="s">
        <v>40</v>
      </c>
      <c r="F317" t="s">
        <v>19</v>
      </c>
      <c r="G317" t="s">
        <v>32</v>
      </c>
      <c r="H317">
        <v>2035</v>
      </c>
      <c r="I317" t="s">
        <v>18</v>
      </c>
      <c r="J317" t="s">
        <v>63</v>
      </c>
      <c r="K317" t="s">
        <v>64</v>
      </c>
      <c r="L317" t="s">
        <v>65</v>
      </c>
      <c r="M317">
        <f>SUMIFS(RawResultsLong!$P:$P,RawResultsLong!$A:$A,A317)</f>
        <v>0.72992806437895164</v>
      </c>
      <c r="N317">
        <f t="shared" si="27"/>
        <v>23.130024601964394</v>
      </c>
      <c r="O317" t="s">
        <v>71</v>
      </c>
      <c r="P317">
        <f>SUMIFS(TechnologyMapping!$D:$D,TechnologyMapping!$A:$A,C317)</f>
        <v>1</v>
      </c>
      <c r="Q317">
        <f t="shared" si="28"/>
        <v>23.130024601964394</v>
      </c>
      <c r="R317">
        <f>SUMIFS(FactorInputs!$I:$I,FactorInputs!$A:$A,B317)</f>
        <v>0.2475</v>
      </c>
      <c r="S317" t="str">
        <f>_xlfn.XLOOKUP(B317,FactorInputs!$A$2:$A$888,FactorInputs!$F$2:$F$888,"")</f>
        <v>job/MW</v>
      </c>
      <c r="T317" t="str">
        <f>_xlfn.XLOOKUP(B317,FactorInputs!$A$2:$A$888,FactorInputs!$B$2:$B$888,"")</f>
        <v>JEDI-US</v>
      </c>
      <c r="U317" t="str">
        <f>_xlfn.XLOOKUP(B317,FactorInputs!$A$2:$A$888,FactorInputs!$T$2:$T$888,"")</f>
        <v>JEDI-US</v>
      </c>
      <c r="V317">
        <f t="shared" si="29"/>
        <v>5.7246810889861877</v>
      </c>
      <c r="W317" t="s">
        <v>73</v>
      </c>
    </row>
    <row r="318" spans="1:23" x14ac:dyDescent="0.3">
      <c r="A318" t="str">
        <f t="shared" si="24"/>
        <v>CN|AccumulatedNewCapacity|RE1|PWRSOLUGE|2035</v>
      </c>
      <c r="B318" t="str">
        <f t="shared" si="25"/>
        <v>Utility-scale solar PV|2035|O&amp;M|Direct</v>
      </c>
      <c r="C318" t="str">
        <f t="shared" si="26"/>
        <v>PWRSOLUGE|Utility-scale solar PV</v>
      </c>
      <c r="D318" t="s">
        <v>39</v>
      </c>
      <c r="E318" t="s">
        <v>40</v>
      </c>
      <c r="F318" t="s">
        <v>19</v>
      </c>
      <c r="G318" t="s">
        <v>33</v>
      </c>
      <c r="H318">
        <v>2035</v>
      </c>
      <c r="I318" t="s">
        <v>18</v>
      </c>
      <c r="J318" t="s">
        <v>63</v>
      </c>
      <c r="K318" t="s">
        <v>64</v>
      </c>
      <c r="L318" t="s">
        <v>65</v>
      </c>
      <c r="M318">
        <f>SUMIFS(RawResultsLong!$P:$P,RawResultsLong!$A:$A,A318)</f>
        <v>143.394192</v>
      </c>
      <c r="N318">
        <f t="shared" si="27"/>
        <v>4543.8877481177278</v>
      </c>
      <c r="O318" t="s">
        <v>66</v>
      </c>
      <c r="P318">
        <f>SUMIFS(TechnologyMapping!$D:$D,TechnologyMapping!$A:$A,C318)</f>
        <v>1</v>
      </c>
      <c r="Q318">
        <f t="shared" si="28"/>
        <v>4543.8877481177278</v>
      </c>
      <c r="R318">
        <f>SUMIFS(FactorInputs!$I:$I,FactorInputs!$A:$A,B318)</f>
        <v>7.9221283783800001E-2</v>
      </c>
      <c r="S318" t="str">
        <f>_xlfn.XLOOKUP(B318,FactorInputs!$A$2:$A$888,FactorInputs!$F$2:$F$888,"")</f>
        <v>job/MW</v>
      </c>
      <c r="T318" t="str">
        <f>_xlfn.XLOOKUP(B318,FactorInputs!$A$2:$A$888,FactorInputs!$B$2:$B$888,"")</f>
        <v>I-JEDI</v>
      </c>
      <c r="U318" t="str">
        <f>_xlfn.XLOOKUP(B318,FactorInputs!$A$2:$A$888,FactorInputs!$T$2:$T$888,"")</f>
        <v>I-JEDI</v>
      </c>
      <c r="V318">
        <f t="shared" si="29"/>
        <v>359.97262077536647</v>
      </c>
    </row>
    <row r="319" spans="1:23" x14ac:dyDescent="0.3">
      <c r="A319" t="str">
        <f t="shared" si="24"/>
        <v>CN|AccumulatedNewCapacity|RE1|PWRSOLUPE|2035</v>
      </c>
      <c r="B319" t="str">
        <f t="shared" si="25"/>
        <v>Utility-scale solar PV|2035|O&amp;M|Direct</v>
      </c>
      <c r="C319" t="str">
        <f t="shared" si="26"/>
        <v>PWRSOLUPE|Utility-scale solar PV</v>
      </c>
      <c r="D319" t="s">
        <v>39</v>
      </c>
      <c r="E319" t="s">
        <v>40</v>
      </c>
      <c r="F319" t="s">
        <v>19</v>
      </c>
      <c r="G319" t="s">
        <v>34</v>
      </c>
      <c r="H319">
        <v>2035</v>
      </c>
      <c r="I319" t="s">
        <v>18</v>
      </c>
      <c r="J319" t="s">
        <v>63</v>
      </c>
      <c r="K319" t="s">
        <v>64</v>
      </c>
      <c r="L319" t="s">
        <v>65</v>
      </c>
      <c r="M319">
        <f>SUMIFS(RawResultsLong!$P:$P,RawResultsLong!$A:$A,A319)</f>
        <v>12.14419823999993</v>
      </c>
      <c r="N319">
        <f t="shared" si="27"/>
        <v>384.82642026009364</v>
      </c>
      <c r="O319" t="s">
        <v>66</v>
      </c>
      <c r="P319">
        <f>SUMIFS(TechnologyMapping!$D:$D,TechnologyMapping!$A:$A,C319)</f>
        <v>1</v>
      </c>
      <c r="Q319">
        <f t="shared" si="28"/>
        <v>384.82642026009364</v>
      </c>
      <c r="R319">
        <f>SUMIFS(FactorInputs!$I:$I,FactorInputs!$A:$A,B319)</f>
        <v>7.9221283783800001E-2</v>
      </c>
      <c r="S319" t="str">
        <f>_xlfn.XLOOKUP(B319,FactorInputs!$A$2:$A$888,FactorInputs!$F$2:$F$888,"")</f>
        <v>job/MW</v>
      </c>
      <c r="T319" t="str">
        <f>_xlfn.XLOOKUP(B319,FactorInputs!$A$2:$A$888,FactorInputs!$B$2:$B$888,"")</f>
        <v>I-JEDI</v>
      </c>
      <c r="U319" t="str">
        <f>_xlfn.XLOOKUP(B319,FactorInputs!$A$2:$A$888,FactorInputs!$T$2:$T$888,"")</f>
        <v>I-JEDI</v>
      </c>
      <c r="V319">
        <f t="shared" si="29"/>
        <v>30.486443046928759</v>
      </c>
      <c r="W319" t="s">
        <v>67</v>
      </c>
    </row>
    <row r="320" spans="1:23" x14ac:dyDescent="0.3">
      <c r="A320" t="str">
        <f t="shared" si="24"/>
        <v>CN|AccumulatedNewCapacity|RE1|PWRWNDONS|2035</v>
      </c>
      <c r="B320" t="str">
        <f t="shared" si="25"/>
        <v>Onshore wind|2035|O&amp;M|Direct</v>
      </c>
      <c r="C320" t="str">
        <f t="shared" si="26"/>
        <v>PWRWNDONS|Onshore wind</v>
      </c>
      <c r="D320" t="s">
        <v>39</v>
      </c>
      <c r="E320" t="s">
        <v>40</v>
      </c>
      <c r="F320" t="s">
        <v>19</v>
      </c>
      <c r="G320" t="s">
        <v>36</v>
      </c>
      <c r="H320">
        <v>2035</v>
      </c>
      <c r="I320" t="s">
        <v>18</v>
      </c>
      <c r="J320" t="s">
        <v>63</v>
      </c>
      <c r="K320" t="s">
        <v>64</v>
      </c>
      <c r="L320" t="s">
        <v>65</v>
      </c>
      <c r="M320">
        <f>SUMIFS(RawResultsLong!$P:$P,RawResultsLong!$A:$A,A320)</f>
        <v>141.8994464844356</v>
      </c>
      <c r="N320">
        <f t="shared" si="27"/>
        <v>4496.5221209608972</v>
      </c>
      <c r="O320" t="s">
        <v>68</v>
      </c>
      <c r="P320">
        <f>SUMIFS(TechnologyMapping!$D:$D,TechnologyMapping!$A:$A,C320)</f>
        <v>1</v>
      </c>
      <c r="Q320">
        <f t="shared" si="28"/>
        <v>4496.5221209608972</v>
      </c>
      <c r="R320">
        <f>SUMIFS(FactorInputs!$I:$I,FactorInputs!$A:$A,B320)</f>
        <v>2.8083941605800002E-2</v>
      </c>
      <c r="S320" t="str">
        <f>_xlfn.XLOOKUP(B320,FactorInputs!$A$2:$A$888,FactorInputs!$F$2:$F$888,"")</f>
        <v>job/MW</v>
      </c>
      <c r="T320" t="str">
        <f>_xlfn.XLOOKUP(B320,FactorInputs!$A$2:$A$888,FactorInputs!$B$2:$B$888,"")</f>
        <v>I-JEDI</v>
      </c>
      <c r="U320" t="str">
        <f>_xlfn.XLOOKUP(B320,FactorInputs!$A$2:$A$888,FactorInputs!$T$2:$T$888,"")</f>
        <v>I-JEDI</v>
      </c>
      <c r="V320">
        <f t="shared" si="29"/>
        <v>126.28006467425381</v>
      </c>
    </row>
    <row r="321" spans="1:23" x14ac:dyDescent="0.3">
      <c r="A321" t="str">
        <f t="shared" si="24"/>
        <v>CN|NewCapacity|RE1|PWRSOLRTP|2035</v>
      </c>
      <c r="B321" t="str">
        <f t="shared" si="25"/>
        <v>Rooftop solar PV|2035|Construction&amp;Manufacturing|Direct</v>
      </c>
      <c r="C321" t="str">
        <f t="shared" si="26"/>
        <v>PWRSOLRTP|Rooftop solar PV</v>
      </c>
      <c r="D321" t="s">
        <v>39</v>
      </c>
      <c r="E321" t="s">
        <v>40</v>
      </c>
      <c r="F321" t="s">
        <v>19</v>
      </c>
      <c r="G321" t="s">
        <v>31</v>
      </c>
      <c r="H321">
        <v>2035</v>
      </c>
      <c r="I321" t="s">
        <v>37</v>
      </c>
      <c r="J321" t="s">
        <v>69</v>
      </c>
      <c r="K321" t="s">
        <v>70</v>
      </c>
      <c r="L321" t="s">
        <v>65</v>
      </c>
      <c r="M321">
        <f>SUMIFS(RawResultsLong!$P:$P,RawResultsLong!$A:$A,A321)</f>
        <v>11.79</v>
      </c>
      <c r="N321">
        <f t="shared" si="27"/>
        <v>373.60255532740132</v>
      </c>
      <c r="O321" t="s">
        <v>71</v>
      </c>
      <c r="P321">
        <f>SUMIFS(TechnologyMapping!$D:$D,TechnologyMapping!$A:$A,C321)</f>
        <v>1</v>
      </c>
      <c r="Q321">
        <f t="shared" si="28"/>
        <v>373.60255532740132</v>
      </c>
      <c r="R321">
        <f>SUMIFS(FactorInputs!$I:$I,FactorInputs!$A:$A,B321)</f>
        <v>5.90580532237</v>
      </c>
      <c r="S321" t="str">
        <f>_xlfn.XLOOKUP(B321,FactorInputs!$A$2:$A$888,FactorInputs!$F$2:$F$888,"")</f>
        <v>job-yr/MW</v>
      </c>
      <c r="T321" t="str">
        <f>_xlfn.XLOOKUP(B321,FactorInputs!$A$2:$A$888,FactorInputs!$B$2:$B$888,"")</f>
        <v>JEDI-US</v>
      </c>
      <c r="U321" t="str">
        <f>_xlfn.XLOOKUP(B321,FactorInputs!$A$2:$A$888,FactorInputs!$T$2:$T$888,"")</f>
        <v>JEDI-US</v>
      </c>
      <c r="V321">
        <f t="shared" si="29"/>
        <v>2206.4239597035989</v>
      </c>
    </row>
    <row r="322" spans="1:23" x14ac:dyDescent="0.3">
      <c r="A322" t="str">
        <f t="shared" ref="A322:A385" si="30">D322&amp;"|"&amp;I322&amp;"|"&amp;F322&amp;"|"&amp;G322&amp;"|"&amp;H322</f>
        <v>CN|NewCapacity|RE1|PWRSOLRTP_ZNI|2035</v>
      </c>
      <c r="B322" t="str">
        <f t="shared" ref="B322:B385" si="31">O322&amp;"|"&amp;H322&amp;"|"&amp;K322&amp;"|"&amp;L322</f>
        <v>Rooftop solar PV|2035|Construction&amp;Manufacturing|Direct</v>
      </c>
      <c r="C322" t="str">
        <f t="shared" ref="C322:C385" si="32">G322&amp;"|"&amp;O322</f>
        <v>PWRSOLRTP_ZNI|Rooftop solar PV</v>
      </c>
      <c r="D322" t="s">
        <v>39</v>
      </c>
      <c r="E322" t="s">
        <v>40</v>
      </c>
      <c r="F322" t="s">
        <v>19</v>
      </c>
      <c r="G322" t="s">
        <v>32</v>
      </c>
      <c r="H322">
        <v>2035</v>
      </c>
      <c r="I322" t="s">
        <v>37</v>
      </c>
      <c r="J322" t="s">
        <v>69</v>
      </c>
      <c r="K322" t="s">
        <v>70</v>
      </c>
      <c r="L322" t="s">
        <v>65</v>
      </c>
      <c r="M322">
        <f>SUMIFS(RawResultsLong!$P:$P,RawResultsLong!$A:$A,A322)</f>
        <v>3.9685427529363833E-2</v>
      </c>
      <c r="N322">
        <f t="shared" ref="N322:N385" si="33">M322*1000/31.5576</f>
        <v>1.2575553124877632</v>
      </c>
      <c r="O322" t="s">
        <v>71</v>
      </c>
      <c r="P322">
        <f>SUMIFS(TechnologyMapping!$D:$D,TechnologyMapping!$A:$A,C322)</f>
        <v>1</v>
      </c>
      <c r="Q322">
        <f t="shared" ref="Q322:Q385" si="34">N322*P322</f>
        <v>1.2575553124877632</v>
      </c>
      <c r="R322">
        <f>SUMIFS(FactorInputs!$I:$I,FactorInputs!$A:$A,B322)</f>
        <v>5.90580532237</v>
      </c>
      <c r="S322" t="str">
        <f>_xlfn.XLOOKUP(B322,FactorInputs!$A$2:$A$888,FactorInputs!$F$2:$F$888,"")</f>
        <v>job-yr/MW</v>
      </c>
      <c r="T322" t="str">
        <f>_xlfn.XLOOKUP(B322,FactorInputs!$A$2:$A$888,FactorInputs!$B$2:$B$888,"")</f>
        <v>JEDI-US</v>
      </c>
      <c r="U322" t="str">
        <f>_xlfn.XLOOKUP(B322,FactorInputs!$A$2:$A$888,FactorInputs!$T$2:$T$888,"")</f>
        <v>JEDI-US</v>
      </c>
      <c r="V322">
        <f t="shared" ref="V322:V385" si="35">Q322*R322</f>
        <v>7.4268768576649</v>
      </c>
      <c r="W322" t="s">
        <v>73</v>
      </c>
    </row>
    <row r="323" spans="1:23" x14ac:dyDescent="0.3">
      <c r="A323" t="str">
        <f t="shared" si="30"/>
        <v>CN|NewCapacity|RE1|PWRWNDONS|2035</v>
      </c>
      <c r="B323" t="str">
        <f t="shared" si="31"/>
        <v>Onshore wind|2035|Construction&amp;Manufacturing|Direct</v>
      </c>
      <c r="C323" t="str">
        <f t="shared" si="32"/>
        <v>PWRWNDONS|Onshore wind</v>
      </c>
      <c r="D323" t="s">
        <v>39</v>
      </c>
      <c r="E323" t="s">
        <v>40</v>
      </c>
      <c r="F323" t="s">
        <v>19</v>
      </c>
      <c r="G323" t="s">
        <v>36</v>
      </c>
      <c r="H323">
        <v>2035</v>
      </c>
      <c r="I323" t="s">
        <v>37</v>
      </c>
      <c r="J323" t="s">
        <v>69</v>
      </c>
      <c r="K323" t="s">
        <v>70</v>
      </c>
      <c r="L323" t="s">
        <v>65</v>
      </c>
      <c r="M323">
        <f>SUMIFS(RawResultsLong!$P:$P,RawResultsLong!$A:$A,A323)</f>
        <v>47.31</v>
      </c>
      <c r="N323">
        <f t="shared" si="33"/>
        <v>1499.1634344817096</v>
      </c>
      <c r="O323" t="s">
        <v>68</v>
      </c>
      <c r="P323">
        <f>SUMIFS(TechnologyMapping!$D:$D,TechnologyMapping!$A:$A,C323)</f>
        <v>1</v>
      </c>
      <c r="Q323">
        <f t="shared" si="34"/>
        <v>1499.1634344817096</v>
      </c>
      <c r="R323">
        <f>SUMIFS(FactorInputs!$I:$I,FactorInputs!$A:$A,B323)</f>
        <v>6.7863862395799996</v>
      </c>
      <c r="S323" t="str">
        <f>_xlfn.XLOOKUP(B323,FactorInputs!$A$2:$A$888,FactorInputs!$F$2:$F$888,"")</f>
        <v>job-yr/MW</v>
      </c>
      <c r="T323" t="str">
        <f>_xlfn.XLOOKUP(B323,FactorInputs!$A$2:$A$888,FactorInputs!$B$2:$B$888,"")</f>
        <v>I-JEDI</v>
      </c>
      <c r="U323" t="str">
        <f>_xlfn.XLOOKUP(B323,FactorInputs!$A$2:$A$888,FactorInputs!$T$2:$T$888,"")</f>
        <v>I-JEDI</v>
      </c>
      <c r="V323">
        <f t="shared" si="35"/>
        <v>10173.902102648166</v>
      </c>
    </row>
    <row r="324" spans="1:23" x14ac:dyDescent="0.3">
      <c r="A324" t="str">
        <f t="shared" si="30"/>
        <v>CN|AccumulatedNewCapacity|RE1|PWRHYDDAM|2036</v>
      </c>
      <c r="B324" t="str">
        <f t="shared" si="31"/>
        <v>Hydro (large)|2036|O&amp;M|Direct</v>
      </c>
      <c r="C324" t="str">
        <f t="shared" si="32"/>
        <v>PWRHYDDAM|Hydro (large)</v>
      </c>
      <c r="D324" t="s">
        <v>39</v>
      </c>
      <c r="E324" t="s">
        <v>40</v>
      </c>
      <c r="F324" t="s">
        <v>19</v>
      </c>
      <c r="G324" t="s">
        <v>24</v>
      </c>
      <c r="H324">
        <v>2036</v>
      </c>
      <c r="I324" t="s">
        <v>18</v>
      </c>
      <c r="J324" t="s">
        <v>63</v>
      </c>
      <c r="K324" t="s">
        <v>64</v>
      </c>
      <c r="L324" t="s">
        <v>65</v>
      </c>
      <c r="M324">
        <f>SUMIFS(RawResultsLong!$P:$P,RawResultsLong!$A:$A,A324)</f>
        <v>37.840000000000003</v>
      </c>
      <c r="N324">
        <f t="shared" si="33"/>
        <v>1199.0772428828554</v>
      </c>
      <c r="O324" t="s">
        <v>72</v>
      </c>
      <c r="P324">
        <f>SUMIFS(TechnologyMapping!$D:$D,TechnologyMapping!$A:$A,C324)</f>
        <v>1</v>
      </c>
      <c r="Q324">
        <f t="shared" si="34"/>
        <v>1199.0772428828554</v>
      </c>
      <c r="R324">
        <f>SUMIFS(FactorInputs!$I:$I,FactorInputs!$A:$A,B324)</f>
        <v>0.64094754098399997</v>
      </c>
      <c r="S324" t="str">
        <f>_xlfn.XLOOKUP(B324,FactorInputs!$A$2:$A$888,FactorInputs!$F$2:$F$888,"")</f>
        <v>job/MW</v>
      </c>
      <c r="T324" t="str">
        <f>_xlfn.XLOOKUP(B324,FactorInputs!$A$2:$A$888,FactorInputs!$B$2:$B$888,"")</f>
        <v>Rutovitz 2015</v>
      </c>
      <c r="U324" t="str">
        <f>_xlfn.XLOOKUP(B324,FactorInputs!$A$2:$A$888,FactorInputs!$T$2:$T$888,"")</f>
        <v>Rutovitz 2015</v>
      </c>
      <c r="V324">
        <f t="shared" si="35"/>
        <v>768.54561027564068</v>
      </c>
    </row>
    <row r="325" spans="1:23" x14ac:dyDescent="0.3">
      <c r="A325" t="str">
        <f t="shared" si="30"/>
        <v>CN|AccumulatedNewCapacity|RE1|PWRSOLRTP|2036</v>
      </c>
      <c r="B325" t="str">
        <f t="shared" si="31"/>
        <v>Rooftop solar PV|2036|O&amp;M|Direct</v>
      </c>
      <c r="C325" t="str">
        <f t="shared" si="32"/>
        <v>PWRSOLRTP|Rooftop solar PV</v>
      </c>
      <c r="D325" t="s">
        <v>39</v>
      </c>
      <c r="E325" t="s">
        <v>40</v>
      </c>
      <c r="F325" t="s">
        <v>19</v>
      </c>
      <c r="G325" t="s">
        <v>31</v>
      </c>
      <c r="H325">
        <v>2036</v>
      </c>
      <c r="I325" t="s">
        <v>18</v>
      </c>
      <c r="J325" t="s">
        <v>63</v>
      </c>
      <c r="K325" t="s">
        <v>64</v>
      </c>
      <c r="L325" t="s">
        <v>65</v>
      </c>
      <c r="M325">
        <f>SUMIFS(RawResultsLong!$P:$P,RawResultsLong!$A:$A,A325)</f>
        <v>163.92</v>
      </c>
      <c r="N325">
        <f t="shared" si="33"/>
        <v>5194.3113544756252</v>
      </c>
      <c r="O325" t="s">
        <v>71</v>
      </c>
      <c r="P325">
        <f>SUMIFS(TechnologyMapping!$D:$D,TechnologyMapping!$A:$A,C325)</f>
        <v>1</v>
      </c>
      <c r="Q325">
        <f t="shared" si="34"/>
        <v>5194.3113544756252</v>
      </c>
      <c r="R325">
        <f>SUMIFS(FactorInputs!$I:$I,FactorInputs!$A:$A,B325)</f>
        <v>0.24547058823500001</v>
      </c>
      <c r="S325" t="str">
        <f>_xlfn.XLOOKUP(B325,FactorInputs!$A$2:$A$888,FactorInputs!$F$2:$F$888,"")</f>
        <v>job/MW</v>
      </c>
      <c r="T325" t="str">
        <f>_xlfn.XLOOKUP(B325,FactorInputs!$A$2:$A$888,FactorInputs!$B$2:$B$888,"")</f>
        <v>JEDI-US</v>
      </c>
      <c r="U325" t="str">
        <f>_xlfn.XLOOKUP(B325,FactorInputs!$A$2:$A$888,FactorInputs!$T$2:$T$888,"")</f>
        <v>JEDI-US</v>
      </c>
      <c r="V325">
        <f t="shared" si="35"/>
        <v>1275.0506636588714</v>
      </c>
    </row>
    <row r="326" spans="1:23" x14ac:dyDescent="0.3">
      <c r="A326" t="str">
        <f t="shared" si="30"/>
        <v>CN|AccumulatedNewCapacity|RE1|PWRSOLRTP_ZNI|2036</v>
      </c>
      <c r="B326" t="str">
        <f t="shared" si="31"/>
        <v>Rooftop solar PV|2036|O&amp;M|Direct</v>
      </c>
      <c r="C326" t="str">
        <f t="shared" si="32"/>
        <v>PWRSOLRTP_ZNI|Rooftop solar PV</v>
      </c>
      <c r="D326" t="s">
        <v>39</v>
      </c>
      <c r="E326" t="s">
        <v>40</v>
      </c>
      <c r="F326" t="s">
        <v>19</v>
      </c>
      <c r="G326" t="s">
        <v>32</v>
      </c>
      <c r="H326">
        <v>2036</v>
      </c>
      <c r="I326" t="s">
        <v>18</v>
      </c>
      <c r="J326" t="s">
        <v>63</v>
      </c>
      <c r="K326" t="s">
        <v>64</v>
      </c>
      <c r="L326" t="s">
        <v>65</v>
      </c>
      <c r="M326">
        <f>SUMIFS(RawResultsLong!$P:$P,RawResultsLong!$A:$A,A326)</f>
        <v>0.77035577591644344</v>
      </c>
      <c r="N326">
        <f t="shared" si="33"/>
        <v>24.411101475284667</v>
      </c>
      <c r="O326" t="s">
        <v>71</v>
      </c>
      <c r="P326">
        <f>SUMIFS(TechnologyMapping!$D:$D,TechnologyMapping!$A:$A,C326)</f>
        <v>1</v>
      </c>
      <c r="Q326">
        <f t="shared" si="34"/>
        <v>24.411101475284667</v>
      </c>
      <c r="R326">
        <f>SUMIFS(FactorInputs!$I:$I,FactorInputs!$A:$A,B326)</f>
        <v>0.24547058823500001</v>
      </c>
      <c r="S326" t="str">
        <f>_xlfn.XLOOKUP(B326,FactorInputs!$A$2:$A$888,FactorInputs!$F$2:$F$888,"")</f>
        <v>job/MW</v>
      </c>
      <c r="T326" t="str">
        <f>_xlfn.XLOOKUP(B326,FactorInputs!$A$2:$A$888,FactorInputs!$B$2:$B$888,"")</f>
        <v>JEDI-US</v>
      </c>
      <c r="U326" t="str">
        <f>_xlfn.XLOOKUP(B326,FactorInputs!$A$2:$A$888,FactorInputs!$T$2:$T$888,"")</f>
        <v>JEDI-US</v>
      </c>
      <c r="V326">
        <f t="shared" si="35"/>
        <v>5.9922074386024038</v>
      </c>
      <c r="W326" t="s">
        <v>73</v>
      </c>
    </row>
    <row r="327" spans="1:23" x14ac:dyDescent="0.3">
      <c r="A327" t="str">
        <f t="shared" si="30"/>
        <v>CN|AccumulatedNewCapacity|RE1|PWRSOLUGE|2036</v>
      </c>
      <c r="B327" t="str">
        <f t="shared" si="31"/>
        <v>Utility-scale solar PV|2036|O&amp;M|Direct</v>
      </c>
      <c r="C327" t="str">
        <f t="shared" si="32"/>
        <v>PWRSOLUGE|Utility-scale solar PV</v>
      </c>
      <c r="D327" t="s">
        <v>39</v>
      </c>
      <c r="E327" t="s">
        <v>40</v>
      </c>
      <c r="F327" t="s">
        <v>19</v>
      </c>
      <c r="G327" t="s">
        <v>33</v>
      </c>
      <c r="H327">
        <v>2036</v>
      </c>
      <c r="I327" t="s">
        <v>18</v>
      </c>
      <c r="J327" t="s">
        <v>63</v>
      </c>
      <c r="K327" t="s">
        <v>64</v>
      </c>
      <c r="L327" t="s">
        <v>65</v>
      </c>
      <c r="M327">
        <f>SUMIFS(RawResultsLong!$P:$P,RawResultsLong!$A:$A,A327)</f>
        <v>143.394192</v>
      </c>
      <c r="N327">
        <f t="shared" si="33"/>
        <v>4543.8877481177278</v>
      </c>
      <c r="O327" t="s">
        <v>66</v>
      </c>
      <c r="P327">
        <f>SUMIFS(TechnologyMapping!$D:$D,TechnologyMapping!$A:$A,C327)</f>
        <v>1</v>
      </c>
      <c r="Q327">
        <f t="shared" si="34"/>
        <v>4543.8877481177278</v>
      </c>
      <c r="R327">
        <f>SUMIFS(FactorInputs!$I:$I,FactorInputs!$A:$A,B327)</f>
        <v>7.8634459459499997E-2</v>
      </c>
      <c r="S327" t="str">
        <f>_xlfn.XLOOKUP(B327,FactorInputs!$A$2:$A$888,FactorInputs!$F$2:$F$888,"")</f>
        <v>job/MW</v>
      </c>
      <c r="T327" t="str">
        <f>_xlfn.XLOOKUP(B327,FactorInputs!$A$2:$A$888,FactorInputs!$B$2:$B$888,"")</f>
        <v>I-JEDI</v>
      </c>
      <c r="U327" t="str">
        <f>_xlfn.XLOOKUP(B327,FactorInputs!$A$2:$A$888,FactorInputs!$T$2:$T$888,"")</f>
        <v>I-JEDI</v>
      </c>
      <c r="V327">
        <f t="shared" si="35"/>
        <v>357.30615691788222</v>
      </c>
    </row>
    <row r="328" spans="1:23" x14ac:dyDescent="0.3">
      <c r="A328" t="str">
        <f t="shared" si="30"/>
        <v>CN|AccumulatedNewCapacity|RE1|PWRSOLUPE|2036</v>
      </c>
      <c r="B328" t="str">
        <f t="shared" si="31"/>
        <v>Utility-scale solar PV|2036|O&amp;M|Direct</v>
      </c>
      <c r="C328" t="str">
        <f t="shared" si="32"/>
        <v>PWRSOLUPE|Utility-scale solar PV</v>
      </c>
      <c r="D328" t="s">
        <v>39</v>
      </c>
      <c r="E328" t="s">
        <v>40</v>
      </c>
      <c r="F328" t="s">
        <v>19</v>
      </c>
      <c r="G328" t="s">
        <v>34</v>
      </c>
      <c r="H328">
        <v>2036</v>
      </c>
      <c r="I328" t="s">
        <v>18</v>
      </c>
      <c r="J328" t="s">
        <v>63</v>
      </c>
      <c r="K328" t="s">
        <v>64</v>
      </c>
      <c r="L328" t="s">
        <v>65</v>
      </c>
      <c r="M328">
        <f>SUMIFS(RawResultsLong!$P:$P,RawResultsLong!$A:$A,A328)</f>
        <v>12.14419823999993</v>
      </c>
      <c r="N328">
        <f t="shared" si="33"/>
        <v>384.82642026009364</v>
      </c>
      <c r="O328" t="s">
        <v>66</v>
      </c>
      <c r="P328">
        <f>SUMIFS(TechnologyMapping!$D:$D,TechnologyMapping!$A:$A,C328)</f>
        <v>1</v>
      </c>
      <c r="Q328">
        <f t="shared" si="34"/>
        <v>384.82642026009364</v>
      </c>
      <c r="R328">
        <f>SUMIFS(FactorInputs!$I:$I,FactorInputs!$A:$A,B328)</f>
        <v>7.8634459459499997E-2</v>
      </c>
      <c r="S328" t="str">
        <f>_xlfn.XLOOKUP(B328,FactorInputs!$A$2:$A$888,FactorInputs!$F$2:$F$888,"")</f>
        <v>job/MW</v>
      </c>
      <c r="T328" t="str">
        <f>_xlfn.XLOOKUP(B328,FactorInputs!$A$2:$A$888,FactorInputs!$B$2:$B$888,"")</f>
        <v>I-JEDI</v>
      </c>
      <c r="U328" t="str">
        <f>_xlfn.XLOOKUP(B328,FactorInputs!$A$2:$A$888,FactorInputs!$T$2:$T$888,"")</f>
        <v>I-JEDI</v>
      </c>
      <c r="V328">
        <f t="shared" si="35"/>
        <v>30.260617542886841</v>
      </c>
      <c r="W328" t="s">
        <v>67</v>
      </c>
    </row>
    <row r="329" spans="1:23" x14ac:dyDescent="0.3">
      <c r="A329" t="str">
        <f t="shared" si="30"/>
        <v>CN|AccumulatedNewCapacity|RE1|PWRWNDOFS_FIX|2036</v>
      </c>
      <c r="B329" t="str">
        <f t="shared" si="31"/>
        <v>Offshore wind (fixed)|2036|O&amp;M|Direct</v>
      </c>
      <c r="C329" t="str">
        <f t="shared" si="32"/>
        <v>PWRWNDOFS_FIX|Offshore wind (fixed)</v>
      </c>
      <c r="D329" t="s">
        <v>39</v>
      </c>
      <c r="E329" t="s">
        <v>40</v>
      </c>
      <c r="F329" t="s">
        <v>19</v>
      </c>
      <c r="G329" t="s">
        <v>42</v>
      </c>
      <c r="H329">
        <v>2036</v>
      </c>
      <c r="I329" t="s">
        <v>18</v>
      </c>
      <c r="J329" t="s">
        <v>63</v>
      </c>
      <c r="K329" t="s">
        <v>64</v>
      </c>
      <c r="L329" t="s">
        <v>65</v>
      </c>
      <c r="M329">
        <f>SUMIFS(RawResultsLong!$P:$P,RawResultsLong!$A:$A,A329)</f>
        <v>13.05396568386857</v>
      </c>
      <c r="N329">
        <f t="shared" si="33"/>
        <v>413.6552109117477</v>
      </c>
      <c r="O329" t="s">
        <v>74</v>
      </c>
      <c r="P329">
        <f>SUMIFS(TechnologyMapping!$D:$D,TechnologyMapping!$A:$A,C329)</f>
        <v>1</v>
      </c>
      <c r="Q329">
        <f t="shared" si="34"/>
        <v>413.6552109117477</v>
      </c>
      <c r="R329">
        <f>SUMIFS(FactorInputs!$I:$I,FactorInputs!$A:$A,B329)</f>
        <v>7.1681474654400001E-2</v>
      </c>
      <c r="S329" t="str">
        <f>_xlfn.XLOOKUP(B329,FactorInputs!$A$2:$A$888,FactorInputs!$F$2:$F$888,"")</f>
        <v>job/MW</v>
      </c>
      <c r="T329" t="str">
        <f>_xlfn.XLOOKUP(B329,FactorInputs!$A$2:$A$888,FactorInputs!$B$2:$B$888,"")</f>
        <v>French QBIS 2023</v>
      </c>
      <c r="U329" t="str">
        <f>_xlfn.XLOOKUP(B329,FactorInputs!$A$2:$A$888,FactorInputs!$T$2:$T$888,"")</f>
        <v>French QBIS 2023</v>
      </c>
      <c r="V329">
        <f t="shared" si="35"/>
        <v>29.65141551663093</v>
      </c>
    </row>
    <row r="330" spans="1:23" x14ac:dyDescent="0.3">
      <c r="A330" t="str">
        <f t="shared" si="30"/>
        <v>CN|AccumulatedNewCapacity|RE1|PWRWNDONS|2036</v>
      </c>
      <c r="B330" t="str">
        <f t="shared" si="31"/>
        <v>Onshore wind|2036|O&amp;M|Direct</v>
      </c>
      <c r="C330" t="str">
        <f t="shared" si="32"/>
        <v>PWRWNDONS|Onshore wind</v>
      </c>
      <c r="D330" t="s">
        <v>39</v>
      </c>
      <c r="E330" t="s">
        <v>40</v>
      </c>
      <c r="F330" t="s">
        <v>19</v>
      </c>
      <c r="G330" t="s">
        <v>36</v>
      </c>
      <c r="H330">
        <v>2036</v>
      </c>
      <c r="I330" t="s">
        <v>18</v>
      </c>
      <c r="J330" t="s">
        <v>63</v>
      </c>
      <c r="K330" t="s">
        <v>64</v>
      </c>
      <c r="L330" t="s">
        <v>65</v>
      </c>
      <c r="M330">
        <f>SUMIFS(RawResultsLong!$P:$P,RawResultsLong!$A:$A,A330)</f>
        <v>189.2094464844356</v>
      </c>
      <c r="N330">
        <f t="shared" si="33"/>
        <v>5995.6855554426065</v>
      </c>
      <c r="O330" t="s">
        <v>68</v>
      </c>
      <c r="P330">
        <f>SUMIFS(TechnologyMapping!$D:$D,TechnologyMapping!$A:$A,C330)</f>
        <v>1</v>
      </c>
      <c r="Q330">
        <f t="shared" si="34"/>
        <v>5995.6855554426065</v>
      </c>
      <c r="R330">
        <f>SUMIFS(FactorInputs!$I:$I,FactorInputs!$A:$A,B330)</f>
        <v>2.8007299270100001E-2</v>
      </c>
      <c r="S330" t="str">
        <f>_xlfn.XLOOKUP(B330,FactorInputs!$A$2:$A$888,FactorInputs!$F$2:$F$888,"")</f>
        <v>job/MW</v>
      </c>
      <c r="T330" t="str">
        <f>_xlfn.XLOOKUP(B330,FactorInputs!$A$2:$A$888,FactorInputs!$B$2:$B$888,"")</f>
        <v>I-JEDI</v>
      </c>
      <c r="U330" t="str">
        <f>_xlfn.XLOOKUP(B330,FactorInputs!$A$2:$A$888,FactorInputs!$T$2:$T$888,"")</f>
        <v>I-JEDI</v>
      </c>
      <c r="V330">
        <f t="shared" si="35"/>
        <v>167.92295968069683</v>
      </c>
    </row>
    <row r="331" spans="1:23" x14ac:dyDescent="0.3">
      <c r="A331" t="str">
        <f t="shared" si="30"/>
        <v>CN|NewCapacity|RE1|PWRSOLRTP|2036</v>
      </c>
      <c r="B331" t="str">
        <f t="shared" si="31"/>
        <v>Rooftop solar PV|2036|Construction&amp;Manufacturing|Direct</v>
      </c>
      <c r="C331" t="str">
        <f t="shared" si="32"/>
        <v>PWRSOLRTP|Rooftop solar PV</v>
      </c>
      <c r="D331" t="s">
        <v>39</v>
      </c>
      <c r="E331" t="s">
        <v>40</v>
      </c>
      <c r="F331" t="s">
        <v>19</v>
      </c>
      <c r="G331" t="s">
        <v>31</v>
      </c>
      <c r="H331">
        <v>2036</v>
      </c>
      <c r="I331" t="s">
        <v>37</v>
      </c>
      <c r="J331" t="s">
        <v>69</v>
      </c>
      <c r="K331" t="s">
        <v>70</v>
      </c>
      <c r="L331" t="s">
        <v>65</v>
      </c>
      <c r="M331">
        <f>SUMIFS(RawResultsLong!$P:$P,RawResultsLong!$A:$A,A331)</f>
        <v>11.98</v>
      </c>
      <c r="N331">
        <f t="shared" si="33"/>
        <v>379.62329201206683</v>
      </c>
      <c r="O331" t="s">
        <v>71</v>
      </c>
      <c r="P331">
        <f>SUMIFS(TechnologyMapping!$D:$D,TechnologyMapping!$A:$A,C331)</f>
        <v>1</v>
      </c>
      <c r="Q331">
        <f t="shared" si="34"/>
        <v>379.62329201206683</v>
      </c>
      <c r="R331">
        <f>SUMIFS(FactorInputs!$I:$I,FactorInputs!$A:$A,B331)</f>
        <v>5.8001223715799997</v>
      </c>
      <c r="S331" t="str">
        <f>_xlfn.XLOOKUP(B331,FactorInputs!$A$2:$A$888,FactorInputs!$F$2:$F$888,"")</f>
        <v>job-yr/MW</v>
      </c>
      <c r="T331" t="str">
        <f>_xlfn.XLOOKUP(B331,FactorInputs!$A$2:$A$888,FactorInputs!$B$2:$B$888,"")</f>
        <v>JEDI-US</v>
      </c>
      <c r="U331" t="str">
        <f>_xlfn.XLOOKUP(B331,FactorInputs!$A$2:$A$888,FactorInputs!$T$2:$T$888,"")</f>
        <v>JEDI-US</v>
      </c>
      <c r="V331">
        <f t="shared" si="35"/>
        <v>2201.8615487720358</v>
      </c>
    </row>
    <row r="332" spans="1:23" x14ac:dyDescent="0.3">
      <c r="A332" t="str">
        <f t="shared" si="30"/>
        <v>CN|NewCapacity|RE1|PWRSOLRTP_ZNI|2036</v>
      </c>
      <c r="B332" t="str">
        <f t="shared" si="31"/>
        <v>Rooftop solar PV|2036|Construction&amp;Manufacturing|Direct</v>
      </c>
      <c r="C332" t="str">
        <f t="shared" si="32"/>
        <v>PWRSOLRTP_ZNI|Rooftop solar PV</v>
      </c>
      <c r="D332" t="s">
        <v>39</v>
      </c>
      <c r="E332" t="s">
        <v>40</v>
      </c>
      <c r="F332" t="s">
        <v>19</v>
      </c>
      <c r="G332" t="s">
        <v>32</v>
      </c>
      <c r="H332">
        <v>2036</v>
      </c>
      <c r="I332" t="s">
        <v>37</v>
      </c>
      <c r="J332" t="s">
        <v>69</v>
      </c>
      <c r="K332" t="s">
        <v>70</v>
      </c>
      <c r="L332" t="s">
        <v>65</v>
      </c>
      <c r="M332">
        <f>SUMIFS(RawResultsLong!$P:$P,RawResultsLong!$A:$A,A332)</f>
        <v>4.0427711537491778E-2</v>
      </c>
      <c r="N332">
        <f t="shared" si="33"/>
        <v>1.2810768733202709</v>
      </c>
      <c r="O332" t="s">
        <v>71</v>
      </c>
      <c r="P332">
        <f>SUMIFS(TechnologyMapping!$D:$D,TechnologyMapping!$A:$A,C332)</f>
        <v>1</v>
      </c>
      <c r="Q332">
        <f t="shared" si="34"/>
        <v>1.2810768733202709</v>
      </c>
      <c r="R332">
        <f>SUMIFS(FactorInputs!$I:$I,FactorInputs!$A:$A,B332)</f>
        <v>5.8001223715799997</v>
      </c>
      <c r="S332" t="str">
        <f>_xlfn.XLOOKUP(B332,FactorInputs!$A$2:$A$888,FactorInputs!$F$2:$F$888,"")</f>
        <v>job-yr/MW</v>
      </c>
      <c r="T332" t="str">
        <f>_xlfn.XLOOKUP(B332,FactorInputs!$A$2:$A$888,FactorInputs!$B$2:$B$888,"")</f>
        <v>JEDI-US</v>
      </c>
      <c r="U332" t="str">
        <f>_xlfn.XLOOKUP(B332,FactorInputs!$A$2:$A$888,FactorInputs!$T$2:$T$888,"")</f>
        <v>JEDI-US</v>
      </c>
      <c r="V332">
        <f t="shared" si="35"/>
        <v>7.4304026326586605</v>
      </c>
      <c r="W332" t="s">
        <v>73</v>
      </c>
    </row>
    <row r="333" spans="1:23" x14ac:dyDescent="0.3">
      <c r="A333" t="str">
        <f t="shared" si="30"/>
        <v>CN|NewCapacity|RE1|PWRWNDOFS_FIX|2036</v>
      </c>
      <c r="B333" t="str">
        <f t="shared" si="31"/>
        <v>Offshore wind (fixed)|2036|Construction&amp;Manufacturing|Direct</v>
      </c>
      <c r="C333" t="str">
        <f t="shared" si="32"/>
        <v>PWRWNDOFS_FIX|Offshore wind (fixed)</v>
      </c>
      <c r="D333" t="s">
        <v>39</v>
      </c>
      <c r="E333" t="s">
        <v>40</v>
      </c>
      <c r="F333" t="s">
        <v>19</v>
      </c>
      <c r="G333" t="s">
        <v>42</v>
      </c>
      <c r="H333">
        <v>2036</v>
      </c>
      <c r="I333" t="s">
        <v>37</v>
      </c>
      <c r="J333" t="s">
        <v>69</v>
      </c>
      <c r="K333" t="s">
        <v>70</v>
      </c>
      <c r="L333" t="s">
        <v>65</v>
      </c>
      <c r="M333">
        <f>SUMIFS(RawResultsLong!$P:$P,RawResultsLong!$A:$A,A333)</f>
        <v>13.05396568386857</v>
      </c>
      <c r="N333">
        <f t="shared" si="33"/>
        <v>413.6552109117477</v>
      </c>
      <c r="O333" t="s">
        <v>74</v>
      </c>
      <c r="P333">
        <f>SUMIFS(TechnologyMapping!$D:$D,TechnologyMapping!$A:$A,C333)</f>
        <v>1</v>
      </c>
      <c r="Q333">
        <f t="shared" si="34"/>
        <v>413.6552109117477</v>
      </c>
      <c r="R333">
        <f>SUMIFS(FactorInputs!$I:$I,FactorInputs!$A:$A,B333)</f>
        <v>4.3491965620700004</v>
      </c>
      <c r="S333" t="str">
        <f>_xlfn.XLOOKUP(B333,FactorInputs!$A$2:$A$888,FactorInputs!$F$2:$F$888,"")</f>
        <v>job-yr/MW</v>
      </c>
      <c r="T333" t="str">
        <f>_xlfn.XLOOKUP(B333,FactorInputs!$A$2:$A$888,FactorInputs!$B$2:$B$888,"")</f>
        <v>French QBIS 2023</v>
      </c>
      <c r="U333" t="str">
        <f>_xlfn.XLOOKUP(B333,FactorInputs!$A$2:$A$888,FactorInputs!$T$2:$T$888,"")</f>
        <v>French QBIS 2023</v>
      </c>
      <c r="V333">
        <f t="shared" si="35"/>
        <v>1799.067821179714</v>
      </c>
    </row>
    <row r="334" spans="1:23" x14ac:dyDescent="0.3">
      <c r="A334" t="str">
        <f t="shared" si="30"/>
        <v>CN|NewCapacity|RE1|PWRWNDONS|2036</v>
      </c>
      <c r="B334" t="str">
        <f t="shared" si="31"/>
        <v>Onshore wind|2036|Construction&amp;Manufacturing|Direct</v>
      </c>
      <c r="C334" t="str">
        <f t="shared" si="32"/>
        <v>PWRWNDONS|Onshore wind</v>
      </c>
      <c r="D334" t="s">
        <v>39</v>
      </c>
      <c r="E334" t="s">
        <v>40</v>
      </c>
      <c r="F334" t="s">
        <v>19</v>
      </c>
      <c r="G334" t="s">
        <v>36</v>
      </c>
      <c r="H334">
        <v>2036</v>
      </c>
      <c r="I334" t="s">
        <v>37</v>
      </c>
      <c r="J334" t="s">
        <v>69</v>
      </c>
      <c r="K334" t="s">
        <v>70</v>
      </c>
      <c r="L334" t="s">
        <v>65</v>
      </c>
      <c r="M334">
        <f>SUMIFS(RawResultsLong!$P:$P,RawResultsLong!$A:$A,A334)</f>
        <v>47.31</v>
      </c>
      <c r="N334">
        <f t="shared" si="33"/>
        <v>1499.1634344817096</v>
      </c>
      <c r="O334" t="s">
        <v>68</v>
      </c>
      <c r="P334">
        <f>SUMIFS(TechnologyMapping!$D:$D,TechnologyMapping!$A:$A,C334)</f>
        <v>1</v>
      </c>
      <c r="Q334">
        <f t="shared" si="34"/>
        <v>1499.1634344817096</v>
      </c>
      <c r="R334">
        <f>SUMIFS(FactorInputs!$I:$I,FactorInputs!$A:$A,B334)</f>
        <v>6.7681444913800002</v>
      </c>
      <c r="S334" t="str">
        <f>_xlfn.XLOOKUP(B334,FactorInputs!$A$2:$A$888,FactorInputs!$F$2:$F$888,"")</f>
        <v>job-yr/MW</v>
      </c>
      <c r="T334" t="str">
        <f>_xlfn.XLOOKUP(B334,FactorInputs!$A$2:$A$888,FactorInputs!$B$2:$B$888,"")</f>
        <v>I-JEDI</v>
      </c>
      <c r="U334" t="str">
        <f>_xlfn.XLOOKUP(B334,FactorInputs!$A$2:$A$888,FactorInputs!$T$2:$T$888,"")</f>
        <v>I-JEDI</v>
      </c>
      <c r="V334">
        <f t="shared" si="35"/>
        <v>10146.554740765705</v>
      </c>
    </row>
    <row r="335" spans="1:23" x14ac:dyDescent="0.3">
      <c r="A335" t="str">
        <f t="shared" si="30"/>
        <v>CN|AccumulatedNewCapacity|RE1|PWRHYDDAM|2037</v>
      </c>
      <c r="B335" t="str">
        <f t="shared" si="31"/>
        <v>Hydro (large)|2037|O&amp;M|Direct</v>
      </c>
      <c r="C335" t="str">
        <f t="shared" si="32"/>
        <v>PWRHYDDAM|Hydro (large)</v>
      </c>
      <c r="D335" t="s">
        <v>39</v>
      </c>
      <c r="E335" t="s">
        <v>40</v>
      </c>
      <c r="F335" t="s">
        <v>19</v>
      </c>
      <c r="G335" t="s">
        <v>24</v>
      </c>
      <c r="H335">
        <v>2037</v>
      </c>
      <c r="I335" t="s">
        <v>18</v>
      </c>
      <c r="J335" t="s">
        <v>63</v>
      </c>
      <c r="K335" t="s">
        <v>64</v>
      </c>
      <c r="L335" t="s">
        <v>65</v>
      </c>
      <c r="M335">
        <f>SUMIFS(RawResultsLong!$P:$P,RawResultsLong!$A:$A,A335)</f>
        <v>37.840000000000003</v>
      </c>
      <c r="N335">
        <f t="shared" si="33"/>
        <v>1199.0772428828554</v>
      </c>
      <c r="O335" t="s">
        <v>72</v>
      </c>
      <c r="P335">
        <f>SUMIFS(TechnologyMapping!$D:$D,TechnologyMapping!$A:$A,C335)</f>
        <v>1</v>
      </c>
      <c r="Q335">
        <f t="shared" si="34"/>
        <v>1199.0772428828554</v>
      </c>
      <c r="R335">
        <f>SUMIFS(FactorInputs!$I:$I,FactorInputs!$A:$A,B335)</f>
        <v>0.64077213114800002</v>
      </c>
      <c r="S335" t="str">
        <f>_xlfn.XLOOKUP(B335,FactorInputs!$A$2:$A$888,FactorInputs!$F$2:$F$888,"")</f>
        <v>job/MW</v>
      </c>
      <c r="T335" t="str">
        <f>_xlfn.XLOOKUP(B335,FactorInputs!$A$2:$A$888,FactorInputs!$B$2:$B$888,"")</f>
        <v>Rutovitz 2015</v>
      </c>
      <c r="U335" t="str">
        <f>_xlfn.XLOOKUP(B335,FactorInputs!$A$2:$A$888,FactorInputs!$T$2:$T$888,"")</f>
        <v>Rutovitz 2015</v>
      </c>
      <c r="V335">
        <f t="shared" si="35"/>
        <v>768.33528033311529</v>
      </c>
    </row>
    <row r="336" spans="1:23" x14ac:dyDescent="0.3">
      <c r="A336" t="str">
        <f t="shared" si="30"/>
        <v>CN|AccumulatedNewCapacity|RE1|PWRSOLRTP|2037</v>
      </c>
      <c r="B336" t="str">
        <f t="shared" si="31"/>
        <v>Rooftop solar PV|2037|O&amp;M|Direct</v>
      </c>
      <c r="C336" t="str">
        <f t="shared" si="32"/>
        <v>PWRSOLRTP|Rooftop solar PV</v>
      </c>
      <c r="D336" t="s">
        <v>39</v>
      </c>
      <c r="E336" t="s">
        <v>40</v>
      </c>
      <c r="F336" t="s">
        <v>19</v>
      </c>
      <c r="G336" t="s">
        <v>31</v>
      </c>
      <c r="H336">
        <v>2037</v>
      </c>
      <c r="I336" t="s">
        <v>18</v>
      </c>
      <c r="J336" t="s">
        <v>63</v>
      </c>
      <c r="K336" t="s">
        <v>64</v>
      </c>
      <c r="L336" t="s">
        <v>65</v>
      </c>
      <c r="M336">
        <f>SUMIFS(RawResultsLong!$P:$P,RawResultsLong!$A:$A,A336)</f>
        <v>174.07</v>
      </c>
      <c r="N336">
        <f t="shared" si="33"/>
        <v>5515.9454457880192</v>
      </c>
      <c r="O336" t="s">
        <v>71</v>
      </c>
      <c r="P336">
        <f>SUMIFS(TechnologyMapping!$D:$D,TechnologyMapping!$A:$A,C336)</f>
        <v>1</v>
      </c>
      <c r="Q336">
        <f t="shared" si="34"/>
        <v>5515.9454457880192</v>
      </c>
      <c r="R336">
        <f>SUMIFS(FactorInputs!$I:$I,FactorInputs!$A:$A,B336)</f>
        <v>0.243441176471</v>
      </c>
      <c r="S336" t="str">
        <f>_xlfn.XLOOKUP(B336,FactorInputs!$A$2:$A$888,FactorInputs!$F$2:$F$888,"")</f>
        <v>job/MW</v>
      </c>
      <c r="T336" t="str">
        <f>_xlfn.XLOOKUP(B336,FactorInputs!$A$2:$A$888,FactorInputs!$B$2:$B$888,"")</f>
        <v>JEDI-US</v>
      </c>
      <c r="U336" t="str">
        <f>_xlfn.XLOOKUP(B336,FactorInputs!$A$2:$A$888,FactorInputs!$T$2:$T$888,"")</f>
        <v>JEDI-US</v>
      </c>
      <c r="V336">
        <f t="shared" si="35"/>
        <v>1342.80824867249</v>
      </c>
    </row>
    <row r="337" spans="1:23" x14ac:dyDescent="0.3">
      <c r="A337" t="str">
        <f t="shared" si="30"/>
        <v>CN|AccumulatedNewCapacity|RE1|PWRSOLRTP_ZNI|2037</v>
      </c>
      <c r="B337" t="str">
        <f t="shared" si="31"/>
        <v>Rooftop solar PV|2037|O&amp;M|Direct</v>
      </c>
      <c r="C337" t="str">
        <f t="shared" si="32"/>
        <v>PWRSOLRTP_ZNI|Rooftop solar PV</v>
      </c>
      <c r="D337" t="s">
        <v>39</v>
      </c>
      <c r="E337" t="s">
        <v>40</v>
      </c>
      <c r="F337" t="s">
        <v>19</v>
      </c>
      <c r="G337" t="s">
        <v>32</v>
      </c>
      <c r="H337">
        <v>2037</v>
      </c>
      <c r="I337" t="s">
        <v>18</v>
      </c>
      <c r="J337" t="s">
        <v>63</v>
      </c>
      <c r="K337" t="s">
        <v>64</v>
      </c>
      <c r="L337" t="s">
        <v>65</v>
      </c>
      <c r="M337">
        <f>SUMIFS(RawResultsLong!$P:$P,RawResultsLong!$A:$A,A337)</f>
        <v>0.81149631771257125</v>
      </c>
      <c r="N337">
        <f t="shared" si="33"/>
        <v>25.714766576437093</v>
      </c>
      <c r="O337" t="s">
        <v>71</v>
      </c>
      <c r="P337">
        <f>SUMIFS(TechnologyMapping!$D:$D,TechnologyMapping!$A:$A,C337)</f>
        <v>1</v>
      </c>
      <c r="Q337">
        <f t="shared" si="34"/>
        <v>25.714766576437093</v>
      </c>
      <c r="R337">
        <f>SUMIFS(FactorInputs!$I:$I,FactorInputs!$A:$A,B337)</f>
        <v>0.243441176471</v>
      </c>
      <c r="S337" t="str">
        <f>_xlfn.XLOOKUP(B337,FactorInputs!$A$2:$A$888,FactorInputs!$F$2:$F$888,"")</f>
        <v>job/MW</v>
      </c>
      <c r="T337" t="str">
        <f>_xlfn.XLOOKUP(B337,FactorInputs!$A$2:$A$888,FactorInputs!$B$2:$B$888,"")</f>
        <v>JEDI-US</v>
      </c>
      <c r="U337" t="str">
        <f>_xlfn.XLOOKUP(B337,FactorInputs!$A$2:$A$888,FactorInputs!$T$2:$T$888,"")</f>
        <v>JEDI-US</v>
      </c>
      <c r="V337">
        <f t="shared" si="35"/>
        <v>6.2600330280449947</v>
      </c>
      <c r="W337" t="s">
        <v>73</v>
      </c>
    </row>
    <row r="338" spans="1:23" x14ac:dyDescent="0.3">
      <c r="A338" t="str">
        <f t="shared" si="30"/>
        <v>CN|AccumulatedNewCapacity|RE1|PWRSOLUGE|2037</v>
      </c>
      <c r="B338" t="str">
        <f t="shared" si="31"/>
        <v>Utility-scale solar PV|2037|O&amp;M|Direct</v>
      </c>
      <c r="C338" t="str">
        <f t="shared" si="32"/>
        <v>PWRSOLUGE|Utility-scale solar PV</v>
      </c>
      <c r="D338" t="s">
        <v>39</v>
      </c>
      <c r="E338" t="s">
        <v>40</v>
      </c>
      <c r="F338" t="s">
        <v>19</v>
      </c>
      <c r="G338" t="s">
        <v>33</v>
      </c>
      <c r="H338">
        <v>2037</v>
      </c>
      <c r="I338" t="s">
        <v>18</v>
      </c>
      <c r="J338" t="s">
        <v>63</v>
      </c>
      <c r="K338" t="s">
        <v>64</v>
      </c>
      <c r="L338" t="s">
        <v>65</v>
      </c>
      <c r="M338">
        <f>SUMIFS(RawResultsLong!$P:$P,RawResultsLong!$A:$A,A338)</f>
        <v>143.394192</v>
      </c>
      <c r="N338">
        <f t="shared" si="33"/>
        <v>4543.8877481177278</v>
      </c>
      <c r="O338" t="s">
        <v>66</v>
      </c>
      <c r="P338">
        <f>SUMIFS(TechnologyMapping!$D:$D,TechnologyMapping!$A:$A,C338)</f>
        <v>1</v>
      </c>
      <c r="Q338">
        <f t="shared" si="34"/>
        <v>4543.8877481177278</v>
      </c>
      <c r="R338">
        <f>SUMIFS(FactorInputs!$I:$I,FactorInputs!$A:$A,B338)</f>
        <v>7.8047635135100005E-2</v>
      </c>
      <c r="S338" t="str">
        <f>_xlfn.XLOOKUP(B338,FactorInputs!$A$2:$A$888,FactorInputs!$F$2:$F$888,"")</f>
        <v>job/MW</v>
      </c>
      <c r="T338" t="str">
        <f>_xlfn.XLOOKUP(B338,FactorInputs!$A$2:$A$888,FactorInputs!$B$2:$B$888,"")</f>
        <v>I-JEDI</v>
      </c>
      <c r="U338" t="str">
        <f>_xlfn.XLOOKUP(B338,FactorInputs!$A$2:$A$888,FactorInputs!$T$2:$T$888,"")</f>
        <v>I-JEDI</v>
      </c>
      <c r="V338">
        <f t="shared" si="35"/>
        <v>354.63969305994362</v>
      </c>
    </row>
    <row r="339" spans="1:23" x14ac:dyDescent="0.3">
      <c r="A339" t="str">
        <f t="shared" si="30"/>
        <v>CN|AccumulatedNewCapacity|RE1|PWRSOLUPE|2037</v>
      </c>
      <c r="B339" t="str">
        <f t="shared" si="31"/>
        <v>Utility-scale solar PV|2037|O&amp;M|Direct</v>
      </c>
      <c r="C339" t="str">
        <f t="shared" si="32"/>
        <v>PWRSOLUPE|Utility-scale solar PV</v>
      </c>
      <c r="D339" t="s">
        <v>39</v>
      </c>
      <c r="E339" t="s">
        <v>40</v>
      </c>
      <c r="F339" t="s">
        <v>19</v>
      </c>
      <c r="G339" t="s">
        <v>34</v>
      </c>
      <c r="H339">
        <v>2037</v>
      </c>
      <c r="I339" t="s">
        <v>18</v>
      </c>
      <c r="J339" t="s">
        <v>63</v>
      </c>
      <c r="K339" t="s">
        <v>64</v>
      </c>
      <c r="L339" t="s">
        <v>65</v>
      </c>
      <c r="M339">
        <f>SUMIFS(RawResultsLong!$P:$P,RawResultsLong!$A:$A,A339)</f>
        <v>12.14419823999993</v>
      </c>
      <c r="N339">
        <f t="shared" si="33"/>
        <v>384.82642026009364</v>
      </c>
      <c r="O339" t="s">
        <v>66</v>
      </c>
      <c r="P339">
        <f>SUMIFS(TechnologyMapping!$D:$D,TechnologyMapping!$A:$A,C339)</f>
        <v>1</v>
      </c>
      <c r="Q339">
        <f t="shared" si="34"/>
        <v>384.82642026009364</v>
      </c>
      <c r="R339">
        <f>SUMIFS(FactorInputs!$I:$I,FactorInputs!$A:$A,B339)</f>
        <v>7.8047635135100005E-2</v>
      </c>
      <c r="S339" t="str">
        <f>_xlfn.XLOOKUP(B339,FactorInputs!$A$2:$A$888,FactorInputs!$F$2:$F$888,"")</f>
        <v>job/MW</v>
      </c>
      <c r="T339" t="str">
        <f>_xlfn.XLOOKUP(B339,FactorInputs!$A$2:$A$888,FactorInputs!$B$2:$B$888,"")</f>
        <v>I-JEDI</v>
      </c>
      <c r="U339" t="str">
        <f>_xlfn.XLOOKUP(B339,FactorInputs!$A$2:$A$888,FactorInputs!$T$2:$T$888,"")</f>
        <v>I-JEDI</v>
      </c>
      <c r="V339">
        <f t="shared" si="35"/>
        <v>30.034792038806444</v>
      </c>
      <c r="W339" t="s">
        <v>67</v>
      </c>
    </row>
    <row r="340" spans="1:23" x14ac:dyDescent="0.3">
      <c r="A340" t="str">
        <f t="shared" si="30"/>
        <v>CN|AccumulatedNewCapacity|RE1|PWRWNDOFS_FIX|2037</v>
      </c>
      <c r="B340" t="str">
        <f t="shared" si="31"/>
        <v>Offshore wind (fixed)|2037|O&amp;M|Direct</v>
      </c>
      <c r="C340" t="str">
        <f t="shared" si="32"/>
        <v>PWRWNDOFS_FIX|Offshore wind (fixed)</v>
      </c>
      <c r="D340" t="s">
        <v>39</v>
      </c>
      <c r="E340" t="s">
        <v>40</v>
      </c>
      <c r="F340" t="s">
        <v>19</v>
      </c>
      <c r="G340" t="s">
        <v>42</v>
      </c>
      <c r="H340">
        <v>2037</v>
      </c>
      <c r="I340" t="s">
        <v>18</v>
      </c>
      <c r="J340" t="s">
        <v>63</v>
      </c>
      <c r="K340" t="s">
        <v>64</v>
      </c>
      <c r="L340" t="s">
        <v>65</v>
      </c>
      <c r="M340">
        <f>SUMIFS(RawResultsLong!$P:$P,RawResultsLong!$A:$A,A340)</f>
        <v>36.184766587762063</v>
      </c>
      <c r="N340">
        <f t="shared" si="33"/>
        <v>1146.6260611631449</v>
      </c>
      <c r="O340" t="s">
        <v>74</v>
      </c>
      <c r="P340">
        <f>SUMIFS(TechnologyMapping!$D:$D,TechnologyMapping!$A:$A,C340)</f>
        <v>1</v>
      </c>
      <c r="Q340">
        <f t="shared" si="34"/>
        <v>1146.6260611631449</v>
      </c>
      <c r="R340">
        <f>SUMIFS(FactorInputs!$I:$I,FactorInputs!$A:$A,B340)</f>
        <v>7.0489216589899997E-2</v>
      </c>
      <c r="S340" t="str">
        <f>_xlfn.XLOOKUP(B340,FactorInputs!$A$2:$A$888,FactorInputs!$F$2:$F$888,"")</f>
        <v>job/MW</v>
      </c>
      <c r="T340" t="str">
        <f>_xlfn.XLOOKUP(B340,FactorInputs!$A$2:$A$888,FactorInputs!$B$2:$B$888,"")</f>
        <v>French QBIS 2023</v>
      </c>
      <c r="U340" t="str">
        <f>_xlfn.XLOOKUP(B340,FactorInputs!$A$2:$A$888,FactorInputs!$T$2:$T$888,"")</f>
        <v>French QBIS 2023</v>
      </c>
      <c r="V340">
        <f t="shared" si="35"/>
        <v>80.824772772952841</v>
      </c>
    </row>
    <row r="341" spans="1:23" x14ac:dyDescent="0.3">
      <c r="A341" t="str">
        <f t="shared" si="30"/>
        <v>CN|AccumulatedNewCapacity|RE1|PWRWNDONS|2037</v>
      </c>
      <c r="B341" t="str">
        <f t="shared" si="31"/>
        <v>Onshore wind|2037|O&amp;M|Direct</v>
      </c>
      <c r="C341" t="str">
        <f t="shared" si="32"/>
        <v>PWRWNDONS|Onshore wind</v>
      </c>
      <c r="D341" t="s">
        <v>39</v>
      </c>
      <c r="E341" t="s">
        <v>40</v>
      </c>
      <c r="F341" t="s">
        <v>19</v>
      </c>
      <c r="G341" t="s">
        <v>36</v>
      </c>
      <c r="H341">
        <v>2037</v>
      </c>
      <c r="I341" t="s">
        <v>18</v>
      </c>
      <c r="J341" t="s">
        <v>63</v>
      </c>
      <c r="K341" t="s">
        <v>64</v>
      </c>
      <c r="L341" t="s">
        <v>65</v>
      </c>
      <c r="M341">
        <f>SUMIFS(RawResultsLong!$P:$P,RawResultsLong!$A:$A,A341)</f>
        <v>236.5194464844356</v>
      </c>
      <c r="N341">
        <f t="shared" si="33"/>
        <v>7494.8489899243168</v>
      </c>
      <c r="O341" t="s">
        <v>68</v>
      </c>
      <c r="P341">
        <f>SUMIFS(TechnologyMapping!$D:$D,TechnologyMapping!$A:$A,C341)</f>
        <v>1</v>
      </c>
      <c r="Q341">
        <f t="shared" si="34"/>
        <v>7494.8489899243168</v>
      </c>
      <c r="R341">
        <f>SUMIFS(FactorInputs!$I:$I,FactorInputs!$A:$A,B341)</f>
        <v>2.79306569343E-2</v>
      </c>
      <c r="S341" t="str">
        <f>_xlfn.XLOOKUP(B341,FactorInputs!$A$2:$A$888,FactorInputs!$F$2:$F$888,"")</f>
        <v>job/MW</v>
      </c>
      <c r="T341" t="str">
        <f>_xlfn.XLOOKUP(B341,FactorInputs!$A$2:$A$888,FactorInputs!$B$2:$B$888,"")</f>
        <v>I-JEDI</v>
      </c>
      <c r="U341" t="str">
        <f>_xlfn.XLOOKUP(B341,FactorInputs!$A$2:$A$888,FactorInputs!$T$2:$T$888,"")</f>
        <v>I-JEDI</v>
      </c>
      <c r="V341">
        <f t="shared" si="35"/>
        <v>209.33605591196098</v>
      </c>
    </row>
    <row r="342" spans="1:23" x14ac:dyDescent="0.3">
      <c r="A342" t="str">
        <f t="shared" si="30"/>
        <v>CN|NewCapacity|RE1|PWRSOLRTP|2037</v>
      </c>
      <c r="B342" t="str">
        <f t="shared" si="31"/>
        <v>Rooftop solar PV|2037|Construction&amp;Manufacturing|Direct</v>
      </c>
      <c r="C342" t="str">
        <f t="shared" si="32"/>
        <v>PWRSOLRTP|Rooftop solar PV</v>
      </c>
      <c r="D342" t="s">
        <v>39</v>
      </c>
      <c r="E342" t="s">
        <v>40</v>
      </c>
      <c r="F342" t="s">
        <v>19</v>
      </c>
      <c r="G342" t="s">
        <v>31</v>
      </c>
      <c r="H342">
        <v>2037</v>
      </c>
      <c r="I342" t="s">
        <v>37</v>
      </c>
      <c r="J342" t="s">
        <v>69</v>
      </c>
      <c r="K342" t="s">
        <v>70</v>
      </c>
      <c r="L342" t="s">
        <v>65</v>
      </c>
      <c r="M342">
        <f>SUMIFS(RawResultsLong!$P:$P,RawResultsLong!$A:$A,A342)</f>
        <v>10.15</v>
      </c>
      <c r="N342">
        <f t="shared" si="33"/>
        <v>321.63409131239382</v>
      </c>
      <c r="O342" t="s">
        <v>71</v>
      </c>
      <c r="P342">
        <f>SUMIFS(TechnologyMapping!$D:$D,TechnologyMapping!$A:$A,C342)</f>
        <v>1</v>
      </c>
      <c r="Q342">
        <f t="shared" si="34"/>
        <v>321.63409131239382</v>
      </c>
      <c r="R342">
        <f>SUMIFS(FactorInputs!$I:$I,FactorInputs!$A:$A,B342)</f>
        <v>5.6944394207900002</v>
      </c>
      <c r="S342" t="str">
        <f>_xlfn.XLOOKUP(B342,FactorInputs!$A$2:$A$888,FactorInputs!$F$2:$F$888,"")</f>
        <v>job-yr/MW</v>
      </c>
      <c r="T342" t="str">
        <f>_xlfn.XLOOKUP(B342,FactorInputs!$A$2:$A$888,FactorInputs!$B$2:$B$888,"")</f>
        <v>JEDI-US</v>
      </c>
      <c r="U342" t="str">
        <f>_xlfn.XLOOKUP(B342,FactorInputs!$A$2:$A$888,FactorInputs!$T$2:$T$888,"")</f>
        <v>JEDI-US</v>
      </c>
      <c r="V342">
        <f t="shared" si="35"/>
        <v>1831.5258486392659</v>
      </c>
    </row>
    <row r="343" spans="1:23" x14ac:dyDescent="0.3">
      <c r="A343" t="str">
        <f t="shared" si="30"/>
        <v>CN|NewCapacity|RE1|PWRSOLRTP_ZNI|2037</v>
      </c>
      <c r="B343" t="str">
        <f t="shared" si="31"/>
        <v>Rooftop solar PV|2037|Construction&amp;Manufacturing|Direct</v>
      </c>
      <c r="C343" t="str">
        <f t="shared" si="32"/>
        <v>PWRSOLRTP_ZNI|Rooftop solar PV</v>
      </c>
      <c r="D343" t="s">
        <v>39</v>
      </c>
      <c r="E343" t="s">
        <v>40</v>
      </c>
      <c r="F343" t="s">
        <v>19</v>
      </c>
      <c r="G343" t="s">
        <v>32</v>
      </c>
      <c r="H343">
        <v>2037</v>
      </c>
      <c r="I343" t="s">
        <v>37</v>
      </c>
      <c r="J343" t="s">
        <v>69</v>
      </c>
      <c r="K343" t="s">
        <v>70</v>
      </c>
      <c r="L343" t="s">
        <v>65</v>
      </c>
      <c r="M343">
        <f>SUMIFS(RawResultsLong!$P:$P,RawResultsLong!$A:$A,A343)</f>
        <v>4.1140541796127812E-2</v>
      </c>
      <c r="N343">
        <f t="shared" si="33"/>
        <v>1.3036651011524265</v>
      </c>
      <c r="O343" t="s">
        <v>71</v>
      </c>
      <c r="P343">
        <f>SUMIFS(TechnologyMapping!$D:$D,TechnologyMapping!$A:$A,C343)</f>
        <v>1</v>
      </c>
      <c r="Q343">
        <f t="shared" si="34"/>
        <v>1.3036651011524265</v>
      </c>
      <c r="R343">
        <f>SUMIFS(FactorInputs!$I:$I,FactorInputs!$A:$A,B343)</f>
        <v>5.6944394207900002</v>
      </c>
      <c r="S343" t="str">
        <f>_xlfn.XLOOKUP(B343,FactorInputs!$A$2:$A$888,FactorInputs!$F$2:$F$888,"")</f>
        <v>job-yr/MW</v>
      </c>
      <c r="T343" t="str">
        <f>_xlfn.XLOOKUP(B343,FactorInputs!$A$2:$A$888,FactorInputs!$B$2:$B$888,"")</f>
        <v>JEDI-US</v>
      </c>
      <c r="U343" t="str">
        <f>_xlfn.XLOOKUP(B343,FactorInputs!$A$2:$A$888,FactorInputs!$T$2:$T$888,"")</f>
        <v>JEDI-US</v>
      </c>
      <c r="V343">
        <f t="shared" si="35"/>
        <v>7.4236419435105603</v>
      </c>
      <c r="W343" t="s">
        <v>73</v>
      </c>
    </row>
    <row r="344" spans="1:23" x14ac:dyDescent="0.3">
      <c r="A344" t="str">
        <f t="shared" si="30"/>
        <v>CN|NewCapacity|RE1|PWRWNDOFS_FIX|2037</v>
      </c>
      <c r="B344" t="str">
        <f t="shared" si="31"/>
        <v>Offshore wind (fixed)|2037|Construction&amp;Manufacturing|Direct</v>
      </c>
      <c r="C344" t="str">
        <f t="shared" si="32"/>
        <v>PWRWNDOFS_FIX|Offshore wind (fixed)</v>
      </c>
      <c r="D344" t="s">
        <v>39</v>
      </c>
      <c r="E344" t="s">
        <v>40</v>
      </c>
      <c r="F344" t="s">
        <v>19</v>
      </c>
      <c r="G344" t="s">
        <v>42</v>
      </c>
      <c r="H344">
        <v>2037</v>
      </c>
      <c r="I344" t="s">
        <v>37</v>
      </c>
      <c r="J344" t="s">
        <v>69</v>
      </c>
      <c r="K344" t="s">
        <v>70</v>
      </c>
      <c r="L344" t="s">
        <v>65</v>
      </c>
      <c r="M344">
        <f>SUMIFS(RawResultsLong!$P:$P,RawResultsLong!$A:$A,A344)</f>
        <v>23.130800903893491</v>
      </c>
      <c r="N344">
        <f t="shared" si="33"/>
        <v>732.97085025139711</v>
      </c>
      <c r="O344" t="s">
        <v>74</v>
      </c>
      <c r="P344">
        <f>SUMIFS(TechnologyMapping!$D:$D,TechnologyMapping!$A:$A,C344)</f>
        <v>1</v>
      </c>
      <c r="Q344">
        <f t="shared" si="34"/>
        <v>732.97085025139711</v>
      </c>
      <c r="R344">
        <f>SUMIFS(FactorInputs!$I:$I,FactorInputs!$A:$A,B344)</f>
        <v>4.2776496005700002</v>
      </c>
      <c r="S344" t="str">
        <f>_xlfn.XLOOKUP(B344,FactorInputs!$A$2:$A$888,FactorInputs!$F$2:$F$888,"")</f>
        <v>job-yr/MW</v>
      </c>
      <c r="T344" t="str">
        <f>_xlfn.XLOOKUP(B344,FactorInputs!$A$2:$A$888,FactorInputs!$B$2:$B$888,"")</f>
        <v>French QBIS 2023</v>
      </c>
      <c r="U344" t="str">
        <f>_xlfn.XLOOKUP(B344,FactorInputs!$A$2:$A$888,FactorInputs!$T$2:$T$888,"")</f>
        <v>French QBIS 2023</v>
      </c>
      <c r="V344">
        <f t="shared" si="35"/>
        <v>3135.3924648073421</v>
      </c>
    </row>
    <row r="345" spans="1:23" x14ac:dyDescent="0.3">
      <c r="A345" t="str">
        <f t="shared" si="30"/>
        <v>CN|NewCapacity|RE1|PWRWNDONS|2037</v>
      </c>
      <c r="B345" t="str">
        <f t="shared" si="31"/>
        <v>Onshore wind|2037|Construction&amp;Manufacturing|Direct</v>
      </c>
      <c r="C345" t="str">
        <f t="shared" si="32"/>
        <v>PWRWNDONS|Onshore wind</v>
      </c>
      <c r="D345" t="s">
        <v>39</v>
      </c>
      <c r="E345" t="s">
        <v>40</v>
      </c>
      <c r="F345" t="s">
        <v>19</v>
      </c>
      <c r="G345" t="s">
        <v>36</v>
      </c>
      <c r="H345">
        <v>2037</v>
      </c>
      <c r="I345" t="s">
        <v>37</v>
      </c>
      <c r="J345" t="s">
        <v>69</v>
      </c>
      <c r="K345" t="s">
        <v>70</v>
      </c>
      <c r="L345" t="s">
        <v>65</v>
      </c>
      <c r="M345">
        <f>SUMIFS(RawResultsLong!$P:$P,RawResultsLong!$A:$A,A345)</f>
        <v>47.31</v>
      </c>
      <c r="N345">
        <f t="shared" si="33"/>
        <v>1499.1634344817096</v>
      </c>
      <c r="O345" t="s">
        <v>68</v>
      </c>
      <c r="P345">
        <f>SUMIFS(TechnologyMapping!$D:$D,TechnologyMapping!$A:$A,C345)</f>
        <v>1</v>
      </c>
      <c r="Q345">
        <f t="shared" si="34"/>
        <v>1499.1634344817096</v>
      </c>
      <c r="R345">
        <f>SUMIFS(FactorInputs!$I:$I,FactorInputs!$A:$A,B345)</f>
        <v>6.7499027431799998</v>
      </c>
      <c r="S345" t="str">
        <f>_xlfn.XLOOKUP(B345,FactorInputs!$A$2:$A$888,FactorInputs!$F$2:$F$888,"")</f>
        <v>job-yr/MW</v>
      </c>
      <c r="T345" t="str">
        <f>_xlfn.XLOOKUP(B345,FactorInputs!$A$2:$A$888,FactorInputs!$B$2:$B$888,"")</f>
        <v>I-JEDI</v>
      </c>
      <c r="U345" t="str">
        <f>_xlfn.XLOOKUP(B345,FactorInputs!$A$2:$A$888,FactorInputs!$T$2:$T$888,"")</f>
        <v>I-JEDI</v>
      </c>
      <c r="V345">
        <f t="shared" si="35"/>
        <v>10119.207378883242</v>
      </c>
    </row>
    <row r="346" spans="1:23" x14ac:dyDescent="0.3">
      <c r="A346" t="str">
        <f t="shared" si="30"/>
        <v>CN|AccumulatedNewCapacity|RE1|PWRHYDDAM|2038</v>
      </c>
      <c r="B346" t="str">
        <f t="shared" si="31"/>
        <v>Hydro (large)|2038|O&amp;M|Direct</v>
      </c>
      <c r="C346" t="str">
        <f t="shared" si="32"/>
        <v>PWRHYDDAM|Hydro (large)</v>
      </c>
      <c r="D346" t="s">
        <v>39</v>
      </c>
      <c r="E346" t="s">
        <v>40</v>
      </c>
      <c r="F346" t="s">
        <v>19</v>
      </c>
      <c r="G346" t="s">
        <v>24</v>
      </c>
      <c r="H346">
        <v>2038</v>
      </c>
      <c r="I346" t="s">
        <v>18</v>
      </c>
      <c r="J346" t="s">
        <v>63</v>
      </c>
      <c r="K346" t="s">
        <v>64</v>
      </c>
      <c r="L346" t="s">
        <v>65</v>
      </c>
      <c r="M346">
        <f>SUMIFS(RawResultsLong!$P:$P,RawResultsLong!$A:$A,A346)</f>
        <v>37.840000000000003</v>
      </c>
      <c r="N346">
        <f t="shared" si="33"/>
        <v>1199.0772428828554</v>
      </c>
      <c r="O346" t="s">
        <v>72</v>
      </c>
      <c r="P346">
        <f>SUMIFS(TechnologyMapping!$D:$D,TechnologyMapping!$A:$A,C346)</f>
        <v>1</v>
      </c>
      <c r="Q346">
        <f t="shared" si="34"/>
        <v>1199.0772428828554</v>
      </c>
      <c r="R346">
        <f>SUMIFS(FactorInputs!$I:$I,FactorInputs!$A:$A,B346)</f>
        <v>0.64059672131099998</v>
      </c>
      <c r="S346" t="str">
        <f>_xlfn.XLOOKUP(B346,FactorInputs!$A$2:$A$888,FactorInputs!$F$2:$F$888,"")</f>
        <v>job/MW</v>
      </c>
      <c r="T346" t="str">
        <f>_xlfn.XLOOKUP(B346,FactorInputs!$A$2:$A$888,FactorInputs!$B$2:$B$888,"")</f>
        <v>Rutovitz 2015</v>
      </c>
      <c r="U346" t="str">
        <f>_xlfn.XLOOKUP(B346,FactorInputs!$A$2:$A$888,FactorInputs!$T$2:$T$888,"")</f>
        <v>Rutovitz 2015</v>
      </c>
      <c r="V346">
        <f t="shared" si="35"/>
        <v>768.12495038939073</v>
      </c>
    </row>
    <row r="347" spans="1:23" x14ac:dyDescent="0.3">
      <c r="A347" t="str">
        <f t="shared" si="30"/>
        <v>CN|AccumulatedNewCapacity|RE1|PWRSOLRTP|2038</v>
      </c>
      <c r="B347" t="str">
        <f t="shared" si="31"/>
        <v>Rooftop solar PV|2038|O&amp;M|Direct</v>
      </c>
      <c r="C347" t="str">
        <f t="shared" si="32"/>
        <v>PWRSOLRTP|Rooftop solar PV</v>
      </c>
      <c r="D347" t="s">
        <v>39</v>
      </c>
      <c r="E347" t="s">
        <v>40</v>
      </c>
      <c r="F347" t="s">
        <v>19</v>
      </c>
      <c r="G347" t="s">
        <v>31</v>
      </c>
      <c r="H347">
        <v>2038</v>
      </c>
      <c r="I347" t="s">
        <v>18</v>
      </c>
      <c r="J347" t="s">
        <v>63</v>
      </c>
      <c r="K347" t="s">
        <v>64</v>
      </c>
      <c r="L347" t="s">
        <v>65</v>
      </c>
      <c r="M347">
        <f>SUMIFS(RawResultsLong!$P:$P,RawResultsLong!$A:$A,A347)</f>
        <v>181.77</v>
      </c>
      <c r="N347">
        <f t="shared" si="33"/>
        <v>5759.9437219560423</v>
      </c>
      <c r="O347" t="s">
        <v>71</v>
      </c>
      <c r="P347">
        <f>SUMIFS(TechnologyMapping!$D:$D,TechnologyMapping!$A:$A,C347)</f>
        <v>1</v>
      </c>
      <c r="Q347">
        <f t="shared" si="34"/>
        <v>5759.9437219560423</v>
      </c>
      <c r="R347">
        <f>SUMIFS(FactorInputs!$I:$I,FactorInputs!$A:$A,B347)</f>
        <v>0.24141176470600001</v>
      </c>
      <c r="S347" t="str">
        <f>_xlfn.XLOOKUP(B347,FactorInputs!$A$2:$A$888,FactorInputs!$F$2:$F$888,"")</f>
        <v>job/MW</v>
      </c>
      <c r="T347" t="str">
        <f>_xlfn.XLOOKUP(B347,FactorInputs!$A$2:$A$888,FactorInputs!$B$2:$B$888,"")</f>
        <v>JEDI-US</v>
      </c>
      <c r="U347" t="str">
        <f>_xlfn.XLOOKUP(B347,FactorInputs!$A$2:$A$888,FactorInputs!$T$2:$T$888,"")</f>
        <v>JEDI-US</v>
      </c>
      <c r="V347">
        <f t="shared" si="35"/>
        <v>1390.5181785246541</v>
      </c>
    </row>
    <row r="348" spans="1:23" x14ac:dyDescent="0.3">
      <c r="A348" t="str">
        <f t="shared" si="30"/>
        <v>CN|AccumulatedNewCapacity|RE1|PWRSOLRTP_ZNI|2038</v>
      </c>
      <c r="B348" t="str">
        <f t="shared" si="31"/>
        <v>Rooftop solar PV|2038|O&amp;M|Direct</v>
      </c>
      <c r="C348" t="str">
        <f t="shared" si="32"/>
        <v>PWRSOLRTP_ZNI|Rooftop solar PV</v>
      </c>
      <c r="D348" t="s">
        <v>39</v>
      </c>
      <c r="E348" t="s">
        <v>40</v>
      </c>
      <c r="F348" t="s">
        <v>19</v>
      </c>
      <c r="G348" t="s">
        <v>32</v>
      </c>
      <c r="H348">
        <v>2038</v>
      </c>
      <c r="I348" t="s">
        <v>18</v>
      </c>
      <c r="J348" t="s">
        <v>63</v>
      </c>
      <c r="K348" t="s">
        <v>64</v>
      </c>
      <c r="L348" t="s">
        <v>65</v>
      </c>
      <c r="M348">
        <f>SUMIFS(RawResultsLong!$P:$P,RawResultsLong!$A:$A,A348)</f>
        <v>0.8534155502813684</v>
      </c>
      <c r="N348">
        <f t="shared" si="33"/>
        <v>27.043106899173839</v>
      </c>
      <c r="O348" t="s">
        <v>71</v>
      </c>
      <c r="P348">
        <f>SUMIFS(TechnologyMapping!$D:$D,TechnologyMapping!$A:$A,C348)</f>
        <v>1</v>
      </c>
      <c r="Q348">
        <f t="shared" si="34"/>
        <v>27.043106899173839</v>
      </c>
      <c r="R348">
        <f>SUMIFS(FactorInputs!$I:$I,FactorInputs!$A:$A,B348)</f>
        <v>0.24141176470600001</v>
      </c>
      <c r="S348" t="str">
        <f>_xlfn.XLOOKUP(B348,FactorInputs!$A$2:$A$888,FactorInputs!$F$2:$F$888,"")</f>
        <v>job/MW</v>
      </c>
      <c r="T348" t="str">
        <f>_xlfn.XLOOKUP(B348,FactorInputs!$A$2:$A$888,FactorInputs!$B$2:$B$888,"")</f>
        <v>JEDI-US</v>
      </c>
      <c r="U348" t="str">
        <f>_xlfn.XLOOKUP(B348,FactorInputs!$A$2:$A$888,FactorInputs!$T$2:$T$888,"")</f>
        <v>JEDI-US</v>
      </c>
      <c r="V348">
        <f t="shared" si="35"/>
        <v>6.5285241596625605</v>
      </c>
      <c r="W348" t="s">
        <v>73</v>
      </c>
    </row>
    <row r="349" spans="1:23" x14ac:dyDescent="0.3">
      <c r="A349" t="str">
        <f t="shared" si="30"/>
        <v>CN|AccumulatedNewCapacity|RE1|PWRSOLUGE|2038</v>
      </c>
      <c r="B349" t="str">
        <f t="shared" si="31"/>
        <v>Utility-scale solar PV|2038|O&amp;M|Direct</v>
      </c>
      <c r="C349" t="str">
        <f t="shared" si="32"/>
        <v>PWRSOLUGE|Utility-scale solar PV</v>
      </c>
      <c r="D349" t="s">
        <v>39</v>
      </c>
      <c r="E349" t="s">
        <v>40</v>
      </c>
      <c r="F349" t="s">
        <v>19</v>
      </c>
      <c r="G349" t="s">
        <v>33</v>
      </c>
      <c r="H349">
        <v>2038</v>
      </c>
      <c r="I349" t="s">
        <v>18</v>
      </c>
      <c r="J349" t="s">
        <v>63</v>
      </c>
      <c r="K349" t="s">
        <v>64</v>
      </c>
      <c r="L349" t="s">
        <v>65</v>
      </c>
      <c r="M349">
        <f>SUMIFS(RawResultsLong!$P:$P,RawResultsLong!$A:$A,A349)</f>
        <v>143.394192</v>
      </c>
      <c r="N349">
        <f t="shared" si="33"/>
        <v>4543.8877481177278</v>
      </c>
      <c r="O349" t="s">
        <v>66</v>
      </c>
      <c r="P349">
        <f>SUMIFS(TechnologyMapping!$D:$D,TechnologyMapping!$A:$A,C349)</f>
        <v>1</v>
      </c>
      <c r="Q349">
        <f t="shared" si="34"/>
        <v>4543.8877481177278</v>
      </c>
      <c r="R349">
        <f>SUMIFS(FactorInputs!$I:$I,FactorInputs!$A:$A,B349)</f>
        <v>7.7460810810800002E-2</v>
      </c>
      <c r="S349" t="str">
        <f>_xlfn.XLOOKUP(B349,FactorInputs!$A$2:$A$888,FactorInputs!$F$2:$F$888,"")</f>
        <v>job/MW</v>
      </c>
      <c r="T349" t="str">
        <f>_xlfn.XLOOKUP(B349,FactorInputs!$A$2:$A$888,FactorInputs!$B$2:$B$888,"")</f>
        <v>I-JEDI</v>
      </c>
      <c r="U349" t="str">
        <f>_xlfn.XLOOKUP(B349,FactorInputs!$A$2:$A$888,FactorInputs!$T$2:$T$888,"")</f>
        <v>I-JEDI</v>
      </c>
      <c r="V349">
        <f t="shared" si="35"/>
        <v>351.97322920245938</v>
      </c>
    </row>
    <row r="350" spans="1:23" x14ac:dyDescent="0.3">
      <c r="A350" t="str">
        <f t="shared" si="30"/>
        <v>CN|AccumulatedNewCapacity|RE1|PWRSOLUPE|2038</v>
      </c>
      <c r="B350" t="str">
        <f t="shared" si="31"/>
        <v>Utility-scale solar PV|2038|O&amp;M|Direct</v>
      </c>
      <c r="C350" t="str">
        <f t="shared" si="32"/>
        <v>PWRSOLUPE|Utility-scale solar PV</v>
      </c>
      <c r="D350" t="s">
        <v>39</v>
      </c>
      <c r="E350" t="s">
        <v>40</v>
      </c>
      <c r="F350" t="s">
        <v>19</v>
      </c>
      <c r="G350" t="s">
        <v>34</v>
      </c>
      <c r="H350">
        <v>2038</v>
      </c>
      <c r="I350" t="s">
        <v>18</v>
      </c>
      <c r="J350" t="s">
        <v>63</v>
      </c>
      <c r="K350" t="s">
        <v>64</v>
      </c>
      <c r="L350" t="s">
        <v>65</v>
      </c>
      <c r="M350">
        <f>SUMIFS(RawResultsLong!$P:$P,RawResultsLong!$A:$A,A350)</f>
        <v>12.14419823999993</v>
      </c>
      <c r="N350">
        <f t="shared" si="33"/>
        <v>384.82642026009364</v>
      </c>
      <c r="O350" t="s">
        <v>66</v>
      </c>
      <c r="P350">
        <f>SUMIFS(TechnologyMapping!$D:$D,TechnologyMapping!$A:$A,C350)</f>
        <v>1</v>
      </c>
      <c r="Q350">
        <f t="shared" si="34"/>
        <v>384.82642026009364</v>
      </c>
      <c r="R350">
        <f>SUMIFS(FactorInputs!$I:$I,FactorInputs!$A:$A,B350)</f>
        <v>7.7460810810800002E-2</v>
      </c>
      <c r="S350" t="str">
        <f>_xlfn.XLOOKUP(B350,FactorInputs!$A$2:$A$888,FactorInputs!$F$2:$F$888,"")</f>
        <v>job/MW</v>
      </c>
      <c r="T350" t="str">
        <f>_xlfn.XLOOKUP(B350,FactorInputs!$A$2:$A$888,FactorInputs!$B$2:$B$888,"")</f>
        <v>I-JEDI</v>
      </c>
      <c r="U350" t="str">
        <f>_xlfn.XLOOKUP(B350,FactorInputs!$A$2:$A$888,FactorInputs!$T$2:$T$888,"")</f>
        <v>I-JEDI</v>
      </c>
      <c r="V350">
        <f t="shared" si="35"/>
        <v>29.808966534764526</v>
      </c>
      <c r="W350" t="s">
        <v>67</v>
      </c>
    </row>
    <row r="351" spans="1:23" x14ac:dyDescent="0.3">
      <c r="A351" t="str">
        <f t="shared" si="30"/>
        <v>CN|AccumulatedNewCapacity|RE1|PWRWNDOFS_FIX|2038</v>
      </c>
      <c r="B351" t="str">
        <f t="shared" si="31"/>
        <v>Offshore wind (fixed)|2038|O&amp;M|Direct</v>
      </c>
      <c r="C351" t="str">
        <f t="shared" si="32"/>
        <v>PWRWNDOFS_FIX|Offshore wind (fixed)</v>
      </c>
      <c r="D351" t="s">
        <v>39</v>
      </c>
      <c r="E351" t="s">
        <v>40</v>
      </c>
      <c r="F351" t="s">
        <v>19</v>
      </c>
      <c r="G351" t="s">
        <v>42</v>
      </c>
      <c r="H351">
        <v>2038</v>
      </c>
      <c r="I351" t="s">
        <v>18</v>
      </c>
      <c r="J351" t="s">
        <v>63</v>
      </c>
      <c r="K351" t="s">
        <v>64</v>
      </c>
      <c r="L351" t="s">
        <v>65</v>
      </c>
      <c r="M351">
        <f>SUMIFS(RawResultsLong!$P:$P,RawResultsLong!$A:$A,A351)</f>
        <v>83.494766587762058</v>
      </c>
      <c r="N351">
        <f t="shared" si="33"/>
        <v>2645.7894956448545</v>
      </c>
      <c r="O351" t="s">
        <v>74</v>
      </c>
      <c r="P351">
        <f>SUMIFS(TechnologyMapping!$D:$D,TechnologyMapping!$A:$A,C351)</f>
        <v>1</v>
      </c>
      <c r="Q351">
        <f t="shared" si="34"/>
        <v>2645.7894956448545</v>
      </c>
      <c r="R351">
        <f>SUMIFS(FactorInputs!$I:$I,FactorInputs!$A:$A,B351)</f>
        <v>6.9296958525300004E-2</v>
      </c>
      <c r="S351" t="str">
        <f>_xlfn.XLOOKUP(B351,FactorInputs!$A$2:$A$888,FactorInputs!$F$2:$F$888,"")</f>
        <v>job/MW</v>
      </c>
      <c r="T351" t="str">
        <f>_xlfn.XLOOKUP(B351,FactorInputs!$A$2:$A$888,FactorInputs!$B$2:$B$888,"")</f>
        <v>French QBIS 2023</v>
      </c>
      <c r="U351" t="str">
        <f>_xlfn.XLOOKUP(B351,FactorInputs!$A$2:$A$888,FactorInputs!$T$2:$T$888,"")</f>
        <v>French QBIS 2023</v>
      </c>
      <c r="V351">
        <f t="shared" si="35"/>
        <v>183.34516494637589</v>
      </c>
    </row>
    <row r="352" spans="1:23" x14ac:dyDescent="0.3">
      <c r="A352" t="str">
        <f t="shared" si="30"/>
        <v>CN|AccumulatedNewCapacity|RE1|PWRWNDONS|2038</v>
      </c>
      <c r="B352" t="str">
        <f t="shared" si="31"/>
        <v>Onshore wind|2038|O&amp;M|Direct</v>
      </c>
      <c r="C352" t="str">
        <f t="shared" si="32"/>
        <v>PWRWNDONS|Onshore wind</v>
      </c>
      <c r="D352" t="s">
        <v>39</v>
      </c>
      <c r="E352" t="s">
        <v>40</v>
      </c>
      <c r="F352" t="s">
        <v>19</v>
      </c>
      <c r="G352" t="s">
        <v>36</v>
      </c>
      <c r="H352">
        <v>2038</v>
      </c>
      <c r="I352" t="s">
        <v>18</v>
      </c>
      <c r="J352" t="s">
        <v>63</v>
      </c>
      <c r="K352" t="s">
        <v>64</v>
      </c>
      <c r="L352" t="s">
        <v>65</v>
      </c>
      <c r="M352">
        <f>SUMIFS(RawResultsLong!$P:$P,RawResultsLong!$A:$A,A352)</f>
        <v>283.82944648443561</v>
      </c>
      <c r="N352">
        <f t="shared" si="33"/>
        <v>8994.0124244060244</v>
      </c>
      <c r="O352" t="s">
        <v>68</v>
      </c>
      <c r="P352">
        <f>SUMIFS(TechnologyMapping!$D:$D,TechnologyMapping!$A:$A,C352)</f>
        <v>1</v>
      </c>
      <c r="Q352">
        <f t="shared" si="34"/>
        <v>8994.0124244060244</v>
      </c>
      <c r="R352">
        <f>SUMIFS(FactorInputs!$I:$I,FactorInputs!$A:$A,B352)</f>
        <v>2.7854014598499999E-2</v>
      </c>
      <c r="S352" t="str">
        <f>_xlfn.XLOOKUP(B352,FactorInputs!$A$2:$A$888,FactorInputs!$F$2:$F$888,"")</f>
        <v>job/MW</v>
      </c>
      <c r="T352" t="str">
        <f>_xlfn.XLOOKUP(B352,FactorInputs!$A$2:$A$888,FactorInputs!$B$2:$B$888,"")</f>
        <v>I-JEDI</v>
      </c>
      <c r="U352" t="str">
        <f>_xlfn.XLOOKUP(B352,FactorInputs!$A$2:$A$888,FactorInputs!$T$2:$T$888,"")</f>
        <v>I-JEDI</v>
      </c>
      <c r="V352">
        <f t="shared" si="35"/>
        <v>250.51935336849579</v>
      </c>
    </row>
    <row r="353" spans="1:23" x14ac:dyDescent="0.3">
      <c r="A353" t="str">
        <f t="shared" si="30"/>
        <v>CN|NewCapacity|RE1|PWRSOLRTP|2038</v>
      </c>
      <c r="B353" t="str">
        <f t="shared" si="31"/>
        <v>Rooftop solar PV|2038|Construction&amp;Manufacturing|Direct</v>
      </c>
      <c r="C353" t="str">
        <f t="shared" si="32"/>
        <v>PWRSOLRTP|Rooftop solar PV</v>
      </c>
      <c r="D353" t="s">
        <v>39</v>
      </c>
      <c r="E353" t="s">
        <v>40</v>
      </c>
      <c r="F353" t="s">
        <v>19</v>
      </c>
      <c r="G353" t="s">
        <v>31</v>
      </c>
      <c r="H353">
        <v>2038</v>
      </c>
      <c r="I353" t="s">
        <v>37</v>
      </c>
      <c r="J353" t="s">
        <v>69</v>
      </c>
      <c r="K353" t="s">
        <v>70</v>
      </c>
      <c r="L353" t="s">
        <v>65</v>
      </c>
      <c r="M353">
        <f>SUMIFS(RawResultsLong!$P:$P,RawResultsLong!$A:$A,A353)</f>
        <v>7.7</v>
      </c>
      <c r="N353">
        <f t="shared" si="33"/>
        <v>243.9982761680229</v>
      </c>
      <c r="O353" t="s">
        <v>71</v>
      </c>
      <c r="P353">
        <f>SUMIFS(TechnologyMapping!$D:$D,TechnologyMapping!$A:$A,C353)</f>
        <v>1</v>
      </c>
      <c r="Q353">
        <f t="shared" si="34"/>
        <v>243.9982761680229</v>
      </c>
      <c r="R353">
        <f>SUMIFS(FactorInputs!$I:$I,FactorInputs!$A:$A,B353)</f>
        <v>5.5887564700099999</v>
      </c>
      <c r="S353" t="str">
        <f>_xlfn.XLOOKUP(B353,FactorInputs!$A$2:$A$888,FactorInputs!$F$2:$F$888,"")</f>
        <v>job-yr/MW</v>
      </c>
      <c r="T353" t="str">
        <f>_xlfn.XLOOKUP(B353,FactorInputs!$A$2:$A$888,FactorInputs!$B$2:$B$888,"")</f>
        <v>JEDI-US</v>
      </c>
      <c r="U353" t="str">
        <f>_xlfn.XLOOKUP(B353,FactorInputs!$A$2:$A$888,FactorInputs!$T$2:$T$888,"")</f>
        <v>JEDI-US</v>
      </c>
      <c r="V353">
        <f t="shared" si="35"/>
        <v>1363.6469446053247</v>
      </c>
    </row>
    <row r="354" spans="1:23" x14ac:dyDescent="0.3">
      <c r="A354" t="str">
        <f t="shared" si="30"/>
        <v>CN|NewCapacity|RE1|PWRSOLRTP_ZNI|2038</v>
      </c>
      <c r="B354" t="str">
        <f t="shared" si="31"/>
        <v>Rooftop solar PV|2038|Construction&amp;Manufacturing|Direct</v>
      </c>
      <c r="C354" t="str">
        <f t="shared" si="32"/>
        <v>PWRSOLRTP_ZNI|Rooftop solar PV</v>
      </c>
      <c r="D354" t="s">
        <v>39</v>
      </c>
      <c r="E354" t="s">
        <v>40</v>
      </c>
      <c r="F354" t="s">
        <v>19</v>
      </c>
      <c r="G354" t="s">
        <v>32</v>
      </c>
      <c r="H354">
        <v>2038</v>
      </c>
      <c r="I354" t="s">
        <v>37</v>
      </c>
      <c r="J354" t="s">
        <v>69</v>
      </c>
      <c r="K354" t="s">
        <v>70</v>
      </c>
      <c r="L354" t="s">
        <v>65</v>
      </c>
      <c r="M354">
        <f>SUMIFS(RawResultsLong!$P:$P,RawResultsLong!$A:$A,A354)</f>
        <v>4.1919232568797128E-2</v>
      </c>
      <c r="N354">
        <f t="shared" si="33"/>
        <v>1.3283403227367456</v>
      </c>
      <c r="O354" t="s">
        <v>71</v>
      </c>
      <c r="P354">
        <f>SUMIFS(TechnologyMapping!$D:$D,TechnologyMapping!$A:$A,C354)</f>
        <v>1</v>
      </c>
      <c r="Q354">
        <f t="shared" si="34"/>
        <v>1.3283403227367456</v>
      </c>
      <c r="R354">
        <f>SUMIFS(FactorInputs!$I:$I,FactorInputs!$A:$A,B354)</f>
        <v>5.5887564700099999</v>
      </c>
      <c r="S354" t="str">
        <f>_xlfn.XLOOKUP(B354,FactorInputs!$A$2:$A$888,FactorInputs!$F$2:$F$888,"")</f>
        <v>job-yr/MW</v>
      </c>
      <c r="T354" t="str">
        <f>_xlfn.XLOOKUP(B354,FactorInputs!$A$2:$A$888,FactorInputs!$B$2:$B$888,"")</f>
        <v>JEDI-US</v>
      </c>
      <c r="U354" t="str">
        <f>_xlfn.XLOOKUP(B354,FactorInputs!$A$2:$A$888,FactorInputs!$T$2:$T$888,"")</f>
        <v>JEDI-US</v>
      </c>
      <c r="V354">
        <f t="shared" si="35"/>
        <v>7.4237705730701586</v>
      </c>
      <c r="W354" t="s">
        <v>73</v>
      </c>
    </row>
    <row r="355" spans="1:23" x14ac:dyDescent="0.3">
      <c r="A355" t="str">
        <f t="shared" si="30"/>
        <v>CN|NewCapacity|RE1|PWRWNDOFS_FIX|2038</v>
      </c>
      <c r="B355" t="str">
        <f t="shared" si="31"/>
        <v>Offshore wind (fixed)|2038|Construction&amp;Manufacturing|Direct</v>
      </c>
      <c r="C355" t="str">
        <f t="shared" si="32"/>
        <v>PWRWNDOFS_FIX|Offshore wind (fixed)</v>
      </c>
      <c r="D355" t="s">
        <v>39</v>
      </c>
      <c r="E355" t="s">
        <v>40</v>
      </c>
      <c r="F355" t="s">
        <v>19</v>
      </c>
      <c r="G355" t="s">
        <v>42</v>
      </c>
      <c r="H355">
        <v>2038</v>
      </c>
      <c r="I355" t="s">
        <v>37</v>
      </c>
      <c r="J355" t="s">
        <v>69</v>
      </c>
      <c r="K355" t="s">
        <v>70</v>
      </c>
      <c r="L355" t="s">
        <v>65</v>
      </c>
      <c r="M355">
        <f>SUMIFS(RawResultsLong!$P:$P,RawResultsLong!$A:$A,A355)</f>
        <v>47.31</v>
      </c>
      <c r="N355">
        <f t="shared" si="33"/>
        <v>1499.1634344817096</v>
      </c>
      <c r="O355" t="s">
        <v>74</v>
      </c>
      <c r="P355">
        <f>SUMIFS(TechnologyMapping!$D:$D,TechnologyMapping!$A:$A,C355)</f>
        <v>1</v>
      </c>
      <c r="Q355">
        <f t="shared" si="34"/>
        <v>1499.1634344817096</v>
      </c>
      <c r="R355">
        <f>SUMIFS(FactorInputs!$I:$I,FactorInputs!$A:$A,B355)</f>
        <v>4.20610263908</v>
      </c>
      <c r="S355" t="str">
        <f>_xlfn.XLOOKUP(B355,FactorInputs!$A$2:$A$888,FactorInputs!$F$2:$F$888,"")</f>
        <v>job-yr/MW</v>
      </c>
      <c r="T355" t="str">
        <f>_xlfn.XLOOKUP(B355,FactorInputs!$A$2:$A$888,FactorInputs!$B$2:$B$888,"")</f>
        <v>French QBIS 2023</v>
      </c>
      <c r="U355" t="str">
        <f>_xlfn.XLOOKUP(B355,FactorInputs!$A$2:$A$888,FactorInputs!$T$2:$T$888,"")</f>
        <v>French QBIS 2023</v>
      </c>
      <c r="V355">
        <f t="shared" si="35"/>
        <v>6305.6352781857559</v>
      </c>
    </row>
    <row r="356" spans="1:23" x14ac:dyDescent="0.3">
      <c r="A356" t="str">
        <f t="shared" si="30"/>
        <v>CN|NewCapacity|RE1|PWRWNDONS|2038</v>
      </c>
      <c r="B356" t="str">
        <f t="shared" si="31"/>
        <v>Onshore wind|2038|Construction&amp;Manufacturing|Direct</v>
      </c>
      <c r="C356" t="str">
        <f t="shared" si="32"/>
        <v>PWRWNDONS|Onshore wind</v>
      </c>
      <c r="D356" t="s">
        <v>39</v>
      </c>
      <c r="E356" t="s">
        <v>40</v>
      </c>
      <c r="F356" t="s">
        <v>19</v>
      </c>
      <c r="G356" t="s">
        <v>36</v>
      </c>
      <c r="H356">
        <v>2038</v>
      </c>
      <c r="I356" t="s">
        <v>37</v>
      </c>
      <c r="J356" t="s">
        <v>69</v>
      </c>
      <c r="K356" t="s">
        <v>70</v>
      </c>
      <c r="L356" t="s">
        <v>65</v>
      </c>
      <c r="M356">
        <f>SUMIFS(RawResultsLong!$P:$P,RawResultsLong!$A:$A,A356)</f>
        <v>47.31</v>
      </c>
      <c r="N356">
        <f t="shared" si="33"/>
        <v>1499.1634344817096</v>
      </c>
      <c r="O356" t="s">
        <v>68</v>
      </c>
      <c r="P356">
        <f>SUMIFS(TechnologyMapping!$D:$D,TechnologyMapping!$A:$A,C356)</f>
        <v>1</v>
      </c>
      <c r="Q356">
        <f t="shared" si="34"/>
        <v>1499.1634344817096</v>
      </c>
      <c r="R356">
        <f>SUMIFS(FactorInputs!$I:$I,FactorInputs!$A:$A,B356)</f>
        <v>6.7316609949800004</v>
      </c>
      <c r="S356" t="str">
        <f>_xlfn.XLOOKUP(B356,FactorInputs!$A$2:$A$888,FactorInputs!$F$2:$F$888,"")</f>
        <v>job-yr/MW</v>
      </c>
      <c r="T356" t="str">
        <f>_xlfn.XLOOKUP(B356,FactorInputs!$A$2:$A$888,FactorInputs!$B$2:$B$888,"")</f>
        <v>I-JEDI</v>
      </c>
      <c r="U356" t="str">
        <f>_xlfn.XLOOKUP(B356,FactorInputs!$A$2:$A$888,FactorInputs!$T$2:$T$888,"")</f>
        <v>I-JEDI</v>
      </c>
      <c r="V356">
        <f t="shared" si="35"/>
        <v>10091.860017000779</v>
      </c>
    </row>
    <row r="357" spans="1:23" x14ac:dyDescent="0.3">
      <c r="A357" t="str">
        <f t="shared" si="30"/>
        <v>CN|AccumulatedNewCapacity|RE1|PWRHYDDAM|2039</v>
      </c>
      <c r="B357" t="str">
        <f t="shared" si="31"/>
        <v>Hydro (large)|2039|O&amp;M|Direct</v>
      </c>
      <c r="C357" t="str">
        <f t="shared" si="32"/>
        <v>PWRHYDDAM|Hydro (large)</v>
      </c>
      <c r="D357" t="s">
        <v>39</v>
      </c>
      <c r="E357" t="s">
        <v>40</v>
      </c>
      <c r="F357" t="s">
        <v>19</v>
      </c>
      <c r="G357" t="s">
        <v>24</v>
      </c>
      <c r="H357">
        <v>2039</v>
      </c>
      <c r="I357" t="s">
        <v>18</v>
      </c>
      <c r="J357" t="s">
        <v>63</v>
      </c>
      <c r="K357" t="s">
        <v>64</v>
      </c>
      <c r="L357" t="s">
        <v>65</v>
      </c>
      <c r="M357">
        <f>SUMIFS(RawResultsLong!$P:$P,RawResultsLong!$A:$A,A357)</f>
        <v>37.840000000000003</v>
      </c>
      <c r="N357">
        <f t="shared" si="33"/>
        <v>1199.0772428828554</v>
      </c>
      <c r="O357" t="s">
        <v>72</v>
      </c>
      <c r="P357">
        <f>SUMIFS(TechnologyMapping!$D:$D,TechnologyMapping!$A:$A,C357)</f>
        <v>1</v>
      </c>
      <c r="Q357">
        <f t="shared" si="34"/>
        <v>1199.0772428828554</v>
      </c>
      <c r="R357">
        <f>SUMIFS(FactorInputs!$I:$I,FactorInputs!$A:$A,B357)</f>
        <v>0.64042131147500003</v>
      </c>
      <c r="S357" t="str">
        <f>_xlfn.XLOOKUP(B357,FactorInputs!$A$2:$A$888,FactorInputs!$F$2:$F$888,"")</f>
        <v>job/MW</v>
      </c>
      <c r="T357" t="str">
        <f>_xlfn.XLOOKUP(B357,FactorInputs!$A$2:$A$888,FactorInputs!$B$2:$B$888,"")</f>
        <v>Rutovitz 2015</v>
      </c>
      <c r="U357" t="str">
        <f>_xlfn.XLOOKUP(B357,FactorInputs!$A$2:$A$888,FactorInputs!$T$2:$T$888,"")</f>
        <v>Rutovitz 2015</v>
      </c>
      <c r="V357">
        <f t="shared" si="35"/>
        <v>767.91462044686546</v>
      </c>
    </row>
    <row r="358" spans="1:23" x14ac:dyDescent="0.3">
      <c r="A358" t="str">
        <f t="shared" si="30"/>
        <v>CN|AccumulatedNewCapacity|RE1|PWRSOLRTP|2039</v>
      </c>
      <c r="B358" t="str">
        <f t="shared" si="31"/>
        <v>Rooftop solar PV|2039|O&amp;M|Direct</v>
      </c>
      <c r="C358" t="str">
        <f t="shared" si="32"/>
        <v>PWRSOLRTP|Rooftop solar PV</v>
      </c>
      <c r="D358" t="s">
        <v>39</v>
      </c>
      <c r="E358" t="s">
        <v>40</v>
      </c>
      <c r="F358" t="s">
        <v>19</v>
      </c>
      <c r="G358" t="s">
        <v>31</v>
      </c>
      <c r="H358">
        <v>2039</v>
      </c>
      <c r="I358" t="s">
        <v>18</v>
      </c>
      <c r="J358" t="s">
        <v>63</v>
      </c>
      <c r="K358" t="s">
        <v>64</v>
      </c>
      <c r="L358" t="s">
        <v>65</v>
      </c>
      <c r="M358">
        <f>SUMIFS(RawResultsLong!$P:$P,RawResultsLong!$A:$A,A358)</f>
        <v>187.79</v>
      </c>
      <c r="N358">
        <f t="shared" si="33"/>
        <v>5950.7060105964965</v>
      </c>
      <c r="O358" t="s">
        <v>71</v>
      </c>
      <c r="P358">
        <f>SUMIFS(TechnologyMapping!$D:$D,TechnologyMapping!$A:$A,C358)</f>
        <v>1</v>
      </c>
      <c r="Q358">
        <f t="shared" si="34"/>
        <v>5950.7060105964965</v>
      </c>
      <c r="R358">
        <f>SUMIFS(FactorInputs!$I:$I,FactorInputs!$A:$A,B358)</f>
        <v>0.23938235294099999</v>
      </c>
      <c r="S358" t="str">
        <f>_xlfn.XLOOKUP(B358,FactorInputs!$A$2:$A$888,FactorInputs!$F$2:$F$888,"")</f>
        <v>job/MW</v>
      </c>
      <c r="T358" t="str">
        <f>_xlfn.XLOOKUP(B358,FactorInputs!$A$2:$A$888,FactorInputs!$B$2:$B$888,"")</f>
        <v>JEDI-US</v>
      </c>
      <c r="U358" t="str">
        <f>_xlfn.XLOOKUP(B358,FactorInputs!$A$2:$A$888,FactorInputs!$T$2:$T$888,"")</f>
        <v>JEDI-US</v>
      </c>
      <c r="V358">
        <f t="shared" si="35"/>
        <v>1424.4940064767407</v>
      </c>
    </row>
    <row r="359" spans="1:23" x14ac:dyDescent="0.3">
      <c r="A359" t="str">
        <f t="shared" si="30"/>
        <v>CN|AccumulatedNewCapacity|RE1|PWRSOLRTP_ZNI|2039</v>
      </c>
      <c r="B359" t="str">
        <f t="shared" si="31"/>
        <v>Rooftop solar PV|2039|O&amp;M|Direct</v>
      </c>
      <c r="C359" t="str">
        <f t="shared" si="32"/>
        <v>PWRSOLRTP_ZNI|Rooftop solar PV</v>
      </c>
      <c r="D359" t="s">
        <v>39</v>
      </c>
      <c r="E359" t="s">
        <v>40</v>
      </c>
      <c r="F359" t="s">
        <v>19</v>
      </c>
      <c r="G359" t="s">
        <v>32</v>
      </c>
      <c r="H359">
        <v>2039</v>
      </c>
      <c r="I359" t="s">
        <v>18</v>
      </c>
      <c r="J359" t="s">
        <v>63</v>
      </c>
      <c r="K359" t="s">
        <v>64</v>
      </c>
      <c r="L359" t="s">
        <v>65</v>
      </c>
      <c r="M359">
        <f>SUMIFS(RawResultsLong!$P:$P,RawResultsLong!$A:$A,A359)</f>
        <v>0.89613105225913248</v>
      </c>
      <c r="N359">
        <f t="shared" si="33"/>
        <v>28.396679476865557</v>
      </c>
      <c r="O359" t="s">
        <v>71</v>
      </c>
      <c r="P359">
        <f>SUMIFS(TechnologyMapping!$D:$D,TechnologyMapping!$A:$A,C359)</f>
        <v>1</v>
      </c>
      <c r="Q359">
        <f t="shared" si="34"/>
        <v>28.396679476865557</v>
      </c>
      <c r="R359">
        <f>SUMIFS(FactorInputs!$I:$I,FactorInputs!$A:$A,B359)</f>
        <v>0.23938235294099999</v>
      </c>
      <c r="S359" t="str">
        <f>_xlfn.XLOOKUP(B359,FactorInputs!$A$2:$A$888,FactorInputs!$F$2:$F$888,"")</f>
        <v>job/MW</v>
      </c>
      <c r="T359" t="str">
        <f>_xlfn.XLOOKUP(B359,FactorInputs!$A$2:$A$888,FactorInputs!$B$2:$B$888,"")</f>
        <v>JEDI-US</v>
      </c>
      <c r="U359" t="str">
        <f>_xlfn.XLOOKUP(B359,FactorInputs!$A$2:$A$888,FactorInputs!$T$2:$T$888,"")</f>
        <v>JEDI-US</v>
      </c>
      <c r="V359">
        <f t="shared" si="35"/>
        <v>6.797663948883482</v>
      </c>
      <c r="W359" t="s">
        <v>73</v>
      </c>
    </row>
    <row r="360" spans="1:23" x14ac:dyDescent="0.3">
      <c r="A360" t="str">
        <f t="shared" si="30"/>
        <v>CN|AccumulatedNewCapacity|RE1|PWRSOLUGE|2039</v>
      </c>
      <c r="B360" t="str">
        <f t="shared" si="31"/>
        <v>Utility-scale solar PV|2039|O&amp;M|Direct</v>
      </c>
      <c r="C360" t="str">
        <f t="shared" si="32"/>
        <v>PWRSOLUGE|Utility-scale solar PV</v>
      </c>
      <c r="D360" t="s">
        <v>39</v>
      </c>
      <c r="E360" t="s">
        <v>40</v>
      </c>
      <c r="F360" t="s">
        <v>19</v>
      </c>
      <c r="G360" t="s">
        <v>33</v>
      </c>
      <c r="H360">
        <v>2039</v>
      </c>
      <c r="I360" t="s">
        <v>18</v>
      </c>
      <c r="J360" t="s">
        <v>63</v>
      </c>
      <c r="K360" t="s">
        <v>64</v>
      </c>
      <c r="L360" t="s">
        <v>65</v>
      </c>
      <c r="M360">
        <f>SUMIFS(RawResultsLong!$P:$P,RawResultsLong!$A:$A,A360)</f>
        <v>190.70419200000001</v>
      </c>
      <c r="N360">
        <f t="shared" si="33"/>
        <v>6043.0511825994372</v>
      </c>
      <c r="O360" t="s">
        <v>66</v>
      </c>
      <c r="P360">
        <f>SUMIFS(TechnologyMapping!$D:$D,TechnologyMapping!$A:$A,C360)</f>
        <v>1</v>
      </c>
      <c r="Q360">
        <f t="shared" si="34"/>
        <v>6043.0511825994372</v>
      </c>
      <c r="R360">
        <f>SUMIFS(FactorInputs!$I:$I,FactorInputs!$A:$A,B360)</f>
        <v>7.6873986486499998E-2</v>
      </c>
      <c r="S360" t="str">
        <f>_xlfn.XLOOKUP(B360,FactorInputs!$A$2:$A$888,FactorInputs!$F$2:$F$888,"")</f>
        <v>job/MW</v>
      </c>
      <c r="T360" t="str">
        <f>_xlfn.XLOOKUP(B360,FactorInputs!$A$2:$A$888,FactorInputs!$B$2:$B$888,"")</f>
        <v>I-JEDI</v>
      </c>
      <c r="U360" t="str">
        <f>_xlfn.XLOOKUP(B360,FactorInputs!$A$2:$A$888,FactorInputs!$T$2:$T$888,"")</f>
        <v>I-JEDI</v>
      </c>
      <c r="V360">
        <f t="shared" si="35"/>
        <v>464.55343494837695</v>
      </c>
    </row>
    <row r="361" spans="1:23" x14ac:dyDescent="0.3">
      <c r="A361" t="str">
        <f t="shared" si="30"/>
        <v>CN|AccumulatedNewCapacity|RE1|PWRSOLUPE|2039</v>
      </c>
      <c r="B361" t="str">
        <f t="shared" si="31"/>
        <v>Utility-scale solar PV|2039|O&amp;M|Direct</v>
      </c>
      <c r="C361" t="str">
        <f t="shared" si="32"/>
        <v>PWRSOLUPE|Utility-scale solar PV</v>
      </c>
      <c r="D361" t="s">
        <v>39</v>
      </c>
      <c r="E361" t="s">
        <v>40</v>
      </c>
      <c r="F361" t="s">
        <v>19</v>
      </c>
      <c r="G361" t="s">
        <v>34</v>
      </c>
      <c r="H361">
        <v>2039</v>
      </c>
      <c r="I361" t="s">
        <v>18</v>
      </c>
      <c r="J361" t="s">
        <v>63</v>
      </c>
      <c r="K361" t="s">
        <v>64</v>
      </c>
      <c r="L361" t="s">
        <v>65</v>
      </c>
      <c r="M361">
        <f>SUMIFS(RawResultsLong!$P:$P,RawResultsLong!$A:$A,A361)</f>
        <v>12.14419823999993</v>
      </c>
      <c r="N361">
        <f t="shared" si="33"/>
        <v>384.82642026009364</v>
      </c>
      <c r="O361" t="s">
        <v>66</v>
      </c>
      <c r="P361">
        <f>SUMIFS(TechnologyMapping!$D:$D,TechnologyMapping!$A:$A,C361)</f>
        <v>1</v>
      </c>
      <c r="Q361">
        <f t="shared" si="34"/>
        <v>384.82642026009364</v>
      </c>
      <c r="R361">
        <f>SUMIFS(FactorInputs!$I:$I,FactorInputs!$A:$A,B361)</f>
        <v>7.6873986486499998E-2</v>
      </c>
      <c r="S361" t="str">
        <f>_xlfn.XLOOKUP(B361,FactorInputs!$A$2:$A$888,FactorInputs!$F$2:$F$888,"")</f>
        <v>job/MW</v>
      </c>
      <c r="T361" t="str">
        <f>_xlfn.XLOOKUP(B361,FactorInputs!$A$2:$A$888,FactorInputs!$B$2:$B$888,"")</f>
        <v>I-JEDI</v>
      </c>
      <c r="U361" t="str">
        <f>_xlfn.XLOOKUP(B361,FactorInputs!$A$2:$A$888,FactorInputs!$T$2:$T$888,"")</f>
        <v>I-JEDI</v>
      </c>
      <c r="V361">
        <f t="shared" si="35"/>
        <v>29.583141030722608</v>
      </c>
      <c r="W361" t="s">
        <v>67</v>
      </c>
    </row>
    <row r="362" spans="1:23" x14ac:dyDescent="0.3">
      <c r="A362" t="str">
        <f t="shared" si="30"/>
        <v>CN|AccumulatedNewCapacity|RE1|PWRWNDOFS_FIX|2039</v>
      </c>
      <c r="B362" t="str">
        <f t="shared" si="31"/>
        <v>Offshore wind (fixed)|2039|O&amp;M|Direct</v>
      </c>
      <c r="C362" t="str">
        <f t="shared" si="32"/>
        <v>PWRWNDOFS_FIX|Offshore wind (fixed)</v>
      </c>
      <c r="D362" t="s">
        <v>39</v>
      </c>
      <c r="E362" t="s">
        <v>40</v>
      </c>
      <c r="F362" t="s">
        <v>19</v>
      </c>
      <c r="G362" t="s">
        <v>42</v>
      </c>
      <c r="H362">
        <v>2039</v>
      </c>
      <c r="I362" t="s">
        <v>18</v>
      </c>
      <c r="J362" t="s">
        <v>63</v>
      </c>
      <c r="K362" t="s">
        <v>64</v>
      </c>
      <c r="L362" t="s">
        <v>65</v>
      </c>
      <c r="M362">
        <f>SUMIFS(RawResultsLong!$P:$P,RawResultsLong!$A:$A,A362)</f>
        <v>130.80476658776209</v>
      </c>
      <c r="N362">
        <f t="shared" si="33"/>
        <v>4144.9529301265648</v>
      </c>
      <c r="O362" t="s">
        <v>74</v>
      </c>
      <c r="P362">
        <f>SUMIFS(TechnologyMapping!$D:$D,TechnologyMapping!$A:$A,C362)</f>
        <v>1</v>
      </c>
      <c r="Q362">
        <f t="shared" si="34"/>
        <v>4144.9529301265648</v>
      </c>
      <c r="R362">
        <f>SUMIFS(FactorInputs!$I:$I,FactorInputs!$A:$A,B362)</f>
        <v>6.81047004608E-2</v>
      </c>
      <c r="S362" t="str">
        <f>_xlfn.XLOOKUP(B362,FactorInputs!$A$2:$A$888,FactorInputs!$F$2:$F$888,"")</f>
        <v>job/MW</v>
      </c>
      <c r="T362" t="str">
        <f>_xlfn.XLOOKUP(B362,FactorInputs!$A$2:$A$888,FactorInputs!$B$2:$B$888,"")</f>
        <v>French QBIS 2023</v>
      </c>
      <c r="U362" t="str">
        <f>_xlfn.XLOOKUP(B362,FactorInputs!$A$2:$A$888,FactorInputs!$T$2:$T$888,"")</f>
        <v>French QBIS 2023</v>
      </c>
      <c r="V362">
        <f t="shared" si="35"/>
        <v>282.29077773038495</v>
      </c>
    </row>
    <row r="363" spans="1:23" x14ac:dyDescent="0.3">
      <c r="A363" t="str">
        <f t="shared" si="30"/>
        <v>CN|AccumulatedNewCapacity|RE1|PWRWNDONS|2039</v>
      </c>
      <c r="B363" t="str">
        <f t="shared" si="31"/>
        <v>Onshore wind|2039|O&amp;M|Direct</v>
      </c>
      <c r="C363" t="str">
        <f t="shared" si="32"/>
        <v>PWRWNDONS|Onshore wind</v>
      </c>
      <c r="D363" t="s">
        <v>39</v>
      </c>
      <c r="E363" t="s">
        <v>40</v>
      </c>
      <c r="F363" t="s">
        <v>19</v>
      </c>
      <c r="G363" t="s">
        <v>36</v>
      </c>
      <c r="H363">
        <v>2039</v>
      </c>
      <c r="I363" t="s">
        <v>18</v>
      </c>
      <c r="J363" t="s">
        <v>63</v>
      </c>
      <c r="K363" t="s">
        <v>64</v>
      </c>
      <c r="L363" t="s">
        <v>65</v>
      </c>
      <c r="M363">
        <f>SUMIFS(RawResultsLong!$P:$P,RawResultsLong!$A:$A,A363)</f>
        <v>331.13944648443561</v>
      </c>
      <c r="N363">
        <f t="shared" si="33"/>
        <v>10493.175858887735</v>
      </c>
      <c r="O363" t="s">
        <v>68</v>
      </c>
      <c r="P363">
        <f>SUMIFS(TechnologyMapping!$D:$D,TechnologyMapping!$A:$A,C363)</f>
        <v>1</v>
      </c>
      <c r="Q363">
        <f t="shared" si="34"/>
        <v>10493.175858887735</v>
      </c>
      <c r="R363">
        <f>SUMIFS(FactorInputs!$I:$I,FactorInputs!$A:$A,B363)</f>
        <v>2.7777372262799999E-2</v>
      </c>
      <c r="S363" t="str">
        <f>_xlfn.XLOOKUP(B363,FactorInputs!$A$2:$A$888,FactorInputs!$F$2:$F$888,"")</f>
        <v>job/MW</v>
      </c>
      <c r="T363" t="str">
        <f>_xlfn.XLOOKUP(B363,FactorInputs!$A$2:$A$888,FactorInputs!$B$2:$B$888,"")</f>
        <v>I-JEDI</v>
      </c>
      <c r="U363" t="str">
        <f>_xlfn.XLOOKUP(B363,FactorInputs!$A$2:$A$888,FactorInputs!$T$2:$T$888,"")</f>
        <v>I-JEDI</v>
      </c>
      <c r="V363">
        <f t="shared" si="35"/>
        <v>291.47285205135069</v>
      </c>
    </row>
    <row r="364" spans="1:23" x14ac:dyDescent="0.3">
      <c r="A364" t="str">
        <f t="shared" si="30"/>
        <v>CN|NewCapacity|RE1|PWRSOLRTP|2039</v>
      </c>
      <c r="B364" t="str">
        <f t="shared" si="31"/>
        <v>Rooftop solar PV|2039|Construction&amp;Manufacturing|Direct</v>
      </c>
      <c r="C364" t="str">
        <f t="shared" si="32"/>
        <v>PWRSOLRTP|Rooftop solar PV</v>
      </c>
      <c r="D364" t="s">
        <v>39</v>
      </c>
      <c r="E364" t="s">
        <v>40</v>
      </c>
      <c r="F364" t="s">
        <v>19</v>
      </c>
      <c r="G364" t="s">
        <v>31</v>
      </c>
      <c r="H364">
        <v>2039</v>
      </c>
      <c r="I364" t="s">
        <v>37</v>
      </c>
      <c r="J364" t="s">
        <v>69</v>
      </c>
      <c r="K364" t="s">
        <v>70</v>
      </c>
      <c r="L364" t="s">
        <v>65</v>
      </c>
      <c r="M364">
        <f>SUMIFS(RawResultsLong!$P:$P,RawResultsLong!$A:$A,A364)</f>
        <v>6.02</v>
      </c>
      <c r="N364">
        <f t="shared" si="33"/>
        <v>190.76228864045427</v>
      </c>
      <c r="O364" t="s">
        <v>71</v>
      </c>
      <c r="P364">
        <f>SUMIFS(TechnologyMapping!$D:$D,TechnologyMapping!$A:$A,C364)</f>
        <v>1</v>
      </c>
      <c r="Q364">
        <f t="shared" si="34"/>
        <v>190.76228864045427</v>
      </c>
      <c r="R364">
        <f>SUMIFS(FactorInputs!$I:$I,FactorInputs!$A:$A,B364)</f>
        <v>5.4830735192200004</v>
      </c>
      <c r="S364" t="str">
        <f>_xlfn.XLOOKUP(B364,FactorInputs!$A$2:$A$888,FactorInputs!$F$2:$F$888,"")</f>
        <v>job-yr/MW</v>
      </c>
      <c r="T364" t="str">
        <f>_xlfn.XLOOKUP(B364,FactorInputs!$A$2:$A$888,FactorInputs!$B$2:$B$888,"")</f>
        <v>JEDI-US</v>
      </c>
      <c r="U364" t="str">
        <f>_xlfn.XLOOKUP(B364,FactorInputs!$A$2:$A$888,FactorInputs!$T$2:$T$888,"")</f>
        <v>JEDI-US</v>
      </c>
      <c r="V364">
        <f t="shared" si="35"/>
        <v>1045.9636533102771</v>
      </c>
    </row>
    <row r="365" spans="1:23" x14ac:dyDescent="0.3">
      <c r="A365" t="str">
        <f t="shared" si="30"/>
        <v>CN|NewCapacity|RE1|PWRSOLRTP_ZNI|2039</v>
      </c>
      <c r="B365" t="str">
        <f t="shared" si="31"/>
        <v>Rooftop solar PV|2039|Construction&amp;Manufacturing|Direct</v>
      </c>
      <c r="C365" t="str">
        <f t="shared" si="32"/>
        <v>PWRSOLRTP_ZNI|Rooftop solar PV</v>
      </c>
      <c r="D365" t="s">
        <v>39</v>
      </c>
      <c r="E365" t="s">
        <v>40</v>
      </c>
      <c r="F365" t="s">
        <v>19</v>
      </c>
      <c r="G365" t="s">
        <v>32</v>
      </c>
      <c r="H365">
        <v>2039</v>
      </c>
      <c r="I365" t="s">
        <v>37</v>
      </c>
      <c r="J365" t="s">
        <v>69</v>
      </c>
      <c r="K365" t="s">
        <v>70</v>
      </c>
      <c r="L365" t="s">
        <v>65</v>
      </c>
      <c r="M365">
        <f>SUMIFS(RawResultsLong!$P:$P,RawResultsLong!$A:$A,A365)</f>
        <v>4.2715501977764088E-2</v>
      </c>
      <c r="N365">
        <f t="shared" si="33"/>
        <v>1.3535725776917156</v>
      </c>
      <c r="O365" t="s">
        <v>71</v>
      </c>
      <c r="P365">
        <f>SUMIFS(TechnologyMapping!$D:$D,TechnologyMapping!$A:$A,C365)</f>
        <v>1</v>
      </c>
      <c r="Q365">
        <f t="shared" si="34"/>
        <v>1.3535725776917156</v>
      </c>
      <c r="R365">
        <f>SUMIFS(FactorInputs!$I:$I,FactorInputs!$A:$A,B365)</f>
        <v>5.4830735192200004</v>
      </c>
      <c r="S365" t="str">
        <f>_xlfn.XLOOKUP(B365,FactorInputs!$A$2:$A$888,FactorInputs!$F$2:$F$888,"")</f>
        <v>job-yr/MW</v>
      </c>
      <c r="T365" t="str">
        <f>_xlfn.XLOOKUP(B365,FactorInputs!$A$2:$A$888,FactorInputs!$B$2:$B$888,"")</f>
        <v>JEDI-US</v>
      </c>
      <c r="U365" t="str">
        <f>_xlfn.XLOOKUP(B365,FactorInputs!$A$2:$A$888,FactorInputs!$T$2:$T$888,"")</f>
        <v>JEDI-US</v>
      </c>
      <c r="V365">
        <f t="shared" si="35"/>
        <v>7.4217379570838027</v>
      </c>
      <c r="W365" t="s">
        <v>73</v>
      </c>
    </row>
    <row r="366" spans="1:23" x14ac:dyDescent="0.3">
      <c r="A366" t="str">
        <f t="shared" si="30"/>
        <v>CN|NewCapacity|RE1|PWRSOLUGE|2039</v>
      </c>
      <c r="B366" t="str">
        <f t="shared" si="31"/>
        <v>Utility-scale solar PV|2039|Construction&amp;Manufacturing|Direct</v>
      </c>
      <c r="C366" t="str">
        <f t="shared" si="32"/>
        <v>PWRSOLUGE|Utility-scale solar PV</v>
      </c>
      <c r="D366" t="s">
        <v>39</v>
      </c>
      <c r="E366" t="s">
        <v>40</v>
      </c>
      <c r="F366" t="s">
        <v>19</v>
      </c>
      <c r="G366" t="s">
        <v>33</v>
      </c>
      <c r="H366">
        <v>2039</v>
      </c>
      <c r="I366" t="s">
        <v>37</v>
      </c>
      <c r="J366" t="s">
        <v>69</v>
      </c>
      <c r="K366" t="s">
        <v>70</v>
      </c>
      <c r="L366" t="s">
        <v>65</v>
      </c>
      <c r="M366">
        <f>SUMIFS(RawResultsLong!$P:$P,RawResultsLong!$A:$A,A366)</f>
        <v>47.31</v>
      </c>
      <c r="N366">
        <f t="shared" si="33"/>
        <v>1499.1634344817096</v>
      </c>
      <c r="O366" t="s">
        <v>66</v>
      </c>
      <c r="P366">
        <f>SUMIFS(TechnologyMapping!$D:$D,TechnologyMapping!$A:$A,C366)</f>
        <v>1</v>
      </c>
      <c r="Q366">
        <f t="shared" si="34"/>
        <v>1499.1634344817096</v>
      </c>
      <c r="R366">
        <f>SUMIFS(FactorInputs!$I:$I,FactorInputs!$A:$A,B366)</f>
        <v>5.8649906702700001</v>
      </c>
      <c r="S366" t="str">
        <f>_xlfn.XLOOKUP(B366,FactorInputs!$A$2:$A$888,FactorInputs!$F$2:$F$888,"")</f>
        <v>job-yr/MW</v>
      </c>
      <c r="T366" t="str">
        <f>_xlfn.XLOOKUP(B366,FactorInputs!$A$2:$A$888,FactorInputs!$B$2:$B$888,"")</f>
        <v>I-JEDI</v>
      </c>
      <c r="U366" t="str">
        <f>_xlfn.XLOOKUP(B366,FactorInputs!$A$2:$A$888,FactorInputs!$T$2:$T$888,"")</f>
        <v>I-JEDI</v>
      </c>
      <c r="V366">
        <f t="shared" si="35"/>
        <v>8792.5795564451582</v>
      </c>
    </row>
    <row r="367" spans="1:23" x14ac:dyDescent="0.3">
      <c r="A367" t="str">
        <f t="shared" si="30"/>
        <v>CN|NewCapacity|RE1|PWRWNDOFS_FIX|2039</v>
      </c>
      <c r="B367" t="str">
        <f t="shared" si="31"/>
        <v>Offshore wind (fixed)|2039|Construction&amp;Manufacturing|Direct</v>
      </c>
      <c r="C367" t="str">
        <f t="shared" si="32"/>
        <v>PWRWNDOFS_FIX|Offshore wind (fixed)</v>
      </c>
      <c r="D367" t="s">
        <v>39</v>
      </c>
      <c r="E367" t="s">
        <v>40</v>
      </c>
      <c r="F367" t="s">
        <v>19</v>
      </c>
      <c r="G367" t="s">
        <v>42</v>
      </c>
      <c r="H367">
        <v>2039</v>
      </c>
      <c r="I367" t="s">
        <v>37</v>
      </c>
      <c r="J367" t="s">
        <v>69</v>
      </c>
      <c r="K367" t="s">
        <v>70</v>
      </c>
      <c r="L367" t="s">
        <v>65</v>
      </c>
      <c r="M367">
        <f>SUMIFS(RawResultsLong!$P:$P,RawResultsLong!$A:$A,A367)</f>
        <v>47.31</v>
      </c>
      <c r="N367">
        <f t="shared" si="33"/>
        <v>1499.1634344817096</v>
      </c>
      <c r="O367" t="s">
        <v>74</v>
      </c>
      <c r="P367">
        <f>SUMIFS(TechnologyMapping!$D:$D,TechnologyMapping!$A:$A,C367)</f>
        <v>1</v>
      </c>
      <c r="Q367">
        <f t="shared" si="34"/>
        <v>1499.1634344817096</v>
      </c>
      <c r="R367">
        <f>SUMIFS(FactorInputs!$I:$I,FactorInputs!$A:$A,B367)</f>
        <v>4.1345556775899999</v>
      </c>
      <c r="S367" t="str">
        <f>_xlfn.XLOOKUP(B367,FactorInputs!$A$2:$A$888,FactorInputs!$F$2:$F$888,"")</f>
        <v>job-yr/MW</v>
      </c>
      <c r="T367" t="str">
        <f>_xlfn.XLOOKUP(B367,FactorInputs!$A$2:$A$888,FactorInputs!$B$2:$B$888,"")</f>
        <v>French QBIS 2023</v>
      </c>
      <c r="U367" t="str">
        <f>_xlfn.XLOOKUP(B367,FactorInputs!$A$2:$A$888,FactorInputs!$T$2:$T$888,"")</f>
        <v>French QBIS 2023</v>
      </c>
      <c r="V367">
        <f t="shared" si="35"/>
        <v>6198.3746896716766</v>
      </c>
    </row>
    <row r="368" spans="1:23" x14ac:dyDescent="0.3">
      <c r="A368" t="str">
        <f t="shared" si="30"/>
        <v>CN|NewCapacity|RE1|PWRWNDONS|2039</v>
      </c>
      <c r="B368" t="str">
        <f t="shared" si="31"/>
        <v>Onshore wind|2039|Construction&amp;Manufacturing|Direct</v>
      </c>
      <c r="C368" t="str">
        <f t="shared" si="32"/>
        <v>PWRWNDONS|Onshore wind</v>
      </c>
      <c r="D368" t="s">
        <v>39</v>
      </c>
      <c r="E368" t="s">
        <v>40</v>
      </c>
      <c r="F368" t="s">
        <v>19</v>
      </c>
      <c r="G368" t="s">
        <v>36</v>
      </c>
      <c r="H368">
        <v>2039</v>
      </c>
      <c r="I368" t="s">
        <v>37</v>
      </c>
      <c r="J368" t="s">
        <v>69</v>
      </c>
      <c r="K368" t="s">
        <v>70</v>
      </c>
      <c r="L368" t="s">
        <v>65</v>
      </c>
      <c r="M368">
        <f>SUMIFS(RawResultsLong!$P:$P,RawResultsLong!$A:$A,A368)</f>
        <v>47.31</v>
      </c>
      <c r="N368">
        <f t="shared" si="33"/>
        <v>1499.1634344817096</v>
      </c>
      <c r="O368" t="s">
        <v>68</v>
      </c>
      <c r="P368">
        <f>SUMIFS(TechnologyMapping!$D:$D,TechnologyMapping!$A:$A,C368)</f>
        <v>1</v>
      </c>
      <c r="Q368">
        <f t="shared" si="34"/>
        <v>1499.1634344817096</v>
      </c>
      <c r="R368">
        <f>SUMIFS(FactorInputs!$I:$I,FactorInputs!$A:$A,B368)</f>
        <v>6.71341924678</v>
      </c>
      <c r="S368" t="str">
        <f>_xlfn.XLOOKUP(B368,FactorInputs!$A$2:$A$888,FactorInputs!$F$2:$F$888,"")</f>
        <v>job-yr/MW</v>
      </c>
      <c r="T368" t="str">
        <f>_xlfn.XLOOKUP(B368,FactorInputs!$A$2:$A$888,FactorInputs!$B$2:$B$888,"")</f>
        <v>I-JEDI</v>
      </c>
      <c r="U368" t="str">
        <f>_xlfn.XLOOKUP(B368,FactorInputs!$A$2:$A$888,FactorInputs!$T$2:$T$888,"")</f>
        <v>I-JEDI</v>
      </c>
      <c r="V368">
        <f t="shared" si="35"/>
        <v>10064.512655118317</v>
      </c>
    </row>
    <row r="369" spans="1:23" x14ac:dyDescent="0.3">
      <c r="A369" t="str">
        <f t="shared" si="30"/>
        <v>CN|AccumulatedNewCapacity|RE1|PWRHYDDAM|2040</v>
      </c>
      <c r="B369" t="str">
        <f t="shared" si="31"/>
        <v>Hydro (large)|2040|O&amp;M|Direct</v>
      </c>
      <c r="C369" t="str">
        <f t="shared" si="32"/>
        <v>PWRHYDDAM|Hydro (large)</v>
      </c>
      <c r="D369" t="s">
        <v>39</v>
      </c>
      <c r="E369" t="s">
        <v>40</v>
      </c>
      <c r="F369" t="s">
        <v>19</v>
      </c>
      <c r="G369" t="s">
        <v>24</v>
      </c>
      <c r="H369">
        <v>2040</v>
      </c>
      <c r="I369" t="s">
        <v>18</v>
      </c>
      <c r="J369" t="s">
        <v>63</v>
      </c>
      <c r="K369" t="s">
        <v>64</v>
      </c>
      <c r="L369" t="s">
        <v>65</v>
      </c>
      <c r="M369">
        <f>SUMIFS(RawResultsLong!$P:$P,RawResultsLong!$A:$A,A369)</f>
        <v>37.840000000000003</v>
      </c>
      <c r="N369">
        <f t="shared" si="33"/>
        <v>1199.0772428828554</v>
      </c>
      <c r="O369" t="s">
        <v>72</v>
      </c>
      <c r="P369">
        <f>SUMIFS(TechnologyMapping!$D:$D,TechnologyMapping!$A:$A,C369)</f>
        <v>1</v>
      </c>
      <c r="Q369">
        <f t="shared" si="34"/>
        <v>1199.0772428828554</v>
      </c>
      <c r="R369">
        <f>SUMIFS(FactorInputs!$I:$I,FactorInputs!$A:$A,B369)</f>
        <v>0.64024590163899997</v>
      </c>
      <c r="S369" t="str">
        <f>_xlfn.XLOOKUP(B369,FactorInputs!$A$2:$A$888,FactorInputs!$F$2:$F$888,"")</f>
        <v>job/MW</v>
      </c>
      <c r="T369" t="str">
        <f>_xlfn.XLOOKUP(B369,FactorInputs!$A$2:$A$888,FactorInputs!$B$2:$B$888,"")</f>
        <v>Rutovitz 2015</v>
      </c>
      <c r="U369" t="str">
        <f>_xlfn.XLOOKUP(B369,FactorInputs!$A$2:$A$888,FactorInputs!$T$2:$T$888,"")</f>
        <v>Rutovitz 2015</v>
      </c>
      <c r="V369">
        <f t="shared" si="35"/>
        <v>767.70429050433995</v>
      </c>
    </row>
    <row r="370" spans="1:23" x14ac:dyDescent="0.3">
      <c r="A370" t="str">
        <f t="shared" si="30"/>
        <v>CN|AccumulatedNewCapacity|RE1|PWRHYDROR_NDC|2040</v>
      </c>
      <c r="B370" t="str">
        <f t="shared" si="31"/>
        <v>Hydro (small)|2040|O&amp;M|Direct</v>
      </c>
      <c r="C370" t="str">
        <f t="shared" si="32"/>
        <v>PWRHYDROR_NDC|Hydro (small)</v>
      </c>
      <c r="D370" t="s">
        <v>39</v>
      </c>
      <c r="E370" t="s">
        <v>40</v>
      </c>
      <c r="F370" t="s">
        <v>19</v>
      </c>
      <c r="G370" t="s">
        <v>26</v>
      </c>
      <c r="H370">
        <v>2040</v>
      </c>
      <c r="I370" t="s">
        <v>18</v>
      </c>
      <c r="J370" t="s">
        <v>63</v>
      </c>
      <c r="K370" t="s">
        <v>64</v>
      </c>
      <c r="L370" t="s">
        <v>65</v>
      </c>
      <c r="M370">
        <f>SUMIFS(RawResultsLong!$P:$P,RawResultsLong!$A:$A,A370)</f>
        <v>31.34</v>
      </c>
      <c r="N370">
        <f t="shared" si="33"/>
        <v>993.10467209166723</v>
      </c>
      <c r="O370" t="s">
        <v>75</v>
      </c>
      <c r="P370">
        <f>SUMIFS(TechnologyMapping!$D:$D,TechnologyMapping!$A:$A,C370)</f>
        <v>1</v>
      </c>
      <c r="Q370">
        <f t="shared" si="34"/>
        <v>993.10467209166723</v>
      </c>
      <c r="R370">
        <f>SUMIFS(FactorInputs!$I:$I,FactorInputs!$A:$A,B370)</f>
        <v>5.2272078313300003</v>
      </c>
      <c r="S370" t="str">
        <f>_xlfn.XLOOKUP(B370,FactorInputs!$A$2:$A$888,FactorInputs!$F$2:$F$888,"")</f>
        <v>job/MW</v>
      </c>
      <c r="T370" t="str">
        <f>_xlfn.XLOOKUP(B370,FactorInputs!$A$2:$A$888,FactorInputs!$B$2:$B$888,"")</f>
        <v>Rutovitz 2015</v>
      </c>
      <c r="U370" t="str">
        <f>_xlfn.XLOOKUP(B370,FactorInputs!$A$2:$A$888,FactorInputs!$T$2:$T$888,"")</f>
        <v>Rutovitz 2015</v>
      </c>
      <c r="V370">
        <f t="shared" si="35"/>
        <v>5191.1645192879751</v>
      </c>
      <c r="W370" t="s">
        <v>76</v>
      </c>
    </row>
    <row r="371" spans="1:23" x14ac:dyDescent="0.3">
      <c r="A371" t="str">
        <f t="shared" si="30"/>
        <v>CN|AccumulatedNewCapacity|RE1|PWRSOLRTP|2040</v>
      </c>
      <c r="B371" t="str">
        <f t="shared" si="31"/>
        <v>Rooftop solar PV|2040|O&amp;M|Direct</v>
      </c>
      <c r="C371" t="str">
        <f t="shared" si="32"/>
        <v>PWRSOLRTP|Rooftop solar PV</v>
      </c>
      <c r="D371" t="s">
        <v>39</v>
      </c>
      <c r="E371" t="s">
        <v>40</v>
      </c>
      <c r="F371" t="s">
        <v>19</v>
      </c>
      <c r="G371" t="s">
        <v>31</v>
      </c>
      <c r="H371">
        <v>2040</v>
      </c>
      <c r="I371" t="s">
        <v>18</v>
      </c>
      <c r="J371" t="s">
        <v>63</v>
      </c>
      <c r="K371" t="s">
        <v>64</v>
      </c>
      <c r="L371" t="s">
        <v>65</v>
      </c>
      <c r="M371">
        <f>SUMIFS(RawResultsLong!$P:$P,RawResultsLong!$A:$A,A371)</f>
        <v>192.7</v>
      </c>
      <c r="N371">
        <f t="shared" si="33"/>
        <v>6106.2945217633787</v>
      </c>
      <c r="O371" t="s">
        <v>71</v>
      </c>
      <c r="P371">
        <f>SUMIFS(TechnologyMapping!$D:$D,TechnologyMapping!$A:$A,C371)</f>
        <v>1</v>
      </c>
      <c r="Q371">
        <f t="shared" si="34"/>
        <v>6106.2945217633787</v>
      </c>
      <c r="R371">
        <f>SUMIFS(FactorInputs!$I:$I,FactorInputs!$A:$A,B371)</f>
        <v>0.237352941176</v>
      </c>
      <c r="S371" t="str">
        <f>_xlfn.XLOOKUP(B371,FactorInputs!$A$2:$A$888,FactorInputs!$F$2:$F$888,"")</f>
        <v>job/MW</v>
      </c>
      <c r="T371" t="str">
        <f>_xlfn.XLOOKUP(B371,FactorInputs!$A$2:$A$888,FactorInputs!$B$2:$B$888,"")</f>
        <v>JEDI-US</v>
      </c>
      <c r="U371" t="str">
        <f>_xlfn.XLOOKUP(B371,FactorInputs!$A$2:$A$888,FactorInputs!$T$2:$T$888,"")</f>
        <v>JEDI-US</v>
      </c>
      <c r="V371">
        <f t="shared" si="35"/>
        <v>1449.3469644274344</v>
      </c>
    </row>
    <row r="372" spans="1:23" x14ac:dyDescent="0.3">
      <c r="A372" t="str">
        <f t="shared" si="30"/>
        <v>CN|AccumulatedNewCapacity|RE1|PWRSOLRTP_ZNI|2040</v>
      </c>
      <c r="B372" t="str">
        <f t="shared" si="31"/>
        <v>Rooftop solar PV|2040|O&amp;M|Direct</v>
      </c>
      <c r="C372" t="str">
        <f t="shared" si="32"/>
        <v>PWRSOLRTP_ZNI|Rooftop solar PV</v>
      </c>
      <c r="D372" t="s">
        <v>39</v>
      </c>
      <c r="E372" t="s">
        <v>40</v>
      </c>
      <c r="F372" t="s">
        <v>19</v>
      </c>
      <c r="G372" t="s">
        <v>32</v>
      </c>
      <c r="H372">
        <v>2040</v>
      </c>
      <c r="I372" t="s">
        <v>18</v>
      </c>
      <c r="J372" t="s">
        <v>63</v>
      </c>
      <c r="K372" t="s">
        <v>64</v>
      </c>
      <c r="L372" t="s">
        <v>65</v>
      </c>
      <c r="M372">
        <f>SUMIFS(RawResultsLong!$P:$P,RawResultsLong!$A:$A,A372)</f>
        <v>0.93966972462386933</v>
      </c>
      <c r="N372">
        <f t="shared" si="33"/>
        <v>29.776336750065571</v>
      </c>
      <c r="O372" t="s">
        <v>71</v>
      </c>
      <c r="P372">
        <f>SUMIFS(TechnologyMapping!$D:$D,TechnologyMapping!$A:$A,C372)</f>
        <v>1</v>
      </c>
      <c r="Q372">
        <f t="shared" si="34"/>
        <v>29.776336750065571</v>
      </c>
      <c r="R372">
        <f>SUMIFS(FactorInputs!$I:$I,FactorInputs!$A:$A,B372)</f>
        <v>0.237352941176</v>
      </c>
      <c r="S372" t="str">
        <f>_xlfn.XLOOKUP(B372,FactorInputs!$A$2:$A$888,FactorInputs!$F$2:$F$888,"")</f>
        <v>job/MW</v>
      </c>
      <c r="T372" t="str">
        <f>_xlfn.XLOOKUP(B372,FactorInputs!$A$2:$A$888,FactorInputs!$B$2:$B$888,"")</f>
        <v>JEDI-US</v>
      </c>
      <c r="U372" t="str">
        <f>_xlfn.XLOOKUP(B372,FactorInputs!$A$2:$A$888,FactorInputs!$T$2:$T$888,"")</f>
        <v>JEDI-US</v>
      </c>
      <c r="V372">
        <f t="shared" si="35"/>
        <v>7.0675011050750802</v>
      </c>
      <c r="W372" t="s">
        <v>73</v>
      </c>
    </row>
    <row r="373" spans="1:23" x14ac:dyDescent="0.3">
      <c r="A373" t="str">
        <f t="shared" si="30"/>
        <v>CN|AccumulatedNewCapacity|RE1|PWRSOLUGE|2040</v>
      </c>
      <c r="B373" t="str">
        <f t="shared" si="31"/>
        <v>Utility-scale solar PV|2040|O&amp;M|Direct</v>
      </c>
      <c r="C373" t="str">
        <f t="shared" si="32"/>
        <v>PWRSOLUGE|Utility-scale solar PV</v>
      </c>
      <c r="D373" t="s">
        <v>39</v>
      </c>
      <c r="E373" t="s">
        <v>40</v>
      </c>
      <c r="F373" t="s">
        <v>19</v>
      </c>
      <c r="G373" t="s">
        <v>33</v>
      </c>
      <c r="H373">
        <v>2040</v>
      </c>
      <c r="I373" t="s">
        <v>18</v>
      </c>
      <c r="J373" t="s">
        <v>63</v>
      </c>
      <c r="K373" t="s">
        <v>64</v>
      </c>
      <c r="L373" t="s">
        <v>65</v>
      </c>
      <c r="M373">
        <f>SUMIFS(RawResultsLong!$P:$P,RawResultsLong!$A:$A,A373)</f>
        <v>238.01419200000001</v>
      </c>
      <c r="N373">
        <f t="shared" si="33"/>
        <v>7542.2146170811466</v>
      </c>
      <c r="O373" t="s">
        <v>66</v>
      </c>
      <c r="P373">
        <f>SUMIFS(TechnologyMapping!$D:$D,TechnologyMapping!$A:$A,C373)</f>
        <v>1</v>
      </c>
      <c r="Q373">
        <f t="shared" si="34"/>
        <v>7542.2146170811466</v>
      </c>
      <c r="R373">
        <f>SUMIFS(FactorInputs!$I:$I,FactorInputs!$A:$A,B373)</f>
        <v>7.6287162162199995E-2</v>
      </c>
      <c r="S373" t="str">
        <f>_xlfn.XLOOKUP(B373,FactorInputs!$A$2:$A$888,FactorInputs!$F$2:$F$888,"")</f>
        <v>job/MW</v>
      </c>
      <c r="T373" t="str">
        <f>_xlfn.XLOOKUP(B373,FactorInputs!$A$2:$A$888,FactorInputs!$B$2:$B$888,"")</f>
        <v>I-JEDI</v>
      </c>
      <c r="U373" t="str">
        <f>_xlfn.XLOOKUP(B373,FactorInputs!$A$2:$A$888,FactorInputs!$T$2:$T$888,"")</f>
        <v>I-JEDI</v>
      </c>
      <c r="V373">
        <f t="shared" si="35"/>
        <v>575.37414955538452</v>
      </c>
    </row>
    <row r="374" spans="1:23" x14ac:dyDescent="0.3">
      <c r="A374" t="str">
        <f t="shared" si="30"/>
        <v>CN|AccumulatedNewCapacity|RE1|PWRSOLUPE|2040</v>
      </c>
      <c r="B374" t="str">
        <f t="shared" si="31"/>
        <v>Utility-scale solar PV|2040|O&amp;M|Direct</v>
      </c>
      <c r="C374" t="str">
        <f t="shared" si="32"/>
        <v>PWRSOLUPE|Utility-scale solar PV</v>
      </c>
      <c r="D374" t="s">
        <v>39</v>
      </c>
      <c r="E374" t="s">
        <v>40</v>
      </c>
      <c r="F374" t="s">
        <v>19</v>
      </c>
      <c r="G374" t="s">
        <v>34</v>
      </c>
      <c r="H374">
        <v>2040</v>
      </c>
      <c r="I374" t="s">
        <v>18</v>
      </c>
      <c r="J374" t="s">
        <v>63</v>
      </c>
      <c r="K374" t="s">
        <v>64</v>
      </c>
      <c r="L374" t="s">
        <v>65</v>
      </c>
      <c r="M374">
        <f>SUMIFS(RawResultsLong!$P:$P,RawResultsLong!$A:$A,A374)</f>
        <v>12.14419823999993</v>
      </c>
      <c r="N374">
        <f t="shared" si="33"/>
        <v>384.82642026009364</v>
      </c>
      <c r="O374" t="s">
        <v>66</v>
      </c>
      <c r="P374">
        <f>SUMIFS(TechnologyMapping!$D:$D,TechnologyMapping!$A:$A,C374)</f>
        <v>1</v>
      </c>
      <c r="Q374">
        <f t="shared" si="34"/>
        <v>384.82642026009364</v>
      </c>
      <c r="R374">
        <f>SUMIFS(FactorInputs!$I:$I,FactorInputs!$A:$A,B374)</f>
        <v>7.6287162162199995E-2</v>
      </c>
      <c r="S374" t="str">
        <f>_xlfn.XLOOKUP(B374,FactorInputs!$A$2:$A$888,FactorInputs!$F$2:$F$888,"")</f>
        <v>job/MW</v>
      </c>
      <c r="T374" t="str">
        <f>_xlfn.XLOOKUP(B374,FactorInputs!$A$2:$A$888,FactorInputs!$B$2:$B$888,"")</f>
        <v>I-JEDI</v>
      </c>
      <c r="U374" t="str">
        <f>_xlfn.XLOOKUP(B374,FactorInputs!$A$2:$A$888,FactorInputs!$T$2:$T$888,"")</f>
        <v>I-JEDI</v>
      </c>
      <c r="V374">
        <f t="shared" si="35"/>
        <v>29.35731552668069</v>
      </c>
      <c r="W374" t="s">
        <v>67</v>
      </c>
    </row>
    <row r="375" spans="1:23" x14ac:dyDescent="0.3">
      <c r="A375" t="str">
        <f t="shared" si="30"/>
        <v>CN|AccumulatedNewCapacity|RE1|PWRWNDOFS_FIX|2040</v>
      </c>
      <c r="B375" t="str">
        <f t="shared" si="31"/>
        <v>Offshore wind (fixed)|2040|O&amp;M|Direct</v>
      </c>
      <c r="C375" t="str">
        <f t="shared" si="32"/>
        <v>PWRWNDOFS_FIX|Offshore wind (fixed)</v>
      </c>
      <c r="D375" t="s">
        <v>39</v>
      </c>
      <c r="E375" t="s">
        <v>40</v>
      </c>
      <c r="F375" t="s">
        <v>19</v>
      </c>
      <c r="G375" t="s">
        <v>42</v>
      </c>
      <c r="H375">
        <v>2040</v>
      </c>
      <c r="I375" t="s">
        <v>18</v>
      </c>
      <c r="J375" t="s">
        <v>63</v>
      </c>
      <c r="K375" t="s">
        <v>64</v>
      </c>
      <c r="L375" t="s">
        <v>65</v>
      </c>
      <c r="M375">
        <f>SUMIFS(RawResultsLong!$P:$P,RawResultsLong!$A:$A,A375)</f>
        <v>178.11476658776209</v>
      </c>
      <c r="N375">
        <f t="shared" si="33"/>
        <v>5644.116364608275</v>
      </c>
      <c r="O375" t="s">
        <v>74</v>
      </c>
      <c r="P375">
        <f>SUMIFS(TechnologyMapping!$D:$D,TechnologyMapping!$A:$A,C375)</f>
        <v>1</v>
      </c>
      <c r="Q375">
        <f t="shared" si="34"/>
        <v>5644.116364608275</v>
      </c>
      <c r="R375">
        <f>SUMIFS(FactorInputs!$I:$I,FactorInputs!$A:$A,B375)</f>
        <v>6.6912442396299995E-2</v>
      </c>
      <c r="S375" t="str">
        <f>_xlfn.XLOOKUP(B375,FactorInputs!$A$2:$A$888,FactorInputs!$F$2:$F$888,"")</f>
        <v>job/MW</v>
      </c>
      <c r="T375" t="str">
        <f>_xlfn.XLOOKUP(B375,FactorInputs!$A$2:$A$888,FactorInputs!$B$2:$B$888,"")</f>
        <v>French QBIS 2023</v>
      </c>
      <c r="U375" t="str">
        <f>_xlfn.XLOOKUP(B375,FactorInputs!$A$2:$A$888,FactorInputs!$T$2:$T$888,"")</f>
        <v>French QBIS 2023</v>
      </c>
      <c r="V375">
        <f t="shared" si="35"/>
        <v>377.66161112486532</v>
      </c>
    </row>
    <row r="376" spans="1:23" x14ac:dyDescent="0.3">
      <c r="A376" t="str">
        <f t="shared" si="30"/>
        <v>CN|AccumulatedNewCapacity|RE1|PWRWNDONS|2040</v>
      </c>
      <c r="B376" t="str">
        <f t="shared" si="31"/>
        <v>Onshore wind|2040|O&amp;M|Direct</v>
      </c>
      <c r="C376" t="str">
        <f t="shared" si="32"/>
        <v>PWRWNDONS|Onshore wind</v>
      </c>
      <c r="D376" t="s">
        <v>39</v>
      </c>
      <c r="E376" t="s">
        <v>40</v>
      </c>
      <c r="F376" t="s">
        <v>19</v>
      </c>
      <c r="G376" t="s">
        <v>36</v>
      </c>
      <c r="H376">
        <v>2040</v>
      </c>
      <c r="I376" t="s">
        <v>18</v>
      </c>
      <c r="J376" t="s">
        <v>63</v>
      </c>
      <c r="K376" t="s">
        <v>64</v>
      </c>
      <c r="L376" t="s">
        <v>65</v>
      </c>
      <c r="M376">
        <f>SUMIFS(RawResultsLong!$P:$P,RawResultsLong!$A:$A,A376)</f>
        <v>378.44944648443561</v>
      </c>
      <c r="N376">
        <f t="shared" si="33"/>
        <v>11992.339293369445</v>
      </c>
      <c r="O376" t="s">
        <v>68</v>
      </c>
      <c r="P376">
        <f>SUMIFS(TechnologyMapping!$D:$D,TechnologyMapping!$A:$A,C376)</f>
        <v>1</v>
      </c>
      <c r="Q376">
        <f t="shared" si="34"/>
        <v>11992.339293369445</v>
      </c>
      <c r="R376">
        <f>SUMIFS(FactorInputs!$I:$I,FactorInputs!$A:$A,B376)</f>
        <v>2.7700729927000001E-2</v>
      </c>
      <c r="S376" t="str">
        <f>_xlfn.XLOOKUP(B376,FactorInputs!$A$2:$A$888,FactorInputs!$F$2:$F$888,"")</f>
        <v>job/MW</v>
      </c>
      <c r="T376" t="str">
        <f>_xlfn.XLOOKUP(B376,FactorInputs!$A$2:$A$888,FactorInputs!$B$2:$B$888,"")</f>
        <v>I-JEDI</v>
      </c>
      <c r="U376" t="str">
        <f>_xlfn.XLOOKUP(B376,FactorInputs!$A$2:$A$888,FactorInputs!$T$2:$T$888,"")</f>
        <v>I-JEDI</v>
      </c>
      <c r="V376">
        <f t="shared" si="35"/>
        <v>332.19655195857706</v>
      </c>
    </row>
    <row r="377" spans="1:23" x14ac:dyDescent="0.3">
      <c r="A377" t="str">
        <f t="shared" si="30"/>
        <v>CN|NewCapacity|RE1|PWRHYDROR_NDC|2040</v>
      </c>
      <c r="B377" t="str">
        <f t="shared" si="31"/>
        <v>Hydro (small)|2040|Construction&amp;Manufacturing|Direct</v>
      </c>
      <c r="C377" t="str">
        <f t="shared" si="32"/>
        <v>PWRHYDROR_NDC|Hydro (small)</v>
      </c>
      <c r="D377" t="s">
        <v>39</v>
      </c>
      <c r="E377" t="s">
        <v>40</v>
      </c>
      <c r="F377" t="s">
        <v>19</v>
      </c>
      <c r="G377" t="s">
        <v>26</v>
      </c>
      <c r="H377">
        <v>2040</v>
      </c>
      <c r="I377" t="s">
        <v>37</v>
      </c>
      <c r="J377" t="s">
        <v>69</v>
      </c>
      <c r="K377" t="s">
        <v>70</v>
      </c>
      <c r="L377" t="s">
        <v>65</v>
      </c>
      <c r="M377">
        <f>SUMIFS(RawResultsLong!$P:$P,RawResultsLong!$A:$A,A377)</f>
        <v>31.34</v>
      </c>
      <c r="N377">
        <f t="shared" si="33"/>
        <v>993.10467209166723</v>
      </c>
      <c r="O377" t="s">
        <v>75</v>
      </c>
      <c r="P377">
        <f>SUMIFS(TechnologyMapping!$D:$D,TechnologyMapping!$A:$A,C377)</f>
        <v>1</v>
      </c>
      <c r="Q377">
        <f t="shared" si="34"/>
        <v>993.10467209166723</v>
      </c>
      <c r="R377">
        <f>SUMIFS(FactorInputs!$I:$I,FactorInputs!$A:$A,B377)</f>
        <v>28.496301703899999</v>
      </c>
      <c r="S377" t="str">
        <f>_xlfn.XLOOKUP(B377,FactorInputs!$A$2:$A$888,FactorInputs!$F$2:$F$888,"")</f>
        <v>job-yr/MW</v>
      </c>
      <c r="T377" t="str">
        <f>_xlfn.XLOOKUP(B377,FactorInputs!$A$2:$A$888,FactorInputs!$B$2:$B$888,"")</f>
        <v>Rutovitz 2015</v>
      </c>
      <c r="U377" t="str">
        <f>_xlfn.XLOOKUP(B377,FactorInputs!$A$2:$A$888,FactorInputs!$T$2:$T$888,"")</f>
        <v>Rutovitz 2015</v>
      </c>
      <c r="V377">
        <f t="shared" si="35"/>
        <v>28299.810359476825</v>
      </c>
      <c r="W377" t="s">
        <v>76</v>
      </c>
    </row>
    <row r="378" spans="1:23" x14ac:dyDescent="0.3">
      <c r="A378" t="str">
        <f t="shared" si="30"/>
        <v>CN|NewCapacity|RE1|PWRSOLRTP|2040</v>
      </c>
      <c r="B378" t="str">
        <f t="shared" si="31"/>
        <v>Rooftop solar PV|2040|Construction&amp;Manufacturing|Direct</v>
      </c>
      <c r="C378" t="str">
        <f t="shared" si="32"/>
        <v>PWRSOLRTP|Rooftop solar PV</v>
      </c>
      <c r="D378" t="s">
        <v>39</v>
      </c>
      <c r="E378" t="s">
        <v>40</v>
      </c>
      <c r="F378" t="s">
        <v>19</v>
      </c>
      <c r="G378" t="s">
        <v>31</v>
      </c>
      <c r="H378">
        <v>2040</v>
      </c>
      <c r="I378" t="s">
        <v>37</v>
      </c>
      <c r="J378" t="s">
        <v>69</v>
      </c>
      <c r="K378" t="s">
        <v>70</v>
      </c>
      <c r="L378" t="s">
        <v>65</v>
      </c>
      <c r="M378">
        <f>SUMIFS(RawResultsLong!$P:$P,RawResultsLong!$A:$A,A378)</f>
        <v>4.91</v>
      </c>
      <c r="N378">
        <f t="shared" si="33"/>
        <v>155.58851116688214</v>
      </c>
      <c r="O378" t="s">
        <v>71</v>
      </c>
      <c r="P378">
        <f>SUMIFS(TechnologyMapping!$D:$D,TechnologyMapping!$A:$A,C378)</f>
        <v>1</v>
      </c>
      <c r="Q378">
        <f t="shared" si="34"/>
        <v>155.58851116688214</v>
      </c>
      <c r="R378">
        <f>SUMIFS(FactorInputs!$I:$I,FactorInputs!$A:$A,B378)</f>
        <v>5.3773905684300001</v>
      </c>
      <c r="S378" t="str">
        <f>_xlfn.XLOOKUP(B378,FactorInputs!$A$2:$A$888,FactorInputs!$F$2:$F$888,"")</f>
        <v>job-yr/MW</v>
      </c>
      <c r="T378" t="str">
        <f>_xlfn.XLOOKUP(B378,FactorInputs!$A$2:$A$888,FactorInputs!$B$2:$B$888,"")</f>
        <v>JEDI-US</v>
      </c>
      <c r="U378" t="str">
        <f>_xlfn.XLOOKUP(B378,FactorInputs!$A$2:$A$888,FactorInputs!$T$2:$T$888,"")</f>
        <v>JEDI-US</v>
      </c>
      <c r="V378">
        <f t="shared" si="35"/>
        <v>836.66019250485783</v>
      </c>
    </row>
    <row r="379" spans="1:23" x14ac:dyDescent="0.3">
      <c r="A379" t="str">
        <f t="shared" si="30"/>
        <v>CN|NewCapacity|RE1|PWRSOLRTP_ZNI|2040</v>
      </c>
      <c r="B379" t="str">
        <f t="shared" si="31"/>
        <v>Rooftop solar PV|2040|Construction&amp;Manufacturing|Direct</v>
      </c>
      <c r="C379" t="str">
        <f t="shared" si="32"/>
        <v>PWRSOLRTP_ZNI|Rooftop solar PV</v>
      </c>
      <c r="D379" t="s">
        <v>39</v>
      </c>
      <c r="E379" t="s">
        <v>40</v>
      </c>
      <c r="F379" t="s">
        <v>19</v>
      </c>
      <c r="G379" t="s">
        <v>32</v>
      </c>
      <c r="H379">
        <v>2040</v>
      </c>
      <c r="I379" t="s">
        <v>37</v>
      </c>
      <c r="J379" t="s">
        <v>69</v>
      </c>
      <c r="K379" t="s">
        <v>70</v>
      </c>
      <c r="L379" t="s">
        <v>65</v>
      </c>
      <c r="M379">
        <f>SUMIFS(RawResultsLong!$P:$P,RawResultsLong!$A:$A,A379)</f>
        <v>4.353867236473688E-2</v>
      </c>
      <c r="N379">
        <f t="shared" si="33"/>
        <v>1.3796572732000179</v>
      </c>
      <c r="O379" t="s">
        <v>71</v>
      </c>
      <c r="P379">
        <f>SUMIFS(TechnologyMapping!$D:$D,TechnologyMapping!$A:$A,C379)</f>
        <v>1</v>
      </c>
      <c r="Q379">
        <f t="shared" si="34"/>
        <v>1.3796572732000179</v>
      </c>
      <c r="R379">
        <f>SUMIFS(FactorInputs!$I:$I,FactorInputs!$A:$A,B379)</f>
        <v>5.3773905684300001</v>
      </c>
      <c r="S379" t="str">
        <f>_xlfn.XLOOKUP(B379,FactorInputs!$A$2:$A$888,FactorInputs!$F$2:$F$888,"")</f>
        <v>job-yr/MW</v>
      </c>
      <c r="T379" t="str">
        <f>_xlfn.XLOOKUP(B379,FactorInputs!$A$2:$A$888,FactorInputs!$B$2:$B$888,"")</f>
        <v>JEDI-US</v>
      </c>
      <c r="U379" t="str">
        <f>_xlfn.XLOOKUP(B379,FactorInputs!$A$2:$A$888,FactorInputs!$T$2:$T$888,"")</f>
        <v>JEDI-US</v>
      </c>
      <c r="V379">
        <f t="shared" si="35"/>
        <v>7.4189560085716275</v>
      </c>
      <c r="W379" t="s">
        <v>73</v>
      </c>
    </row>
    <row r="380" spans="1:23" x14ac:dyDescent="0.3">
      <c r="A380" t="str">
        <f t="shared" si="30"/>
        <v>CN|NewCapacity|RE1|PWRSOLUGE|2040</v>
      </c>
      <c r="B380" t="str">
        <f t="shared" si="31"/>
        <v>Utility-scale solar PV|2040|Construction&amp;Manufacturing|Direct</v>
      </c>
      <c r="C380" t="str">
        <f t="shared" si="32"/>
        <v>PWRSOLUGE|Utility-scale solar PV</v>
      </c>
      <c r="D380" t="s">
        <v>39</v>
      </c>
      <c r="E380" t="s">
        <v>40</v>
      </c>
      <c r="F380" t="s">
        <v>19</v>
      </c>
      <c r="G380" t="s">
        <v>33</v>
      </c>
      <c r="H380">
        <v>2040</v>
      </c>
      <c r="I380" t="s">
        <v>37</v>
      </c>
      <c r="J380" t="s">
        <v>69</v>
      </c>
      <c r="K380" t="s">
        <v>70</v>
      </c>
      <c r="L380" t="s">
        <v>65</v>
      </c>
      <c r="M380">
        <f>SUMIFS(RawResultsLong!$P:$P,RawResultsLong!$A:$A,A380)</f>
        <v>47.31</v>
      </c>
      <c r="N380">
        <f t="shared" si="33"/>
        <v>1499.1634344817096</v>
      </c>
      <c r="O380" t="s">
        <v>66</v>
      </c>
      <c r="P380">
        <f>SUMIFS(TechnologyMapping!$D:$D,TechnologyMapping!$A:$A,C380)</f>
        <v>1</v>
      </c>
      <c r="Q380">
        <f t="shared" si="34"/>
        <v>1499.1634344817096</v>
      </c>
      <c r="R380">
        <f>SUMIFS(FactorInputs!$I:$I,FactorInputs!$A:$A,B380)</f>
        <v>5.7521109054400004</v>
      </c>
      <c r="S380" t="str">
        <f>_xlfn.XLOOKUP(B380,FactorInputs!$A$2:$A$888,FactorInputs!$F$2:$F$888,"")</f>
        <v>job-yr/MW</v>
      </c>
      <c r="T380" t="str">
        <f>_xlfn.XLOOKUP(B380,FactorInputs!$A$2:$A$888,FactorInputs!$B$2:$B$888,"")</f>
        <v>I-JEDI</v>
      </c>
      <c r="U380" t="str">
        <f>_xlfn.XLOOKUP(B380,FactorInputs!$A$2:$A$888,FactorInputs!$T$2:$T$888,"")</f>
        <v>I-JEDI</v>
      </c>
      <c r="V380">
        <f t="shared" si="35"/>
        <v>8623.3543405191267</v>
      </c>
    </row>
    <row r="381" spans="1:23" x14ac:dyDescent="0.3">
      <c r="A381" t="str">
        <f t="shared" si="30"/>
        <v>CN|NewCapacity|RE1|PWRWNDOFS_FIX|2040</v>
      </c>
      <c r="B381" t="str">
        <f t="shared" si="31"/>
        <v>Offshore wind (fixed)|2040|Construction&amp;Manufacturing|Direct</v>
      </c>
      <c r="C381" t="str">
        <f t="shared" si="32"/>
        <v>PWRWNDOFS_FIX|Offshore wind (fixed)</v>
      </c>
      <c r="D381" t="s">
        <v>39</v>
      </c>
      <c r="E381" t="s">
        <v>40</v>
      </c>
      <c r="F381" t="s">
        <v>19</v>
      </c>
      <c r="G381" t="s">
        <v>42</v>
      </c>
      <c r="H381">
        <v>2040</v>
      </c>
      <c r="I381" t="s">
        <v>37</v>
      </c>
      <c r="J381" t="s">
        <v>69</v>
      </c>
      <c r="K381" t="s">
        <v>70</v>
      </c>
      <c r="L381" t="s">
        <v>65</v>
      </c>
      <c r="M381">
        <f>SUMIFS(RawResultsLong!$P:$P,RawResultsLong!$A:$A,A381)</f>
        <v>47.31</v>
      </c>
      <c r="N381">
        <f t="shared" si="33"/>
        <v>1499.1634344817096</v>
      </c>
      <c r="O381" t="s">
        <v>74</v>
      </c>
      <c r="P381">
        <f>SUMIFS(TechnologyMapping!$D:$D,TechnologyMapping!$A:$A,C381)</f>
        <v>1</v>
      </c>
      <c r="Q381">
        <f t="shared" si="34"/>
        <v>1499.1634344817096</v>
      </c>
      <c r="R381">
        <f>SUMIFS(FactorInputs!$I:$I,FactorInputs!$A:$A,B381)</f>
        <v>4.0630087160999997</v>
      </c>
      <c r="S381" t="str">
        <f>_xlfn.XLOOKUP(B381,FactorInputs!$A$2:$A$888,FactorInputs!$F$2:$F$888,"")</f>
        <v>job-yr/MW</v>
      </c>
      <c r="T381" t="str">
        <f>_xlfn.XLOOKUP(B381,FactorInputs!$A$2:$A$888,FactorInputs!$B$2:$B$888,"")</f>
        <v>French QBIS 2023</v>
      </c>
      <c r="U381" t="str">
        <f>_xlfn.XLOOKUP(B381,FactorInputs!$A$2:$A$888,FactorInputs!$T$2:$T$888,"")</f>
        <v>French QBIS 2023</v>
      </c>
      <c r="V381">
        <f t="shared" si="35"/>
        <v>6091.1141011575974</v>
      </c>
    </row>
    <row r="382" spans="1:23" x14ac:dyDescent="0.3">
      <c r="A382" t="str">
        <f t="shared" si="30"/>
        <v>CN|NewCapacity|RE1|PWRWNDONS|2040</v>
      </c>
      <c r="B382" t="str">
        <f t="shared" si="31"/>
        <v>Onshore wind|2040|Construction&amp;Manufacturing|Direct</v>
      </c>
      <c r="C382" t="str">
        <f t="shared" si="32"/>
        <v>PWRWNDONS|Onshore wind</v>
      </c>
      <c r="D382" t="s">
        <v>39</v>
      </c>
      <c r="E382" t="s">
        <v>40</v>
      </c>
      <c r="F382" t="s">
        <v>19</v>
      </c>
      <c r="G382" t="s">
        <v>36</v>
      </c>
      <c r="H382">
        <v>2040</v>
      </c>
      <c r="I382" t="s">
        <v>37</v>
      </c>
      <c r="J382" t="s">
        <v>69</v>
      </c>
      <c r="K382" t="s">
        <v>70</v>
      </c>
      <c r="L382" t="s">
        <v>65</v>
      </c>
      <c r="M382">
        <f>SUMIFS(RawResultsLong!$P:$P,RawResultsLong!$A:$A,A382)</f>
        <v>47.31</v>
      </c>
      <c r="N382">
        <f t="shared" si="33"/>
        <v>1499.1634344817096</v>
      </c>
      <c r="O382" t="s">
        <v>68</v>
      </c>
      <c r="P382">
        <f>SUMIFS(TechnologyMapping!$D:$D,TechnologyMapping!$A:$A,C382)</f>
        <v>1</v>
      </c>
      <c r="Q382">
        <f t="shared" si="34"/>
        <v>1499.1634344817096</v>
      </c>
      <c r="R382">
        <f>SUMIFS(FactorInputs!$I:$I,FactorInputs!$A:$A,B382)</f>
        <v>6.6951774985799997</v>
      </c>
      <c r="S382" t="str">
        <f>_xlfn.XLOOKUP(B382,FactorInputs!$A$2:$A$888,FactorInputs!$F$2:$F$888,"")</f>
        <v>job-yr/MW</v>
      </c>
      <c r="T382" t="str">
        <f>_xlfn.XLOOKUP(B382,FactorInputs!$A$2:$A$888,FactorInputs!$B$2:$B$888,"")</f>
        <v>I-JEDI</v>
      </c>
      <c r="U382" t="str">
        <f>_xlfn.XLOOKUP(B382,FactorInputs!$A$2:$A$888,FactorInputs!$T$2:$T$888,"")</f>
        <v>I-JEDI</v>
      </c>
      <c r="V382">
        <f t="shared" si="35"/>
        <v>10037.165293235854</v>
      </c>
    </row>
    <row r="383" spans="1:23" x14ac:dyDescent="0.3">
      <c r="A383" t="str">
        <f t="shared" si="30"/>
        <v>CN|AccumulatedNewCapacity|RE1|PWRHYDDAM|2041</v>
      </c>
      <c r="B383" t="str">
        <f t="shared" si="31"/>
        <v>Hydro (large)|2041|O&amp;M|Direct</v>
      </c>
      <c r="C383" t="str">
        <f t="shared" si="32"/>
        <v>PWRHYDDAM|Hydro (large)</v>
      </c>
      <c r="D383" t="s">
        <v>39</v>
      </c>
      <c r="E383" t="s">
        <v>40</v>
      </c>
      <c r="F383" t="s">
        <v>19</v>
      </c>
      <c r="G383" t="s">
        <v>24</v>
      </c>
      <c r="H383">
        <v>2041</v>
      </c>
      <c r="I383" t="s">
        <v>18</v>
      </c>
      <c r="J383" t="s">
        <v>63</v>
      </c>
      <c r="K383" t="s">
        <v>64</v>
      </c>
      <c r="L383" t="s">
        <v>65</v>
      </c>
      <c r="M383">
        <f>SUMIFS(RawResultsLong!$P:$P,RawResultsLong!$A:$A,A383)</f>
        <v>37.840000000000003</v>
      </c>
      <c r="N383">
        <f t="shared" si="33"/>
        <v>1199.0772428828554</v>
      </c>
      <c r="O383" t="s">
        <v>72</v>
      </c>
      <c r="P383">
        <f>SUMIFS(TechnologyMapping!$D:$D,TechnologyMapping!$A:$A,C383)</f>
        <v>1</v>
      </c>
      <c r="Q383">
        <f t="shared" si="34"/>
        <v>1199.0772428828554</v>
      </c>
      <c r="R383">
        <f>SUMIFS(FactorInputs!$I:$I,FactorInputs!$A:$A,B383)</f>
        <v>0.64007049180300002</v>
      </c>
      <c r="S383" t="str">
        <f>_xlfn.XLOOKUP(B383,FactorInputs!$A$2:$A$888,FactorInputs!$F$2:$F$888,"")</f>
        <v>job/MW</v>
      </c>
      <c r="T383" t="str">
        <f>_xlfn.XLOOKUP(B383,FactorInputs!$A$2:$A$888,FactorInputs!$B$2:$B$888,"")</f>
        <v>Rutovitz 2015</v>
      </c>
      <c r="U383" t="str">
        <f>_xlfn.XLOOKUP(B383,FactorInputs!$A$2:$A$888,FactorInputs!$T$2:$T$888,"")</f>
        <v>Rutovitz 2015</v>
      </c>
      <c r="V383">
        <f t="shared" si="35"/>
        <v>767.49396056181456</v>
      </c>
    </row>
    <row r="384" spans="1:23" x14ac:dyDescent="0.3">
      <c r="A384" t="str">
        <f t="shared" si="30"/>
        <v>CN|AccumulatedNewCapacity|RE1|PWRHYDROR_NDC|2041</v>
      </c>
      <c r="B384" t="str">
        <f t="shared" si="31"/>
        <v>Hydro (small)|2041|O&amp;M|Direct</v>
      </c>
      <c r="C384" t="str">
        <f t="shared" si="32"/>
        <v>PWRHYDROR_NDC|Hydro (small)</v>
      </c>
      <c r="D384" t="s">
        <v>39</v>
      </c>
      <c r="E384" t="s">
        <v>40</v>
      </c>
      <c r="F384" t="s">
        <v>19</v>
      </c>
      <c r="G384" t="s">
        <v>26</v>
      </c>
      <c r="H384">
        <v>2041</v>
      </c>
      <c r="I384" t="s">
        <v>18</v>
      </c>
      <c r="J384" t="s">
        <v>63</v>
      </c>
      <c r="K384" t="s">
        <v>64</v>
      </c>
      <c r="L384" t="s">
        <v>65</v>
      </c>
      <c r="M384">
        <f>SUMIFS(RawResultsLong!$P:$P,RawResultsLong!$A:$A,A384)</f>
        <v>58.986358233509478</v>
      </c>
      <c r="N384">
        <f t="shared" si="33"/>
        <v>1869.1648995332177</v>
      </c>
      <c r="O384" t="s">
        <v>75</v>
      </c>
      <c r="P384">
        <f>SUMIFS(TechnologyMapping!$D:$D,TechnologyMapping!$A:$A,C384)</f>
        <v>1</v>
      </c>
      <c r="Q384">
        <f t="shared" si="34"/>
        <v>1869.1648995332177</v>
      </c>
      <c r="R384">
        <f>SUMIFS(FactorInputs!$I:$I,FactorInputs!$A:$A,B384)</f>
        <v>5.2256286144599997</v>
      </c>
      <c r="S384" t="str">
        <f>_xlfn.XLOOKUP(B384,FactorInputs!$A$2:$A$888,FactorInputs!$F$2:$F$888,"")</f>
        <v>job/MW</v>
      </c>
      <c r="T384" t="str">
        <f>_xlfn.XLOOKUP(B384,FactorInputs!$A$2:$A$888,FactorInputs!$B$2:$B$888,"")</f>
        <v>Rutovitz 2015</v>
      </c>
      <c r="U384" t="str">
        <f>_xlfn.XLOOKUP(B384,FactorInputs!$A$2:$A$888,FactorInputs!$T$2:$T$888,"")</f>
        <v>Rutovitz 2015</v>
      </c>
      <c r="V384">
        <f t="shared" si="35"/>
        <v>9767.5615841450326</v>
      </c>
      <c r="W384" t="s">
        <v>76</v>
      </c>
    </row>
    <row r="385" spans="1:23" x14ac:dyDescent="0.3">
      <c r="A385" t="str">
        <f t="shared" si="30"/>
        <v>CN|AccumulatedNewCapacity|RE1|PWRSOLRTP|2041</v>
      </c>
      <c r="B385" t="str">
        <f t="shared" si="31"/>
        <v>Rooftop solar PV|2041|O&amp;M|Direct</v>
      </c>
      <c r="C385" t="str">
        <f t="shared" si="32"/>
        <v>PWRSOLRTP|Rooftop solar PV</v>
      </c>
      <c r="D385" t="s">
        <v>39</v>
      </c>
      <c r="E385" t="s">
        <v>40</v>
      </c>
      <c r="F385" t="s">
        <v>19</v>
      </c>
      <c r="G385" t="s">
        <v>31</v>
      </c>
      <c r="H385">
        <v>2041</v>
      </c>
      <c r="I385" t="s">
        <v>18</v>
      </c>
      <c r="J385" t="s">
        <v>63</v>
      </c>
      <c r="K385" t="s">
        <v>64</v>
      </c>
      <c r="L385" t="s">
        <v>65</v>
      </c>
      <c r="M385">
        <f>SUMIFS(RawResultsLong!$P:$P,RawResultsLong!$A:$A,A385)</f>
        <v>196.82</v>
      </c>
      <c r="N385">
        <f t="shared" si="33"/>
        <v>6236.8494435571774</v>
      </c>
      <c r="O385" t="s">
        <v>71</v>
      </c>
      <c r="P385">
        <f>SUMIFS(TechnologyMapping!$D:$D,TechnologyMapping!$A:$A,C385)</f>
        <v>1</v>
      </c>
      <c r="Q385">
        <f t="shared" si="34"/>
        <v>6236.8494435571774</v>
      </c>
      <c r="R385">
        <f>SUMIFS(FactorInputs!$I:$I,FactorInputs!$A:$A,B385)</f>
        <v>0.23532352941199999</v>
      </c>
      <c r="S385" t="str">
        <f>_xlfn.XLOOKUP(B385,FactorInputs!$A$2:$A$888,FactorInputs!$F$2:$F$888,"")</f>
        <v>job/MW</v>
      </c>
      <c r="T385" t="str">
        <f>_xlfn.XLOOKUP(B385,FactorInputs!$A$2:$A$888,FactorInputs!$B$2:$B$888,"")</f>
        <v>JEDI-US</v>
      </c>
      <c r="U385" t="str">
        <f>_xlfn.XLOOKUP(B385,FactorInputs!$A$2:$A$888,FactorInputs!$T$2:$T$888,"")</f>
        <v>JEDI-US</v>
      </c>
      <c r="V385">
        <f t="shared" si="35"/>
        <v>1467.6774234691432</v>
      </c>
    </row>
    <row r="386" spans="1:23" x14ac:dyDescent="0.3">
      <c r="A386" t="str">
        <f t="shared" ref="A386:A449" si="36">D386&amp;"|"&amp;I386&amp;"|"&amp;F386&amp;"|"&amp;G386&amp;"|"&amp;H386</f>
        <v>CN|AccumulatedNewCapacity|RE1|PWRSOLRTP_ZNI|2041</v>
      </c>
      <c r="B386" t="str">
        <f t="shared" ref="B386:B449" si="37">O386&amp;"|"&amp;H386&amp;"|"&amp;K386&amp;"|"&amp;L386</f>
        <v>Rooftop solar PV|2041|O&amp;M|Direct</v>
      </c>
      <c r="C386" t="str">
        <f t="shared" ref="C386:C449" si="38">G386&amp;"|"&amp;O386</f>
        <v>PWRSOLRTP_ZNI|Rooftop solar PV</v>
      </c>
      <c r="D386" t="s">
        <v>39</v>
      </c>
      <c r="E386" t="s">
        <v>40</v>
      </c>
      <c r="F386" t="s">
        <v>19</v>
      </c>
      <c r="G386" t="s">
        <v>32</v>
      </c>
      <c r="H386">
        <v>2041</v>
      </c>
      <c r="I386" t="s">
        <v>18</v>
      </c>
      <c r="J386" t="s">
        <v>63</v>
      </c>
      <c r="K386" t="s">
        <v>64</v>
      </c>
      <c r="L386" t="s">
        <v>65</v>
      </c>
      <c r="M386">
        <f>SUMIFS(RawResultsLong!$P:$P,RawResultsLong!$A:$A,A386)</f>
        <v>0.98406339499690743</v>
      </c>
      <c r="N386">
        <f t="shared" ref="N386:N449" si="39">M386*1000/31.5576</f>
        <v>31.183087275233458</v>
      </c>
      <c r="O386" t="s">
        <v>71</v>
      </c>
      <c r="P386">
        <f>SUMIFS(TechnologyMapping!$D:$D,TechnologyMapping!$A:$A,C386)</f>
        <v>1</v>
      </c>
      <c r="Q386">
        <f t="shared" ref="Q386:Q449" si="40">N386*P386</f>
        <v>31.183087275233458</v>
      </c>
      <c r="R386">
        <f>SUMIFS(FactorInputs!$I:$I,FactorInputs!$A:$A,B386)</f>
        <v>0.23532352941199999</v>
      </c>
      <c r="S386" t="str">
        <f>_xlfn.XLOOKUP(B386,FactorInputs!$A$2:$A$888,FactorInputs!$F$2:$F$888,"")</f>
        <v>job/MW</v>
      </c>
      <c r="T386" t="str">
        <f>_xlfn.XLOOKUP(B386,FactorInputs!$A$2:$A$888,FactorInputs!$B$2:$B$888,"")</f>
        <v>JEDI-US</v>
      </c>
      <c r="U386" t="str">
        <f>_xlfn.XLOOKUP(B386,FactorInputs!$A$2:$A$888,FactorInputs!$T$2:$T$888,"")</f>
        <v>JEDI-US</v>
      </c>
      <c r="V386">
        <f t="shared" ref="V386:V449" si="41">Q386*R386</f>
        <v>7.3381141555703637</v>
      </c>
      <c r="W386" t="s">
        <v>73</v>
      </c>
    </row>
    <row r="387" spans="1:23" x14ac:dyDescent="0.3">
      <c r="A387" t="str">
        <f t="shared" si="36"/>
        <v>CN|AccumulatedNewCapacity|RE1|PWRSOLUGE|2041</v>
      </c>
      <c r="B387" t="str">
        <f t="shared" si="37"/>
        <v>Utility-scale solar PV|2041|O&amp;M|Direct</v>
      </c>
      <c r="C387" t="str">
        <f t="shared" si="38"/>
        <v>PWRSOLUGE|Utility-scale solar PV</v>
      </c>
      <c r="D387" t="s">
        <v>39</v>
      </c>
      <c r="E387" t="s">
        <v>40</v>
      </c>
      <c r="F387" t="s">
        <v>19</v>
      </c>
      <c r="G387" t="s">
        <v>33</v>
      </c>
      <c r="H387">
        <v>2041</v>
      </c>
      <c r="I387" t="s">
        <v>18</v>
      </c>
      <c r="J387" t="s">
        <v>63</v>
      </c>
      <c r="K387" t="s">
        <v>64</v>
      </c>
      <c r="L387" t="s">
        <v>65</v>
      </c>
      <c r="M387">
        <f>SUMIFS(RawResultsLong!$P:$P,RawResultsLong!$A:$A,A387)</f>
        <v>285.32419199999998</v>
      </c>
      <c r="N387">
        <f t="shared" si="39"/>
        <v>9041.378051562855</v>
      </c>
      <c r="O387" t="s">
        <v>66</v>
      </c>
      <c r="P387">
        <f>SUMIFS(TechnologyMapping!$D:$D,TechnologyMapping!$A:$A,C387)</f>
        <v>1</v>
      </c>
      <c r="Q387">
        <f t="shared" si="40"/>
        <v>9041.378051562855</v>
      </c>
      <c r="R387">
        <f>SUMIFS(FactorInputs!$I:$I,FactorInputs!$A:$A,B387)</f>
        <v>7.5700337837800002E-2</v>
      </c>
      <c r="S387" t="str">
        <f>_xlfn.XLOOKUP(B387,FactorInputs!$A$2:$A$888,FactorInputs!$F$2:$F$888,"")</f>
        <v>job/MW</v>
      </c>
      <c r="T387" t="str">
        <f>_xlfn.XLOOKUP(B387,FactorInputs!$A$2:$A$888,FactorInputs!$B$2:$B$888,"")</f>
        <v>I-JEDI</v>
      </c>
      <c r="U387" t="str">
        <f>_xlfn.XLOOKUP(B387,FactorInputs!$A$2:$A$888,FactorInputs!$T$2:$T$888,"")</f>
        <v>I-JEDI</v>
      </c>
      <c r="V387">
        <f t="shared" si="41"/>
        <v>684.43537302257801</v>
      </c>
    </row>
    <row r="388" spans="1:23" x14ac:dyDescent="0.3">
      <c r="A388" t="str">
        <f t="shared" si="36"/>
        <v>CN|AccumulatedNewCapacity|RE1|PWRSOLUPE|2041</v>
      </c>
      <c r="B388" t="str">
        <f t="shared" si="37"/>
        <v>Utility-scale solar PV|2041|O&amp;M|Direct</v>
      </c>
      <c r="C388" t="str">
        <f t="shared" si="38"/>
        <v>PWRSOLUPE|Utility-scale solar PV</v>
      </c>
      <c r="D388" t="s">
        <v>39</v>
      </c>
      <c r="E388" t="s">
        <v>40</v>
      </c>
      <c r="F388" t="s">
        <v>19</v>
      </c>
      <c r="G388" t="s">
        <v>34</v>
      </c>
      <c r="H388">
        <v>2041</v>
      </c>
      <c r="I388" t="s">
        <v>18</v>
      </c>
      <c r="J388" t="s">
        <v>63</v>
      </c>
      <c r="K388" t="s">
        <v>64</v>
      </c>
      <c r="L388" t="s">
        <v>65</v>
      </c>
      <c r="M388">
        <f>SUMIFS(RawResultsLong!$P:$P,RawResultsLong!$A:$A,A388)</f>
        <v>12.14419823999993</v>
      </c>
      <c r="N388">
        <f t="shared" si="39"/>
        <v>384.82642026009364</v>
      </c>
      <c r="O388" t="s">
        <v>66</v>
      </c>
      <c r="P388">
        <f>SUMIFS(TechnologyMapping!$D:$D,TechnologyMapping!$A:$A,C388)</f>
        <v>1</v>
      </c>
      <c r="Q388">
        <f t="shared" si="40"/>
        <v>384.82642026009364</v>
      </c>
      <c r="R388">
        <f>SUMIFS(FactorInputs!$I:$I,FactorInputs!$A:$A,B388)</f>
        <v>7.5700337837800002E-2</v>
      </c>
      <c r="S388" t="str">
        <f>_xlfn.XLOOKUP(B388,FactorInputs!$A$2:$A$888,FactorInputs!$F$2:$F$888,"")</f>
        <v>job/MW</v>
      </c>
      <c r="T388" t="str">
        <f>_xlfn.XLOOKUP(B388,FactorInputs!$A$2:$A$888,FactorInputs!$B$2:$B$888,"")</f>
        <v>I-JEDI</v>
      </c>
      <c r="U388" t="str">
        <f>_xlfn.XLOOKUP(B388,FactorInputs!$A$2:$A$888,FactorInputs!$T$2:$T$888,"")</f>
        <v>I-JEDI</v>
      </c>
      <c r="V388">
        <f t="shared" si="41"/>
        <v>29.131490022600293</v>
      </c>
      <c r="W388" t="s">
        <v>67</v>
      </c>
    </row>
    <row r="389" spans="1:23" x14ac:dyDescent="0.3">
      <c r="A389" t="str">
        <f t="shared" si="36"/>
        <v>CN|AccumulatedNewCapacity|RE1|PWRWNDOFS_FIX|2041</v>
      </c>
      <c r="B389" t="str">
        <f t="shared" si="37"/>
        <v>Offshore wind (fixed)|2041|O&amp;M|Direct</v>
      </c>
      <c r="C389" t="str">
        <f t="shared" si="38"/>
        <v>PWRWNDOFS_FIX|Offshore wind (fixed)</v>
      </c>
      <c r="D389" t="s">
        <v>39</v>
      </c>
      <c r="E389" t="s">
        <v>40</v>
      </c>
      <c r="F389" t="s">
        <v>19</v>
      </c>
      <c r="G389" t="s">
        <v>42</v>
      </c>
      <c r="H389">
        <v>2041</v>
      </c>
      <c r="I389" t="s">
        <v>18</v>
      </c>
      <c r="J389" t="s">
        <v>63</v>
      </c>
      <c r="K389" t="s">
        <v>64</v>
      </c>
      <c r="L389" t="s">
        <v>65</v>
      </c>
      <c r="M389">
        <f>SUMIFS(RawResultsLong!$P:$P,RawResultsLong!$A:$A,A389)</f>
        <v>225.42476658776209</v>
      </c>
      <c r="N389">
        <f t="shared" si="39"/>
        <v>7143.2797990899844</v>
      </c>
      <c r="O389" t="s">
        <v>74</v>
      </c>
      <c r="P389">
        <f>SUMIFS(TechnologyMapping!$D:$D,TechnologyMapping!$A:$A,C389)</f>
        <v>1</v>
      </c>
      <c r="Q389">
        <f t="shared" si="40"/>
        <v>7143.2797990899844</v>
      </c>
      <c r="R389">
        <f>SUMIFS(FactorInputs!$I:$I,FactorInputs!$A:$A,B389)</f>
        <v>6.5720184331800005E-2</v>
      </c>
      <c r="S389" t="str">
        <f>_xlfn.XLOOKUP(B389,FactorInputs!$A$2:$A$888,FactorInputs!$F$2:$F$888,"")</f>
        <v>job/MW</v>
      </c>
      <c r="T389" t="str">
        <f>_xlfn.XLOOKUP(B389,FactorInputs!$A$2:$A$888,FactorInputs!$B$2:$B$888,"")</f>
        <v>French QBIS 2023</v>
      </c>
      <c r="U389" t="str">
        <f>_xlfn.XLOOKUP(B389,FactorInputs!$A$2:$A$888,FactorInputs!$T$2:$T$888,"")</f>
        <v>French QBIS 2023</v>
      </c>
      <c r="V389">
        <f t="shared" si="41"/>
        <v>469.45766512981709</v>
      </c>
    </row>
    <row r="390" spans="1:23" x14ac:dyDescent="0.3">
      <c r="A390" t="str">
        <f t="shared" si="36"/>
        <v>CN|AccumulatedNewCapacity|RE1|PWRWNDONS|2041</v>
      </c>
      <c r="B390" t="str">
        <f t="shared" si="37"/>
        <v>Onshore wind|2041|O&amp;M|Direct</v>
      </c>
      <c r="C390" t="str">
        <f t="shared" si="38"/>
        <v>PWRWNDONS|Onshore wind</v>
      </c>
      <c r="D390" t="s">
        <v>39</v>
      </c>
      <c r="E390" t="s">
        <v>40</v>
      </c>
      <c r="F390" t="s">
        <v>19</v>
      </c>
      <c r="G390" t="s">
        <v>36</v>
      </c>
      <c r="H390">
        <v>2041</v>
      </c>
      <c r="I390" t="s">
        <v>18</v>
      </c>
      <c r="J390" t="s">
        <v>63</v>
      </c>
      <c r="K390" t="s">
        <v>64</v>
      </c>
      <c r="L390" t="s">
        <v>65</v>
      </c>
      <c r="M390">
        <f>SUMIFS(RawResultsLong!$P:$P,RawResultsLong!$A:$A,A390)</f>
        <v>425.75944648443561</v>
      </c>
      <c r="N390">
        <f t="shared" si="39"/>
        <v>13491.502727851155</v>
      </c>
      <c r="O390" t="s">
        <v>68</v>
      </c>
      <c r="P390">
        <f>SUMIFS(TechnologyMapping!$D:$D,TechnologyMapping!$A:$A,C390)</f>
        <v>1</v>
      </c>
      <c r="Q390">
        <f t="shared" si="40"/>
        <v>13491.502727851155</v>
      </c>
      <c r="R390">
        <f>SUMIFS(FactorInputs!$I:$I,FactorInputs!$A:$A,B390)</f>
        <v>2.7624087591200001E-2</v>
      </c>
      <c r="S390" t="str">
        <f>_xlfn.XLOOKUP(B390,FactorInputs!$A$2:$A$888,FactorInputs!$F$2:$F$888,"")</f>
        <v>job/MW</v>
      </c>
      <c r="T390" t="str">
        <f>_xlfn.XLOOKUP(B390,FactorInputs!$A$2:$A$888,FactorInputs!$B$2:$B$888,"")</f>
        <v>I-JEDI</v>
      </c>
      <c r="U390" t="str">
        <f>_xlfn.XLOOKUP(B390,FactorInputs!$A$2:$A$888,FactorInputs!$T$2:$T$888,"")</f>
        <v>I-JEDI</v>
      </c>
      <c r="V390">
        <f t="shared" si="41"/>
        <v>372.69045309107406</v>
      </c>
    </row>
    <row r="391" spans="1:23" x14ac:dyDescent="0.3">
      <c r="A391" t="str">
        <f t="shared" si="36"/>
        <v>CN|NewCapacity|RE1|PWRHYDROR_NDC|2041</v>
      </c>
      <c r="B391" t="str">
        <f t="shared" si="37"/>
        <v>Hydro (small)|2041|Construction&amp;Manufacturing|Direct</v>
      </c>
      <c r="C391" t="str">
        <f t="shared" si="38"/>
        <v>PWRHYDROR_NDC|Hydro (small)</v>
      </c>
      <c r="D391" t="s">
        <v>39</v>
      </c>
      <c r="E391" t="s">
        <v>40</v>
      </c>
      <c r="F391" t="s">
        <v>19</v>
      </c>
      <c r="G391" t="s">
        <v>26</v>
      </c>
      <c r="H391">
        <v>2041</v>
      </c>
      <c r="I391" t="s">
        <v>37</v>
      </c>
      <c r="J391" t="s">
        <v>69</v>
      </c>
      <c r="K391" t="s">
        <v>70</v>
      </c>
      <c r="L391" t="s">
        <v>65</v>
      </c>
      <c r="M391">
        <f>SUMIFS(RawResultsLong!$P:$P,RawResultsLong!$A:$A,A391)</f>
        <v>27.646358233509481</v>
      </c>
      <c r="N391">
        <f t="shared" si="39"/>
        <v>876.06022744155064</v>
      </c>
      <c r="O391" t="s">
        <v>75</v>
      </c>
      <c r="P391">
        <f>SUMIFS(TechnologyMapping!$D:$D,TechnologyMapping!$A:$A,C391)</f>
        <v>1</v>
      </c>
      <c r="Q391">
        <f t="shared" si="40"/>
        <v>876.06022744155064</v>
      </c>
      <c r="R391">
        <f>SUMIFS(FactorInputs!$I:$I,FactorInputs!$A:$A,B391)</f>
        <v>28.4890318743</v>
      </c>
      <c r="S391" t="str">
        <f>_xlfn.XLOOKUP(B391,FactorInputs!$A$2:$A$888,FactorInputs!$F$2:$F$888,"")</f>
        <v>job-yr/MW</v>
      </c>
      <c r="T391" t="str">
        <f>_xlfn.XLOOKUP(B391,FactorInputs!$A$2:$A$888,FactorInputs!$B$2:$B$888,"")</f>
        <v>Rutovitz 2015</v>
      </c>
      <c r="U391" t="str">
        <f>_xlfn.XLOOKUP(B391,FactorInputs!$A$2:$A$888,FactorInputs!$T$2:$T$888,"")</f>
        <v>Rutovitz 2015</v>
      </c>
      <c r="V391">
        <f t="shared" si="41"/>
        <v>24958.107743388842</v>
      </c>
      <c r="W391" t="s">
        <v>76</v>
      </c>
    </row>
    <row r="392" spans="1:23" x14ac:dyDescent="0.3">
      <c r="A392" t="str">
        <f t="shared" si="36"/>
        <v>CN|NewCapacity|RE1|PWRSOLRTP|2041</v>
      </c>
      <c r="B392" t="str">
        <f t="shared" si="37"/>
        <v>Rooftop solar PV|2041|Construction&amp;Manufacturing|Direct</v>
      </c>
      <c r="C392" t="str">
        <f t="shared" si="38"/>
        <v>PWRSOLRTP|Rooftop solar PV</v>
      </c>
      <c r="D392" t="s">
        <v>39</v>
      </c>
      <c r="E392" t="s">
        <v>40</v>
      </c>
      <c r="F392" t="s">
        <v>19</v>
      </c>
      <c r="G392" t="s">
        <v>31</v>
      </c>
      <c r="H392">
        <v>2041</v>
      </c>
      <c r="I392" t="s">
        <v>37</v>
      </c>
      <c r="J392" t="s">
        <v>69</v>
      </c>
      <c r="K392" t="s">
        <v>70</v>
      </c>
      <c r="L392" t="s">
        <v>65</v>
      </c>
      <c r="M392">
        <f>SUMIFS(RawResultsLong!$P:$P,RawResultsLong!$A:$A,A392)</f>
        <v>4.12</v>
      </c>
      <c r="N392">
        <f t="shared" si="39"/>
        <v>130.55492179379928</v>
      </c>
      <c r="O392" t="s">
        <v>71</v>
      </c>
      <c r="P392">
        <f>SUMIFS(TechnologyMapping!$D:$D,TechnologyMapping!$A:$A,C392)</f>
        <v>1</v>
      </c>
      <c r="Q392">
        <f t="shared" si="40"/>
        <v>130.55492179379928</v>
      </c>
      <c r="R392">
        <f>SUMIFS(FactorInputs!$I:$I,FactorInputs!$A:$A,B392)</f>
        <v>5.2717076176399997</v>
      </c>
      <c r="S392" t="str">
        <f>_xlfn.XLOOKUP(B392,FactorInputs!$A$2:$A$888,FactorInputs!$F$2:$F$888,"")</f>
        <v>job-yr/MW</v>
      </c>
      <c r="T392" t="str">
        <f>_xlfn.XLOOKUP(B392,FactorInputs!$A$2:$A$888,FactorInputs!$B$2:$B$888,"")</f>
        <v>JEDI-US</v>
      </c>
      <c r="U392" t="str">
        <f>_xlfn.XLOOKUP(B392,FactorInputs!$A$2:$A$888,FactorInputs!$T$2:$T$888,"")</f>
        <v>JEDI-US</v>
      </c>
      <c r="V392">
        <f t="shared" si="41"/>
        <v>688.24737574076607</v>
      </c>
    </row>
    <row r="393" spans="1:23" x14ac:dyDescent="0.3">
      <c r="A393" t="str">
        <f t="shared" si="36"/>
        <v>CN|NewCapacity|RE1|PWRSOLRTP_ZNI|2041</v>
      </c>
      <c r="B393" t="str">
        <f t="shared" si="37"/>
        <v>Rooftop solar PV|2041|Construction&amp;Manufacturing|Direct</v>
      </c>
      <c r="C393" t="str">
        <f t="shared" si="38"/>
        <v>PWRSOLRTP_ZNI|Rooftop solar PV</v>
      </c>
      <c r="D393" t="s">
        <v>39</v>
      </c>
      <c r="E393" t="s">
        <v>40</v>
      </c>
      <c r="F393" t="s">
        <v>19</v>
      </c>
      <c r="G393" t="s">
        <v>32</v>
      </c>
      <c r="H393">
        <v>2041</v>
      </c>
      <c r="I393" t="s">
        <v>37</v>
      </c>
      <c r="J393" t="s">
        <v>69</v>
      </c>
      <c r="K393" t="s">
        <v>70</v>
      </c>
      <c r="L393" t="s">
        <v>65</v>
      </c>
      <c r="M393">
        <f>SUMIFS(RawResultsLong!$P:$P,RawResultsLong!$A:$A,A393)</f>
        <v>4.439367037303809E-2</v>
      </c>
      <c r="N393">
        <f t="shared" si="39"/>
        <v>1.4067505251678865</v>
      </c>
      <c r="O393" t="s">
        <v>71</v>
      </c>
      <c r="P393">
        <f>SUMIFS(TechnologyMapping!$D:$D,TechnologyMapping!$A:$A,C393)</f>
        <v>1</v>
      </c>
      <c r="Q393">
        <f t="shared" si="40"/>
        <v>1.4067505251678865</v>
      </c>
      <c r="R393">
        <f>SUMIFS(FactorInputs!$I:$I,FactorInputs!$A:$A,B393)</f>
        <v>5.2717076176399997</v>
      </c>
      <c r="S393" t="str">
        <f>_xlfn.XLOOKUP(B393,FactorInputs!$A$2:$A$888,FactorInputs!$F$2:$F$888,"")</f>
        <v>job-yr/MW</v>
      </c>
      <c r="T393" t="str">
        <f>_xlfn.XLOOKUP(B393,FactorInputs!$A$2:$A$888,FactorInputs!$B$2:$B$888,"")</f>
        <v>JEDI-US</v>
      </c>
      <c r="U393" t="str">
        <f>_xlfn.XLOOKUP(B393,FactorInputs!$A$2:$A$888,FactorInputs!$T$2:$T$888,"")</f>
        <v>JEDI-US</v>
      </c>
      <c r="V393">
        <f t="shared" si="41"/>
        <v>7.4159774596466175</v>
      </c>
      <c r="W393" t="s">
        <v>73</v>
      </c>
    </row>
    <row r="394" spans="1:23" x14ac:dyDescent="0.3">
      <c r="A394" t="str">
        <f t="shared" si="36"/>
        <v>CN|NewCapacity|RE1|PWRSOLUGE|2041</v>
      </c>
      <c r="B394" t="str">
        <f t="shared" si="37"/>
        <v>Utility-scale solar PV|2041|Construction&amp;Manufacturing|Direct</v>
      </c>
      <c r="C394" t="str">
        <f t="shared" si="38"/>
        <v>PWRSOLUGE|Utility-scale solar PV</v>
      </c>
      <c r="D394" t="s">
        <v>39</v>
      </c>
      <c r="E394" t="s">
        <v>40</v>
      </c>
      <c r="F394" t="s">
        <v>19</v>
      </c>
      <c r="G394" t="s">
        <v>33</v>
      </c>
      <c r="H394">
        <v>2041</v>
      </c>
      <c r="I394" t="s">
        <v>37</v>
      </c>
      <c r="J394" t="s">
        <v>69</v>
      </c>
      <c r="K394" t="s">
        <v>70</v>
      </c>
      <c r="L394" t="s">
        <v>65</v>
      </c>
      <c r="M394">
        <f>SUMIFS(RawResultsLong!$P:$P,RawResultsLong!$A:$A,A394)</f>
        <v>47.31</v>
      </c>
      <c r="N394">
        <f t="shared" si="39"/>
        <v>1499.1634344817096</v>
      </c>
      <c r="O394" t="s">
        <v>66</v>
      </c>
      <c r="P394">
        <f>SUMIFS(TechnologyMapping!$D:$D,TechnologyMapping!$A:$A,C394)</f>
        <v>1</v>
      </c>
      <c r="Q394">
        <f t="shared" si="40"/>
        <v>1499.1634344817096</v>
      </c>
      <c r="R394">
        <f>SUMIFS(FactorInputs!$I:$I,FactorInputs!$A:$A,B394)</f>
        <v>5.6392311406099997</v>
      </c>
      <c r="S394" t="str">
        <f>_xlfn.XLOOKUP(B394,FactorInputs!$A$2:$A$888,FactorInputs!$F$2:$F$888,"")</f>
        <v>job-yr/MW</v>
      </c>
      <c r="T394" t="str">
        <f>_xlfn.XLOOKUP(B394,FactorInputs!$A$2:$A$888,FactorInputs!$B$2:$B$888,"")</f>
        <v>I-JEDI</v>
      </c>
      <c r="U394" t="str">
        <f>_xlfn.XLOOKUP(B394,FactorInputs!$A$2:$A$888,FactorInputs!$T$2:$T$888,"")</f>
        <v>I-JEDI</v>
      </c>
      <c r="V394">
        <f t="shared" si="41"/>
        <v>8454.1291245930952</v>
      </c>
    </row>
    <row r="395" spans="1:23" x14ac:dyDescent="0.3">
      <c r="A395" t="str">
        <f t="shared" si="36"/>
        <v>CN|NewCapacity|RE1|PWRWNDOFS_FIX|2041</v>
      </c>
      <c r="B395" t="str">
        <f t="shared" si="37"/>
        <v>Offshore wind (fixed)|2041|Construction&amp;Manufacturing|Direct</v>
      </c>
      <c r="C395" t="str">
        <f t="shared" si="38"/>
        <v>PWRWNDOFS_FIX|Offshore wind (fixed)</v>
      </c>
      <c r="D395" t="s">
        <v>39</v>
      </c>
      <c r="E395" t="s">
        <v>40</v>
      </c>
      <c r="F395" t="s">
        <v>19</v>
      </c>
      <c r="G395" t="s">
        <v>42</v>
      </c>
      <c r="H395">
        <v>2041</v>
      </c>
      <c r="I395" t="s">
        <v>37</v>
      </c>
      <c r="J395" t="s">
        <v>69</v>
      </c>
      <c r="K395" t="s">
        <v>70</v>
      </c>
      <c r="L395" t="s">
        <v>65</v>
      </c>
      <c r="M395">
        <f>SUMIFS(RawResultsLong!$P:$P,RawResultsLong!$A:$A,A395)</f>
        <v>47.31</v>
      </c>
      <c r="N395">
        <f t="shared" si="39"/>
        <v>1499.1634344817096</v>
      </c>
      <c r="O395" t="s">
        <v>74</v>
      </c>
      <c r="P395">
        <f>SUMIFS(TechnologyMapping!$D:$D,TechnologyMapping!$A:$A,C395)</f>
        <v>1</v>
      </c>
      <c r="Q395">
        <f t="shared" si="40"/>
        <v>1499.1634344817096</v>
      </c>
      <c r="R395">
        <f>SUMIFS(FactorInputs!$I:$I,FactorInputs!$A:$A,B395)</f>
        <v>3.99146175461</v>
      </c>
      <c r="S395" t="str">
        <f>_xlfn.XLOOKUP(B395,FactorInputs!$A$2:$A$888,FactorInputs!$F$2:$F$888,"")</f>
        <v>job-yr/MW</v>
      </c>
      <c r="T395" t="str">
        <f>_xlfn.XLOOKUP(B395,FactorInputs!$A$2:$A$888,FactorInputs!$B$2:$B$888,"")</f>
        <v>French QBIS 2023</v>
      </c>
      <c r="U395" t="str">
        <f>_xlfn.XLOOKUP(B395,FactorInputs!$A$2:$A$888,FactorInputs!$T$2:$T$888,"")</f>
        <v>French QBIS 2023</v>
      </c>
      <c r="V395">
        <f t="shared" si="41"/>
        <v>5983.8535126435181</v>
      </c>
    </row>
    <row r="396" spans="1:23" x14ac:dyDescent="0.3">
      <c r="A396" t="str">
        <f t="shared" si="36"/>
        <v>CN|NewCapacity|RE1|PWRWNDONS|2041</v>
      </c>
      <c r="B396" t="str">
        <f t="shared" si="37"/>
        <v>Onshore wind|2041|Construction&amp;Manufacturing|Direct</v>
      </c>
      <c r="C396" t="str">
        <f t="shared" si="38"/>
        <v>PWRWNDONS|Onshore wind</v>
      </c>
      <c r="D396" t="s">
        <v>39</v>
      </c>
      <c r="E396" t="s">
        <v>40</v>
      </c>
      <c r="F396" t="s">
        <v>19</v>
      </c>
      <c r="G396" t="s">
        <v>36</v>
      </c>
      <c r="H396">
        <v>2041</v>
      </c>
      <c r="I396" t="s">
        <v>37</v>
      </c>
      <c r="J396" t="s">
        <v>69</v>
      </c>
      <c r="K396" t="s">
        <v>70</v>
      </c>
      <c r="L396" t="s">
        <v>65</v>
      </c>
      <c r="M396">
        <f>SUMIFS(RawResultsLong!$P:$P,RawResultsLong!$A:$A,A396)</f>
        <v>47.31</v>
      </c>
      <c r="N396">
        <f t="shared" si="39"/>
        <v>1499.1634344817096</v>
      </c>
      <c r="O396" t="s">
        <v>68</v>
      </c>
      <c r="P396">
        <f>SUMIFS(TechnologyMapping!$D:$D,TechnologyMapping!$A:$A,C396)</f>
        <v>1</v>
      </c>
      <c r="Q396">
        <f t="shared" si="40"/>
        <v>1499.1634344817096</v>
      </c>
      <c r="R396">
        <f>SUMIFS(FactorInputs!$I:$I,FactorInputs!$A:$A,B396)</f>
        <v>6.6769357503800002</v>
      </c>
      <c r="S396" t="str">
        <f>_xlfn.XLOOKUP(B396,FactorInputs!$A$2:$A$888,FactorInputs!$F$2:$F$888,"")</f>
        <v>job-yr/MW</v>
      </c>
      <c r="T396" t="str">
        <f>_xlfn.XLOOKUP(B396,FactorInputs!$A$2:$A$888,FactorInputs!$B$2:$B$888,"")</f>
        <v>I-JEDI</v>
      </c>
      <c r="U396" t="str">
        <f>_xlfn.XLOOKUP(B396,FactorInputs!$A$2:$A$888,FactorInputs!$T$2:$T$888,"")</f>
        <v>I-JEDI</v>
      </c>
      <c r="V396">
        <f t="shared" si="41"/>
        <v>10009.817931353393</v>
      </c>
    </row>
    <row r="397" spans="1:23" x14ac:dyDescent="0.3">
      <c r="A397" t="str">
        <f t="shared" si="36"/>
        <v>CN|AccumulatedNewCapacity|RE1|PWRHYDDAM|2042</v>
      </c>
      <c r="B397" t="str">
        <f t="shared" si="37"/>
        <v>Hydro (large)|2042|O&amp;M|Direct</v>
      </c>
      <c r="C397" t="str">
        <f t="shared" si="38"/>
        <v>PWRHYDDAM|Hydro (large)</v>
      </c>
      <c r="D397" t="s">
        <v>39</v>
      </c>
      <c r="E397" t="s">
        <v>40</v>
      </c>
      <c r="F397" t="s">
        <v>19</v>
      </c>
      <c r="G397" t="s">
        <v>24</v>
      </c>
      <c r="H397">
        <v>2042</v>
      </c>
      <c r="I397" t="s">
        <v>18</v>
      </c>
      <c r="J397" t="s">
        <v>63</v>
      </c>
      <c r="K397" t="s">
        <v>64</v>
      </c>
      <c r="L397" t="s">
        <v>65</v>
      </c>
      <c r="M397">
        <f>SUMIFS(RawResultsLong!$P:$P,RawResultsLong!$A:$A,A397)</f>
        <v>37.840000000000003</v>
      </c>
      <c r="N397">
        <f t="shared" si="39"/>
        <v>1199.0772428828554</v>
      </c>
      <c r="O397" t="s">
        <v>72</v>
      </c>
      <c r="P397">
        <f>SUMIFS(TechnologyMapping!$D:$D,TechnologyMapping!$A:$A,C397)</f>
        <v>1</v>
      </c>
      <c r="Q397">
        <f t="shared" si="40"/>
        <v>1199.0772428828554</v>
      </c>
      <c r="R397">
        <f>SUMIFS(FactorInputs!$I:$I,FactorInputs!$A:$A,B397)</f>
        <v>0.63989508196699996</v>
      </c>
      <c r="S397" t="str">
        <f>_xlfn.XLOOKUP(B397,FactorInputs!$A$2:$A$888,FactorInputs!$F$2:$F$888,"")</f>
        <v>job/MW</v>
      </c>
      <c r="T397" t="str">
        <f>_xlfn.XLOOKUP(B397,FactorInputs!$A$2:$A$888,FactorInputs!$B$2:$B$888,"")</f>
        <v>Rutovitz 2015</v>
      </c>
      <c r="U397" t="str">
        <f>_xlfn.XLOOKUP(B397,FactorInputs!$A$2:$A$888,FactorInputs!$T$2:$T$888,"")</f>
        <v>Rutovitz 2015</v>
      </c>
      <c r="V397">
        <f t="shared" si="41"/>
        <v>767.28363061928906</v>
      </c>
    </row>
    <row r="398" spans="1:23" x14ac:dyDescent="0.3">
      <c r="A398" t="str">
        <f t="shared" si="36"/>
        <v>CN|AccumulatedNewCapacity|RE1|PWRHYDROR_NDC|2042</v>
      </c>
      <c r="B398" t="str">
        <f t="shared" si="37"/>
        <v>Hydro (small)|2042|O&amp;M|Direct</v>
      </c>
      <c r="C398" t="str">
        <f t="shared" si="38"/>
        <v>PWRHYDROR_NDC|Hydro (small)</v>
      </c>
      <c r="D398" t="s">
        <v>39</v>
      </c>
      <c r="E398" t="s">
        <v>40</v>
      </c>
      <c r="F398" t="s">
        <v>19</v>
      </c>
      <c r="G398" t="s">
        <v>26</v>
      </c>
      <c r="H398">
        <v>2042</v>
      </c>
      <c r="I398" t="s">
        <v>18</v>
      </c>
      <c r="J398" t="s">
        <v>63</v>
      </c>
      <c r="K398" t="s">
        <v>64</v>
      </c>
      <c r="L398" t="s">
        <v>65</v>
      </c>
      <c r="M398">
        <f>SUMIFS(RawResultsLong!$P:$P,RawResultsLong!$A:$A,A398)</f>
        <v>58.986358233509478</v>
      </c>
      <c r="N398">
        <f t="shared" si="39"/>
        <v>1869.1648995332177</v>
      </c>
      <c r="O398" t="s">
        <v>75</v>
      </c>
      <c r="P398">
        <f>SUMIFS(TechnologyMapping!$D:$D,TechnologyMapping!$A:$A,C398)</f>
        <v>1</v>
      </c>
      <c r="Q398">
        <f t="shared" si="40"/>
        <v>1869.1648995332177</v>
      </c>
      <c r="R398">
        <f>SUMIFS(FactorInputs!$I:$I,FactorInputs!$A:$A,B398)</f>
        <v>5.22404939759</v>
      </c>
      <c r="S398" t="str">
        <f>_xlfn.XLOOKUP(B398,FactorInputs!$A$2:$A$888,FactorInputs!$F$2:$F$888,"")</f>
        <v>job/MW</v>
      </c>
      <c r="T398" t="str">
        <f>_xlfn.XLOOKUP(B398,FactorInputs!$A$2:$A$888,FactorInputs!$B$2:$B$888,"")</f>
        <v>Rutovitz 2015</v>
      </c>
      <c r="U398" t="str">
        <f>_xlfn.XLOOKUP(B398,FactorInputs!$A$2:$A$888,FactorInputs!$T$2:$T$888,"")</f>
        <v>Rutovitz 2015</v>
      </c>
      <c r="V398">
        <f t="shared" si="41"/>
        <v>9764.6097674028788</v>
      </c>
      <c r="W398" t="s">
        <v>76</v>
      </c>
    </row>
    <row r="399" spans="1:23" x14ac:dyDescent="0.3">
      <c r="A399" t="str">
        <f t="shared" si="36"/>
        <v>CN|AccumulatedNewCapacity|RE1|PWRSOLRTP|2042</v>
      </c>
      <c r="B399" t="str">
        <f t="shared" si="37"/>
        <v>Rooftop solar PV|2042|O&amp;M|Direct</v>
      </c>
      <c r="C399" t="str">
        <f t="shared" si="38"/>
        <v>PWRSOLRTP|Rooftop solar PV</v>
      </c>
      <c r="D399" t="s">
        <v>39</v>
      </c>
      <c r="E399" t="s">
        <v>40</v>
      </c>
      <c r="F399" t="s">
        <v>19</v>
      </c>
      <c r="G399" t="s">
        <v>31</v>
      </c>
      <c r="H399">
        <v>2042</v>
      </c>
      <c r="I399" t="s">
        <v>18</v>
      </c>
      <c r="J399" t="s">
        <v>63</v>
      </c>
      <c r="K399" t="s">
        <v>64</v>
      </c>
      <c r="L399" t="s">
        <v>65</v>
      </c>
      <c r="M399">
        <f>SUMIFS(RawResultsLong!$P:$P,RawResultsLong!$A:$A,A399)</f>
        <v>201.41345518622691</v>
      </c>
      <c r="N399">
        <f t="shared" si="39"/>
        <v>6382.4072548681424</v>
      </c>
      <c r="O399" t="s">
        <v>71</v>
      </c>
      <c r="P399">
        <f>SUMIFS(TechnologyMapping!$D:$D,TechnologyMapping!$A:$A,C399)</f>
        <v>1</v>
      </c>
      <c r="Q399">
        <f t="shared" si="40"/>
        <v>6382.4072548681424</v>
      </c>
      <c r="R399">
        <f>SUMIFS(FactorInputs!$I:$I,FactorInputs!$A:$A,B399)</f>
        <v>0.233294117647</v>
      </c>
      <c r="S399" t="str">
        <f>_xlfn.XLOOKUP(B399,FactorInputs!$A$2:$A$888,FactorInputs!$F$2:$F$888,"")</f>
        <v>job/MW</v>
      </c>
      <c r="T399" t="str">
        <f>_xlfn.XLOOKUP(B399,FactorInputs!$A$2:$A$888,FactorInputs!$B$2:$B$888,"")</f>
        <v>JEDI-US</v>
      </c>
      <c r="U399" t="str">
        <f>_xlfn.XLOOKUP(B399,FactorInputs!$A$2:$A$888,FactorInputs!$T$2:$T$888,"")</f>
        <v>JEDI-US</v>
      </c>
      <c r="V399">
        <f t="shared" si="41"/>
        <v>1488.9780689882748</v>
      </c>
    </row>
    <row r="400" spans="1:23" x14ac:dyDescent="0.3">
      <c r="A400" t="str">
        <f t="shared" si="36"/>
        <v>CN|AccumulatedNewCapacity|RE1|PWRSOLRTP_ZNI|2042</v>
      </c>
      <c r="B400" t="str">
        <f t="shared" si="37"/>
        <v>Rooftop solar PV|2042|O&amp;M|Direct</v>
      </c>
      <c r="C400" t="str">
        <f t="shared" si="38"/>
        <v>PWRSOLRTP_ZNI|Rooftop solar PV</v>
      </c>
      <c r="D400" t="s">
        <v>39</v>
      </c>
      <c r="E400" t="s">
        <v>40</v>
      </c>
      <c r="F400" t="s">
        <v>19</v>
      </c>
      <c r="G400" t="s">
        <v>32</v>
      </c>
      <c r="H400">
        <v>2042</v>
      </c>
      <c r="I400" t="s">
        <v>18</v>
      </c>
      <c r="J400" t="s">
        <v>63</v>
      </c>
      <c r="K400" t="s">
        <v>64</v>
      </c>
      <c r="L400" t="s">
        <v>65</v>
      </c>
      <c r="M400">
        <f>SUMIFS(RawResultsLong!$P:$P,RawResultsLong!$A:$A,A400)</f>
        <v>1.0292946666917571</v>
      </c>
      <c r="N400">
        <f t="shared" si="39"/>
        <v>32.61637978464006</v>
      </c>
      <c r="O400" t="s">
        <v>71</v>
      </c>
      <c r="P400">
        <f>SUMIFS(TechnologyMapping!$D:$D,TechnologyMapping!$A:$A,C400)</f>
        <v>1</v>
      </c>
      <c r="Q400">
        <f t="shared" si="40"/>
        <v>32.61637978464006</v>
      </c>
      <c r="R400">
        <f>SUMIFS(FactorInputs!$I:$I,FactorInputs!$A:$A,B400)</f>
        <v>0.233294117647</v>
      </c>
      <c r="S400" t="str">
        <f>_xlfn.XLOOKUP(B400,FactorInputs!$A$2:$A$888,FactorInputs!$F$2:$F$888,"")</f>
        <v>job/MW</v>
      </c>
      <c r="T400" t="str">
        <f>_xlfn.XLOOKUP(B400,FactorInputs!$A$2:$A$888,FactorInputs!$B$2:$B$888,"")</f>
        <v>JEDI-US</v>
      </c>
      <c r="U400" t="str">
        <f>_xlfn.XLOOKUP(B400,FactorInputs!$A$2:$A$888,FactorInputs!$T$2:$T$888,"")</f>
        <v>JEDI-US</v>
      </c>
      <c r="V400">
        <f t="shared" si="41"/>
        <v>7.6092095426970507</v>
      </c>
      <c r="W400" t="s">
        <v>73</v>
      </c>
    </row>
    <row r="401" spans="1:23" x14ac:dyDescent="0.3">
      <c r="A401" t="str">
        <f t="shared" si="36"/>
        <v>CN|AccumulatedNewCapacity|RE1|PWRSOLUGE|2042</v>
      </c>
      <c r="B401" t="str">
        <f t="shared" si="37"/>
        <v>Utility-scale solar PV|2042|O&amp;M|Direct</v>
      </c>
      <c r="C401" t="str">
        <f t="shared" si="38"/>
        <v>PWRSOLUGE|Utility-scale solar PV</v>
      </c>
      <c r="D401" t="s">
        <v>39</v>
      </c>
      <c r="E401" t="s">
        <v>40</v>
      </c>
      <c r="F401" t="s">
        <v>19</v>
      </c>
      <c r="G401" t="s">
        <v>33</v>
      </c>
      <c r="H401">
        <v>2042</v>
      </c>
      <c r="I401" t="s">
        <v>18</v>
      </c>
      <c r="J401" t="s">
        <v>63</v>
      </c>
      <c r="K401" t="s">
        <v>64</v>
      </c>
      <c r="L401" t="s">
        <v>65</v>
      </c>
      <c r="M401">
        <f>SUMIFS(RawResultsLong!$P:$P,RawResultsLong!$A:$A,A401)</f>
        <v>332.63419199999998</v>
      </c>
      <c r="N401">
        <f t="shared" si="39"/>
        <v>10540.541486044565</v>
      </c>
      <c r="O401" t="s">
        <v>66</v>
      </c>
      <c r="P401">
        <f>SUMIFS(TechnologyMapping!$D:$D,TechnologyMapping!$A:$A,C401)</f>
        <v>1</v>
      </c>
      <c r="Q401">
        <f t="shared" si="40"/>
        <v>10540.541486044565</v>
      </c>
      <c r="R401">
        <f>SUMIFS(FactorInputs!$I:$I,FactorInputs!$A:$A,B401)</f>
        <v>7.5113513513499999E-2</v>
      </c>
      <c r="S401" t="str">
        <f>_xlfn.XLOOKUP(B401,FactorInputs!$A$2:$A$888,FactorInputs!$F$2:$F$888,"")</f>
        <v>job/MW</v>
      </c>
      <c r="T401" t="str">
        <f>_xlfn.XLOOKUP(B401,FactorInputs!$A$2:$A$888,FactorInputs!$B$2:$B$888,"")</f>
        <v>I-JEDI</v>
      </c>
      <c r="U401" t="str">
        <f>_xlfn.XLOOKUP(B401,FactorInputs!$A$2:$A$888,FactorInputs!$T$2:$T$888,"")</f>
        <v>I-JEDI</v>
      </c>
      <c r="V401">
        <f t="shared" si="41"/>
        <v>791.73710535161581</v>
      </c>
    </row>
    <row r="402" spans="1:23" x14ac:dyDescent="0.3">
      <c r="A402" t="str">
        <f t="shared" si="36"/>
        <v>CN|AccumulatedNewCapacity|RE1|PWRSOLUPE|2042</v>
      </c>
      <c r="B402" t="str">
        <f t="shared" si="37"/>
        <v>Utility-scale solar PV|2042|O&amp;M|Direct</v>
      </c>
      <c r="C402" t="str">
        <f t="shared" si="38"/>
        <v>PWRSOLUPE|Utility-scale solar PV</v>
      </c>
      <c r="D402" t="s">
        <v>39</v>
      </c>
      <c r="E402" t="s">
        <v>40</v>
      </c>
      <c r="F402" t="s">
        <v>19</v>
      </c>
      <c r="G402" t="s">
        <v>34</v>
      </c>
      <c r="H402">
        <v>2042</v>
      </c>
      <c r="I402" t="s">
        <v>18</v>
      </c>
      <c r="J402" t="s">
        <v>63</v>
      </c>
      <c r="K402" t="s">
        <v>64</v>
      </c>
      <c r="L402" t="s">
        <v>65</v>
      </c>
      <c r="M402">
        <f>SUMIFS(RawResultsLong!$P:$P,RawResultsLong!$A:$A,A402)</f>
        <v>12.14419823999993</v>
      </c>
      <c r="N402">
        <f t="shared" si="39"/>
        <v>384.82642026009364</v>
      </c>
      <c r="O402" t="s">
        <v>66</v>
      </c>
      <c r="P402">
        <f>SUMIFS(TechnologyMapping!$D:$D,TechnologyMapping!$A:$A,C402)</f>
        <v>1</v>
      </c>
      <c r="Q402">
        <f t="shared" si="40"/>
        <v>384.82642026009364</v>
      </c>
      <c r="R402">
        <f>SUMIFS(FactorInputs!$I:$I,FactorInputs!$A:$A,B402)</f>
        <v>7.5113513513499999E-2</v>
      </c>
      <c r="S402" t="str">
        <f>_xlfn.XLOOKUP(B402,FactorInputs!$A$2:$A$888,FactorInputs!$F$2:$F$888,"")</f>
        <v>job/MW</v>
      </c>
      <c r="T402" t="str">
        <f>_xlfn.XLOOKUP(B402,FactorInputs!$A$2:$A$888,FactorInputs!$B$2:$B$888,"")</f>
        <v>I-JEDI</v>
      </c>
      <c r="U402" t="str">
        <f>_xlfn.XLOOKUP(B402,FactorInputs!$A$2:$A$888,FactorInputs!$T$2:$T$888,"")</f>
        <v>I-JEDI</v>
      </c>
      <c r="V402">
        <f t="shared" si="41"/>
        <v>28.905664518558375</v>
      </c>
      <c r="W402" t="s">
        <v>67</v>
      </c>
    </row>
    <row r="403" spans="1:23" x14ac:dyDescent="0.3">
      <c r="A403" t="str">
        <f t="shared" si="36"/>
        <v>CN|AccumulatedNewCapacity|RE1|PWRWNDOFS_FIX|2042</v>
      </c>
      <c r="B403" t="str">
        <f t="shared" si="37"/>
        <v>Offshore wind (fixed)|2042|O&amp;M|Direct</v>
      </c>
      <c r="C403" t="str">
        <f t="shared" si="38"/>
        <v>PWRWNDOFS_FIX|Offshore wind (fixed)</v>
      </c>
      <c r="D403" t="s">
        <v>39</v>
      </c>
      <c r="E403" t="s">
        <v>40</v>
      </c>
      <c r="F403" t="s">
        <v>19</v>
      </c>
      <c r="G403" t="s">
        <v>42</v>
      </c>
      <c r="H403">
        <v>2042</v>
      </c>
      <c r="I403" t="s">
        <v>18</v>
      </c>
      <c r="J403" t="s">
        <v>63</v>
      </c>
      <c r="K403" t="s">
        <v>64</v>
      </c>
      <c r="L403" t="s">
        <v>65</v>
      </c>
      <c r="M403">
        <f>SUMIFS(RawResultsLong!$P:$P,RawResultsLong!$A:$A,A403)</f>
        <v>272.73476658776212</v>
      </c>
      <c r="N403">
        <f t="shared" si="39"/>
        <v>8642.4432335716938</v>
      </c>
      <c r="O403" t="s">
        <v>74</v>
      </c>
      <c r="P403">
        <f>SUMIFS(TechnologyMapping!$D:$D,TechnologyMapping!$A:$A,C403)</f>
        <v>1</v>
      </c>
      <c r="Q403">
        <f t="shared" si="40"/>
        <v>8642.4432335716938</v>
      </c>
      <c r="R403">
        <f>SUMIFS(FactorInputs!$I:$I,FactorInputs!$A:$A,B403)</f>
        <v>6.4527926267300001E-2</v>
      </c>
      <c r="S403" t="str">
        <f>_xlfn.XLOOKUP(B403,FactorInputs!$A$2:$A$888,FactorInputs!$F$2:$F$888,"")</f>
        <v>job/MW</v>
      </c>
      <c r="T403" t="str">
        <f>_xlfn.XLOOKUP(B403,FactorInputs!$A$2:$A$888,FactorInputs!$B$2:$B$888,"")</f>
        <v>French QBIS 2023</v>
      </c>
      <c r="U403" t="str">
        <f>_xlfn.XLOOKUP(B403,FactorInputs!$A$2:$A$888,FactorInputs!$T$2:$T$888,"")</f>
        <v>French QBIS 2023</v>
      </c>
      <c r="V403">
        <f t="shared" si="41"/>
        <v>557.67893974524009</v>
      </c>
    </row>
    <row r="404" spans="1:23" x14ac:dyDescent="0.3">
      <c r="A404" t="str">
        <f t="shared" si="36"/>
        <v>CN|AccumulatedNewCapacity|RE1|PWRWNDONS|2042</v>
      </c>
      <c r="B404" t="str">
        <f t="shared" si="37"/>
        <v>Onshore wind|2042|O&amp;M|Direct</v>
      </c>
      <c r="C404" t="str">
        <f t="shared" si="38"/>
        <v>PWRWNDONS|Onshore wind</v>
      </c>
      <c r="D404" t="s">
        <v>39</v>
      </c>
      <c r="E404" t="s">
        <v>40</v>
      </c>
      <c r="F404" t="s">
        <v>19</v>
      </c>
      <c r="G404" t="s">
        <v>36</v>
      </c>
      <c r="H404">
        <v>2042</v>
      </c>
      <c r="I404" t="s">
        <v>18</v>
      </c>
      <c r="J404" t="s">
        <v>63</v>
      </c>
      <c r="K404" t="s">
        <v>64</v>
      </c>
      <c r="L404" t="s">
        <v>65</v>
      </c>
      <c r="M404">
        <f>SUMIFS(RawResultsLong!$P:$P,RawResultsLong!$A:$A,A404)</f>
        <v>473.06944648443562</v>
      </c>
      <c r="N404">
        <f t="shared" si="39"/>
        <v>14990.666162332865</v>
      </c>
      <c r="O404" t="s">
        <v>68</v>
      </c>
      <c r="P404">
        <f>SUMIFS(TechnologyMapping!$D:$D,TechnologyMapping!$A:$A,C404)</f>
        <v>1</v>
      </c>
      <c r="Q404">
        <f t="shared" si="40"/>
        <v>14990.666162332865</v>
      </c>
      <c r="R404">
        <f>SUMIFS(FactorInputs!$I:$I,FactorInputs!$A:$A,B404)</f>
        <v>2.75474452555E-2</v>
      </c>
      <c r="S404" t="str">
        <f>_xlfn.XLOOKUP(B404,FactorInputs!$A$2:$A$888,FactorInputs!$F$2:$F$888,"")</f>
        <v>job/MW</v>
      </c>
      <c r="T404" t="str">
        <f>_xlfn.XLOOKUP(B404,FactorInputs!$A$2:$A$888,FactorInputs!$B$2:$B$888,"")</f>
        <v>I-JEDI</v>
      </c>
      <c r="U404" t="str">
        <f>_xlfn.XLOOKUP(B404,FactorInputs!$A$2:$A$888,FactorInputs!$T$2:$T$888,"")</f>
        <v>I-JEDI</v>
      </c>
      <c r="V404">
        <f t="shared" si="41"/>
        <v>412.95455545034088</v>
      </c>
    </row>
    <row r="405" spans="1:23" x14ac:dyDescent="0.3">
      <c r="A405" t="str">
        <f t="shared" si="36"/>
        <v>CN|NewCapacity|RE1|PWRSOLRTP|2042</v>
      </c>
      <c r="B405" t="str">
        <f t="shared" si="37"/>
        <v>Rooftop solar PV|2042|Construction&amp;Manufacturing|Direct</v>
      </c>
      <c r="C405" t="str">
        <f t="shared" si="38"/>
        <v>PWRSOLRTP|Rooftop solar PV</v>
      </c>
      <c r="D405" t="s">
        <v>39</v>
      </c>
      <c r="E405" t="s">
        <v>40</v>
      </c>
      <c r="F405" t="s">
        <v>19</v>
      </c>
      <c r="G405" t="s">
        <v>31</v>
      </c>
      <c r="H405">
        <v>2042</v>
      </c>
      <c r="I405" t="s">
        <v>37</v>
      </c>
      <c r="J405" t="s">
        <v>69</v>
      </c>
      <c r="K405" t="s">
        <v>70</v>
      </c>
      <c r="L405" t="s">
        <v>65</v>
      </c>
      <c r="M405">
        <f>SUMIFS(RawResultsLong!$P:$P,RawResultsLong!$A:$A,A405)</f>
        <v>4.5934551862268798</v>
      </c>
      <c r="N405">
        <f t="shared" si="39"/>
        <v>145.55781131096407</v>
      </c>
      <c r="O405" t="s">
        <v>71</v>
      </c>
      <c r="P405">
        <f>SUMIFS(TechnologyMapping!$D:$D,TechnologyMapping!$A:$A,C405)</f>
        <v>1</v>
      </c>
      <c r="Q405">
        <f t="shared" si="40"/>
        <v>145.55781131096407</v>
      </c>
      <c r="R405">
        <f>SUMIFS(FactorInputs!$I:$I,FactorInputs!$A:$A,B405)</f>
        <v>5.1660246668500003</v>
      </c>
      <c r="S405" t="str">
        <f>_xlfn.XLOOKUP(B405,FactorInputs!$A$2:$A$888,FactorInputs!$F$2:$F$888,"")</f>
        <v>job-yr/MW</v>
      </c>
      <c r="T405" t="str">
        <f>_xlfn.XLOOKUP(B405,FactorInputs!$A$2:$A$888,FactorInputs!$B$2:$B$888,"")</f>
        <v>JEDI-US</v>
      </c>
      <c r="U405" t="str">
        <f>_xlfn.XLOOKUP(B405,FactorInputs!$A$2:$A$888,FactorInputs!$T$2:$T$888,"")</f>
        <v>JEDI-US</v>
      </c>
      <c r="V405">
        <f t="shared" si="41"/>
        <v>751.95524368513838</v>
      </c>
    </row>
    <row r="406" spans="1:23" x14ac:dyDescent="0.3">
      <c r="A406" t="str">
        <f t="shared" si="36"/>
        <v>CN|NewCapacity|RE1|PWRSOLRTP_ZNI|2042</v>
      </c>
      <c r="B406" t="str">
        <f t="shared" si="37"/>
        <v>Rooftop solar PV|2042|Construction&amp;Manufacturing|Direct</v>
      </c>
      <c r="C406" t="str">
        <f t="shared" si="38"/>
        <v>PWRSOLRTP_ZNI|Rooftop solar PV</v>
      </c>
      <c r="D406" t="s">
        <v>39</v>
      </c>
      <c r="E406" t="s">
        <v>40</v>
      </c>
      <c r="F406" t="s">
        <v>19</v>
      </c>
      <c r="G406" t="s">
        <v>32</v>
      </c>
      <c r="H406">
        <v>2042</v>
      </c>
      <c r="I406" t="s">
        <v>37</v>
      </c>
      <c r="J406" t="s">
        <v>69</v>
      </c>
      <c r="K406" t="s">
        <v>70</v>
      </c>
      <c r="L406" t="s">
        <v>65</v>
      </c>
      <c r="M406">
        <f>SUMIFS(RawResultsLong!$P:$P,RawResultsLong!$A:$A,A406)</f>
        <v>4.5231271694849133E-2</v>
      </c>
      <c r="N406">
        <f t="shared" si="39"/>
        <v>1.4332925094065814</v>
      </c>
      <c r="O406" t="s">
        <v>71</v>
      </c>
      <c r="P406">
        <f>SUMIFS(TechnologyMapping!$D:$D,TechnologyMapping!$A:$A,C406)</f>
        <v>1</v>
      </c>
      <c r="Q406">
        <f t="shared" si="40"/>
        <v>1.4332925094065814</v>
      </c>
      <c r="R406">
        <f>SUMIFS(FactorInputs!$I:$I,FactorInputs!$A:$A,B406)</f>
        <v>5.1660246668500003</v>
      </c>
      <c r="S406" t="str">
        <f>_xlfn.XLOOKUP(B406,FactorInputs!$A$2:$A$888,FactorInputs!$F$2:$F$888,"")</f>
        <v>job-yr/MW</v>
      </c>
      <c r="T406" t="str">
        <f>_xlfn.XLOOKUP(B406,FactorInputs!$A$2:$A$888,FactorInputs!$B$2:$B$888,"")</f>
        <v>JEDI-US</v>
      </c>
      <c r="U406" t="str">
        <f>_xlfn.XLOOKUP(B406,FactorInputs!$A$2:$A$888,FactorInputs!$T$2:$T$888,"")</f>
        <v>JEDI-US</v>
      </c>
      <c r="V406">
        <f t="shared" si="41"/>
        <v>7.4044244584057353</v>
      </c>
      <c r="W406" t="s">
        <v>73</v>
      </c>
    </row>
    <row r="407" spans="1:23" x14ac:dyDescent="0.3">
      <c r="A407" t="str">
        <f t="shared" si="36"/>
        <v>CN|NewCapacity|RE1|PWRSOLUGE|2042</v>
      </c>
      <c r="B407" t="str">
        <f t="shared" si="37"/>
        <v>Utility-scale solar PV|2042|Construction&amp;Manufacturing|Direct</v>
      </c>
      <c r="C407" t="str">
        <f t="shared" si="38"/>
        <v>PWRSOLUGE|Utility-scale solar PV</v>
      </c>
      <c r="D407" t="s">
        <v>39</v>
      </c>
      <c r="E407" t="s">
        <v>40</v>
      </c>
      <c r="F407" t="s">
        <v>19</v>
      </c>
      <c r="G407" t="s">
        <v>33</v>
      </c>
      <c r="H407">
        <v>2042</v>
      </c>
      <c r="I407" t="s">
        <v>37</v>
      </c>
      <c r="J407" t="s">
        <v>69</v>
      </c>
      <c r="K407" t="s">
        <v>70</v>
      </c>
      <c r="L407" t="s">
        <v>65</v>
      </c>
      <c r="M407">
        <f>SUMIFS(RawResultsLong!$P:$P,RawResultsLong!$A:$A,A407)</f>
        <v>47.31</v>
      </c>
      <c r="N407">
        <f t="shared" si="39"/>
        <v>1499.1634344817096</v>
      </c>
      <c r="O407" t="s">
        <v>66</v>
      </c>
      <c r="P407">
        <f>SUMIFS(TechnologyMapping!$D:$D,TechnologyMapping!$A:$A,C407)</f>
        <v>1</v>
      </c>
      <c r="Q407">
        <f t="shared" si="40"/>
        <v>1499.1634344817096</v>
      </c>
      <c r="R407">
        <f>SUMIFS(FactorInputs!$I:$I,FactorInputs!$A:$A,B407)</f>
        <v>5.52635137578</v>
      </c>
      <c r="S407" t="str">
        <f>_xlfn.XLOOKUP(B407,FactorInputs!$A$2:$A$888,FactorInputs!$F$2:$F$888,"")</f>
        <v>job-yr/MW</v>
      </c>
      <c r="T407" t="str">
        <f>_xlfn.XLOOKUP(B407,FactorInputs!$A$2:$A$888,FactorInputs!$B$2:$B$888,"")</f>
        <v>I-JEDI</v>
      </c>
      <c r="U407" t="str">
        <f>_xlfn.XLOOKUP(B407,FactorInputs!$A$2:$A$888,FactorInputs!$T$2:$T$888,"")</f>
        <v>I-JEDI</v>
      </c>
      <c r="V407">
        <f t="shared" si="41"/>
        <v>8284.9039086670655</v>
      </c>
    </row>
    <row r="408" spans="1:23" x14ac:dyDescent="0.3">
      <c r="A408" t="str">
        <f t="shared" si="36"/>
        <v>CN|NewCapacity|RE1|PWRWNDOFS_FIX|2042</v>
      </c>
      <c r="B408" t="str">
        <f t="shared" si="37"/>
        <v>Offshore wind (fixed)|2042|Construction&amp;Manufacturing|Direct</v>
      </c>
      <c r="C408" t="str">
        <f t="shared" si="38"/>
        <v>PWRWNDOFS_FIX|Offshore wind (fixed)</v>
      </c>
      <c r="D408" t="s">
        <v>39</v>
      </c>
      <c r="E408" t="s">
        <v>40</v>
      </c>
      <c r="F408" t="s">
        <v>19</v>
      </c>
      <c r="G408" t="s">
        <v>42</v>
      </c>
      <c r="H408">
        <v>2042</v>
      </c>
      <c r="I408" t="s">
        <v>37</v>
      </c>
      <c r="J408" t="s">
        <v>69</v>
      </c>
      <c r="K408" t="s">
        <v>70</v>
      </c>
      <c r="L408" t="s">
        <v>65</v>
      </c>
      <c r="M408">
        <f>SUMIFS(RawResultsLong!$P:$P,RawResultsLong!$A:$A,A408)</f>
        <v>47.31</v>
      </c>
      <c r="N408">
        <f t="shared" si="39"/>
        <v>1499.1634344817096</v>
      </c>
      <c r="O408" t="s">
        <v>74</v>
      </c>
      <c r="P408">
        <f>SUMIFS(TechnologyMapping!$D:$D,TechnologyMapping!$A:$A,C408)</f>
        <v>1</v>
      </c>
      <c r="Q408">
        <f t="shared" si="40"/>
        <v>1499.1634344817096</v>
      </c>
      <c r="R408">
        <f>SUMIFS(FactorInputs!$I:$I,FactorInputs!$A:$A,B408)</f>
        <v>3.9199147931199998</v>
      </c>
      <c r="S408" t="str">
        <f>_xlfn.XLOOKUP(B408,FactorInputs!$A$2:$A$888,FactorInputs!$F$2:$F$888,"")</f>
        <v>job-yr/MW</v>
      </c>
      <c r="T408" t="str">
        <f>_xlfn.XLOOKUP(B408,FactorInputs!$A$2:$A$888,FactorInputs!$B$2:$B$888,"")</f>
        <v>French QBIS 2023</v>
      </c>
      <c r="U408" t="str">
        <f>_xlfn.XLOOKUP(B408,FactorInputs!$A$2:$A$888,FactorInputs!$T$2:$T$888,"")</f>
        <v>French QBIS 2023</v>
      </c>
      <c r="V408">
        <f t="shared" si="41"/>
        <v>5876.5929241294389</v>
      </c>
    </row>
    <row r="409" spans="1:23" x14ac:dyDescent="0.3">
      <c r="A409" t="str">
        <f t="shared" si="36"/>
        <v>CN|NewCapacity|RE1|PWRWNDONS|2042</v>
      </c>
      <c r="B409" t="str">
        <f t="shared" si="37"/>
        <v>Onshore wind|2042|Construction&amp;Manufacturing|Direct</v>
      </c>
      <c r="C409" t="str">
        <f t="shared" si="38"/>
        <v>PWRWNDONS|Onshore wind</v>
      </c>
      <c r="D409" t="s">
        <v>39</v>
      </c>
      <c r="E409" t="s">
        <v>40</v>
      </c>
      <c r="F409" t="s">
        <v>19</v>
      </c>
      <c r="G409" t="s">
        <v>36</v>
      </c>
      <c r="H409">
        <v>2042</v>
      </c>
      <c r="I409" t="s">
        <v>37</v>
      </c>
      <c r="J409" t="s">
        <v>69</v>
      </c>
      <c r="K409" t="s">
        <v>70</v>
      </c>
      <c r="L409" t="s">
        <v>65</v>
      </c>
      <c r="M409">
        <f>SUMIFS(RawResultsLong!$P:$P,RawResultsLong!$A:$A,A409)</f>
        <v>47.31</v>
      </c>
      <c r="N409">
        <f t="shared" si="39"/>
        <v>1499.1634344817096</v>
      </c>
      <c r="O409" t="s">
        <v>68</v>
      </c>
      <c r="P409">
        <f>SUMIFS(TechnologyMapping!$D:$D,TechnologyMapping!$A:$A,C409)</f>
        <v>1</v>
      </c>
      <c r="Q409">
        <f t="shared" si="40"/>
        <v>1499.1634344817096</v>
      </c>
      <c r="R409">
        <f>SUMIFS(FactorInputs!$I:$I,FactorInputs!$A:$A,B409)</f>
        <v>6.6586940021799998</v>
      </c>
      <c r="S409" t="str">
        <f>_xlfn.XLOOKUP(B409,FactorInputs!$A$2:$A$888,FactorInputs!$F$2:$F$888,"")</f>
        <v>job-yr/MW</v>
      </c>
      <c r="T409" t="str">
        <f>_xlfn.XLOOKUP(B409,FactorInputs!$A$2:$A$888,FactorInputs!$B$2:$B$888,"")</f>
        <v>I-JEDI</v>
      </c>
      <c r="U409" t="str">
        <f>_xlfn.XLOOKUP(B409,FactorInputs!$A$2:$A$888,FactorInputs!$T$2:$T$888,"")</f>
        <v>I-JEDI</v>
      </c>
      <c r="V409">
        <f t="shared" si="41"/>
        <v>9982.4705694709282</v>
      </c>
    </row>
    <row r="410" spans="1:23" x14ac:dyDescent="0.3">
      <c r="A410" t="str">
        <f t="shared" si="36"/>
        <v>CN|AccumulatedNewCapacity|RE1|PWRHYDDAM|2043</v>
      </c>
      <c r="B410" t="str">
        <f t="shared" si="37"/>
        <v>Hydro (large)|2043|O&amp;M|Direct</v>
      </c>
      <c r="C410" t="str">
        <f t="shared" si="38"/>
        <v>PWRHYDDAM|Hydro (large)</v>
      </c>
      <c r="D410" t="s">
        <v>39</v>
      </c>
      <c r="E410" t="s">
        <v>40</v>
      </c>
      <c r="F410" t="s">
        <v>19</v>
      </c>
      <c r="G410" t="s">
        <v>24</v>
      </c>
      <c r="H410">
        <v>2043</v>
      </c>
      <c r="I410" t="s">
        <v>18</v>
      </c>
      <c r="J410" t="s">
        <v>63</v>
      </c>
      <c r="K410" t="s">
        <v>64</v>
      </c>
      <c r="L410" t="s">
        <v>65</v>
      </c>
      <c r="M410">
        <f>SUMIFS(RawResultsLong!$P:$P,RawResultsLong!$A:$A,A410)</f>
        <v>37.840000000000003</v>
      </c>
      <c r="N410">
        <f t="shared" si="39"/>
        <v>1199.0772428828554</v>
      </c>
      <c r="O410" t="s">
        <v>72</v>
      </c>
      <c r="P410">
        <f>SUMIFS(TechnologyMapping!$D:$D,TechnologyMapping!$A:$A,C410)</f>
        <v>1</v>
      </c>
      <c r="Q410">
        <f t="shared" si="40"/>
        <v>1199.0772428828554</v>
      </c>
      <c r="R410">
        <f>SUMIFS(FactorInputs!$I:$I,FactorInputs!$A:$A,B410)</f>
        <v>0.63971967213100001</v>
      </c>
      <c r="S410" t="str">
        <f>_xlfn.XLOOKUP(B410,FactorInputs!$A$2:$A$888,FactorInputs!$F$2:$F$888,"")</f>
        <v>job/MW</v>
      </c>
      <c r="T410" t="str">
        <f>_xlfn.XLOOKUP(B410,FactorInputs!$A$2:$A$888,FactorInputs!$B$2:$B$888,"")</f>
        <v>Rutovitz 2015</v>
      </c>
      <c r="U410" t="str">
        <f>_xlfn.XLOOKUP(B410,FactorInputs!$A$2:$A$888,FactorInputs!$T$2:$T$888,"")</f>
        <v>Rutovitz 2015</v>
      </c>
      <c r="V410">
        <f t="shared" si="41"/>
        <v>767.07330067676378</v>
      </c>
    </row>
    <row r="411" spans="1:23" x14ac:dyDescent="0.3">
      <c r="A411" t="str">
        <f t="shared" si="36"/>
        <v>CN|AccumulatedNewCapacity|RE1|PWRHYDROR_NDC|2043</v>
      </c>
      <c r="B411" t="str">
        <f t="shared" si="37"/>
        <v>Hydro (small)|2043|O&amp;M|Direct</v>
      </c>
      <c r="C411" t="str">
        <f t="shared" si="38"/>
        <v>PWRHYDROR_NDC|Hydro (small)</v>
      </c>
      <c r="D411" t="s">
        <v>39</v>
      </c>
      <c r="E411" t="s">
        <v>40</v>
      </c>
      <c r="F411" t="s">
        <v>19</v>
      </c>
      <c r="G411" t="s">
        <v>26</v>
      </c>
      <c r="H411">
        <v>2043</v>
      </c>
      <c r="I411" t="s">
        <v>18</v>
      </c>
      <c r="J411" t="s">
        <v>63</v>
      </c>
      <c r="K411" t="s">
        <v>64</v>
      </c>
      <c r="L411" t="s">
        <v>65</v>
      </c>
      <c r="M411">
        <f>SUMIFS(RawResultsLong!$P:$P,RawResultsLong!$A:$A,A411)</f>
        <v>58.986358233509478</v>
      </c>
      <c r="N411">
        <f t="shared" si="39"/>
        <v>1869.1648995332177</v>
      </c>
      <c r="O411" t="s">
        <v>75</v>
      </c>
      <c r="P411">
        <f>SUMIFS(TechnologyMapping!$D:$D,TechnologyMapping!$A:$A,C411)</f>
        <v>1</v>
      </c>
      <c r="Q411">
        <f t="shared" si="40"/>
        <v>1869.1648995332177</v>
      </c>
      <c r="R411">
        <f>SUMIFS(FactorInputs!$I:$I,FactorInputs!$A:$A,B411)</f>
        <v>5.2224701807200002</v>
      </c>
      <c r="S411" t="str">
        <f>_xlfn.XLOOKUP(B411,FactorInputs!$A$2:$A$888,FactorInputs!$F$2:$F$888,"")</f>
        <v>job/MW</v>
      </c>
      <c r="T411" t="str">
        <f>_xlfn.XLOOKUP(B411,FactorInputs!$A$2:$A$888,FactorInputs!$B$2:$B$888,"")</f>
        <v>Rutovitz 2015</v>
      </c>
      <c r="U411" t="str">
        <f>_xlfn.XLOOKUP(B411,FactorInputs!$A$2:$A$888,FactorInputs!$T$2:$T$888,"")</f>
        <v>Rutovitz 2015</v>
      </c>
      <c r="V411">
        <f t="shared" si="41"/>
        <v>9761.657950660725</v>
      </c>
      <c r="W411" t="s">
        <v>76</v>
      </c>
    </row>
    <row r="412" spans="1:23" x14ac:dyDescent="0.3">
      <c r="A412" t="str">
        <f t="shared" si="36"/>
        <v>CN|AccumulatedNewCapacity|RE1|PWRSOLRTP|2043</v>
      </c>
      <c r="B412" t="str">
        <f t="shared" si="37"/>
        <v>Rooftop solar PV|2043|O&amp;M|Direct</v>
      </c>
      <c r="C412" t="str">
        <f t="shared" si="38"/>
        <v>PWRSOLRTP|Rooftop solar PV</v>
      </c>
      <c r="D412" t="s">
        <v>39</v>
      </c>
      <c r="E412" t="s">
        <v>40</v>
      </c>
      <c r="F412" t="s">
        <v>19</v>
      </c>
      <c r="G412" t="s">
        <v>31</v>
      </c>
      <c r="H412">
        <v>2043</v>
      </c>
      <c r="I412" t="s">
        <v>18</v>
      </c>
      <c r="J412" t="s">
        <v>63</v>
      </c>
      <c r="K412" t="s">
        <v>64</v>
      </c>
      <c r="L412" t="s">
        <v>65</v>
      </c>
      <c r="M412">
        <f>SUMIFS(RawResultsLong!$P:$P,RawResultsLong!$A:$A,A412)</f>
        <v>204.4534551862269</v>
      </c>
      <c r="N412">
        <f t="shared" si="39"/>
        <v>6478.7390418227906</v>
      </c>
      <c r="O412" t="s">
        <v>71</v>
      </c>
      <c r="P412">
        <f>SUMIFS(TechnologyMapping!$D:$D,TechnologyMapping!$A:$A,C412)</f>
        <v>1</v>
      </c>
      <c r="Q412">
        <f t="shared" si="40"/>
        <v>6478.7390418227906</v>
      </c>
      <c r="R412">
        <f>SUMIFS(FactorInputs!$I:$I,FactorInputs!$A:$A,B412)</f>
        <v>0.23126470588199999</v>
      </c>
      <c r="S412" t="str">
        <f>_xlfn.XLOOKUP(B412,FactorInputs!$A$2:$A$888,FactorInputs!$F$2:$F$888,"")</f>
        <v>job/MW</v>
      </c>
      <c r="T412" t="str">
        <f>_xlfn.XLOOKUP(B412,FactorInputs!$A$2:$A$888,FactorInputs!$B$2:$B$888,"")</f>
        <v>JEDI-US</v>
      </c>
      <c r="U412" t="str">
        <f>_xlfn.XLOOKUP(B412,FactorInputs!$A$2:$A$888,FactorInputs!$T$2:$T$888,"")</f>
        <v>JEDI-US</v>
      </c>
      <c r="V412">
        <f t="shared" si="41"/>
        <v>1498.3036789933781</v>
      </c>
    </row>
    <row r="413" spans="1:23" x14ac:dyDescent="0.3">
      <c r="A413" t="str">
        <f t="shared" si="36"/>
        <v>CN|AccumulatedNewCapacity|RE1|PWRSOLRTP_ZNI|2043</v>
      </c>
      <c r="B413" t="str">
        <f t="shared" si="37"/>
        <v>Rooftop solar PV|2043|O&amp;M|Direct</v>
      </c>
      <c r="C413" t="str">
        <f t="shared" si="38"/>
        <v>PWRSOLRTP_ZNI|Rooftop solar PV</v>
      </c>
      <c r="D413" t="s">
        <v>39</v>
      </c>
      <c r="E413" t="s">
        <v>40</v>
      </c>
      <c r="F413" t="s">
        <v>19</v>
      </c>
      <c r="G413" t="s">
        <v>32</v>
      </c>
      <c r="H413">
        <v>2043</v>
      </c>
      <c r="I413" t="s">
        <v>18</v>
      </c>
      <c r="J413" t="s">
        <v>63</v>
      </c>
      <c r="K413" t="s">
        <v>64</v>
      </c>
      <c r="L413" t="s">
        <v>65</v>
      </c>
      <c r="M413">
        <f>SUMIFS(RawResultsLong!$P:$P,RawResultsLong!$A:$A,A413)</f>
        <v>1.07537328308369</v>
      </c>
      <c r="N413">
        <f t="shared" si="39"/>
        <v>34.076523027216581</v>
      </c>
      <c r="O413" t="s">
        <v>71</v>
      </c>
      <c r="P413">
        <f>SUMIFS(TechnologyMapping!$D:$D,TechnologyMapping!$A:$A,C413)</f>
        <v>1</v>
      </c>
      <c r="Q413">
        <f t="shared" si="40"/>
        <v>34.076523027216581</v>
      </c>
      <c r="R413">
        <f>SUMIFS(FactorInputs!$I:$I,FactorInputs!$A:$A,B413)</f>
        <v>0.23126470588199999</v>
      </c>
      <c r="S413" t="str">
        <f>_xlfn.XLOOKUP(B413,FactorInputs!$A$2:$A$888,FactorInputs!$F$2:$F$888,"")</f>
        <v>job/MW</v>
      </c>
      <c r="T413" t="str">
        <f>_xlfn.XLOOKUP(B413,FactorInputs!$A$2:$A$888,FactorInputs!$B$2:$B$888,"")</f>
        <v>JEDI-US</v>
      </c>
      <c r="U413" t="str">
        <f>_xlfn.XLOOKUP(B413,FactorInputs!$A$2:$A$888,FactorInputs!$T$2:$T$888,"")</f>
        <v>JEDI-US</v>
      </c>
      <c r="V413">
        <f t="shared" si="41"/>
        <v>7.8806970753704428</v>
      </c>
      <c r="W413" t="s">
        <v>73</v>
      </c>
    </row>
    <row r="414" spans="1:23" x14ac:dyDescent="0.3">
      <c r="A414" t="str">
        <f t="shared" si="36"/>
        <v>CN|AccumulatedNewCapacity|RE1|PWRSOLUGE|2043</v>
      </c>
      <c r="B414" t="str">
        <f t="shared" si="37"/>
        <v>Utility-scale solar PV|2043|O&amp;M|Direct</v>
      </c>
      <c r="C414" t="str">
        <f t="shared" si="38"/>
        <v>PWRSOLUGE|Utility-scale solar PV</v>
      </c>
      <c r="D414" t="s">
        <v>39</v>
      </c>
      <c r="E414" t="s">
        <v>40</v>
      </c>
      <c r="F414" t="s">
        <v>19</v>
      </c>
      <c r="G414" t="s">
        <v>33</v>
      </c>
      <c r="H414">
        <v>2043</v>
      </c>
      <c r="I414" t="s">
        <v>18</v>
      </c>
      <c r="J414" t="s">
        <v>63</v>
      </c>
      <c r="K414" t="s">
        <v>64</v>
      </c>
      <c r="L414" t="s">
        <v>65</v>
      </c>
      <c r="M414">
        <f>SUMIFS(RawResultsLong!$P:$P,RawResultsLong!$A:$A,A414)</f>
        <v>336.08134464124657</v>
      </c>
      <c r="N414">
        <f t="shared" si="39"/>
        <v>10649.775161648749</v>
      </c>
      <c r="O414" t="s">
        <v>66</v>
      </c>
      <c r="P414">
        <f>SUMIFS(TechnologyMapping!$D:$D,TechnologyMapping!$A:$A,C414)</f>
        <v>1</v>
      </c>
      <c r="Q414">
        <f t="shared" si="40"/>
        <v>10649.775161648749</v>
      </c>
      <c r="R414">
        <f>SUMIFS(FactorInputs!$I:$I,FactorInputs!$A:$A,B414)</f>
        <v>7.4526689189199996E-2</v>
      </c>
      <c r="S414" t="str">
        <f>_xlfn.XLOOKUP(B414,FactorInputs!$A$2:$A$888,FactorInputs!$F$2:$F$888,"")</f>
        <v>job/MW</v>
      </c>
      <c r="T414" t="str">
        <f>_xlfn.XLOOKUP(B414,FactorInputs!$A$2:$A$888,FactorInputs!$B$2:$B$888,"")</f>
        <v>I-JEDI</v>
      </c>
      <c r="U414" t="str">
        <f>_xlfn.XLOOKUP(B414,FactorInputs!$A$2:$A$888,FactorInputs!$T$2:$T$888,"")</f>
        <v>I-JEDI</v>
      </c>
      <c r="V414">
        <f t="shared" si="41"/>
        <v>793.69248340705849</v>
      </c>
    </row>
    <row r="415" spans="1:23" x14ac:dyDescent="0.3">
      <c r="A415" t="str">
        <f t="shared" si="36"/>
        <v>CN|AccumulatedNewCapacity|RE1|PWRSOLUPE|2043</v>
      </c>
      <c r="B415" t="str">
        <f t="shared" si="37"/>
        <v>Utility-scale solar PV|2043|O&amp;M|Direct</v>
      </c>
      <c r="C415" t="str">
        <f t="shared" si="38"/>
        <v>PWRSOLUPE|Utility-scale solar PV</v>
      </c>
      <c r="D415" t="s">
        <v>39</v>
      </c>
      <c r="E415" t="s">
        <v>40</v>
      </c>
      <c r="F415" t="s">
        <v>19</v>
      </c>
      <c r="G415" t="s">
        <v>34</v>
      </c>
      <c r="H415">
        <v>2043</v>
      </c>
      <c r="I415" t="s">
        <v>18</v>
      </c>
      <c r="J415" t="s">
        <v>63</v>
      </c>
      <c r="K415" t="s">
        <v>64</v>
      </c>
      <c r="L415" t="s">
        <v>65</v>
      </c>
      <c r="M415">
        <f>SUMIFS(RawResultsLong!$P:$P,RawResultsLong!$A:$A,A415)</f>
        <v>12.14419823999993</v>
      </c>
      <c r="N415">
        <f t="shared" si="39"/>
        <v>384.82642026009364</v>
      </c>
      <c r="O415" t="s">
        <v>66</v>
      </c>
      <c r="P415">
        <f>SUMIFS(TechnologyMapping!$D:$D,TechnologyMapping!$A:$A,C415)</f>
        <v>1</v>
      </c>
      <c r="Q415">
        <f t="shared" si="40"/>
        <v>384.82642026009364</v>
      </c>
      <c r="R415">
        <f>SUMIFS(FactorInputs!$I:$I,FactorInputs!$A:$A,B415)</f>
        <v>7.4526689189199996E-2</v>
      </c>
      <c r="S415" t="str">
        <f>_xlfn.XLOOKUP(B415,FactorInputs!$A$2:$A$888,FactorInputs!$F$2:$F$888,"")</f>
        <v>job/MW</v>
      </c>
      <c r="T415" t="str">
        <f>_xlfn.XLOOKUP(B415,FactorInputs!$A$2:$A$888,FactorInputs!$B$2:$B$888,"")</f>
        <v>I-JEDI</v>
      </c>
      <c r="U415" t="str">
        <f>_xlfn.XLOOKUP(B415,FactorInputs!$A$2:$A$888,FactorInputs!$T$2:$T$888,"")</f>
        <v>I-JEDI</v>
      </c>
      <c r="V415">
        <f t="shared" si="41"/>
        <v>28.679839014516457</v>
      </c>
      <c r="W415" t="s">
        <v>67</v>
      </c>
    </row>
    <row r="416" spans="1:23" x14ac:dyDescent="0.3">
      <c r="A416" t="str">
        <f t="shared" si="36"/>
        <v>CN|AccumulatedNewCapacity|RE1|PWRWNDOFS_FIX|2043</v>
      </c>
      <c r="B416" t="str">
        <f t="shared" si="37"/>
        <v>Offshore wind (fixed)|2043|O&amp;M|Direct</v>
      </c>
      <c r="C416" t="str">
        <f t="shared" si="38"/>
        <v>PWRWNDOFS_FIX|Offshore wind (fixed)</v>
      </c>
      <c r="D416" t="s">
        <v>39</v>
      </c>
      <c r="E416" t="s">
        <v>40</v>
      </c>
      <c r="F416" t="s">
        <v>19</v>
      </c>
      <c r="G416" t="s">
        <v>42</v>
      </c>
      <c r="H416">
        <v>2043</v>
      </c>
      <c r="I416" t="s">
        <v>18</v>
      </c>
      <c r="J416" t="s">
        <v>63</v>
      </c>
      <c r="K416" t="s">
        <v>64</v>
      </c>
      <c r="L416" t="s">
        <v>65</v>
      </c>
      <c r="M416">
        <f>SUMIFS(RawResultsLong!$P:$P,RawResultsLong!$A:$A,A416)</f>
        <v>320.04476658776213</v>
      </c>
      <c r="N416">
        <f t="shared" si="39"/>
        <v>10141.606668053404</v>
      </c>
      <c r="O416" t="s">
        <v>74</v>
      </c>
      <c r="P416">
        <f>SUMIFS(TechnologyMapping!$D:$D,TechnologyMapping!$A:$A,C416)</f>
        <v>1</v>
      </c>
      <c r="Q416">
        <f t="shared" si="40"/>
        <v>10141.606668053404</v>
      </c>
      <c r="R416">
        <f>SUMIFS(FactorInputs!$I:$I,FactorInputs!$A:$A,B416)</f>
        <v>6.3335668202799997E-2</v>
      </c>
      <c r="S416" t="str">
        <f>_xlfn.XLOOKUP(B416,FactorInputs!$A$2:$A$888,FactorInputs!$F$2:$F$888,"")</f>
        <v>job/MW</v>
      </c>
      <c r="T416" t="str">
        <f>_xlfn.XLOOKUP(B416,FactorInputs!$A$2:$A$888,FactorInputs!$B$2:$B$888,"")</f>
        <v>French QBIS 2023</v>
      </c>
      <c r="U416" t="str">
        <f>_xlfn.XLOOKUP(B416,FactorInputs!$A$2:$A$888,FactorInputs!$T$2:$T$888,"")</f>
        <v>French QBIS 2023</v>
      </c>
      <c r="V416">
        <f t="shared" si="41"/>
        <v>642.32543497113443</v>
      </c>
    </row>
    <row r="417" spans="1:23" x14ac:dyDescent="0.3">
      <c r="A417" t="str">
        <f t="shared" si="36"/>
        <v>CN|AccumulatedNewCapacity|RE1|PWRWNDONS|2043</v>
      </c>
      <c r="B417" t="str">
        <f t="shared" si="37"/>
        <v>Onshore wind|2043|O&amp;M|Direct</v>
      </c>
      <c r="C417" t="str">
        <f t="shared" si="38"/>
        <v>PWRWNDONS|Onshore wind</v>
      </c>
      <c r="D417" t="s">
        <v>39</v>
      </c>
      <c r="E417" t="s">
        <v>40</v>
      </c>
      <c r="F417" t="s">
        <v>19</v>
      </c>
      <c r="G417" t="s">
        <v>36</v>
      </c>
      <c r="H417">
        <v>2043</v>
      </c>
      <c r="I417" t="s">
        <v>18</v>
      </c>
      <c r="J417" t="s">
        <v>63</v>
      </c>
      <c r="K417" t="s">
        <v>64</v>
      </c>
      <c r="L417" t="s">
        <v>65</v>
      </c>
      <c r="M417">
        <f>SUMIFS(RawResultsLong!$P:$P,RawResultsLong!$A:$A,A417)</f>
        <v>520.37944648443568</v>
      </c>
      <c r="N417">
        <f t="shared" si="39"/>
        <v>16489.829596814576</v>
      </c>
      <c r="O417" t="s">
        <v>68</v>
      </c>
      <c r="P417">
        <f>SUMIFS(TechnologyMapping!$D:$D,TechnologyMapping!$A:$A,C417)</f>
        <v>1</v>
      </c>
      <c r="Q417">
        <f t="shared" si="40"/>
        <v>16489.829596814576</v>
      </c>
      <c r="R417">
        <f>SUMIFS(FactorInputs!$I:$I,FactorInputs!$A:$A,B417)</f>
        <v>2.7470802919699999E-2</v>
      </c>
      <c r="S417" t="str">
        <f>_xlfn.XLOOKUP(B417,FactorInputs!$A$2:$A$888,FactorInputs!$F$2:$F$888,"")</f>
        <v>job/MW</v>
      </c>
      <c r="T417" t="str">
        <f>_xlfn.XLOOKUP(B417,FactorInputs!$A$2:$A$888,FactorInputs!$B$2:$B$888,"")</f>
        <v>I-JEDI</v>
      </c>
      <c r="U417" t="str">
        <f>_xlfn.XLOOKUP(B417,FactorInputs!$A$2:$A$888,FactorInputs!$T$2:$T$888,"")</f>
        <v>I-JEDI</v>
      </c>
      <c r="V417">
        <f t="shared" si="41"/>
        <v>452.98885903352931</v>
      </c>
    </row>
    <row r="418" spans="1:23" x14ac:dyDescent="0.3">
      <c r="A418" t="str">
        <f t="shared" si="36"/>
        <v>CN|NewCapacity|RE1|PWRSOLRTP|2043</v>
      </c>
      <c r="B418" t="str">
        <f t="shared" si="37"/>
        <v>Rooftop solar PV|2043|Construction&amp;Manufacturing|Direct</v>
      </c>
      <c r="C418" t="str">
        <f t="shared" si="38"/>
        <v>PWRSOLRTP|Rooftop solar PV</v>
      </c>
      <c r="D418" t="s">
        <v>39</v>
      </c>
      <c r="E418" t="s">
        <v>40</v>
      </c>
      <c r="F418" t="s">
        <v>19</v>
      </c>
      <c r="G418" t="s">
        <v>31</v>
      </c>
      <c r="H418">
        <v>2043</v>
      </c>
      <c r="I418" t="s">
        <v>37</v>
      </c>
      <c r="J418" t="s">
        <v>69</v>
      </c>
      <c r="K418" t="s">
        <v>70</v>
      </c>
      <c r="L418" t="s">
        <v>65</v>
      </c>
      <c r="M418">
        <f>SUMIFS(RawResultsLong!$P:$P,RawResultsLong!$A:$A,A418)</f>
        <v>3.04</v>
      </c>
      <c r="N418">
        <f t="shared" si="39"/>
        <v>96.33178695464801</v>
      </c>
      <c r="O418" t="s">
        <v>71</v>
      </c>
      <c r="P418">
        <f>SUMIFS(TechnologyMapping!$D:$D,TechnologyMapping!$A:$A,C418)</f>
        <v>1</v>
      </c>
      <c r="Q418">
        <f t="shared" si="40"/>
        <v>96.33178695464801</v>
      </c>
      <c r="R418">
        <f>SUMIFS(FactorInputs!$I:$I,FactorInputs!$A:$A,B418)</f>
        <v>5.0603417160599999</v>
      </c>
      <c r="S418" t="str">
        <f>_xlfn.XLOOKUP(B418,FactorInputs!$A$2:$A$888,FactorInputs!$F$2:$F$888,"")</f>
        <v>job-yr/MW</v>
      </c>
      <c r="T418" t="str">
        <f>_xlfn.XLOOKUP(B418,FactorInputs!$A$2:$A$888,FactorInputs!$B$2:$B$888,"")</f>
        <v>JEDI-US</v>
      </c>
      <c r="U418" t="str">
        <f>_xlfn.XLOOKUP(B418,FactorInputs!$A$2:$A$888,FactorInputs!$T$2:$T$888,"")</f>
        <v>JEDI-US</v>
      </c>
      <c r="V418">
        <f t="shared" si="41"/>
        <v>487.47176010920981</v>
      </c>
    </row>
    <row r="419" spans="1:23" x14ac:dyDescent="0.3">
      <c r="A419" t="str">
        <f t="shared" si="36"/>
        <v>CN|NewCapacity|RE1|PWRSOLRTP_ZNI|2043</v>
      </c>
      <c r="B419" t="str">
        <f t="shared" si="37"/>
        <v>Rooftop solar PV|2043|Construction&amp;Manufacturing|Direct</v>
      </c>
      <c r="C419" t="str">
        <f t="shared" si="38"/>
        <v>PWRSOLRTP_ZNI|Rooftop solar PV</v>
      </c>
      <c r="D419" t="s">
        <v>39</v>
      </c>
      <c r="E419" t="s">
        <v>40</v>
      </c>
      <c r="F419" t="s">
        <v>19</v>
      </c>
      <c r="G419" t="s">
        <v>32</v>
      </c>
      <c r="H419">
        <v>2043</v>
      </c>
      <c r="I419" t="s">
        <v>37</v>
      </c>
      <c r="J419" t="s">
        <v>69</v>
      </c>
      <c r="K419" t="s">
        <v>70</v>
      </c>
      <c r="L419" t="s">
        <v>65</v>
      </c>
      <c r="M419">
        <f>SUMIFS(RawResultsLong!$P:$P,RawResultsLong!$A:$A,A419)</f>
        <v>4.607861639193344E-2</v>
      </c>
      <c r="N419">
        <f t="shared" si="39"/>
        <v>1.4601432425765406</v>
      </c>
      <c r="O419" t="s">
        <v>71</v>
      </c>
      <c r="P419">
        <f>SUMIFS(TechnologyMapping!$D:$D,TechnologyMapping!$A:$A,C419)</f>
        <v>1</v>
      </c>
      <c r="Q419">
        <f t="shared" si="40"/>
        <v>1.4601432425765406</v>
      </c>
      <c r="R419">
        <f>SUMIFS(FactorInputs!$I:$I,FactorInputs!$A:$A,B419)</f>
        <v>5.0603417160599999</v>
      </c>
      <c r="S419" t="str">
        <f>_xlfn.XLOOKUP(B419,FactorInputs!$A$2:$A$888,FactorInputs!$F$2:$F$888,"")</f>
        <v>job-yr/MW</v>
      </c>
      <c r="T419" t="str">
        <f>_xlfn.XLOOKUP(B419,FactorInputs!$A$2:$A$888,FactorInputs!$B$2:$B$888,"")</f>
        <v>JEDI-US</v>
      </c>
      <c r="U419" t="str">
        <f>_xlfn.XLOOKUP(B419,FactorInputs!$A$2:$A$888,FactorInputs!$T$2:$T$888,"")</f>
        <v>JEDI-US</v>
      </c>
      <c r="V419">
        <f t="shared" si="41"/>
        <v>7.3888237618331845</v>
      </c>
      <c r="W419" t="s">
        <v>73</v>
      </c>
    </row>
    <row r="420" spans="1:23" x14ac:dyDescent="0.3">
      <c r="A420" t="str">
        <f t="shared" si="36"/>
        <v>CN|NewCapacity|RE1|PWRSOLUGE|2043</v>
      </c>
      <c r="B420" t="str">
        <f t="shared" si="37"/>
        <v>Utility-scale solar PV|2043|Construction&amp;Manufacturing|Direct</v>
      </c>
      <c r="C420" t="str">
        <f t="shared" si="38"/>
        <v>PWRSOLUGE|Utility-scale solar PV</v>
      </c>
      <c r="D420" t="s">
        <v>39</v>
      </c>
      <c r="E420" t="s">
        <v>40</v>
      </c>
      <c r="F420" t="s">
        <v>19</v>
      </c>
      <c r="G420" t="s">
        <v>33</v>
      </c>
      <c r="H420">
        <v>2043</v>
      </c>
      <c r="I420" t="s">
        <v>37</v>
      </c>
      <c r="J420" t="s">
        <v>69</v>
      </c>
      <c r="K420" t="s">
        <v>70</v>
      </c>
      <c r="L420" t="s">
        <v>65</v>
      </c>
      <c r="M420">
        <f>SUMIFS(RawResultsLong!$P:$P,RawResultsLong!$A:$A,A420)</f>
        <v>3.4471526412465892</v>
      </c>
      <c r="N420">
        <f t="shared" si="39"/>
        <v>109.23367560418374</v>
      </c>
      <c r="O420" t="s">
        <v>66</v>
      </c>
      <c r="P420">
        <f>SUMIFS(TechnologyMapping!$D:$D,TechnologyMapping!$A:$A,C420)</f>
        <v>1</v>
      </c>
      <c r="Q420">
        <f t="shared" si="40"/>
        <v>109.23367560418374</v>
      </c>
      <c r="R420">
        <f>SUMIFS(FactorInputs!$I:$I,FactorInputs!$A:$A,B420)</f>
        <v>5.4134716109500003</v>
      </c>
      <c r="S420" t="str">
        <f>_xlfn.XLOOKUP(B420,FactorInputs!$A$2:$A$888,FactorInputs!$F$2:$F$888,"")</f>
        <v>job-yr/MW</v>
      </c>
      <c r="T420" t="str">
        <f>_xlfn.XLOOKUP(B420,FactorInputs!$A$2:$A$888,FactorInputs!$B$2:$B$888,"")</f>
        <v>I-JEDI</v>
      </c>
      <c r="U420" t="str">
        <f>_xlfn.XLOOKUP(B420,FactorInputs!$A$2:$A$888,FactorInputs!$T$2:$T$888,"")</f>
        <v>I-JEDI</v>
      </c>
      <c r="V420">
        <f t="shared" si="41"/>
        <v>591.33340184297037</v>
      </c>
    </row>
    <row r="421" spans="1:23" x14ac:dyDescent="0.3">
      <c r="A421" t="str">
        <f t="shared" si="36"/>
        <v>CN|NewCapacity|RE1|PWRWNDOFS_FIX|2043</v>
      </c>
      <c r="B421" t="str">
        <f t="shared" si="37"/>
        <v>Offshore wind (fixed)|2043|Construction&amp;Manufacturing|Direct</v>
      </c>
      <c r="C421" t="str">
        <f t="shared" si="38"/>
        <v>PWRWNDOFS_FIX|Offshore wind (fixed)</v>
      </c>
      <c r="D421" t="s">
        <v>39</v>
      </c>
      <c r="E421" t="s">
        <v>40</v>
      </c>
      <c r="F421" t="s">
        <v>19</v>
      </c>
      <c r="G421" t="s">
        <v>42</v>
      </c>
      <c r="H421">
        <v>2043</v>
      </c>
      <c r="I421" t="s">
        <v>37</v>
      </c>
      <c r="J421" t="s">
        <v>69</v>
      </c>
      <c r="K421" t="s">
        <v>70</v>
      </c>
      <c r="L421" t="s">
        <v>65</v>
      </c>
      <c r="M421">
        <f>SUMIFS(RawResultsLong!$P:$P,RawResultsLong!$A:$A,A421)</f>
        <v>47.31</v>
      </c>
      <c r="N421">
        <f t="shared" si="39"/>
        <v>1499.1634344817096</v>
      </c>
      <c r="O421" t="s">
        <v>74</v>
      </c>
      <c r="P421">
        <f>SUMIFS(TechnologyMapping!$D:$D,TechnologyMapping!$A:$A,C421)</f>
        <v>1</v>
      </c>
      <c r="Q421">
        <f t="shared" si="40"/>
        <v>1499.1634344817096</v>
      </c>
      <c r="R421">
        <f>SUMIFS(FactorInputs!$I:$I,FactorInputs!$A:$A,B421)</f>
        <v>3.8483678316200001</v>
      </c>
      <c r="S421" t="str">
        <f>_xlfn.XLOOKUP(B421,FactorInputs!$A$2:$A$888,FactorInputs!$F$2:$F$888,"")</f>
        <v>job-yr/MW</v>
      </c>
      <c r="T421" t="str">
        <f>_xlfn.XLOOKUP(B421,FactorInputs!$A$2:$A$888,FactorInputs!$B$2:$B$888,"")</f>
        <v>French QBIS 2023</v>
      </c>
      <c r="U421" t="str">
        <f>_xlfn.XLOOKUP(B421,FactorInputs!$A$2:$A$888,FactorInputs!$T$2:$T$888,"")</f>
        <v>French QBIS 2023</v>
      </c>
      <c r="V421">
        <f t="shared" si="41"/>
        <v>5769.3323356003684</v>
      </c>
    </row>
    <row r="422" spans="1:23" x14ac:dyDescent="0.3">
      <c r="A422" t="str">
        <f t="shared" si="36"/>
        <v>CN|NewCapacity|RE1|PWRWNDONS|2043</v>
      </c>
      <c r="B422" t="str">
        <f t="shared" si="37"/>
        <v>Onshore wind|2043|Construction&amp;Manufacturing|Direct</v>
      </c>
      <c r="C422" t="str">
        <f t="shared" si="38"/>
        <v>PWRWNDONS|Onshore wind</v>
      </c>
      <c r="D422" t="s">
        <v>39</v>
      </c>
      <c r="E422" t="s">
        <v>40</v>
      </c>
      <c r="F422" t="s">
        <v>19</v>
      </c>
      <c r="G422" t="s">
        <v>36</v>
      </c>
      <c r="H422">
        <v>2043</v>
      </c>
      <c r="I422" t="s">
        <v>37</v>
      </c>
      <c r="J422" t="s">
        <v>69</v>
      </c>
      <c r="K422" t="s">
        <v>70</v>
      </c>
      <c r="L422" t="s">
        <v>65</v>
      </c>
      <c r="M422">
        <f>SUMIFS(RawResultsLong!$P:$P,RawResultsLong!$A:$A,A422)</f>
        <v>47.31</v>
      </c>
      <c r="N422">
        <f t="shared" si="39"/>
        <v>1499.1634344817096</v>
      </c>
      <c r="O422" t="s">
        <v>68</v>
      </c>
      <c r="P422">
        <f>SUMIFS(TechnologyMapping!$D:$D,TechnologyMapping!$A:$A,C422)</f>
        <v>1</v>
      </c>
      <c r="Q422">
        <f t="shared" si="40"/>
        <v>1499.1634344817096</v>
      </c>
      <c r="R422">
        <f>SUMIFS(FactorInputs!$I:$I,FactorInputs!$A:$A,B422)</f>
        <v>6.6404522539800004</v>
      </c>
      <c r="S422" t="str">
        <f>_xlfn.XLOOKUP(B422,FactorInputs!$A$2:$A$888,FactorInputs!$F$2:$F$888,"")</f>
        <v>job-yr/MW</v>
      </c>
      <c r="T422" t="str">
        <f>_xlfn.XLOOKUP(B422,FactorInputs!$A$2:$A$888,FactorInputs!$B$2:$B$888,"")</f>
        <v>I-JEDI</v>
      </c>
      <c r="U422" t="str">
        <f>_xlfn.XLOOKUP(B422,FactorInputs!$A$2:$A$888,FactorInputs!$T$2:$T$888,"")</f>
        <v>I-JEDI</v>
      </c>
      <c r="V422">
        <f t="shared" si="41"/>
        <v>9955.1232075884673</v>
      </c>
    </row>
    <row r="423" spans="1:23" x14ac:dyDescent="0.3">
      <c r="A423" t="str">
        <f t="shared" si="36"/>
        <v>CN|AccumulatedNewCapacity|RE1|PWRHYDDAM|2044</v>
      </c>
      <c r="B423" t="str">
        <f t="shared" si="37"/>
        <v>Hydro (large)|2044|O&amp;M|Direct</v>
      </c>
      <c r="C423" t="str">
        <f t="shared" si="38"/>
        <v>PWRHYDDAM|Hydro (large)</v>
      </c>
      <c r="D423" t="s">
        <v>39</v>
      </c>
      <c r="E423" t="s">
        <v>40</v>
      </c>
      <c r="F423" t="s">
        <v>19</v>
      </c>
      <c r="G423" t="s">
        <v>24</v>
      </c>
      <c r="H423">
        <v>2044</v>
      </c>
      <c r="I423" t="s">
        <v>18</v>
      </c>
      <c r="J423" t="s">
        <v>63</v>
      </c>
      <c r="K423" t="s">
        <v>64</v>
      </c>
      <c r="L423" t="s">
        <v>65</v>
      </c>
      <c r="M423">
        <f>SUMIFS(RawResultsLong!$P:$P,RawResultsLong!$A:$A,A423)</f>
        <v>37.840000000000003</v>
      </c>
      <c r="N423">
        <f t="shared" si="39"/>
        <v>1199.0772428828554</v>
      </c>
      <c r="O423" t="s">
        <v>72</v>
      </c>
      <c r="P423">
        <f>SUMIFS(TechnologyMapping!$D:$D,TechnologyMapping!$A:$A,C423)</f>
        <v>1</v>
      </c>
      <c r="Q423">
        <f t="shared" si="40"/>
        <v>1199.0772428828554</v>
      </c>
      <c r="R423">
        <f>SUMIFS(FactorInputs!$I:$I,FactorInputs!$A:$A,B423)</f>
        <v>0.63954426229500005</v>
      </c>
      <c r="S423" t="str">
        <f>_xlfn.XLOOKUP(B423,FactorInputs!$A$2:$A$888,FactorInputs!$F$2:$F$888,"")</f>
        <v>job/MW</v>
      </c>
      <c r="T423" t="str">
        <f>_xlfn.XLOOKUP(B423,FactorInputs!$A$2:$A$888,FactorInputs!$B$2:$B$888,"")</f>
        <v>Rutovitz 2015</v>
      </c>
      <c r="U423" t="str">
        <f>_xlfn.XLOOKUP(B423,FactorInputs!$A$2:$A$888,FactorInputs!$T$2:$T$888,"")</f>
        <v>Rutovitz 2015</v>
      </c>
      <c r="V423">
        <f t="shared" si="41"/>
        <v>766.86297073423839</v>
      </c>
    </row>
    <row r="424" spans="1:23" x14ac:dyDescent="0.3">
      <c r="A424" t="str">
        <f t="shared" si="36"/>
        <v>CN|AccumulatedNewCapacity|RE1|PWRHYDROR_NDC|2044</v>
      </c>
      <c r="B424" t="str">
        <f t="shared" si="37"/>
        <v>Hydro (small)|2044|O&amp;M|Direct</v>
      </c>
      <c r="C424" t="str">
        <f t="shared" si="38"/>
        <v>PWRHYDROR_NDC|Hydro (small)</v>
      </c>
      <c r="D424" t="s">
        <v>39</v>
      </c>
      <c r="E424" t="s">
        <v>40</v>
      </c>
      <c r="F424" t="s">
        <v>19</v>
      </c>
      <c r="G424" t="s">
        <v>26</v>
      </c>
      <c r="H424">
        <v>2044</v>
      </c>
      <c r="I424" t="s">
        <v>18</v>
      </c>
      <c r="J424" t="s">
        <v>63</v>
      </c>
      <c r="K424" t="s">
        <v>64</v>
      </c>
      <c r="L424" t="s">
        <v>65</v>
      </c>
      <c r="M424">
        <f>SUMIFS(RawResultsLong!$P:$P,RawResultsLong!$A:$A,A424)</f>
        <v>58.986358233509478</v>
      </c>
      <c r="N424">
        <f t="shared" si="39"/>
        <v>1869.1648995332177</v>
      </c>
      <c r="O424" t="s">
        <v>75</v>
      </c>
      <c r="P424">
        <f>SUMIFS(TechnologyMapping!$D:$D,TechnologyMapping!$A:$A,C424)</f>
        <v>1</v>
      </c>
      <c r="Q424">
        <f t="shared" si="40"/>
        <v>1869.1648995332177</v>
      </c>
      <c r="R424">
        <f>SUMIFS(FactorInputs!$I:$I,FactorInputs!$A:$A,B424)</f>
        <v>5.2208909638599996</v>
      </c>
      <c r="S424" t="str">
        <f>_xlfn.XLOOKUP(B424,FactorInputs!$A$2:$A$888,FactorInputs!$F$2:$F$888,"")</f>
        <v>job/MW</v>
      </c>
      <c r="T424" t="str">
        <f>_xlfn.XLOOKUP(B424,FactorInputs!$A$2:$A$888,FactorInputs!$B$2:$B$888,"")</f>
        <v>Rutovitz 2015</v>
      </c>
      <c r="U424" t="str">
        <f>_xlfn.XLOOKUP(B424,FactorInputs!$A$2:$A$888,FactorInputs!$T$2:$T$888,"")</f>
        <v>Rutovitz 2015</v>
      </c>
      <c r="V424">
        <f t="shared" si="41"/>
        <v>9758.7061339372613</v>
      </c>
      <c r="W424" t="s">
        <v>76</v>
      </c>
    </row>
    <row r="425" spans="1:23" x14ac:dyDescent="0.3">
      <c r="A425" t="str">
        <f t="shared" si="36"/>
        <v>CN|AccumulatedNewCapacity|RE1|PWRSOLRTP|2044</v>
      </c>
      <c r="B425" t="str">
        <f t="shared" si="37"/>
        <v>Rooftop solar PV|2044|O&amp;M|Direct</v>
      </c>
      <c r="C425" t="str">
        <f t="shared" si="38"/>
        <v>PWRSOLRTP|Rooftop solar PV</v>
      </c>
      <c r="D425" t="s">
        <v>39</v>
      </c>
      <c r="E425" t="s">
        <v>40</v>
      </c>
      <c r="F425" t="s">
        <v>19</v>
      </c>
      <c r="G425" t="s">
        <v>31</v>
      </c>
      <c r="H425">
        <v>2044</v>
      </c>
      <c r="I425" t="s">
        <v>18</v>
      </c>
      <c r="J425" t="s">
        <v>63</v>
      </c>
      <c r="K425" t="s">
        <v>64</v>
      </c>
      <c r="L425" t="s">
        <v>65</v>
      </c>
      <c r="M425">
        <f>SUMIFS(RawResultsLong!$P:$P,RawResultsLong!$A:$A,A425)</f>
        <v>207.2434551862269</v>
      </c>
      <c r="N425">
        <f t="shared" si="39"/>
        <v>6567.1488068239314</v>
      </c>
      <c r="O425" t="s">
        <v>71</v>
      </c>
      <c r="P425">
        <f>SUMIFS(TechnologyMapping!$D:$D,TechnologyMapping!$A:$A,C425)</f>
        <v>1</v>
      </c>
      <c r="Q425">
        <f t="shared" si="40"/>
        <v>6567.1488068239314</v>
      </c>
      <c r="R425">
        <f>SUMIFS(FactorInputs!$I:$I,FactorInputs!$A:$A,B425)</f>
        <v>0.229235294118</v>
      </c>
      <c r="S425" t="str">
        <f>_xlfn.XLOOKUP(B425,FactorInputs!$A$2:$A$888,FactorInputs!$F$2:$F$888,"")</f>
        <v>job/MW</v>
      </c>
      <c r="T425" t="str">
        <f>_xlfn.XLOOKUP(B425,FactorInputs!$A$2:$A$888,FactorInputs!$B$2:$B$888,"")</f>
        <v>JEDI-US</v>
      </c>
      <c r="U425" t="str">
        <f>_xlfn.XLOOKUP(B425,FactorInputs!$A$2:$A$888,FactorInputs!$T$2:$T$888,"")</f>
        <v>JEDI-US</v>
      </c>
      <c r="V425">
        <f t="shared" si="41"/>
        <v>1505.4222882489566</v>
      </c>
    </row>
    <row r="426" spans="1:23" x14ac:dyDescent="0.3">
      <c r="A426" t="str">
        <f t="shared" si="36"/>
        <v>CN|AccumulatedNewCapacity|RE1|PWRSOLRTP_ZNI|2044</v>
      </c>
      <c r="B426" t="str">
        <f t="shared" si="37"/>
        <v>Rooftop solar PV|2044|O&amp;M|Direct</v>
      </c>
      <c r="C426" t="str">
        <f t="shared" si="38"/>
        <v>PWRSOLRTP_ZNI|Rooftop solar PV</v>
      </c>
      <c r="D426" t="s">
        <v>39</v>
      </c>
      <c r="E426" t="s">
        <v>40</v>
      </c>
      <c r="F426" t="s">
        <v>19</v>
      </c>
      <c r="G426" t="s">
        <v>32</v>
      </c>
      <c r="H426">
        <v>2044</v>
      </c>
      <c r="I426" t="s">
        <v>18</v>
      </c>
      <c r="J426" t="s">
        <v>63</v>
      </c>
      <c r="K426" t="s">
        <v>64</v>
      </c>
      <c r="L426" t="s">
        <v>65</v>
      </c>
      <c r="M426">
        <f>SUMIFS(RawResultsLong!$P:$P,RawResultsLong!$A:$A,A426)</f>
        <v>1.12227933979498</v>
      </c>
      <c r="N426">
        <f t="shared" si="39"/>
        <v>35.562886271293756</v>
      </c>
      <c r="O426" t="s">
        <v>71</v>
      </c>
      <c r="P426">
        <f>SUMIFS(TechnologyMapping!$D:$D,TechnologyMapping!$A:$A,C426)</f>
        <v>1</v>
      </c>
      <c r="Q426">
        <f t="shared" si="40"/>
        <v>35.562886271293756</v>
      </c>
      <c r="R426">
        <f>SUMIFS(FactorInputs!$I:$I,FactorInputs!$A:$A,B426)</f>
        <v>0.229235294118</v>
      </c>
      <c r="S426" t="str">
        <f>_xlfn.XLOOKUP(B426,FactorInputs!$A$2:$A$888,FactorInputs!$F$2:$F$888,"")</f>
        <v>job/MW</v>
      </c>
      <c r="T426" t="str">
        <f>_xlfn.XLOOKUP(B426,FactorInputs!$A$2:$A$888,FactorInputs!$B$2:$B$888,"")</f>
        <v>JEDI-US</v>
      </c>
      <c r="U426" t="str">
        <f>_xlfn.XLOOKUP(B426,FactorInputs!$A$2:$A$888,FactorInputs!$T$2:$T$888,"")</f>
        <v>JEDI-US</v>
      </c>
      <c r="V426">
        <f t="shared" si="41"/>
        <v>8.1522686940850093</v>
      </c>
      <c r="W426" t="s">
        <v>73</v>
      </c>
    </row>
    <row r="427" spans="1:23" x14ac:dyDescent="0.3">
      <c r="A427" t="str">
        <f t="shared" si="36"/>
        <v>CN|AccumulatedNewCapacity|RE1|PWRSOLUGE|2044</v>
      </c>
      <c r="B427" t="str">
        <f t="shared" si="37"/>
        <v>Utility-scale solar PV|2044|O&amp;M|Direct</v>
      </c>
      <c r="C427" t="str">
        <f t="shared" si="38"/>
        <v>PWRSOLUGE|Utility-scale solar PV</v>
      </c>
      <c r="D427" t="s">
        <v>39</v>
      </c>
      <c r="E427" t="s">
        <v>40</v>
      </c>
      <c r="F427" t="s">
        <v>19</v>
      </c>
      <c r="G427" t="s">
        <v>33</v>
      </c>
      <c r="H427">
        <v>2044</v>
      </c>
      <c r="I427" t="s">
        <v>18</v>
      </c>
      <c r="J427" t="s">
        <v>63</v>
      </c>
      <c r="K427" t="s">
        <v>64</v>
      </c>
      <c r="L427" t="s">
        <v>65</v>
      </c>
      <c r="M427">
        <f>SUMIFS(RawResultsLong!$P:$P,RawResultsLong!$A:$A,A427)</f>
        <v>343.52751834540021</v>
      </c>
      <c r="N427">
        <f t="shared" si="39"/>
        <v>10885.730167864484</v>
      </c>
      <c r="O427" t="s">
        <v>66</v>
      </c>
      <c r="P427">
        <f>SUMIFS(TechnologyMapping!$D:$D,TechnologyMapping!$A:$A,C427)</f>
        <v>1</v>
      </c>
      <c r="Q427">
        <f t="shared" si="40"/>
        <v>10885.730167864484</v>
      </c>
      <c r="R427">
        <f>SUMIFS(FactorInputs!$I:$I,FactorInputs!$A:$A,B427)</f>
        <v>7.3939864864900007E-2</v>
      </c>
      <c r="S427" t="str">
        <f>_xlfn.XLOOKUP(B427,FactorInputs!$A$2:$A$888,FactorInputs!$F$2:$F$888,"")</f>
        <v>job/MW</v>
      </c>
      <c r="T427" t="str">
        <f>_xlfn.XLOOKUP(B427,FactorInputs!$A$2:$A$888,FactorInputs!$B$2:$B$888,"")</f>
        <v>I-JEDI</v>
      </c>
      <c r="U427" t="str">
        <f>_xlfn.XLOOKUP(B427,FactorInputs!$A$2:$A$888,FactorInputs!$T$2:$T$888,"")</f>
        <v>I-JEDI</v>
      </c>
      <c r="V427">
        <f t="shared" si="41"/>
        <v>804.88941756766519</v>
      </c>
    </row>
    <row r="428" spans="1:23" x14ac:dyDescent="0.3">
      <c r="A428" t="str">
        <f t="shared" si="36"/>
        <v>CN|AccumulatedNewCapacity|RE1|PWRSOLUPE|2044</v>
      </c>
      <c r="B428" t="str">
        <f t="shared" si="37"/>
        <v>Utility-scale solar PV|2044|O&amp;M|Direct</v>
      </c>
      <c r="C428" t="str">
        <f t="shared" si="38"/>
        <v>PWRSOLUPE|Utility-scale solar PV</v>
      </c>
      <c r="D428" t="s">
        <v>39</v>
      </c>
      <c r="E428" t="s">
        <v>40</v>
      </c>
      <c r="F428" t="s">
        <v>19</v>
      </c>
      <c r="G428" t="s">
        <v>34</v>
      </c>
      <c r="H428">
        <v>2044</v>
      </c>
      <c r="I428" t="s">
        <v>18</v>
      </c>
      <c r="J428" t="s">
        <v>63</v>
      </c>
      <c r="K428" t="s">
        <v>64</v>
      </c>
      <c r="L428" t="s">
        <v>65</v>
      </c>
      <c r="M428">
        <f>SUMIFS(RawResultsLong!$P:$P,RawResultsLong!$A:$A,A428)</f>
        <v>12.14419823999993</v>
      </c>
      <c r="N428">
        <f t="shared" si="39"/>
        <v>384.82642026009364</v>
      </c>
      <c r="O428" t="s">
        <v>66</v>
      </c>
      <c r="P428">
        <f>SUMIFS(TechnologyMapping!$D:$D,TechnologyMapping!$A:$A,C428)</f>
        <v>1</v>
      </c>
      <c r="Q428">
        <f t="shared" si="40"/>
        <v>384.82642026009364</v>
      </c>
      <c r="R428">
        <f>SUMIFS(FactorInputs!$I:$I,FactorInputs!$A:$A,B428)</f>
        <v>7.3939864864900007E-2</v>
      </c>
      <c r="S428" t="str">
        <f>_xlfn.XLOOKUP(B428,FactorInputs!$A$2:$A$888,FactorInputs!$F$2:$F$888,"")</f>
        <v>job/MW</v>
      </c>
      <c r="T428" t="str">
        <f>_xlfn.XLOOKUP(B428,FactorInputs!$A$2:$A$888,FactorInputs!$B$2:$B$888,"")</f>
        <v>I-JEDI</v>
      </c>
      <c r="U428" t="str">
        <f>_xlfn.XLOOKUP(B428,FactorInputs!$A$2:$A$888,FactorInputs!$T$2:$T$888,"")</f>
        <v>I-JEDI</v>
      </c>
      <c r="V428">
        <f t="shared" si="41"/>
        <v>28.454013510474542</v>
      </c>
      <c r="W428" t="s">
        <v>67</v>
      </c>
    </row>
    <row r="429" spans="1:23" x14ac:dyDescent="0.3">
      <c r="A429" t="str">
        <f t="shared" si="36"/>
        <v>CN|AccumulatedNewCapacity|RE1|PWRWNDOFS_FIX|2044</v>
      </c>
      <c r="B429" t="str">
        <f t="shared" si="37"/>
        <v>Offshore wind (fixed)|2044|O&amp;M|Direct</v>
      </c>
      <c r="C429" t="str">
        <f t="shared" si="38"/>
        <v>PWRWNDOFS_FIX|Offshore wind (fixed)</v>
      </c>
      <c r="D429" t="s">
        <v>39</v>
      </c>
      <c r="E429" t="s">
        <v>40</v>
      </c>
      <c r="F429" t="s">
        <v>19</v>
      </c>
      <c r="G429" t="s">
        <v>42</v>
      </c>
      <c r="H429">
        <v>2044</v>
      </c>
      <c r="I429" t="s">
        <v>18</v>
      </c>
      <c r="J429" t="s">
        <v>63</v>
      </c>
      <c r="K429" t="s">
        <v>64</v>
      </c>
      <c r="L429" t="s">
        <v>65</v>
      </c>
      <c r="M429">
        <f>SUMIFS(RawResultsLong!$P:$P,RawResultsLong!$A:$A,A429)</f>
        <v>328.96702457715821</v>
      </c>
      <c r="N429">
        <f t="shared" si="39"/>
        <v>10424.335962720808</v>
      </c>
      <c r="O429" t="s">
        <v>74</v>
      </c>
      <c r="P429">
        <f>SUMIFS(TechnologyMapping!$D:$D,TechnologyMapping!$A:$A,C429)</f>
        <v>1</v>
      </c>
      <c r="Q429">
        <f t="shared" si="40"/>
        <v>10424.335962720808</v>
      </c>
      <c r="R429">
        <f>SUMIFS(FactorInputs!$I:$I,FactorInputs!$A:$A,B429)</f>
        <v>6.2143410138200003E-2</v>
      </c>
      <c r="S429" t="str">
        <f>_xlfn.XLOOKUP(B429,FactorInputs!$A$2:$A$888,FactorInputs!$F$2:$F$888,"")</f>
        <v>job/MW</v>
      </c>
      <c r="T429" t="str">
        <f>_xlfn.XLOOKUP(B429,FactorInputs!$A$2:$A$888,FactorInputs!$B$2:$B$888,"")</f>
        <v>French QBIS 2023</v>
      </c>
      <c r="U429" t="str">
        <f>_xlfn.XLOOKUP(B429,FactorInputs!$A$2:$A$888,FactorInputs!$T$2:$T$888,"")</f>
        <v>French QBIS 2023</v>
      </c>
      <c r="V429">
        <f t="shared" si="41"/>
        <v>647.80378514974711</v>
      </c>
    </row>
    <row r="430" spans="1:23" x14ac:dyDescent="0.3">
      <c r="A430" t="str">
        <f t="shared" si="36"/>
        <v>CN|AccumulatedNewCapacity|RE1|PWRWNDONS|2044</v>
      </c>
      <c r="B430" t="str">
        <f t="shared" si="37"/>
        <v>Onshore wind|2044|O&amp;M|Direct</v>
      </c>
      <c r="C430" t="str">
        <f t="shared" si="38"/>
        <v>PWRWNDONS|Onshore wind</v>
      </c>
      <c r="D430" t="s">
        <v>39</v>
      </c>
      <c r="E430" t="s">
        <v>40</v>
      </c>
      <c r="F430" t="s">
        <v>19</v>
      </c>
      <c r="G430" t="s">
        <v>36</v>
      </c>
      <c r="H430">
        <v>2044</v>
      </c>
      <c r="I430" t="s">
        <v>18</v>
      </c>
      <c r="J430" t="s">
        <v>63</v>
      </c>
      <c r="K430" t="s">
        <v>64</v>
      </c>
      <c r="L430" t="s">
        <v>65</v>
      </c>
      <c r="M430">
        <f>SUMIFS(RawResultsLong!$P:$P,RawResultsLong!$A:$A,A430)</f>
        <v>567.68944648443562</v>
      </c>
      <c r="N430">
        <f t="shared" si="39"/>
        <v>17988.993031296282</v>
      </c>
      <c r="O430" t="s">
        <v>68</v>
      </c>
      <c r="P430">
        <f>SUMIFS(TechnologyMapping!$D:$D,TechnologyMapping!$A:$A,C430)</f>
        <v>1</v>
      </c>
      <c r="Q430">
        <f t="shared" si="40"/>
        <v>17988.993031296282</v>
      </c>
      <c r="R430">
        <f>SUMIFS(FactorInputs!$I:$I,FactorInputs!$A:$A,B430)</f>
        <v>2.7394160583899999E-2</v>
      </c>
      <c r="S430" t="str">
        <f>_xlfn.XLOOKUP(B430,FactorInputs!$A$2:$A$888,FactorInputs!$F$2:$F$888,"")</f>
        <v>job/MW</v>
      </c>
      <c r="T430" t="str">
        <f>_xlfn.XLOOKUP(B430,FactorInputs!$A$2:$A$888,FactorInputs!$B$2:$B$888,"")</f>
        <v>I-JEDI</v>
      </c>
      <c r="U430" t="str">
        <f>_xlfn.XLOOKUP(B430,FactorInputs!$A$2:$A$888,FactorInputs!$T$2:$T$888,"")</f>
        <v>I-JEDI</v>
      </c>
      <c r="V430">
        <f t="shared" si="41"/>
        <v>492.79336384198837</v>
      </c>
    </row>
    <row r="431" spans="1:23" x14ac:dyDescent="0.3">
      <c r="A431" t="str">
        <f t="shared" si="36"/>
        <v>CN|NewCapacity|RE1|PWRSOLRTP|2044</v>
      </c>
      <c r="B431" t="str">
        <f t="shared" si="37"/>
        <v>Rooftop solar PV|2044|Construction&amp;Manufacturing|Direct</v>
      </c>
      <c r="C431" t="str">
        <f t="shared" si="38"/>
        <v>PWRSOLRTP|Rooftop solar PV</v>
      </c>
      <c r="D431" t="s">
        <v>39</v>
      </c>
      <c r="E431" t="s">
        <v>40</v>
      </c>
      <c r="F431" t="s">
        <v>19</v>
      </c>
      <c r="G431" t="s">
        <v>31</v>
      </c>
      <c r="H431">
        <v>2044</v>
      </c>
      <c r="I431" t="s">
        <v>37</v>
      </c>
      <c r="J431" t="s">
        <v>69</v>
      </c>
      <c r="K431" t="s">
        <v>70</v>
      </c>
      <c r="L431" t="s">
        <v>65</v>
      </c>
      <c r="M431">
        <f>SUMIFS(RawResultsLong!$P:$P,RawResultsLong!$A:$A,A431)</f>
        <v>2.79</v>
      </c>
      <c r="N431">
        <f t="shared" si="39"/>
        <v>88.409765001140769</v>
      </c>
      <c r="O431" t="s">
        <v>71</v>
      </c>
      <c r="P431">
        <f>SUMIFS(TechnologyMapping!$D:$D,TechnologyMapping!$A:$A,C431)</f>
        <v>1</v>
      </c>
      <c r="Q431">
        <f t="shared" si="40"/>
        <v>88.409765001140769</v>
      </c>
      <c r="R431">
        <f>SUMIFS(FactorInputs!$I:$I,FactorInputs!$A:$A,B431)</f>
        <v>4.9546587652799996</v>
      </c>
      <c r="S431" t="str">
        <f>_xlfn.XLOOKUP(B431,FactorInputs!$A$2:$A$888,FactorInputs!$F$2:$F$888,"")</f>
        <v>job-yr/MW</v>
      </c>
      <c r="T431" t="str">
        <f>_xlfn.XLOOKUP(B431,FactorInputs!$A$2:$A$888,FactorInputs!$B$2:$B$888,"")</f>
        <v>JEDI-US</v>
      </c>
      <c r="U431" t="str">
        <f>_xlfn.XLOOKUP(B431,FactorInputs!$A$2:$A$888,FactorInputs!$T$2:$T$888,"")</f>
        <v>JEDI-US</v>
      </c>
      <c r="V431">
        <f t="shared" si="41"/>
        <v>438.04021709924706</v>
      </c>
    </row>
    <row r="432" spans="1:23" x14ac:dyDescent="0.3">
      <c r="A432" t="str">
        <f t="shared" si="36"/>
        <v>CN|NewCapacity|RE1|PWRSOLRTP_ZNI|2044</v>
      </c>
      <c r="B432" t="str">
        <f t="shared" si="37"/>
        <v>Rooftop solar PV|2044|Construction&amp;Manufacturing|Direct</v>
      </c>
      <c r="C432" t="str">
        <f t="shared" si="38"/>
        <v>PWRSOLRTP_ZNI|Rooftop solar PV</v>
      </c>
      <c r="D432" t="s">
        <v>39</v>
      </c>
      <c r="E432" t="s">
        <v>40</v>
      </c>
      <c r="F432" t="s">
        <v>19</v>
      </c>
      <c r="G432" t="s">
        <v>32</v>
      </c>
      <c r="H432">
        <v>2044</v>
      </c>
      <c r="I432" t="s">
        <v>37</v>
      </c>
      <c r="J432" t="s">
        <v>69</v>
      </c>
      <c r="K432" t="s">
        <v>70</v>
      </c>
      <c r="L432" t="s">
        <v>65</v>
      </c>
      <c r="M432">
        <f>SUMIFS(RawResultsLong!$P:$P,RawResultsLong!$A:$A,A432)</f>
        <v>4.6906056711290028E-2</v>
      </c>
      <c r="N432">
        <f t="shared" si="39"/>
        <v>1.4863632440771803</v>
      </c>
      <c r="O432" t="s">
        <v>71</v>
      </c>
      <c r="P432">
        <f>SUMIFS(TechnologyMapping!$D:$D,TechnologyMapping!$A:$A,C432)</f>
        <v>1</v>
      </c>
      <c r="Q432">
        <f t="shared" si="40"/>
        <v>1.4863632440771803</v>
      </c>
      <c r="R432">
        <f>SUMIFS(FactorInputs!$I:$I,FactorInputs!$A:$A,B432)</f>
        <v>4.9546587652799996</v>
      </c>
      <c r="S432" t="str">
        <f>_xlfn.XLOOKUP(B432,FactorInputs!$A$2:$A$888,FactorInputs!$F$2:$F$888,"")</f>
        <v>job-yr/MW</v>
      </c>
      <c r="T432" t="str">
        <f>_xlfn.XLOOKUP(B432,FactorInputs!$A$2:$A$888,FactorInputs!$B$2:$B$888,"")</f>
        <v>JEDI-US</v>
      </c>
      <c r="U432" t="str">
        <f>_xlfn.XLOOKUP(B432,FactorInputs!$A$2:$A$888,FactorInputs!$T$2:$T$888,"")</f>
        <v>JEDI-US</v>
      </c>
      <c r="V432">
        <f t="shared" si="41"/>
        <v>7.3644226756570168</v>
      </c>
      <c r="W432" t="s">
        <v>73</v>
      </c>
    </row>
    <row r="433" spans="1:23" x14ac:dyDescent="0.3">
      <c r="A433" t="str">
        <f t="shared" si="36"/>
        <v>CN|NewCapacity|RE1|PWRSOLUGE|2044</v>
      </c>
      <c r="B433" t="str">
        <f t="shared" si="37"/>
        <v>Utility-scale solar PV|2044|Construction&amp;Manufacturing|Direct</v>
      </c>
      <c r="C433" t="str">
        <f t="shared" si="38"/>
        <v>PWRSOLUGE|Utility-scale solar PV</v>
      </c>
      <c r="D433" t="s">
        <v>39</v>
      </c>
      <c r="E433" t="s">
        <v>40</v>
      </c>
      <c r="F433" t="s">
        <v>19</v>
      </c>
      <c r="G433" t="s">
        <v>33</v>
      </c>
      <c r="H433">
        <v>2044</v>
      </c>
      <c r="I433" t="s">
        <v>37</v>
      </c>
      <c r="J433" t="s">
        <v>69</v>
      </c>
      <c r="K433" t="s">
        <v>70</v>
      </c>
      <c r="L433" t="s">
        <v>65</v>
      </c>
      <c r="M433">
        <f>SUMIFS(RawResultsLong!$P:$P,RawResultsLong!$A:$A,A433)</f>
        <v>7.446173704153507</v>
      </c>
      <c r="N433">
        <f t="shared" si="39"/>
        <v>235.95500621572955</v>
      </c>
      <c r="O433" t="s">
        <v>66</v>
      </c>
      <c r="P433">
        <f>SUMIFS(TechnologyMapping!$D:$D,TechnologyMapping!$A:$A,C433)</f>
        <v>1</v>
      </c>
      <c r="Q433">
        <f t="shared" si="40"/>
        <v>235.95500621572955</v>
      </c>
      <c r="R433">
        <f>SUMIFS(FactorInputs!$I:$I,FactorInputs!$A:$A,B433)</f>
        <v>5.3005918461199997</v>
      </c>
      <c r="S433" t="str">
        <f>_xlfn.XLOOKUP(B433,FactorInputs!$A$2:$A$888,FactorInputs!$F$2:$F$888,"")</f>
        <v>job-yr/MW</v>
      </c>
      <c r="T433" t="str">
        <f>_xlfn.XLOOKUP(B433,FactorInputs!$A$2:$A$888,FactorInputs!$B$2:$B$888,"")</f>
        <v>I-JEDI</v>
      </c>
      <c r="U433" t="str">
        <f>_xlfn.XLOOKUP(B433,FactorInputs!$A$2:$A$888,FactorInputs!$T$2:$T$888,"")</f>
        <v>I-JEDI</v>
      </c>
      <c r="V433">
        <f t="shared" si="41"/>
        <v>1250.7011819982899</v>
      </c>
    </row>
    <row r="434" spans="1:23" x14ac:dyDescent="0.3">
      <c r="A434" t="str">
        <f t="shared" si="36"/>
        <v>CN|NewCapacity|RE1|PWRWNDOFS_FIX|2044</v>
      </c>
      <c r="B434" t="str">
        <f t="shared" si="37"/>
        <v>Offshore wind (fixed)|2044|Construction&amp;Manufacturing|Direct</v>
      </c>
      <c r="C434" t="str">
        <f t="shared" si="38"/>
        <v>PWRWNDOFS_FIX|Offshore wind (fixed)</v>
      </c>
      <c r="D434" t="s">
        <v>39</v>
      </c>
      <c r="E434" t="s">
        <v>40</v>
      </c>
      <c r="F434" t="s">
        <v>19</v>
      </c>
      <c r="G434" t="s">
        <v>42</v>
      </c>
      <c r="H434">
        <v>2044</v>
      </c>
      <c r="I434" t="s">
        <v>37</v>
      </c>
      <c r="J434" t="s">
        <v>69</v>
      </c>
      <c r="K434" t="s">
        <v>70</v>
      </c>
      <c r="L434" t="s">
        <v>65</v>
      </c>
      <c r="M434">
        <f>SUMIFS(RawResultsLong!$P:$P,RawResultsLong!$A:$A,A434)</f>
        <v>8.9222579893960887</v>
      </c>
      <c r="N434">
        <f t="shared" si="39"/>
        <v>282.72929466740464</v>
      </c>
      <c r="O434" t="s">
        <v>74</v>
      </c>
      <c r="P434">
        <f>SUMIFS(TechnologyMapping!$D:$D,TechnologyMapping!$A:$A,C434)</f>
        <v>1</v>
      </c>
      <c r="Q434">
        <f t="shared" si="40"/>
        <v>282.72929466740464</v>
      </c>
      <c r="R434">
        <f>SUMIFS(FactorInputs!$I:$I,FactorInputs!$A:$A,B434)</f>
        <v>3.7768208701299999</v>
      </c>
      <c r="S434" t="str">
        <f>_xlfn.XLOOKUP(B434,FactorInputs!$A$2:$A$888,FactorInputs!$F$2:$F$888,"")</f>
        <v>job-yr/MW</v>
      </c>
      <c r="T434" t="str">
        <f>_xlfn.XLOOKUP(B434,FactorInputs!$A$2:$A$888,FactorInputs!$B$2:$B$888,"")</f>
        <v>French QBIS 2023</v>
      </c>
      <c r="U434" t="str">
        <f>_xlfn.XLOOKUP(B434,FactorInputs!$A$2:$A$888,FactorInputs!$T$2:$T$888,"")</f>
        <v>French QBIS 2023</v>
      </c>
      <c r="V434">
        <f t="shared" si="41"/>
        <v>1067.8179006969883</v>
      </c>
    </row>
    <row r="435" spans="1:23" x14ac:dyDescent="0.3">
      <c r="A435" t="str">
        <f t="shared" si="36"/>
        <v>CN|NewCapacity|RE1|PWRWNDONS|2044</v>
      </c>
      <c r="B435" t="str">
        <f t="shared" si="37"/>
        <v>Onshore wind|2044|Construction&amp;Manufacturing|Direct</v>
      </c>
      <c r="C435" t="str">
        <f t="shared" si="38"/>
        <v>PWRWNDONS|Onshore wind</v>
      </c>
      <c r="D435" t="s">
        <v>39</v>
      </c>
      <c r="E435" t="s">
        <v>40</v>
      </c>
      <c r="F435" t="s">
        <v>19</v>
      </c>
      <c r="G435" t="s">
        <v>36</v>
      </c>
      <c r="H435">
        <v>2044</v>
      </c>
      <c r="I435" t="s">
        <v>37</v>
      </c>
      <c r="J435" t="s">
        <v>69</v>
      </c>
      <c r="K435" t="s">
        <v>70</v>
      </c>
      <c r="L435" t="s">
        <v>65</v>
      </c>
      <c r="M435">
        <f>SUMIFS(RawResultsLong!$P:$P,RawResultsLong!$A:$A,A435)</f>
        <v>47.31</v>
      </c>
      <c r="N435">
        <f t="shared" si="39"/>
        <v>1499.1634344817096</v>
      </c>
      <c r="O435" t="s">
        <v>68</v>
      </c>
      <c r="P435">
        <f>SUMIFS(TechnologyMapping!$D:$D,TechnologyMapping!$A:$A,C435)</f>
        <v>1</v>
      </c>
      <c r="Q435">
        <f t="shared" si="40"/>
        <v>1499.1634344817096</v>
      </c>
      <c r="R435">
        <f>SUMIFS(FactorInputs!$I:$I,FactorInputs!$A:$A,B435)</f>
        <v>6.62221050578</v>
      </c>
      <c r="S435" t="str">
        <f>_xlfn.XLOOKUP(B435,FactorInputs!$A$2:$A$888,FactorInputs!$F$2:$F$888,"")</f>
        <v>job-yr/MW</v>
      </c>
      <c r="T435" t="str">
        <f>_xlfn.XLOOKUP(B435,FactorInputs!$A$2:$A$888,FactorInputs!$B$2:$B$888,"")</f>
        <v>I-JEDI</v>
      </c>
      <c r="U435" t="str">
        <f>_xlfn.XLOOKUP(B435,FactorInputs!$A$2:$A$888,FactorInputs!$T$2:$T$888,"")</f>
        <v>I-JEDI</v>
      </c>
      <c r="V435">
        <f t="shared" si="41"/>
        <v>9927.7758457060045</v>
      </c>
    </row>
    <row r="436" spans="1:23" x14ac:dyDescent="0.3">
      <c r="A436" t="str">
        <f t="shared" si="36"/>
        <v>CN|AccumulatedNewCapacity|RE1|PWRHYDDAM|2045</v>
      </c>
      <c r="B436" t="str">
        <f t="shared" si="37"/>
        <v>Hydro (large)|2045|O&amp;M|Direct</v>
      </c>
      <c r="C436" t="str">
        <f t="shared" si="38"/>
        <v>PWRHYDDAM|Hydro (large)</v>
      </c>
      <c r="D436" t="s">
        <v>39</v>
      </c>
      <c r="E436" t="s">
        <v>40</v>
      </c>
      <c r="F436" t="s">
        <v>19</v>
      </c>
      <c r="G436" t="s">
        <v>24</v>
      </c>
      <c r="H436">
        <v>2045</v>
      </c>
      <c r="I436" t="s">
        <v>18</v>
      </c>
      <c r="J436" t="s">
        <v>63</v>
      </c>
      <c r="K436" t="s">
        <v>64</v>
      </c>
      <c r="L436" t="s">
        <v>65</v>
      </c>
      <c r="M436">
        <f>SUMIFS(RawResultsLong!$P:$P,RawResultsLong!$A:$A,A436)</f>
        <v>37.840000000000003</v>
      </c>
      <c r="N436">
        <f t="shared" si="39"/>
        <v>1199.0772428828554</v>
      </c>
      <c r="O436" t="s">
        <v>72</v>
      </c>
      <c r="P436">
        <f>SUMIFS(TechnologyMapping!$D:$D,TechnologyMapping!$A:$A,C436)</f>
        <v>1</v>
      </c>
      <c r="Q436">
        <f t="shared" si="40"/>
        <v>1199.0772428828554</v>
      </c>
      <c r="R436">
        <f>SUMIFS(FactorInputs!$I:$I,FactorInputs!$A:$A,B436)</f>
        <v>0.63936885245899999</v>
      </c>
      <c r="S436" t="str">
        <f>_xlfn.XLOOKUP(B436,FactorInputs!$A$2:$A$888,FactorInputs!$F$2:$F$888,"")</f>
        <v>job/MW</v>
      </c>
      <c r="T436" t="str">
        <f>_xlfn.XLOOKUP(B436,FactorInputs!$A$2:$A$888,FactorInputs!$B$2:$B$888,"")</f>
        <v>Rutovitz 2015</v>
      </c>
      <c r="U436" t="str">
        <f>_xlfn.XLOOKUP(B436,FactorInputs!$A$2:$A$888,FactorInputs!$T$2:$T$888,"")</f>
        <v>Rutovitz 2015</v>
      </c>
      <c r="V436">
        <f t="shared" si="41"/>
        <v>766.65264079171288</v>
      </c>
    </row>
    <row r="437" spans="1:23" x14ac:dyDescent="0.3">
      <c r="A437" t="str">
        <f t="shared" si="36"/>
        <v>CN|AccumulatedNewCapacity|RE1|PWRHYDROR_NDC|2045</v>
      </c>
      <c r="B437" t="str">
        <f t="shared" si="37"/>
        <v>Hydro (small)|2045|O&amp;M|Direct</v>
      </c>
      <c r="C437" t="str">
        <f t="shared" si="38"/>
        <v>PWRHYDROR_NDC|Hydro (small)</v>
      </c>
      <c r="D437" t="s">
        <v>39</v>
      </c>
      <c r="E437" t="s">
        <v>40</v>
      </c>
      <c r="F437" t="s">
        <v>19</v>
      </c>
      <c r="G437" t="s">
        <v>26</v>
      </c>
      <c r="H437">
        <v>2045</v>
      </c>
      <c r="I437" t="s">
        <v>18</v>
      </c>
      <c r="J437" t="s">
        <v>63</v>
      </c>
      <c r="K437" t="s">
        <v>64</v>
      </c>
      <c r="L437" t="s">
        <v>65</v>
      </c>
      <c r="M437">
        <f>SUMIFS(RawResultsLong!$P:$P,RawResultsLong!$A:$A,A437)</f>
        <v>58.986358233509478</v>
      </c>
      <c r="N437">
        <f t="shared" si="39"/>
        <v>1869.1648995332177</v>
      </c>
      <c r="O437" t="s">
        <v>75</v>
      </c>
      <c r="P437">
        <f>SUMIFS(TechnologyMapping!$D:$D,TechnologyMapping!$A:$A,C437)</f>
        <v>1</v>
      </c>
      <c r="Q437">
        <f t="shared" si="40"/>
        <v>1869.1648995332177</v>
      </c>
      <c r="R437">
        <f>SUMIFS(FactorInputs!$I:$I,FactorInputs!$A:$A,B437)</f>
        <v>5.2193117469899999</v>
      </c>
      <c r="S437" t="str">
        <f>_xlfn.XLOOKUP(B437,FactorInputs!$A$2:$A$888,FactorInputs!$F$2:$F$888,"")</f>
        <v>job/MW</v>
      </c>
      <c r="T437" t="str">
        <f>_xlfn.XLOOKUP(B437,FactorInputs!$A$2:$A$888,FactorInputs!$B$2:$B$888,"")</f>
        <v>Rutovitz 2015</v>
      </c>
      <c r="U437" t="str">
        <f>_xlfn.XLOOKUP(B437,FactorInputs!$A$2:$A$888,FactorInputs!$T$2:$T$888,"")</f>
        <v>Rutovitz 2015</v>
      </c>
      <c r="V437">
        <f t="shared" si="41"/>
        <v>9755.7543171951056</v>
      </c>
      <c r="W437" t="s">
        <v>76</v>
      </c>
    </row>
    <row r="438" spans="1:23" x14ac:dyDescent="0.3">
      <c r="A438" t="str">
        <f t="shared" si="36"/>
        <v>CN|AccumulatedNewCapacity|RE1|PWRSOLRTP|2045</v>
      </c>
      <c r="B438" t="str">
        <f t="shared" si="37"/>
        <v>Rooftop solar PV|2045|O&amp;M|Direct</v>
      </c>
      <c r="C438" t="str">
        <f t="shared" si="38"/>
        <v>PWRSOLRTP|Rooftop solar PV</v>
      </c>
      <c r="D438" t="s">
        <v>39</v>
      </c>
      <c r="E438" t="s">
        <v>40</v>
      </c>
      <c r="F438" t="s">
        <v>19</v>
      </c>
      <c r="G438" t="s">
        <v>31</v>
      </c>
      <c r="H438">
        <v>2045</v>
      </c>
      <c r="I438" t="s">
        <v>18</v>
      </c>
      <c r="J438" t="s">
        <v>63</v>
      </c>
      <c r="K438" t="s">
        <v>64</v>
      </c>
      <c r="L438" t="s">
        <v>65</v>
      </c>
      <c r="M438">
        <f>SUMIFS(RawResultsLong!$P:$P,RawResultsLong!$A:$A,A438)</f>
        <v>209.87345518622689</v>
      </c>
      <c r="N438">
        <f t="shared" si="39"/>
        <v>6650.4884777748275</v>
      </c>
      <c r="O438" t="s">
        <v>71</v>
      </c>
      <c r="P438">
        <f>SUMIFS(TechnologyMapping!$D:$D,TechnologyMapping!$A:$A,C438)</f>
        <v>1</v>
      </c>
      <c r="Q438">
        <f t="shared" si="40"/>
        <v>6650.4884777748275</v>
      </c>
      <c r="R438">
        <f>SUMIFS(FactorInputs!$I:$I,FactorInputs!$A:$A,B438)</f>
        <v>0.22720588235299999</v>
      </c>
      <c r="S438" t="str">
        <f>_xlfn.XLOOKUP(B438,FactorInputs!$A$2:$A$888,FactorInputs!$F$2:$F$888,"")</f>
        <v>job/MW</v>
      </c>
      <c r="T438" t="str">
        <f>_xlfn.XLOOKUP(B438,FactorInputs!$A$2:$A$888,FactorInputs!$B$2:$B$888,"")</f>
        <v>JEDI-US</v>
      </c>
      <c r="U438" t="str">
        <f>_xlfn.XLOOKUP(B438,FactorInputs!$A$2:$A$888,FactorInputs!$T$2:$T$888,"")</f>
        <v>JEDI-US</v>
      </c>
      <c r="V438">
        <f t="shared" si="41"/>
        <v>1511.0301026712893</v>
      </c>
    </row>
    <row r="439" spans="1:23" x14ac:dyDescent="0.3">
      <c r="A439" t="str">
        <f t="shared" si="36"/>
        <v>CN|AccumulatedNewCapacity|RE1|PWRSOLRTP_ZNI|2045</v>
      </c>
      <c r="B439" t="str">
        <f t="shared" si="37"/>
        <v>Rooftop solar PV|2045|O&amp;M|Direct</v>
      </c>
      <c r="C439" t="str">
        <f t="shared" si="38"/>
        <v>PWRSOLRTP_ZNI|Rooftop solar PV</v>
      </c>
      <c r="D439" t="s">
        <v>39</v>
      </c>
      <c r="E439" t="s">
        <v>40</v>
      </c>
      <c r="F439" t="s">
        <v>19</v>
      </c>
      <c r="G439" t="s">
        <v>32</v>
      </c>
      <c r="H439">
        <v>2045</v>
      </c>
      <c r="I439" t="s">
        <v>18</v>
      </c>
      <c r="J439" t="s">
        <v>63</v>
      </c>
      <c r="K439" t="s">
        <v>64</v>
      </c>
      <c r="L439" t="s">
        <v>65</v>
      </c>
      <c r="M439">
        <f>SUMIFS(RawResultsLong!$P:$P,RawResultsLong!$A:$A,A439)</f>
        <v>1.1786975283658561</v>
      </c>
      <c r="N439">
        <f t="shared" si="39"/>
        <v>37.350670785036122</v>
      </c>
      <c r="O439" t="s">
        <v>71</v>
      </c>
      <c r="P439">
        <f>SUMIFS(TechnologyMapping!$D:$D,TechnologyMapping!$A:$A,C439)</f>
        <v>1</v>
      </c>
      <c r="Q439">
        <f t="shared" si="40"/>
        <v>37.350670785036122</v>
      </c>
      <c r="R439">
        <f>SUMIFS(FactorInputs!$I:$I,FactorInputs!$A:$A,B439)</f>
        <v>0.22720588235299999</v>
      </c>
      <c r="S439" t="str">
        <f>_xlfn.XLOOKUP(B439,FactorInputs!$A$2:$A$888,FactorInputs!$F$2:$F$888,"")</f>
        <v>job/MW</v>
      </c>
      <c r="T439" t="str">
        <f>_xlfn.XLOOKUP(B439,FactorInputs!$A$2:$A$888,FactorInputs!$B$2:$B$888,"")</f>
        <v>JEDI-US</v>
      </c>
      <c r="U439" t="str">
        <f>_xlfn.XLOOKUP(B439,FactorInputs!$A$2:$A$888,FactorInputs!$T$2:$T$888,"")</f>
        <v>JEDI-US</v>
      </c>
      <c r="V439">
        <f t="shared" si="41"/>
        <v>8.4862921121905508</v>
      </c>
      <c r="W439" t="s">
        <v>73</v>
      </c>
    </row>
    <row r="440" spans="1:23" x14ac:dyDescent="0.3">
      <c r="A440" t="str">
        <f t="shared" si="36"/>
        <v>CN|AccumulatedNewCapacity|RE1|PWRSOLUGE|2045</v>
      </c>
      <c r="B440" t="str">
        <f t="shared" si="37"/>
        <v>Utility-scale solar PV|2045|O&amp;M|Direct</v>
      </c>
      <c r="C440" t="str">
        <f t="shared" si="38"/>
        <v>PWRSOLUGE|Utility-scale solar PV</v>
      </c>
      <c r="D440" t="s">
        <v>39</v>
      </c>
      <c r="E440" t="s">
        <v>40</v>
      </c>
      <c r="F440" t="s">
        <v>19</v>
      </c>
      <c r="G440" t="s">
        <v>33</v>
      </c>
      <c r="H440">
        <v>2045</v>
      </c>
      <c r="I440" t="s">
        <v>18</v>
      </c>
      <c r="J440" t="s">
        <v>63</v>
      </c>
      <c r="K440" t="s">
        <v>64</v>
      </c>
      <c r="L440" t="s">
        <v>65</v>
      </c>
      <c r="M440">
        <f>SUMIFS(RawResultsLong!$P:$P,RawResultsLong!$A:$A,A440)</f>
        <v>380.89204486843852</v>
      </c>
      <c r="N440">
        <f t="shared" si="39"/>
        <v>12069.740565456133</v>
      </c>
      <c r="O440" t="s">
        <v>66</v>
      </c>
      <c r="P440">
        <f>SUMIFS(TechnologyMapping!$D:$D,TechnologyMapping!$A:$A,C440)</f>
        <v>1</v>
      </c>
      <c r="Q440">
        <f t="shared" si="40"/>
        <v>12069.740565456133</v>
      </c>
      <c r="R440">
        <f>SUMIFS(FactorInputs!$I:$I,FactorInputs!$A:$A,B440)</f>
        <v>7.33530405405E-2</v>
      </c>
      <c r="S440" t="str">
        <f>_xlfn.XLOOKUP(B440,FactorInputs!$A$2:$A$888,FactorInputs!$F$2:$F$888,"")</f>
        <v>job/MW</v>
      </c>
      <c r="T440" t="str">
        <f>_xlfn.XLOOKUP(B440,FactorInputs!$A$2:$A$888,FactorInputs!$B$2:$B$888,"")</f>
        <v>I-JEDI</v>
      </c>
      <c r="U440" t="str">
        <f>_xlfn.XLOOKUP(B440,FactorInputs!$A$2:$A$888,FactorInputs!$T$2:$T$888,"")</f>
        <v>I-JEDI</v>
      </c>
      <c r="V440">
        <f t="shared" si="41"/>
        <v>885.35216901122112</v>
      </c>
    </row>
    <row r="441" spans="1:23" x14ac:dyDescent="0.3">
      <c r="A441" t="str">
        <f t="shared" si="36"/>
        <v>CN|AccumulatedNewCapacity|RE1|PWRSOLUPE|2045</v>
      </c>
      <c r="B441" t="str">
        <f t="shared" si="37"/>
        <v>Utility-scale solar PV|2045|O&amp;M|Direct</v>
      </c>
      <c r="C441" t="str">
        <f t="shared" si="38"/>
        <v>PWRSOLUPE|Utility-scale solar PV</v>
      </c>
      <c r="D441" t="s">
        <v>39</v>
      </c>
      <c r="E441" t="s">
        <v>40</v>
      </c>
      <c r="F441" t="s">
        <v>19</v>
      </c>
      <c r="G441" t="s">
        <v>34</v>
      </c>
      <c r="H441">
        <v>2045</v>
      </c>
      <c r="I441" t="s">
        <v>18</v>
      </c>
      <c r="J441" t="s">
        <v>63</v>
      </c>
      <c r="K441" t="s">
        <v>64</v>
      </c>
      <c r="L441" t="s">
        <v>65</v>
      </c>
      <c r="M441">
        <f>SUMIFS(RawResultsLong!$P:$P,RawResultsLong!$A:$A,A441)</f>
        <v>12.14419823999993</v>
      </c>
      <c r="N441">
        <f t="shared" si="39"/>
        <v>384.82642026009364</v>
      </c>
      <c r="O441" t="s">
        <v>66</v>
      </c>
      <c r="P441">
        <f>SUMIFS(TechnologyMapping!$D:$D,TechnologyMapping!$A:$A,C441)</f>
        <v>1</v>
      </c>
      <c r="Q441">
        <f t="shared" si="40"/>
        <v>384.82642026009364</v>
      </c>
      <c r="R441">
        <f>SUMIFS(FactorInputs!$I:$I,FactorInputs!$A:$A,B441)</f>
        <v>7.33530405405E-2</v>
      </c>
      <c r="S441" t="str">
        <f>_xlfn.XLOOKUP(B441,FactorInputs!$A$2:$A$888,FactorInputs!$F$2:$F$888,"")</f>
        <v>job/MW</v>
      </c>
      <c r="T441" t="str">
        <f>_xlfn.XLOOKUP(B441,FactorInputs!$A$2:$A$888,FactorInputs!$B$2:$B$888,"")</f>
        <v>I-JEDI</v>
      </c>
      <c r="U441" t="str">
        <f>_xlfn.XLOOKUP(B441,FactorInputs!$A$2:$A$888,FactorInputs!$T$2:$T$888,"")</f>
        <v>I-JEDI</v>
      </c>
      <c r="V441">
        <f t="shared" si="41"/>
        <v>28.228188006394138</v>
      </c>
      <c r="W441" t="s">
        <v>67</v>
      </c>
    </row>
    <row r="442" spans="1:23" x14ac:dyDescent="0.3">
      <c r="A442" t="str">
        <f t="shared" si="36"/>
        <v>CN|AccumulatedNewCapacity|RE1|PWRWNDOFS_FIX|2045</v>
      </c>
      <c r="B442" t="str">
        <f t="shared" si="37"/>
        <v>Offshore wind (fixed)|2045|O&amp;M|Direct</v>
      </c>
      <c r="C442" t="str">
        <f t="shared" si="38"/>
        <v>PWRWNDOFS_FIX|Offshore wind (fixed)</v>
      </c>
      <c r="D442" t="s">
        <v>39</v>
      </c>
      <c r="E442" t="s">
        <v>40</v>
      </c>
      <c r="F442" t="s">
        <v>19</v>
      </c>
      <c r="G442" t="s">
        <v>42</v>
      </c>
      <c r="H442">
        <v>2045</v>
      </c>
      <c r="I442" t="s">
        <v>18</v>
      </c>
      <c r="J442" t="s">
        <v>63</v>
      </c>
      <c r="K442" t="s">
        <v>64</v>
      </c>
      <c r="L442" t="s">
        <v>65</v>
      </c>
      <c r="M442">
        <f>SUMIFS(RawResultsLong!$P:$P,RawResultsLong!$A:$A,A442)</f>
        <v>376.27702457715822</v>
      </c>
      <c r="N442">
        <f t="shared" si="39"/>
        <v>11923.499397202519</v>
      </c>
      <c r="O442" t="s">
        <v>74</v>
      </c>
      <c r="P442">
        <f>SUMIFS(TechnologyMapping!$D:$D,TechnologyMapping!$A:$A,C442)</f>
        <v>1</v>
      </c>
      <c r="Q442">
        <f t="shared" si="40"/>
        <v>11923.499397202519</v>
      </c>
      <c r="R442">
        <f>SUMIFS(FactorInputs!$I:$I,FactorInputs!$A:$A,B442)</f>
        <v>6.0951152073699999E-2</v>
      </c>
      <c r="S442" t="str">
        <f>_xlfn.XLOOKUP(B442,FactorInputs!$A$2:$A$888,FactorInputs!$F$2:$F$888,"")</f>
        <v>job/MW</v>
      </c>
      <c r="T442" t="str">
        <f>_xlfn.XLOOKUP(B442,FactorInputs!$A$2:$A$888,FactorInputs!$B$2:$B$888,"")</f>
        <v>French QBIS 2023</v>
      </c>
      <c r="U442" t="str">
        <f>_xlfn.XLOOKUP(B442,FactorInputs!$A$2:$A$888,FactorInputs!$T$2:$T$888,"")</f>
        <v>French QBIS 2023</v>
      </c>
      <c r="V442">
        <f t="shared" si="41"/>
        <v>726.75102500956098</v>
      </c>
    </row>
    <row r="443" spans="1:23" x14ac:dyDescent="0.3">
      <c r="A443" t="str">
        <f t="shared" si="36"/>
        <v>CN|AccumulatedNewCapacity|RE1|PWRWNDONS|2045</v>
      </c>
      <c r="B443" t="str">
        <f t="shared" si="37"/>
        <v>Onshore wind|2045|O&amp;M|Direct</v>
      </c>
      <c r="C443" t="str">
        <f t="shared" si="38"/>
        <v>PWRWNDONS|Onshore wind</v>
      </c>
      <c r="D443" t="s">
        <v>39</v>
      </c>
      <c r="E443" t="s">
        <v>40</v>
      </c>
      <c r="F443" t="s">
        <v>19</v>
      </c>
      <c r="G443" t="s">
        <v>36</v>
      </c>
      <c r="H443">
        <v>2045</v>
      </c>
      <c r="I443" t="s">
        <v>18</v>
      </c>
      <c r="J443" t="s">
        <v>63</v>
      </c>
      <c r="K443" t="s">
        <v>64</v>
      </c>
      <c r="L443" t="s">
        <v>65</v>
      </c>
      <c r="M443">
        <f>SUMIFS(RawResultsLong!$P:$P,RawResultsLong!$A:$A,A443)</f>
        <v>614.99944648443557</v>
      </c>
      <c r="N443">
        <f t="shared" si="39"/>
        <v>19488.156465777993</v>
      </c>
      <c r="O443" t="s">
        <v>68</v>
      </c>
      <c r="P443">
        <f>SUMIFS(TechnologyMapping!$D:$D,TechnologyMapping!$A:$A,C443)</f>
        <v>1</v>
      </c>
      <c r="Q443">
        <f t="shared" si="40"/>
        <v>19488.156465777993</v>
      </c>
      <c r="R443">
        <f>SUMIFS(FactorInputs!$I:$I,FactorInputs!$A:$A,B443)</f>
        <v>2.7317518248200001E-2</v>
      </c>
      <c r="S443" t="str">
        <f>_xlfn.XLOOKUP(B443,FactorInputs!$A$2:$A$888,FactorInputs!$F$2:$F$888,"")</f>
        <v>job/MW</v>
      </c>
      <c r="T443" t="str">
        <f>_xlfn.XLOOKUP(B443,FactorInputs!$A$2:$A$888,FactorInputs!$B$2:$B$888,"")</f>
        <v>I-JEDI</v>
      </c>
      <c r="U443" t="str">
        <f>_xlfn.XLOOKUP(B443,FactorInputs!$A$2:$A$888,FactorInputs!$T$2:$T$888,"")</f>
        <v>I-JEDI</v>
      </c>
      <c r="V443">
        <f t="shared" si="41"/>
        <v>532.36806987766715</v>
      </c>
    </row>
    <row r="444" spans="1:23" x14ac:dyDescent="0.3">
      <c r="A444" t="str">
        <f t="shared" si="36"/>
        <v>CN|NewCapacity|RE1|PWRSOLRTP|2045</v>
      </c>
      <c r="B444" t="str">
        <f t="shared" si="37"/>
        <v>Rooftop solar PV|2045|Construction&amp;Manufacturing|Direct</v>
      </c>
      <c r="C444" t="str">
        <f t="shared" si="38"/>
        <v>PWRSOLRTP|Rooftop solar PV</v>
      </c>
      <c r="D444" t="s">
        <v>39</v>
      </c>
      <c r="E444" t="s">
        <v>40</v>
      </c>
      <c r="F444" t="s">
        <v>19</v>
      </c>
      <c r="G444" t="s">
        <v>31</v>
      </c>
      <c r="H444">
        <v>2045</v>
      </c>
      <c r="I444" t="s">
        <v>37</v>
      </c>
      <c r="J444" t="s">
        <v>69</v>
      </c>
      <c r="K444" t="s">
        <v>70</v>
      </c>
      <c r="L444" t="s">
        <v>65</v>
      </c>
      <c r="M444">
        <f>SUMIFS(RawResultsLong!$P:$P,RawResultsLong!$A:$A,A444)</f>
        <v>2.63</v>
      </c>
      <c r="N444">
        <f t="shared" si="39"/>
        <v>83.339670950896135</v>
      </c>
      <c r="O444" t="s">
        <v>71</v>
      </c>
      <c r="P444">
        <f>SUMIFS(TechnologyMapping!$D:$D,TechnologyMapping!$A:$A,C444)</f>
        <v>1</v>
      </c>
      <c r="Q444">
        <f t="shared" si="40"/>
        <v>83.339670950896135</v>
      </c>
      <c r="R444">
        <f>SUMIFS(FactorInputs!$I:$I,FactorInputs!$A:$A,B444)</f>
        <v>4.8489758144900001</v>
      </c>
      <c r="S444" t="str">
        <f>_xlfn.XLOOKUP(B444,FactorInputs!$A$2:$A$888,FactorInputs!$F$2:$F$888,"")</f>
        <v>job-yr/MW</v>
      </c>
      <c r="T444" t="str">
        <f>_xlfn.XLOOKUP(B444,FactorInputs!$A$2:$A$888,FactorInputs!$B$2:$B$888,"")</f>
        <v>JEDI-US</v>
      </c>
      <c r="U444" t="str">
        <f>_xlfn.XLOOKUP(B444,FactorInputs!$A$2:$A$888,FactorInputs!$T$2:$T$888,"")</f>
        <v>JEDI-US</v>
      </c>
      <c r="V444">
        <f t="shared" si="41"/>
        <v>404.11204882845021</v>
      </c>
    </row>
    <row r="445" spans="1:23" x14ac:dyDescent="0.3">
      <c r="A445" t="str">
        <f t="shared" si="36"/>
        <v>CN|NewCapacity|RE1|PWRSOLRTP_ZNI|2045</v>
      </c>
      <c r="B445" t="str">
        <f t="shared" si="37"/>
        <v>Rooftop solar PV|2045|Construction&amp;Manufacturing|Direct</v>
      </c>
      <c r="C445" t="str">
        <f t="shared" si="38"/>
        <v>PWRSOLRTP_ZNI|Rooftop solar PV</v>
      </c>
      <c r="D445" t="s">
        <v>39</v>
      </c>
      <c r="E445" t="s">
        <v>40</v>
      </c>
      <c r="F445" t="s">
        <v>19</v>
      </c>
      <c r="G445" t="s">
        <v>32</v>
      </c>
      <c r="H445">
        <v>2045</v>
      </c>
      <c r="I445" t="s">
        <v>37</v>
      </c>
      <c r="J445" t="s">
        <v>69</v>
      </c>
      <c r="K445" t="s">
        <v>70</v>
      </c>
      <c r="L445" t="s">
        <v>65</v>
      </c>
      <c r="M445">
        <f>SUMIFS(RawResultsLong!$P:$P,RawResultsLong!$A:$A,A445)</f>
        <v>5.6418188570875563E-2</v>
      </c>
      <c r="N445">
        <f t="shared" si="39"/>
        <v>1.7877845137423494</v>
      </c>
      <c r="O445" t="s">
        <v>71</v>
      </c>
      <c r="P445">
        <f>SUMIFS(TechnologyMapping!$D:$D,TechnologyMapping!$A:$A,C445)</f>
        <v>1</v>
      </c>
      <c r="Q445">
        <f t="shared" si="40"/>
        <v>1.7877845137423494</v>
      </c>
      <c r="R445">
        <f>SUMIFS(FactorInputs!$I:$I,FactorInputs!$A:$A,B445)</f>
        <v>4.8489758144900001</v>
      </c>
      <c r="S445" t="str">
        <f>_xlfn.XLOOKUP(B445,FactorInputs!$A$2:$A$888,FactorInputs!$F$2:$F$888,"")</f>
        <v>job-yr/MW</v>
      </c>
      <c r="T445" t="str">
        <f>_xlfn.XLOOKUP(B445,FactorInputs!$A$2:$A$888,FactorInputs!$B$2:$B$888,"")</f>
        <v>JEDI-US</v>
      </c>
      <c r="U445" t="str">
        <f>_xlfn.XLOOKUP(B445,FactorInputs!$A$2:$A$888,FactorInputs!$T$2:$T$888,"")</f>
        <v>JEDI-US</v>
      </c>
      <c r="V445">
        <f t="shared" si="41"/>
        <v>8.6689238686564174</v>
      </c>
      <c r="W445" t="s">
        <v>73</v>
      </c>
    </row>
    <row r="446" spans="1:23" x14ac:dyDescent="0.3">
      <c r="A446" t="str">
        <f t="shared" si="36"/>
        <v>CN|NewCapacity|RE1|PWRSOLUGE|2045</v>
      </c>
      <c r="B446" t="str">
        <f t="shared" si="37"/>
        <v>Utility-scale solar PV|2045|Construction&amp;Manufacturing|Direct</v>
      </c>
      <c r="C446" t="str">
        <f t="shared" si="38"/>
        <v>PWRSOLUGE|Utility-scale solar PV</v>
      </c>
      <c r="D446" t="s">
        <v>39</v>
      </c>
      <c r="E446" t="s">
        <v>40</v>
      </c>
      <c r="F446" t="s">
        <v>19</v>
      </c>
      <c r="G446" t="s">
        <v>33</v>
      </c>
      <c r="H446">
        <v>2045</v>
      </c>
      <c r="I446" t="s">
        <v>37</v>
      </c>
      <c r="J446" t="s">
        <v>69</v>
      </c>
      <c r="K446" t="s">
        <v>70</v>
      </c>
      <c r="L446" t="s">
        <v>65</v>
      </c>
      <c r="M446">
        <f>SUMIFS(RawResultsLong!$P:$P,RawResultsLong!$A:$A,A446)</f>
        <v>37.364526523038357</v>
      </c>
      <c r="N446">
        <f t="shared" si="39"/>
        <v>1184.0103975916534</v>
      </c>
      <c r="O446" t="s">
        <v>66</v>
      </c>
      <c r="P446">
        <f>SUMIFS(TechnologyMapping!$D:$D,TechnologyMapping!$A:$A,C446)</f>
        <v>1</v>
      </c>
      <c r="Q446">
        <f t="shared" si="40"/>
        <v>1184.0103975916534</v>
      </c>
      <c r="R446">
        <f>SUMIFS(FactorInputs!$I:$I,FactorInputs!$A:$A,B446)</f>
        <v>5.1877120812799999</v>
      </c>
      <c r="S446" t="str">
        <f>_xlfn.XLOOKUP(B446,FactorInputs!$A$2:$A$888,FactorInputs!$F$2:$F$888,"")</f>
        <v>job-yr/MW</v>
      </c>
      <c r="T446" t="str">
        <f>_xlfn.XLOOKUP(B446,FactorInputs!$A$2:$A$888,FactorInputs!$B$2:$B$888,"")</f>
        <v>I-JEDI</v>
      </c>
      <c r="U446" t="str">
        <f>_xlfn.XLOOKUP(B446,FactorInputs!$A$2:$A$888,FactorInputs!$T$2:$T$888,"")</f>
        <v>I-JEDI</v>
      </c>
      <c r="V446">
        <f t="shared" si="41"/>
        <v>6142.3050439473564</v>
      </c>
    </row>
    <row r="447" spans="1:23" x14ac:dyDescent="0.3">
      <c r="A447" t="str">
        <f t="shared" si="36"/>
        <v>CN|NewCapacity|RE1|PWRWNDOFS_FIX|2045</v>
      </c>
      <c r="B447" t="str">
        <f t="shared" si="37"/>
        <v>Offshore wind (fixed)|2045|Construction&amp;Manufacturing|Direct</v>
      </c>
      <c r="C447" t="str">
        <f t="shared" si="38"/>
        <v>PWRWNDOFS_FIX|Offshore wind (fixed)</v>
      </c>
      <c r="D447" t="s">
        <v>39</v>
      </c>
      <c r="E447" t="s">
        <v>40</v>
      </c>
      <c r="F447" t="s">
        <v>19</v>
      </c>
      <c r="G447" t="s">
        <v>42</v>
      </c>
      <c r="H447">
        <v>2045</v>
      </c>
      <c r="I447" t="s">
        <v>37</v>
      </c>
      <c r="J447" t="s">
        <v>69</v>
      </c>
      <c r="K447" t="s">
        <v>70</v>
      </c>
      <c r="L447" t="s">
        <v>65</v>
      </c>
      <c r="M447">
        <f>SUMIFS(RawResultsLong!$P:$P,RawResultsLong!$A:$A,A447)</f>
        <v>47.31</v>
      </c>
      <c r="N447">
        <f t="shared" si="39"/>
        <v>1499.1634344817096</v>
      </c>
      <c r="O447" t="s">
        <v>74</v>
      </c>
      <c r="P447">
        <f>SUMIFS(TechnologyMapping!$D:$D,TechnologyMapping!$A:$A,C447)</f>
        <v>1</v>
      </c>
      <c r="Q447">
        <f t="shared" si="40"/>
        <v>1499.1634344817096</v>
      </c>
      <c r="R447">
        <f>SUMIFS(FactorInputs!$I:$I,FactorInputs!$A:$A,B447)</f>
        <v>3.7052739086400002</v>
      </c>
      <c r="S447" t="str">
        <f>_xlfn.XLOOKUP(B447,FactorInputs!$A$2:$A$888,FactorInputs!$F$2:$F$888,"")</f>
        <v>job-yr/MW</v>
      </c>
      <c r="T447" t="str">
        <f>_xlfn.XLOOKUP(B447,FactorInputs!$A$2:$A$888,FactorInputs!$B$2:$B$888,"")</f>
        <v>French QBIS 2023</v>
      </c>
      <c r="U447" t="str">
        <f>_xlfn.XLOOKUP(B447,FactorInputs!$A$2:$A$888,FactorInputs!$T$2:$T$888,"")</f>
        <v>French QBIS 2023</v>
      </c>
      <c r="V447">
        <f t="shared" si="41"/>
        <v>5554.8111585722108</v>
      </c>
    </row>
    <row r="448" spans="1:23" x14ac:dyDescent="0.3">
      <c r="A448" t="str">
        <f t="shared" si="36"/>
        <v>CN|NewCapacity|RE1|PWRWNDONS|2045</v>
      </c>
      <c r="B448" t="str">
        <f t="shared" si="37"/>
        <v>Onshore wind|2045|Construction&amp;Manufacturing|Direct</v>
      </c>
      <c r="C448" t="str">
        <f t="shared" si="38"/>
        <v>PWRWNDONS|Onshore wind</v>
      </c>
      <c r="D448" t="s">
        <v>39</v>
      </c>
      <c r="E448" t="s">
        <v>40</v>
      </c>
      <c r="F448" t="s">
        <v>19</v>
      </c>
      <c r="G448" t="s">
        <v>36</v>
      </c>
      <c r="H448">
        <v>2045</v>
      </c>
      <c r="I448" t="s">
        <v>37</v>
      </c>
      <c r="J448" t="s">
        <v>69</v>
      </c>
      <c r="K448" t="s">
        <v>70</v>
      </c>
      <c r="L448" t="s">
        <v>65</v>
      </c>
      <c r="M448">
        <f>SUMIFS(RawResultsLong!$P:$P,RawResultsLong!$A:$A,A448)</f>
        <v>47.31</v>
      </c>
      <c r="N448">
        <f t="shared" si="39"/>
        <v>1499.1634344817096</v>
      </c>
      <c r="O448" t="s">
        <v>68</v>
      </c>
      <c r="P448">
        <f>SUMIFS(TechnologyMapping!$D:$D,TechnologyMapping!$A:$A,C448)</f>
        <v>1</v>
      </c>
      <c r="Q448">
        <f t="shared" si="40"/>
        <v>1499.1634344817096</v>
      </c>
      <c r="R448">
        <f>SUMIFS(FactorInputs!$I:$I,FactorInputs!$A:$A,B448)</f>
        <v>6.6039687575799997</v>
      </c>
      <c r="S448" t="str">
        <f>_xlfn.XLOOKUP(B448,FactorInputs!$A$2:$A$888,FactorInputs!$F$2:$F$888,"")</f>
        <v>job-yr/MW</v>
      </c>
      <c r="T448" t="str">
        <f>_xlfn.XLOOKUP(B448,FactorInputs!$A$2:$A$888,FactorInputs!$B$2:$B$888,"")</f>
        <v>I-JEDI</v>
      </c>
      <c r="U448" t="str">
        <f>_xlfn.XLOOKUP(B448,FactorInputs!$A$2:$A$888,FactorInputs!$T$2:$T$888,"")</f>
        <v>I-JEDI</v>
      </c>
      <c r="V448">
        <f t="shared" si="41"/>
        <v>9900.4284838235417</v>
      </c>
    </row>
    <row r="449" spans="1:23" x14ac:dyDescent="0.3">
      <c r="A449" t="str">
        <f t="shared" si="36"/>
        <v>CN|AccumulatedNewCapacity|RE1|PWRHYDDAM|2046</v>
      </c>
      <c r="B449" t="str">
        <f t="shared" si="37"/>
        <v>Hydro (large)|2046|O&amp;M|Direct</v>
      </c>
      <c r="C449" t="str">
        <f t="shared" si="38"/>
        <v>PWRHYDDAM|Hydro (large)</v>
      </c>
      <c r="D449" t="s">
        <v>39</v>
      </c>
      <c r="E449" t="s">
        <v>40</v>
      </c>
      <c r="F449" t="s">
        <v>19</v>
      </c>
      <c r="G449" t="s">
        <v>24</v>
      </c>
      <c r="H449">
        <v>2046</v>
      </c>
      <c r="I449" t="s">
        <v>18</v>
      </c>
      <c r="J449" t="s">
        <v>63</v>
      </c>
      <c r="K449" t="s">
        <v>64</v>
      </c>
      <c r="L449" t="s">
        <v>65</v>
      </c>
      <c r="M449">
        <f>SUMIFS(RawResultsLong!$P:$P,RawResultsLong!$A:$A,A449)</f>
        <v>37.840000000000003</v>
      </c>
      <c r="N449">
        <f t="shared" si="39"/>
        <v>1199.0772428828554</v>
      </c>
      <c r="O449" t="s">
        <v>72</v>
      </c>
      <c r="P449">
        <f>SUMIFS(TechnologyMapping!$D:$D,TechnologyMapping!$A:$A,C449)</f>
        <v>1</v>
      </c>
      <c r="Q449">
        <f t="shared" si="40"/>
        <v>1199.0772428828554</v>
      </c>
      <c r="R449">
        <f>SUMIFS(FactorInputs!$I:$I,FactorInputs!$A:$A,B449)</f>
        <v>0.63919344262300004</v>
      </c>
      <c r="S449" t="str">
        <f>_xlfn.XLOOKUP(B449,FactorInputs!$A$2:$A$888,FactorInputs!$F$2:$F$888,"")</f>
        <v>job/MW</v>
      </c>
      <c r="T449" t="str">
        <f>_xlfn.XLOOKUP(B449,FactorInputs!$A$2:$A$888,FactorInputs!$B$2:$B$888,"")</f>
        <v>Rutovitz 2015</v>
      </c>
      <c r="U449" t="str">
        <f>_xlfn.XLOOKUP(B449,FactorInputs!$A$2:$A$888,FactorInputs!$T$2:$T$888,"")</f>
        <v>Rutovitz 2015</v>
      </c>
      <c r="V449">
        <f t="shared" si="41"/>
        <v>766.44231084918749</v>
      </c>
    </row>
    <row r="450" spans="1:23" x14ac:dyDescent="0.3">
      <c r="A450" t="str">
        <f t="shared" ref="A450:A513" si="42">D450&amp;"|"&amp;I450&amp;"|"&amp;F450&amp;"|"&amp;G450&amp;"|"&amp;H450</f>
        <v>CN|AccumulatedNewCapacity|RE1|PWRHYDROR_NDC|2046</v>
      </c>
      <c r="B450" t="str">
        <f t="shared" ref="B450:B513" si="43">O450&amp;"|"&amp;H450&amp;"|"&amp;K450&amp;"|"&amp;L450</f>
        <v>Hydro (small)|2046|O&amp;M|Direct</v>
      </c>
      <c r="C450" t="str">
        <f t="shared" ref="C450:C513" si="44">G450&amp;"|"&amp;O450</f>
        <v>PWRHYDROR_NDC|Hydro (small)</v>
      </c>
      <c r="D450" t="s">
        <v>39</v>
      </c>
      <c r="E450" t="s">
        <v>40</v>
      </c>
      <c r="F450" t="s">
        <v>19</v>
      </c>
      <c r="G450" t="s">
        <v>26</v>
      </c>
      <c r="H450">
        <v>2046</v>
      </c>
      <c r="I450" t="s">
        <v>18</v>
      </c>
      <c r="J450" t="s">
        <v>63</v>
      </c>
      <c r="K450" t="s">
        <v>64</v>
      </c>
      <c r="L450" t="s">
        <v>65</v>
      </c>
      <c r="M450">
        <f>SUMIFS(RawResultsLong!$P:$P,RawResultsLong!$A:$A,A450)</f>
        <v>58.986358233509478</v>
      </c>
      <c r="N450">
        <f t="shared" ref="N450:N513" si="45">M450*1000/31.5576</f>
        <v>1869.1648995332177</v>
      </c>
      <c r="O450" t="s">
        <v>75</v>
      </c>
      <c r="P450">
        <f>SUMIFS(TechnologyMapping!$D:$D,TechnologyMapping!$A:$A,C450)</f>
        <v>1</v>
      </c>
      <c r="Q450">
        <f t="shared" ref="Q450:Q513" si="46">N450*P450</f>
        <v>1869.1648995332177</v>
      </c>
      <c r="R450">
        <f>SUMIFS(FactorInputs!$I:$I,FactorInputs!$A:$A,B450)</f>
        <v>5.2177325301200002</v>
      </c>
      <c r="S450" t="str">
        <f>_xlfn.XLOOKUP(B450,FactorInputs!$A$2:$A$888,FactorInputs!$F$2:$F$888,"")</f>
        <v>job/MW</v>
      </c>
      <c r="T450" t="str">
        <f>_xlfn.XLOOKUP(B450,FactorInputs!$A$2:$A$888,FactorInputs!$B$2:$B$888,"")</f>
        <v>Rutovitz 2015</v>
      </c>
      <c r="U450" t="str">
        <f>_xlfn.XLOOKUP(B450,FactorInputs!$A$2:$A$888,FactorInputs!$T$2:$T$888,"")</f>
        <v>Rutovitz 2015</v>
      </c>
      <c r="V450">
        <f t="shared" ref="V450:V513" si="47">Q450*R450</f>
        <v>9752.8025004529518</v>
      </c>
      <c r="W450" t="s">
        <v>76</v>
      </c>
    </row>
    <row r="451" spans="1:23" x14ac:dyDescent="0.3">
      <c r="A451" t="str">
        <f t="shared" si="42"/>
        <v>CN|AccumulatedNewCapacity|RE1|PWRSOLRTP|2046</v>
      </c>
      <c r="B451" t="str">
        <f t="shared" si="43"/>
        <v>Rooftop solar PV|2046|O&amp;M|Direct</v>
      </c>
      <c r="C451" t="str">
        <f t="shared" si="44"/>
        <v>PWRSOLRTP|Rooftop solar PV</v>
      </c>
      <c r="D451" t="s">
        <v>39</v>
      </c>
      <c r="E451" t="s">
        <v>40</v>
      </c>
      <c r="F451" t="s">
        <v>19</v>
      </c>
      <c r="G451" t="s">
        <v>31</v>
      </c>
      <c r="H451">
        <v>2046</v>
      </c>
      <c r="I451" t="s">
        <v>18</v>
      </c>
      <c r="J451" t="s">
        <v>63</v>
      </c>
      <c r="K451" t="s">
        <v>64</v>
      </c>
      <c r="L451" t="s">
        <v>65</v>
      </c>
      <c r="M451">
        <f>SUMIFS(RawResultsLong!$P:$P,RawResultsLong!$A:$A,A451)</f>
        <v>212.41345518622691</v>
      </c>
      <c r="N451">
        <f t="shared" si="45"/>
        <v>6730.9762208224611</v>
      </c>
      <c r="O451" t="s">
        <v>71</v>
      </c>
      <c r="P451">
        <f>SUMIFS(TechnologyMapping!$D:$D,TechnologyMapping!$A:$A,C451)</f>
        <v>1</v>
      </c>
      <c r="Q451">
        <f t="shared" si="46"/>
        <v>6730.9762208224611</v>
      </c>
      <c r="R451">
        <f>SUMIFS(FactorInputs!$I:$I,FactorInputs!$A:$A,B451)</f>
        <v>0.225176470588</v>
      </c>
      <c r="S451" t="str">
        <f>_xlfn.XLOOKUP(B451,FactorInputs!$A$2:$A$888,FactorInputs!$F$2:$F$888,"")</f>
        <v>job/MW</v>
      </c>
      <c r="T451" t="str">
        <f>_xlfn.XLOOKUP(B451,FactorInputs!$A$2:$A$888,FactorInputs!$B$2:$B$888,"")</f>
        <v>JEDI-US</v>
      </c>
      <c r="U451" t="str">
        <f>_xlfn.XLOOKUP(B451,FactorInputs!$A$2:$A$888,FactorInputs!$T$2:$T$888,"")</f>
        <v>JEDI-US</v>
      </c>
      <c r="V451">
        <f t="shared" si="47"/>
        <v>1515.6574690165562</v>
      </c>
    </row>
    <row r="452" spans="1:23" x14ac:dyDescent="0.3">
      <c r="A452" t="str">
        <f t="shared" si="42"/>
        <v>CN|AccumulatedNewCapacity|RE1|PWRSOLRTP_ZNI|2046</v>
      </c>
      <c r="B452" t="str">
        <f t="shared" si="43"/>
        <v>Rooftop solar PV|2046|O&amp;M|Direct</v>
      </c>
      <c r="C452" t="str">
        <f t="shared" si="44"/>
        <v>PWRSOLRTP_ZNI|Rooftop solar PV</v>
      </c>
      <c r="D452" t="s">
        <v>39</v>
      </c>
      <c r="E452" t="s">
        <v>40</v>
      </c>
      <c r="F452" t="s">
        <v>19</v>
      </c>
      <c r="G452" t="s">
        <v>32</v>
      </c>
      <c r="H452">
        <v>2046</v>
      </c>
      <c r="I452" t="s">
        <v>18</v>
      </c>
      <c r="J452" t="s">
        <v>63</v>
      </c>
      <c r="K452" t="s">
        <v>64</v>
      </c>
      <c r="L452" t="s">
        <v>65</v>
      </c>
      <c r="M452">
        <f>SUMIFS(RawResultsLong!$P:$P,RawResultsLong!$A:$A,A452)</f>
        <v>1.226419505172696</v>
      </c>
      <c r="N452">
        <f t="shared" si="45"/>
        <v>38.862888976750327</v>
      </c>
      <c r="O452" t="s">
        <v>71</v>
      </c>
      <c r="P452">
        <f>SUMIFS(TechnologyMapping!$D:$D,TechnologyMapping!$A:$A,C452)</f>
        <v>1</v>
      </c>
      <c r="Q452">
        <f t="shared" si="46"/>
        <v>38.862888976750327</v>
      </c>
      <c r="R452">
        <f>SUMIFS(FactorInputs!$I:$I,FactorInputs!$A:$A,B452)</f>
        <v>0.225176470588</v>
      </c>
      <c r="S452" t="str">
        <f>_xlfn.XLOOKUP(B452,FactorInputs!$A$2:$A$888,FactorInputs!$F$2:$F$888,"")</f>
        <v>job/MW</v>
      </c>
      <c r="T452" t="str">
        <f>_xlfn.XLOOKUP(B452,FactorInputs!$A$2:$A$888,FactorInputs!$B$2:$B$888,"")</f>
        <v>JEDI-US</v>
      </c>
      <c r="U452" t="str">
        <f>_xlfn.XLOOKUP(B452,FactorInputs!$A$2:$A$888,FactorInputs!$T$2:$T$888,"")</f>
        <v>JEDI-US</v>
      </c>
      <c r="V452">
        <f t="shared" si="47"/>
        <v>8.7510081766379297</v>
      </c>
      <c r="W452" t="s">
        <v>73</v>
      </c>
    </row>
    <row r="453" spans="1:23" x14ac:dyDescent="0.3">
      <c r="A453" t="str">
        <f t="shared" si="42"/>
        <v>CN|AccumulatedNewCapacity|RE1|PWRSOLUGE|2046</v>
      </c>
      <c r="B453" t="str">
        <f t="shared" si="43"/>
        <v>Utility-scale solar PV|2046|O&amp;M|Direct</v>
      </c>
      <c r="C453" t="str">
        <f t="shared" si="44"/>
        <v>PWRSOLUGE|Utility-scale solar PV</v>
      </c>
      <c r="D453" t="s">
        <v>39</v>
      </c>
      <c r="E453" t="s">
        <v>40</v>
      </c>
      <c r="F453" t="s">
        <v>19</v>
      </c>
      <c r="G453" t="s">
        <v>33</v>
      </c>
      <c r="H453">
        <v>2046</v>
      </c>
      <c r="I453" t="s">
        <v>18</v>
      </c>
      <c r="J453" t="s">
        <v>63</v>
      </c>
      <c r="K453" t="s">
        <v>64</v>
      </c>
      <c r="L453" t="s">
        <v>65</v>
      </c>
      <c r="M453">
        <f>SUMIFS(RawResultsLong!$P:$P,RawResultsLong!$A:$A,A453)</f>
        <v>428.20204486843852</v>
      </c>
      <c r="N453">
        <f t="shared" si="45"/>
        <v>13568.903999937844</v>
      </c>
      <c r="O453" t="s">
        <v>66</v>
      </c>
      <c r="P453">
        <f>SUMIFS(TechnologyMapping!$D:$D,TechnologyMapping!$A:$A,C453)</f>
        <v>1</v>
      </c>
      <c r="Q453">
        <f t="shared" si="46"/>
        <v>13568.903999937844</v>
      </c>
      <c r="R453">
        <f>SUMIFS(FactorInputs!$I:$I,FactorInputs!$A:$A,B453)</f>
        <v>7.2766216216199997E-2</v>
      </c>
      <c r="S453" t="str">
        <f>_xlfn.XLOOKUP(B453,FactorInputs!$A$2:$A$888,FactorInputs!$F$2:$F$888,"")</f>
        <v>job/MW</v>
      </c>
      <c r="T453" t="str">
        <f>_xlfn.XLOOKUP(B453,FactorInputs!$A$2:$A$888,FactorInputs!$B$2:$B$888,"")</f>
        <v>I-JEDI</v>
      </c>
      <c r="U453" t="str">
        <f>_xlfn.XLOOKUP(B453,FactorInputs!$A$2:$A$888,FactorInputs!$T$2:$T$888,"")</f>
        <v>I-JEDI</v>
      </c>
      <c r="V453">
        <f t="shared" si="47"/>
        <v>987.35780227633813</v>
      </c>
    </row>
    <row r="454" spans="1:23" x14ac:dyDescent="0.3">
      <c r="A454" t="str">
        <f t="shared" si="42"/>
        <v>CN|AccumulatedNewCapacity|RE1|PWRSOLUPE|2046</v>
      </c>
      <c r="B454" t="str">
        <f t="shared" si="43"/>
        <v>Utility-scale solar PV|2046|O&amp;M|Direct</v>
      </c>
      <c r="C454" t="str">
        <f t="shared" si="44"/>
        <v>PWRSOLUPE|Utility-scale solar PV</v>
      </c>
      <c r="D454" t="s">
        <v>39</v>
      </c>
      <c r="E454" t="s">
        <v>40</v>
      </c>
      <c r="F454" t="s">
        <v>19</v>
      </c>
      <c r="G454" t="s">
        <v>34</v>
      </c>
      <c r="H454">
        <v>2046</v>
      </c>
      <c r="I454" t="s">
        <v>18</v>
      </c>
      <c r="J454" t="s">
        <v>63</v>
      </c>
      <c r="K454" t="s">
        <v>64</v>
      </c>
      <c r="L454" t="s">
        <v>65</v>
      </c>
      <c r="M454">
        <f>SUMIFS(RawResultsLong!$P:$P,RawResultsLong!$A:$A,A454)</f>
        <v>12.14419823999993</v>
      </c>
      <c r="N454">
        <f t="shared" si="45"/>
        <v>384.82642026009364</v>
      </c>
      <c r="O454" t="s">
        <v>66</v>
      </c>
      <c r="P454">
        <f>SUMIFS(TechnologyMapping!$D:$D,TechnologyMapping!$A:$A,C454)</f>
        <v>1</v>
      </c>
      <c r="Q454">
        <f t="shared" si="46"/>
        <v>384.82642026009364</v>
      </c>
      <c r="R454">
        <f>SUMIFS(FactorInputs!$I:$I,FactorInputs!$A:$A,B454)</f>
        <v>7.2766216216199997E-2</v>
      </c>
      <c r="S454" t="str">
        <f>_xlfn.XLOOKUP(B454,FactorInputs!$A$2:$A$888,FactorInputs!$F$2:$F$888,"")</f>
        <v>job/MW</v>
      </c>
      <c r="T454" t="str">
        <f>_xlfn.XLOOKUP(B454,FactorInputs!$A$2:$A$888,FactorInputs!$B$2:$B$888,"")</f>
        <v>I-JEDI</v>
      </c>
      <c r="U454" t="str">
        <f>_xlfn.XLOOKUP(B454,FactorInputs!$A$2:$A$888,FactorInputs!$T$2:$T$888,"")</f>
        <v>I-JEDI</v>
      </c>
      <c r="V454">
        <f t="shared" si="47"/>
        <v>28.00236250235222</v>
      </c>
      <c r="W454" t="s">
        <v>67</v>
      </c>
    </row>
    <row r="455" spans="1:23" x14ac:dyDescent="0.3">
      <c r="A455" t="str">
        <f t="shared" si="42"/>
        <v>CN|AccumulatedNewCapacity|RE1|PWRWNDOFS_FIX|2046</v>
      </c>
      <c r="B455" t="str">
        <f t="shared" si="43"/>
        <v>Offshore wind (fixed)|2046|O&amp;M|Direct</v>
      </c>
      <c r="C455" t="str">
        <f t="shared" si="44"/>
        <v>PWRWNDOFS_FIX|Offshore wind (fixed)</v>
      </c>
      <c r="D455" t="s">
        <v>39</v>
      </c>
      <c r="E455" t="s">
        <v>40</v>
      </c>
      <c r="F455" t="s">
        <v>19</v>
      </c>
      <c r="G455" t="s">
        <v>42</v>
      </c>
      <c r="H455">
        <v>2046</v>
      </c>
      <c r="I455" t="s">
        <v>18</v>
      </c>
      <c r="J455" t="s">
        <v>63</v>
      </c>
      <c r="K455" t="s">
        <v>64</v>
      </c>
      <c r="L455" t="s">
        <v>65</v>
      </c>
      <c r="M455">
        <f>SUMIFS(RawResultsLong!$P:$P,RawResultsLong!$A:$A,A455)</f>
        <v>423.58702457715822</v>
      </c>
      <c r="N455">
        <f t="shared" si="45"/>
        <v>13422.662831684229</v>
      </c>
      <c r="O455" t="s">
        <v>74</v>
      </c>
      <c r="P455">
        <f>SUMIFS(TechnologyMapping!$D:$D,TechnologyMapping!$A:$A,C455)</f>
        <v>1</v>
      </c>
      <c r="Q455">
        <f t="shared" si="46"/>
        <v>13422.662831684229</v>
      </c>
      <c r="R455">
        <f>SUMIFS(FactorInputs!$I:$I,FactorInputs!$A:$A,B455)</f>
        <v>5.9758894009200002E-2</v>
      </c>
      <c r="S455" t="str">
        <f>_xlfn.XLOOKUP(B455,FactorInputs!$A$2:$A$888,FactorInputs!$F$2:$F$888,"")</f>
        <v>job/MW</v>
      </c>
      <c r="T455" t="str">
        <f>_xlfn.XLOOKUP(B455,FactorInputs!$A$2:$A$888,FactorInputs!$B$2:$B$888,"")</f>
        <v>French QBIS 2023</v>
      </c>
      <c r="U455" t="str">
        <f>_xlfn.XLOOKUP(B455,FactorInputs!$A$2:$A$888,FactorInputs!$T$2:$T$888,"")</f>
        <v>French QBIS 2023</v>
      </c>
      <c r="V455">
        <f t="shared" si="47"/>
        <v>802.12348547984618</v>
      </c>
    </row>
    <row r="456" spans="1:23" x14ac:dyDescent="0.3">
      <c r="A456" t="str">
        <f t="shared" si="42"/>
        <v>CN|AccumulatedNewCapacity|RE1|PWRWNDONS|2046</v>
      </c>
      <c r="B456" t="str">
        <f t="shared" si="43"/>
        <v>Onshore wind|2046|O&amp;M|Direct</v>
      </c>
      <c r="C456" t="str">
        <f t="shared" si="44"/>
        <v>PWRWNDONS|Onshore wind</v>
      </c>
      <c r="D456" t="s">
        <v>39</v>
      </c>
      <c r="E456" t="s">
        <v>40</v>
      </c>
      <c r="F456" t="s">
        <v>19</v>
      </c>
      <c r="G456" t="s">
        <v>36</v>
      </c>
      <c r="H456">
        <v>2046</v>
      </c>
      <c r="I456" t="s">
        <v>18</v>
      </c>
      <c r="J456" t="s">
        <v>63</v>
      </c>
      <c r="K456" t="s">
        <v>64</v>
      </c>
      <c r="L456" t="s">
        <v>65</v>
      </c>
      <c r="M456">
        <f>SUMIFS(RawResultsLong!$P:$P,RawResultsLong!$A:$A,A456)</f>
        <v>662.30944648443551</v>
      </c>
      <c r="N456">
        <f t="shared" si="45"/>
        <v>20987.319900259699</v>
      </c>
      <c r="O456" t="s">
        <v>68</v>
      </c>
      <c r="P456">
        <f>SUMIFS(TechnologyMapping!$D:$D,TechnologyMapping!$A:$A,C456)</f>
        <v>1</v>
      </c>
      <c r="Q456">
        <f t="shared" si="46"/>
        <v>20987.319900259699</v>
      </c>
      <c r="R456">
        <f>SUMIFS(FactorInputs!$I:$I,FactorInputs!$A:$A,B456)</f>
        <v>2.7240875912400001E-2</v>
      </c>
      <c r="S456" t="str">
        <f>_xlfn.XLOOKUP(B456,FactorInputs!$A$2:$A$888,FactorInputs!$F$2:$F$888,"")</f>
        <v>job/MW</v>
      </c>
      <c r="T456" t="str">
        <f>_xlfn.XLOOKUP(B456,FactorInputs!$A$2:$A$888,FactorInputs!$B$2:$B$888,"")</f>
        <v>I-JEDI</v>
      </c>
      <c r="U456" t="str">
        <f>_xlfn.XLOOKUP(B456,FactorInputs!$A$2:$A$888,FactorInputs!$T$2:$T$888,"")</f>
        <v>I-JEDI</v>
      </c>
      <c r="V456">
        <f t="shared" si="47"/>
        <v>571.71297713681759</v>
      </c>
    </row>
    <row r="457" spans="1:23" x14ac:dyDescent="0.3">
      <c r="A457" t="str">
        <f t="shared" si="42"/>
        <v>CN|NewCapacity|RE1|PWRSOLRTP|2046</v>
      </c>
      <c r="B457" t="str">
        <f t="shared" si="43"/>
        <v>Rooftop solar PV|2046|Construction&amp;Manufacturing|Direct</v>
      </c>
      <c r="C457" t="str">
        <f t="shared" si="44"/>
        <v>PWRSOLRTP|Rooftop solar PV</v>
      </c>
      <c r="D457" t="s">
        <v>39</v>
      </c>
      <c r="E457" t="s">
        <v>40</v>
      </c>
      <c r="F457" t="s">
        <v>19</v>
      </c>
      <c r="G457" t="s">
        <v>31</v>
      </c>
      <c r="H457">
        <v>2046</v>
      </c>
      <c r="I457" t="s">
        <v>37</v>
      </c>
      <c r="J457" t="s">
        <v>69</v>
      </c>
      <c r="K457" t="s">
        <v>70</v>
      </c>
      <c r="L457" t="s">
        <v>65</v>
      </c>
      <c r="M457">
        <f>SUMIFS(RawResultsLong!$P:$P,RawResultsLong!$A:$A,A457)</f>
        <v>2.54</v>
      </c>
      <c r="N457">
        <f t="shared" si="45"/>
        <v>80.487743047633529</v>
      </c>
      <c r="O457" t="s">
        <v>71</v>
      </c>
      <c r="P457">
        <f>SUMIFS(TechnologyMapping!$D:$D,TechnologyMapping!$A:$A,C457)</f>
        <v>1</v>
      </c>
      <c r="Q457">
        <f t="shared" si="46"/>
        <v>80.487743047633529</v>
      </c>
      <c r="R457">
        <f>SUMIFS(FactorInputs!$I:$I,FactorInputs!$A:$A,B457)</f>
        <v>4.7432928636999998</v>
      </c>
      <c r="S457" t="str">
        <f>_xlfn.XLOOKUP(B457,FactorInputs!$A$2:$A$888,FactorInputs!$F$2:$F$888,"")</f>
        <v>job-yr/MW</v>
      </c>
      <c r="T457" t="str">
        <f>_xlfn.XLOOKUP(B457,FactorInputs!$A$2:$A$888,FactorInputs!$B$2:$B$888,"")</f>
        <v>JEDI-US</v>
      </c>
      <c r="U457" t="str">
        <f>_xlfn.XLOOKUP(B457,FactorInputs!$A$2:$A$888,FactorInputs!$T$2:$T$888,"")</f>
        <v>JEDI-US</v>
      </c>
      <c r="V457">
        <f t="shared" si="47"/>
        <v>381.77693721315939</v>
      </c>
    </row>
    <row r="458" spans="1:23" x14ac:dyDescent="0.3">
      <c r="A458" t="str">
        <f t="shared" si="42"/>
        <v>CN|NewCapacity|RE1|PWRSOLRTP_ZNI|2046</v>
      </c>
      <c r="B458" t="str">
        <f t="shared" si="43"/>
        <v>Rooftop solar PV|2046|Construction&amp;Manufacturing|Direct</v>
      </c>
      <c r="C458" t="str">
        <f t="shared" si="44"/>
        <v>PWRSOLRTP_ZNI|Rooftop solar PV</v>
      </c>
      <c r="D458" t="s">
        <v>39</v>
      </c>
      <c r="E458" t="s">
        <v>40</v>
      </c>
      <c r="F458" t="s">
        <v>19</v>
      </c>
      <c r="G458" t="s">
        <v>32</v>
      </c>
      <c r="H458">
        <v>2046</v>
      </c>
      <c r="I458" t="s">
        <v>37</v>
      </c>
      <c r="J458" t="s">
        <v>69</v>
      </c>
      <c r="K458" t="s">
        <v>70</v>
      </c>
      <c r="L458" t="s">
        <v>65</v>
      </c>
      <c r="M458">
        <f>SUMIFS(RawResultsLong!$P:$P,RawResultsLong!$A:$A,A458)</f>
        <v>4.7721976806840177E-2</v>
      </c>
      <c r="N458">
        <f t="shared" si="45"/>
        <v>1.5122181917142044</v>
      </c>
      <c r="O458" t="s">
        <v>71</v>
      </c>
      <c r="P458">
        <f>SUMIFS(TechnologyMapping!$D:$D,TechnologyMapping!$A:$A,C458)</f>
        <v>1</v>
      </c>
      <c r="Q458">
        <f t="shared" si="46"/>
        <v>1.5122181917142044</v>
      </c>
      <c r="R458">
        <f>SUMIFS(FactorInputs!$I:$I,FactorInputs!$A:$A,B458)</f>
        <v>4.7432928636999998</v>
      </c>
      <c r="S458" t="str">
        <f>_xlfn.XLOOKUP(B458,FactorInputs!$A$2:$A$888,FactorInputs!$F$2:$F$888,"")</f>
        <v>job-yr/MW</v>
      </c>
      <c r="T458" t="str">
        <f>_xlfn.XLOOKUP(B458,FactorInputs!$A$2:$A$888,FactorInputs!$B$2:$B$888,"")</f>
        <v>JEDI-US</v>
      </c>
      <c r="U458" t="str">
        <f>_xlfn.XLOOKUP(B458,FactorInputs!$A$2:$A$888,FactorInputs!$T$2:$T$888,"")</f>
        <v>JEDI-US</v>
      </c>
      <c r="V458">
        <f t="shared" si="47"/>
        <v>7.172893757115304</v>
      </c>
      <c r="W458" t="s">
        <v>73</v>
      </c>
    </row>
    <row r="459" spans="1:23" x14ac:dyDescent="0.3">
      <c r="A459" t="str">
        <f t="shared" si="42"/>
        <v>CN|NewCapacity|RE1|PWRSOLUGE|2046</v>
      </c>
      <c r="B459" t="str">
        <f t="shared" si="43"/>
        <v>Utility-scale solar PV|2046|Construction&amp;Manufacturing|Direct</v>
      </c>
      <c r="C459" t="str">
        <f t="shared" si="44"/>
        <v>PWRSOLUGE|Utility-scale solar PV</v>
      </c>
      <c r="D459" t="s">
        <v>39</v>
      </c>
      <c r="E459" t="s">
        <v>40</v>
      </c>
      <c r="F459" t="s">
        <v>19</v>
      </c>
      <c r="G459" t="s">
        <v>33</v>
      </c>
      <c r="H459">
        <v>2046</v>
      </c>
      <c r="I459" t="s">
        <v>37</v>
      </c>
      <c r="J459" t="s">
        <v>69</v>
      </c>
      <c r="K459" t="s">
        <v>70</v>
      </c>
      <c r="L459" t="s">
        <v>65</v>
      </c>
      <c r="M459">
        <f>SUMIFS(RawResultsLong!$P:$P,RawResultsLong!$A:$A,A459)</f>
        <v>47.31</v>
      </c>
      <c r="N459">
        <f t="shared" si="45"/>
        <v>1499.1634344817096</v>
      </c>
      <c r="O459" t="s">
        <v>66</v>
      </c>
      <c r="P459">
        <f>SUMIFS(TechnologyMapping!$D:$D,TechnologyMapping!$A:$A,C459)</f>
        <v>1</v>
      </c>
      <c r="Q459">
        <f t="shared" si="46"/>
        <v>1499.1634344817096</v>
      </c>
      <c r="R459">
        <f>SUMIFS(FactorInputs!$I:$I,FactorInputs!$A:$A,B459)</f>
        <v>5.0748323164500002</v>
      </c>
      <c r="S459" t="str">
        <f>_xlfn.XLOOKUP(B459,FactorInputs!$A$2:$A$888,FactorInputs!$F$2:$F$888,"")</f>
        <v>job-yr/MW</v>
      </c>
      <c r="T459" t="str">
        <f>_xlfn.XLOOKUP(B459,FactorInputs!$A$2:$A$888,FactorInputs!$B$2:$B$888,"")</f>
        <v>I-JEDI</v>
      </c>
      <c r="U459" t="str">
        <f>_xlfn.XLOOKUP(B459,FactorInputs!$A$2:$A$888,FactorInputs!$T$2:$T$888,"")</f>
        <v>I-JEDI</v>
      </c>
      <c r="V459">
        <f t="shared" si="47"/>
        <v>7608.0030449479527</v>
      </c>
    </row>
    <row r="460" spans="1:23" x14ac:dyDescent="0.3">
      <c r="A460" t="str">
        <f t="shared" si="42"/>
        <v>CN|NewCapacity|RE1|PWRWNDOFS_FIX|2046</v>
      </c>
      <c r="B460" t="str">
        <f t="shared" si="43"/>
        <v>Offshore wind (fixed)|2046|Construction&amp;Manufacturing|Direct</v>
      </c>
      <c r="C460" t="str">
        <f t="shared" si="44"/>
        <v>PWRWNDOFS_FIX|Offshore wind (fixed)</v>
      </c>
      <c r="D460" t="s">
        <v>39</v>
      </c>
      <c r="E460" t="s">
        <v>40</v>
      </c>
      <c r="F460" t="s">
        <v>19</v>
      </c>
      <c r="G460" t="s">
        <v>42</v>
      </c>
      <c r="H460">
        <v>2046</v>
      </c>
      <c r="I460" t="s">
        <v>37</v>
      </c>
      <c r="J460" t="s">
        <v>69</v>
      </c>
      <c r="K460" t="s">
        <v>70</v>
      </c>
      <c r="L460" t="s">
        <v>65</v>
      </c>
      <c r="M460">
        <f>SUMIFS(RawResultsLong!$P:$P,RawResultsLong!$A:$A,A460)</f>
        <v>47.31</v>
      </c>
      <c r="N460">
        <f t="shared" si="45"/>
        <v>1499.1634344817096</v>
      </c>
      <c r="O460" t="s">
        <v>74</v>
      </c>
      <c r="P460">
        <f>SUMIFS(TechnologyMapping!$D:$D,TechnologyMapping!$A:$A,C460)</f>
        <v>1</v>
      </c>
      <c r="Q460">
        <f t="shared" si="46"/>
        <v>1499.1634344817096</v>
      </c>
      <c r="R460">
        <f>SUMIFS(FactorInputs!$I:$I,FactorInputs!$A:$A,B460)</f>
        <v>3.63372694715</v>
      </c>
      <c r="S460" t="str">
        <f>_xlfn.XLOOKUP(B460,FactorInputs!$A$2:$A$888,FactorInputs!$F$2:$F$888,"")</f>
        <v>job-yr/MW</v>
      </c>
      <c r="T460" t="str">
        <f>_xlfn.XLOOKUP(B460,FactorInputs!$A$2:$A$888,FactorInputs!$B$2:$B$888,"")</f>
        <v>French QBIS 2023</v>
      </c>
      <c r="U460" t="str">
        <f>_xlfn.XLOOKUP(B460,FactorInputs!$A$2:$A$888,FactorInputs!$T$2:$T$888,"")</f>
        <v>French QBIS 2023</v>
      </c>
      <c r="V460">
        <f t="shared" si="47"/>
        <v>5447.5505700581316</v>
      </c>
    </row>
    <row r="461" spans="1:23" x14ac:dyDescent="0.3">
      <c r="A461" t="str">
        <f t="shared" si="42"/>
        <v>CN|NewCapacity|RE1|PWRWNDONS|2046</v>
      </c>
      <c r="B461" t="str">
        <f t="shared" si="43"/>
        <v>Onshore wind|2046|Construction&amp;Manufacturing|Direct</v>
      </c>
      <c r="C461" t="str">
        <f t="shared" si="44"/>
        <v>PWRWNDONS|Onshore wind</v>
      </c>
      <c r="D461" t="s">
        <v>39</v>
      </c>
      <c r="E461" t="s">
        <v>40</v>
      </c>
      <c r="F461" t="s">
        <v>19</v>
      </c>
      <c r="G461" t="s">
        <v>36</v>
      </c>
      <c r="H461">
        <v>2046</v>
      </c>
      <c r="I461" t="s">
        <v>37</v>
      </c>
      <c r="J461" t="s">
        <v>69</v>
      </c>
      <c r="K461" t="s">
        <v>70</v>
      </c>
      <c r="L461" t="s">
        <v>65</v>
      </c>
      <c r="M461">
        <f>SUMIFS(RawResultsLong!$P:$P,RawResultsLong!$A:$A,A461)</f>
        <v>47.31</v>
      </c>
      <c r="N461">
        <f t="shared" si="45"/>
        <v>1499.1634344817096</v>
      </c>
      <c r="O461" t="s">
        <v>68</v>
      </c>
      <c r="P461">
        <f>SUMIFS(TechnologyMapping!$D:$D,TechnologyMapping!$A:$A,C461)</f>
        <v>1</v>
      </c>
      <c r="Q461">
        <f t="shared" si="46"/>
        <v>1499.1634344817096</v>
      </c>
      <c r="R461">
        <f>SUMIFS(FactorInputs!$I:$I,FactorInputs!$A:$A,B461)</f>
        <v>6.5857270093800002</v>
      </c>
      <c r="S461" t="str">
        <f>_xlfn.XLOOKUP(B461,FactorInputs!$A$2:$A$888,FactorInputs!$F$2:$F$888,"")</f>
        <v>job-yr/MW</v>
      </c>
      <c r="T461" t="str">
        <f>_xlfn.XLOOKUP(B461,FactorInputs!$A$2:$A$888,FactorInputs!$B$2:$B$888,"")</f>
        <v>I-JEDI</v>
      </c>
      <c r="U461" t="str">
        <f>_xlfn.XLOOKUP(B461,FactorInputs!$A$2:$A$888,FactorInputs!$T$2:$T$888,"")</f>
        <v>I-JEDI</v>
      </c>
      <c r="V461">
        <f t="shared" si="47"/>
        <v>9873.0811219410789</v>
      </c>
    </row>
    <row r="462" spans="1:23" x14ac:dyDescent="0.3">
      <c r="A462" t="str">
        <f t="shared" si="42"/>
        <v>CN|AccumulatedNewCapacity|RE1|PWRHYDDAM|2047</v>
      </c>
      <c r="B462" t="str">
        <f t="shared" si="43"/>
        <v>Hydro (large)|2047|O&amp;M|Direct</v>
      </c>
      <c r="C462" t="str">
        <f t="shared" si="44"/>
        <v>PWRHYDDAM|Hydro (large)</v>
      </c>
      <c r="D462" t="s">
        <v>39</v>
      </c>
      <c r="E462" t="s">
        <v>40</v>
      </c>
      <c r="F462" t="s">
        <v>19</v>
      </c>
      <c r="G462" t="s">
        <v>24</v>
      </c>
      <c r="H462">
        <v>2047</v>
      </c>
      <c r="I462" t="s">
        <v>18</v>
      </c>
      <c r="J462" t="s">
        <v>63</v>
      </c>
      <c r="K462" t="s">
        <v>64</v>
      </c>
      <c r="L462" t="s">
        <v>65</v>
      </c>
      <c r="M462">
        <f>SUMIFS(RawResultsLong!$P:$P,RawResultsLong!$A:$A,A462)</f>
        <v>37.840000000000003</v>
      </c>
      <c r="N462">
        <f t="shared" si="45"/>
        <v>1199.0772428828554</v>
      </c>
      <c r="O462" t="s">
        <v>72</v>
      </c>
      <c r="P462">
        <f>SUMIFS(TechnologyMapping!$D:$D,TechnologyMapping!$A:$A,C462)</f>
        <v>1</v>
      </c>
      <c r="Q462">
        <f t="shared" si="46"/>
        <v>1199.0772428828554</v>
      </c>
      <c r="R462">
        <f>SUMIFS(FactorInputs!$I:$I,FactorInputs!$A:$A,B462)</f>
        <v>0.63901803278699998</v>
      </c>
      <c r="S462" t="str">
        <f>_xlfn.XLOOKUP(B462,FactorInputs!$A$2:$A$888,FactorInputs!$F$2:$F$888,"")</f>
        <v>job/MW</v>
      </c>
      <c r="T462" t="str">
        <f>_xlfn.XLOOKUP(B462,FactorInputs!$A$2:$A$888,FactorInputs!$B$2:$B$888,"")</f>
        <v>Rutovitz 2015</v>
      </c>
      <c r="U462" t="str">
        <f>_xlfn.XLOOKUP(B462,FactorInputs!$A$2:$A$888,FactorInputs!$T$2:$T$888,"")</f>
        <v>Rutovitz 2015</v>
      </c>
      <c r="V462">
        <f t="shared" si="47"/>
        <v>766.2319809066621</v>
      </c>
    </row>
    <row r="463" spans="1:23" x14ac:dyDescent="0.3">
      <c r="A463" t="str">
        <f t="shared" si="42"/>
        <v>CN|AccumulatedNewCapacity|RE1|PWRHYDROR_NDC|2047</v>
      </c>
      <c r="B463" t="str">
        <f t="shared" si="43"/>
        <v>Hydro (small)|2047|O&amp;M|Direct</v>
      </c>
      <c r="C463" t="str">
        <f t="shared" si="44"/>
        <v>PWRHYDROR_NDC|Hydro (small)</v>
      </c>
      <c r="D463" t="s">
        <v>39</v>
      </c>
      <c r="E463" t="s">
        <v>40</v>
      </c>
      <c r="F463" t="s">
        <v>19</v>
      </c>
      <c r="G463" t="s">
        <v>26</v>
      </c>
      <c r="H463">
        <v>2047</v>
      </c>
      <c r="I463" t="s">
        <v>18</v>
      </c>
      <c r="J463" t="s">
        <v>63</v>
      </c>
      <c r="K463" t="s">
        <v>64</v>
      </c>
      <c r="L463" t="s">
        <v>65</v>
      </c>
      <c r="M463">
        <f>SUMIFS(RawResultsLong!$P:$P,RawResultsLong!$A:$A,A463)</f>
        <v>90.326358233509481</v>
      </c>
      <c r="N463">
        <f t="shared" si="45"/>
        <v>2862.2695716248854</v>
      </c>
      <c r="O463" t="s">
        <v>75</v>
      </c>
      <c r="P463">
        <f>SUMIFS(TechnologyMapping!$D:$D,TechnologyMapping!$A:$A,C463)</f>
        <v>1</v>
      </c>
      <c r="Q463">
        <f t="shared" si="46"/>
        <v>2862.2695716248854</v>
      </c>
      <c r="R463">
        <f>SUMIFS(FactorInputs!$I:$I,FactorInputs!$A:$A,B463)</f>
        <v>5.2161533132500004</v>
      </c>
      <c r="S463" t="str">
        <f>_xlfn.XLOOKUP(B463,FactorInputs!$A$2:$A$888,FactorInputs!$F$2:$F$888,"")</f>
        <v>job/MW</v>
      </c>
      <c r="T463" t="str">
        <f>_xlfn.XLOOKUP(B463,FactorInputs!$A$2:$A$888,FactorInputs!$B$2:$B$888,"")</f>
        <v>Rutovitz 2015</v>
      </c>
      <c r="U463" t="str">
        <f>_xlfn.XLOOKUP(B463,FactorInputs!$A$2:$A$888,FactorInputs!$T$2:$T$888,"")</f>
        <v>Rutovitz 2015</v>
      </c>
      <c r="V463">
        <f t="shared" si="47"/>
        <v>14930.036909445806</v>
      </c>
      <c r="W463" t="s">
        <v>76</v>
      </c>
    </row>
    <row r="464" spans="1:23" x14ac:dyDescent="0.3">
      <c r="A464" t="str">
        <f t="shared" si="42"/>
        <v>CN|AccumulatedNewCapacity|RE1|PWRSOLRTP|2047</v>
      </c>
      <c r="B464" t="str">
        <f t="shared" si="43"/>
        <v>Rooftop solar PV|2047|O&amp;M|Direct</v>
      </c>
      <c r="C464" t="str">
        <f t="shared" si="44"/>
        <v>PWRSOLRTP|Rooftop solar PV</v>
      </c>
      <c r="D464" t="s">
        <v>39</v>
      </c>
      <c r="E464" t="s">
        <v>40</v>
      </c>
      <c r="F464" t="s">
        <v>19</v>
      </c>
      <c r="G464" t="s">
        <v>31</v>
      </c>
      <c r="H464">
        <v>2047</v>
      </c>
      <c r="I464" t="s">
        <v>18</v>
      </c>
      <c r="J464" t="s">
        <v>63</v>
      </c>
      <c r="K464" t="s">
        <v>64</v>
      </c>
      <c r="L464" t="s">
        <v>65</v>
      </c>
      <c r="M464">
        <f>SUMIFS(RawResultsLong!$P:$P,RawResultsLong!$A:$A,A464)</f>
        <v>214.95345518622679</v>
      </c>
      <c r="N464">
        <f t="shared" si="45"/>
        <v>6811.463963870091</v>
      </c>
      <c r="O464" t="s">
        <v>71</v>
      </c>
      <c r="P464">
        <f>SUMIFS(TechnologyMapping!$D:$D,TechnologyMapping!$A:$A,C464)</f>
        <v>1</v>
      </c>
      <c r="Q464">
        <f t="shared" si="46"/>
        <v>6811.463963870091</v>
      </c>
      <c r="R464">
        <f>SUMIFS(FactorInputs!$I:$I,FactorInputs!$A:$A,B464)</f>
        <v>0.22314705882399999</v>
      </c>
      <c r="S464" t="str">
        <f>_xlfn.XLOOKUP(B464,FactorInputs!$A$2:$A$888,FactorInputs!$F$2:$F$888,"")</f>
        <v>job/MW</v>
      </c>
      <c r="T464" t="str">
        <f>_xlfn.XLOOKUP(B464,FactorInputs!$A$2:$A$888,FactorInputs!$B$2:$B$888,"")</f>
        <v>JEDI-US</v>
      </c>
      <c r="U464" t="str">
        <f>_xlfn.XLOOKUP(B464,FactorInputs!$A$2:$A$888,FactorInputs!$T$2:$T$888,"")</f>
        <v>JEDI-US</v>
      </c>
      <c r="V464">
        <f t="shared" si="47"/>
        <v>1519.9581498232753</v>
      </c>
    </row>
    <row r="465" spans="1:23" x14ac:dyDescent="0.3">
      <c r="A465" t="str">
        <f t="shared" si="42"/>
        <v>CN|AccumulatedNewCapacity|RE1|PWRSOLRTP_ZNI|2047</v>
      </c>
      <c r="B465" t="str">
        <f t="shared" si="43"/>
        <v>Rooftop solar PV|2047|O&amp;M|Direct</v>
      </c>
      <c r="C465" t="str">
        <f t="shared" si="44"/>
        <v>PWRSOLRTP_ZNI|Rooftop solar PV</v>
      </c>
      <c r="D465" t="s">
        <v>39</v>
      </c>
      <c r="E465" t="s">
        <v>40</v>
      </c>
      <c r="F465" t="s">
        <v>19</v>
      </c>
      <c r="G465" t="s">
        <v>32</v>
      </c>
      <c r="H465">
        <v>2047</v>
      </c>
      <c r="I465" t="s">
        <v>18</v>
      </c>
      <c r="J465" t="s">
        <v>63</v>
      </c>
      <c r="K465" t="s">
        <v>64</v>
      </c>
      <c r="L465" t="s">
        <v>65</v>
      </c>
      <c r="M465">
        <f>SUMIFS(RawResultsLong!$P:$P,RawResultsLong!$A:$A,A465)</f>
        <v>1.26825165396024</v>
      </c>
      <c r="N465">
        <f t="shared" si="45"/>
        <v>40.188469780979538</v>
      </c>
      <c r="O465" t="s">
        <v>71</v>
      </c>
      <c r="P465">
        <f>SUMIFS(TechnologyMapping!$D:$D,TechnologyMapping!$A:$A,C465)</f>
        <v>1</v>
      </c>
      <c r="Q465">
        <f t="shared" si="46"/>
        <v>40.188469780979538</v>
      </c>
      <c r="R465">
        <f>SUMIFS(FactorInputs!$I:$I,FactorInputs!$A:$A,B465)</f>
        <v>0.22314705882399999</v>
      </c>
      <c r="S465" t="str">
        <f>_xlfn.XLOOKUP(B465,FactorInputs!$A$2:$A$888,FactorInputs!$F$2:$F$888,"")</f>
        <v>job/MW</v>
      </c>
      <c r="T465" t="str">
        <f>_xlfn.XLOOKUP(B465,FactorInputs!$A$2:$A$888,FactorInputs!$B$2:$B$888,"")</f>
        <v>JEDI-US</v>
      </c>
      <c r="U465" t="str">
        <f>_xlfn.XLOOKUP(B465,FactorInputs!$A$2:$A$888,FactorInputs!$T$2:$T$888,"")</f>
        <v>JEDI-US</v>
      </c>
      <c r="V465">
        <f t="shared" si="47"/>
        <v>8.9679388302627867</v>
      </c>
      <c r="W465" t="s">
        <v>73</v>
      </c>
    </row>
    <row r="466" spans="1:23" x14ac:dyDescent="0.3">
      <c r="A466" t="str">
        <f t="shared" si="42"/>
        <v>CN|AccumulatedNewCapacity|RE1|PWRSOLUGE|2047</v>
      </c>
      <c r="B466" t="str">
        <f t="shared" si="43"/>
        <v>Utility-scale solar PV|2047|O&amp;M|Direct</v>
      </c>
      <c r="C466" t="str">
        <f t="shared" si="44"/>
        <v>PWRSOLUGE|Utility-scale solar PV</v>
      </c>
      <c r="D466" t="s">
        <v>39</v>
      </c>
      <c r="E466" t="s">
        <v>40</v>
      </c>
      <c r="F466" t="s">
        <v>19</v>
      </c>
      <c r="G466" t="s">
        <v>33</v>
      </c>
      <c r="H466">
        <v>2047</v>
      </c>
      <c r="I466" t="s">
        <v>18</v>
      </c>
      <c r="J466" t="s">
        <v>63</v>
      </c>
      <c r="K466" t="s">
        <v>64</v>
      </c>
      <c r="L466" t="s">
        <v>65</v>
      </c>
      <c r="M466">
        <f>SUMIFS(RawResultsLong!$P:$P,RawResultsLong!$A:$A,A466)</f>
        <v>475.51204486843852</v>
      </c>
      <c r="N466">
        <f t="shared" si="45"/>
        <v>15068.067434419554</v>
      </c>
      <c r="O466" t="s">
        <v>66</v>
      </c>
      <c r="P466">
        <f>SUMIFS(TechnologyMapping!$D:$D,TechnologyMapping!$A:$A,C466)</f>
        <v>1</v>
      </c>
      <c r="Q466">
        <f t="shared" si="46"/>
        <v>15068.067434419554</v>
      </c>
      <c r="R466">
        <f>SUMIFS(FactorInputs!$I:$I,FactorInputs!$A:$A,B466)</f>
        <v>7.2179391891899994E-2</v>
      </c>
      <c r="S466" t="str">
        <f>_xlfn.XLOOKUP(B466,FactorInputs!$A$2:$A$888,FactorInputs!$F$2:$F$888,"")</f>
        <v>job/MW</v>
      </c>
      <c r="T466" t="str">
        <f>_xlfn.XLOOKUP(B466,FactorInputs!$A$2:$A$888,FactorInputs!$B$2:$B$888,"")</f>
        <v>I-JEDI</v>
      </c>
      <c r="U466" t="str">
        <f>_xlfn.XLOOKUP(B466,FactorInputs!$A$2:$A$888,FactorInputs!$T$2:$T$888,"")</f>
        <v>I-JEDI</v>
      </c>
      <c r="V466">
        <f t="shared" si="47"/>
        <v>1087.603944402545</v>
      </c>
    </row>
    <row r="467" spans="1:23" x14ac:dyDescent="0.3">
      <c r="A467" t="str">
        <f t="shared" si="42"/>
        <v>CN|AccumulatedNewCapacity|RE1|PWRSOLUGE_BAT|2047</v>
      </c>
      <c r="B467" t="str">
        <f t="shared" si="43"/>
        <v>Utility-scale solar PV|2047|O&amp;M|Direct</v>
      </c>
      <c r="C467" t="str">
        <f t="shared" si="44"/>
        <v>PWRSOLUGE_BAT|Utility-scale solar PV</v>
      </c>
      <c r="D467" t="s">
        <v>39</v>
      </c>
      <c r="E467" t="s">
        <v>40</v>
      </c>
      <c r="F467" t="s">
        <v>19</v>
      </c>
      <c r="G467" t="s">
        <v>41</v>
      </c>
      <c r="H467">
        <v>2047</v>
      </c>
      <c r="I467" t="s">
        <v>18</v>
      </c>
      <c r="J467" t="s">
        <v>63</v>
      </c>
      <c r="K467" t="s">
        <v>64</v>
      </c>
      <c r="L467" t="s">
        <v>65</v>
      </c>
      <c r="M467">
        <f>SUMIFS(RawResultsLong!$P:$P,RawResultsLong!$A:$A,A467)</f>
        <v>30.670102189502511</v>
      </c>
      <c r="N467">
        <f t="shared" si="45"/>
        <v>971.87689144619719</v>
      </c>
      <c r="O467" t="s">
        <v>66</v>
      </c>
      <c r="P467">
        <f>SUMIFS(TechnologyMapping!$D:$D,TechnologyMapping!$A:$A,C467)</f>
        <v>1</v>
      </c>
      <c r="Q467">
        <f t="shared" si="46"/>
        <v>971.87689144619719</v>
      </c>
      <c r="R467">
        <f>SUMIFS(FactorInputs!$I:$I,FactorInputs!$A:$A,B467)</f>
        <v>7.2179391891899994E-2</v>
      </c>
      <c r="S467" t="str">
        <f>_xlfn.XLOOKUP(B467,FactorInputs!$A$2:$A$888,FactorInputs!$F$2:$F$888,"")</f>
        <v>job/MW</v>
      </c>
      <c r="T467" t="str">
        <f>_xlfn.XLOOKUP(B467,FactorInputs!$A$2:$A$888,FactorInputs!$B$2:$B$888,"")</f>
        <v>I-JEDI</v>
      </c>
      <c r="U467" t="str">
        <f>_xlfn.XLOOKUP(B467,FactorInputs!$A$2:$A$888,FactorInputs!$T$2:$T$888,"")</f>
        <v>I-JEDI</v>
      </c>
      <c r="V467">
        <f t="shared" si="47"/>
        <v>70.149483018376614</v>
      </c>
      <c r="W467" t="s">
        <v>77</v>
      </c>
    </row>
    <row r="468" spans="1:23" x14ac:dyDescent="0.3">
      <c r="A468" t="str">
        <f t="shared" si="42"/>
        <v>CN|AccumulatedNewCapacity|RE1|PWRSOLUGE_BAT|2047</v>
      </c>
      <c r="B468" t="str">
        <f t="shared" si="43"/>
        <v>Battery storage (grid)|2047|O&amp;M|Direct</v>
      </c>
      <c r="C468" t="str">
        <f t="shared" si="44"/>
        <v>PWRSOLUGE_BAT|Battery storage (grid)</v>
      </c>
      <c r="D468" t="s">
        <v>39</v>
      </c>
      <c r="E468" t="s">
        <v>40</v>
      </c>
      <c r="F468" t="s">
        <v>19</v>
      </c>
      <c r="G468" t="s">
        <v>41</v>
      </c>
      <c r="H468">
        <v>2047</v>
      </c>
      <c r="I468" t="s">
        <v>18</v>
      </c>
      <c r="J468" t="s">
        <v>63</v>
      </c>
      <c r="K468" t="s">
        <v>64</v>
      </c>
      <c r="L468" t="s">
        <v>65</v>
      </c>
      <c r="M468">
        <f>SUMIFS(RawResultsLong!$P:$P,RawResultsLong!$A:$A,A468)</f>
        <v>30.670102189502511</v>
      </c>
      <c r="N468">
        <f t="shared" si="45"/>
        <v>971.87689144619719</v>
      </c>
      <c r="O468" t="s">
        <v>78</v>
      </c>
      <c r="P468">
        <f>SUMIFS(TechnologyMapping!$D:$D,TechnologyMapping!$A:$A,C468)</f>
        <v>0.6</v>
      </c>
      <c r="Q468">
        <f t="shared" si="46"/>
        <v>583.12613486771829</v>
      </c>
      <c r="R468">
        <f>SUMIFS(FactorInputs!$I:$I,FactorInputs!$A:$A,B468)</f>
        <v>1.79946754795E-2</v>
      </c>
      <c r="S468" t="str">
        <f>_xlfn.XLOOKUP(B468,FactorInputs!$A$2:$A$888,FactorInputs!$F$2:$F$888,"")</f>
        <v>job/MW</v>
      </c>
      <c r="T468" t="str">
        <f>_xlfn.XLOOKUP(B468,FactorInputs!$A$2:$A$888,FactorInputs!$B$2:$B$888,"")</f>
        <v>Rutovitz 2025</v>
      </c>
      <c r="U468" t="str">
        <f>_xlfn.XLOOKUP(B468,FactorInputs!$A$2:$A$888,FactorInputs!$T$2:$T$888,"")</f>
        <v>Rutovitz 2025</v>
      </c>
      <c r="V468">
        <f t="shared" si="47"/>
        <v>10.49316556055974</v>
      </c>
      <c r="W468" t="s">
        <v>79</v>
      </c>
    </row>
    <row r="469" spans="1:23" x14ac:dyDescent="0.3">
      <c r="A469" t="str">
        <f t="shared" si="42"/>
        <v>CN|AccumulatedNewCapacity|RE1|PWRSOLUPE|2047</v>
      </c>
      <c r="B469" t="str">
        <f t="shared" si="43"/>
        <v>Utility-scale solar PV|2047|O&amp;M|Direct</v>
      </c>
      <c r="C469" t="str">
        <f t="shared" si="44"/>
        <v>PWRSOLUPE|Utility-scale solar PV</v>
      </c>
      <c r="D469" t="s">
        <v>39</v>
      </c>
      <c r="E469" t="s">
        <v>40</v>
      </c>
      <c r="F469" t="s">
        <v>19</v>
      </c>
      <c r="G469" t="s">
        <v>34</v>
      </c>
      <c r="H469">
        <v>2047</v>
      </c>
      <c r="I469" t="s">
        <v>18</v>
      </c>
      <c r="J469" t="s">
        <v>63</v>
      </c>
      <c r="K469" t="s">
        <v>64</v>
      </c>
      <c r="L469" t="s">
        <v>65</v>
      </c>
      <c r="M469">
        <f>SUMIFS(RawResultsLong!$P:$P,RawResultsLong!$A:$A,A469)</f>
        <v>12.14419823999993</v>
      </c>
      <c r="N469">
        <f t="shared" si="45"/>
        <v>384.82642026009364</v>
      </c>
      <c r="O469" t="s">
        <v>66</v>
      </c>
      <c r="P469">
        <f>SUMIFS(TechnologyMapping!$D:$D,TechnologyMapping!$A:$A,C469)</f>
        <v>1</v>
      </c>
      <c r="Q469">
        <f t="shared" si="46"/>
        <v>384.82642026009364</v>
      </c>
      <c r="R469">
        <f>SUMIFS(FactorInputs!$I:$I,FactorInputs!$A:$A,B469)</f>
        <v>7.2179391891899994E-2</v>
      </c>
      <c r="S469" t="str">
        <f>_xlfn.XLOOKUP(B469,FactorInputs!$A$2:$A$888,FactorInputs!$F$2:$F$888,"")</f>
        <v>job/MW</v>
      </c>
      <c r="T469" t="str">
        <f>_xlfn.XLOOKUP(B469,FactorInputs!$A$2:$A$888,FactorInputs!$B$2:$B$888,"")</f>
        <v>I-JEDI</v>
      </c>
      <c r="U469" t="str">
        <f>_xlfn.XLOOKUP(B469,FactorInputs!$A$2:$A$888,FactorInputs!$T$2:$T$888,"")</f>
        <v>I-JEDI</v>
      </c>
      <c r="V469">
        <f t="shared" si="47"/>
        <v>27.776536998310302</v>
      </c>
      <c r="W469" t="s">
        <v>67</v>
      </c>
    </row>
    <row r="470" spans="1:23" x14ac:dyDescent="0.3">
      <c r="A470" t="str">
        <f t="shared" si="42"/>
        <v>CN|AccumulatedNewCapacity|RE1|PWRWNDOFS_FIX|2047</v>
      </c>
      <c r="B470" t="str">
        <f t="shared" si="43"/>
        <v>Offshore wind (fixed)|2047|O&amp;M|Direct</v>
      </c>
      <c r="C470" t="str">
        <f t="shared" si="44"/>
        <v>PWRWNDOFS_FIX|Offshore wind (fixed)</v>
      </c>
      <c r="D470" t="s">
        <v>39</v>
      </c>
      <c r="E470" t="s">
        <v>40</v>
      </c>
      <c r="F470" t="s">
        <v>19</v>
      </c>
      <c r="G470" t="s">
        <v>42</v>
      </c>
      <c r="H470">
        <v>2047</v>
      </c>
      <c r="I470" t="s">
        <v>18</v>
      </c>
      <c r="J470" t="s">
        <v>63</v>
      </c>
      <c r="K470" t="s">
        <v>64</v>
      </c>
      <c r="L470" t="s">
        <v>65</v>
      </c>
      <c r="M470">
        <f>SUMIFS(RawResultsLong!$P:$P,RawResultsLong!$A:$A,A470)</f>
        <v>470.89702457715822</v>
      </c>
      <c r="N470">
        <f t="shared" si="45"/>
        <v>14921.826266165937</v>
      </c>
      <c r="O470" t="s">
        <v>74</v>
      </c>
      <c r="P470">
        <f>SUMIFS(TechnologyMapping!$D:$D,TechnologyMapping!$A:$A,C470)</f>
        <v>1</v>
      </c>
      <c r="Q470">
        <f t="shared" si="46"/>
        <v>14921.826266165937</v>
      </c>
      <c r="R470">
        <f>SUMIFS(FactorInputs!$I:$I,FactorInputs!$A:$A,B470)</f>
        <v>5.8566635944699998E-2</v>
      </c>
      <c r="S470" t="str">
        <f>_xlfn.XLOOKUP(B470,FactorInputs!$A$2:$A$888,FactorInputs!$F$2:$F$888,"")</f>
        <v>job/MW</v>
      </c>
      <c r="T470" t="str">
        <f>_xlfn.XLOOKUP(B470,FactorInputs!$A$2:$A$888,FactorInputs!$B$2:$B$888,"")</f>
        <v>French QBIS 2023</v>
      </c>
      <c r="U470" t="str">
        <f>_xlfn.XLOOKUP(B470,FactorInputs!$A$2:$A$888,FactorInputs!$T$2:$T$888,"")</f>
        <v>French QBIS 2023</v>
      </c>
      <c r="V470">
        <f t="shared" si="47"/>
        <v>873.9211665606025</v>
      </c>
    </row>
    <row r="471" spans="1:23" x14ac:dyDescent="0.3">
      <c r="A471" t="str">
        <f t="shared" si="42"/>
        <v>CN|AccumulatedNewCapacity|RE1|PWRWNDOFS_FLO|2047</v>
      </c>
      <c r="B471" t="str">
        <f t="shared" si="43"/>
        <v>Offshore wind (floating)|2047|O&amp;M|Direct</v>
      </c>
      <c r="C471" t="str">
        <f t="shared" si="44"/>
        <v>PWRWNDOFS_FLO|Offshore wind (floating)</v>
      </c>
      <c r="D471" t="s">
        <v>39</v>
      </c>
      <c r="E471" t="s">
        <v>40</v>
      </c>
      <c r="F471" t="s">
        <v>19</v>
      </c>
      <c r="G471" t="s">
        <v>43</v>
      </c>
      <c r="H471">
        <v>2047</v>
      </c>
      <c r="I471" t="s">
        <v>18</v>
      </c>
      <c r="J471" t="s">
        <v>63</v>
      </c>
      <c r="K471" t="s">
        <v>64</v>
      </c>
      <c r="L471" t="s">
        <v>65</v>
      </c>
      <c r="M471">
        <f>SUMIFS(RawResultsLong!$P:$P,RawResultsLong!$A:$A,A471)</f>
        <v>2.3209769134012128</v>
      </c>
      <c r="N471">
        <f t="shared" si="45"/>
        <v>73.547320246191489</v>
      </c>
      <c r="O471" t="s">
        <v>80</v>
      </c>
      <c r="P471">
        <f>SUMIFS(TechnologyMapping!$D:$D,TechnologyMapping!$A:$A,C471)</f>
        <v>1</v>
      </c>
      <c r="Q471">
        <f t="shared" si="46"/>
        <v>73.547320246191489</v>
      </c>
      <c r="R471">
        <f>SUMIFS(FactorInputs!$I:$I,FactorInputs!$A:$A,B471)</f>
        <v>0.14317861751200001</v>
      </c>
      <c r="S471" t="str">
        <f>_xlfn.XLOOKUP(B471,FactorInputs!$A$2:$A$888,FactorInputs!$F$2:$F$888,"")</f>
        <v>job/MW</v>
      </c>
      <c r="T471" t="str">
        <f>_xlfn.XLOOKUP(B471,FactorInputs!$A$2:$A$888,FactorInputs!$B$2:$B$888,"")</f>
        <v>French QBIS 2023</v>
      </c>
      <c r="U471" t="str">
        <f>_xlfn.XLOOKUP(B471,FactorInputs!$A$2:$A$888,FactorInputs!$T$2:$T$888,"")</f>
        <v>French QBIS 2023</v>
      </c>
      <c r="V471">
        <f t="shared" si="47"/>
        <v>10.530403634562026</v>
      </c>
    </row>
    <row r="472" spans="1:23" x14ac:dyDescent="0.3">
      <c r="A472" t="str">
        <f t="shared" si="42"/>
        <v>CN|AccumulatedNewCapacity|RE1|PWRWNDONS|2047</v>
      </c>
      <c r="B472" t="str">
        <f t="shared" si="43"/>
        <v>Onshore wind|2047|O&amp;M|Direct</v>
      </c>
      <c r="C472" t="str">
        <f t="shared" si="44"/>
        <v>PWRWNDONS|Onshore wind</v>
      </c>
      <c r="D472" t="s">
        <v>39</v>
      </c>
      <c r="E472" t="s">
        <v>40</v>
      </c>
      <c r="F472" t="s">
        <v>19</v>
      </c>
      <c r="G472" t="s">
        <v>36</v>
      </c>
      <c r="H472">
        <v>2047</v>
      </c>
      <c r="I472" t="s">
        <v>18</v>
      </c>
      <c r="J472" t="s">
        <v>63</v>
      </c>
      <c r="K472" t="s">
        <v>64</v>
      </c>
      <c r="L472" t="s">
        <v>65</v>
      </c>
      <c r="M472">
        <f>SUMIFS(RawResultsLong!$P:$P,RawResultsLong!$A:$A,A472)</f>
        <v>709.61944648443546</v>
      </c>
      <c r="N472">
        <f t="shared" si="45"/>
        <v>22486.483334741406</v>
      </c>
      <c r="O472" t="s">
        <v>68</v>
      </c>
      <c r="P472">
        <f>SUMIFS(TechnologyMapping!$D:$D,TechnologyMapping!$A:$A,C472)</f>
        <v>1</v>
      </c>
      <c r="Q472">
        <f t="shared" si="46"/>
        <v>22486.483334741406</v>
      </c>
      <c r="R472">
        <f>SUMIFS(FactorInputs!$I:$I,FactorInputs!$A:$A,B472)</f>
        <v>2.71642335766E-2</v>
      </c>
      <c r="S472" t="str">
        <f>_xlfn.XLOOKUP(B472,FactorInputs!$A$2:$A$888,FactorInputs!$F$2:$F$888,"")</f>
        <v>job/MW</v>
      </c>
      <c r="T472" t="str">
        <f>_xlfn.XLOOKUP(B472,FactorInputs!$A$2:$A$888,FactorInputs!$B$2:$B$888,"")</f>
        <v>I-JEDI</v>
      </c>
      <c r="U472" t="str">
        <f>_xlfn.XLOOKUP(B472,FactorInputs!$A$2:$A$888,FactorInputs!$T$2:$T$888,"")</f>
        <v>I-JEDI</v>
      </c>
      <c r="V472">
        <f t="shared" si="47"/>
        <v>610.82808562123887</v>
      </c>
    </row>
    <row r="473" spans="1:23" x14ac:dyDescent="0.3">
      <c r="A473" t="str">
        <f t="shared" si="42"/>
        <v>CN|NewCapacity|RE1|PWRHYDROR_NDC|2047</v>
      </c>
      <c r="B473" t="str">
        <f t="shared" si="43"/>
        <v>Hydro (small)|2047|Construction&amp;Manufacturing|Direct</v>
      </c>
      <c r="C473" t="str">
        <f t="shared" si="44"/>
        <v>PWRHYDROR_NDC|Hydro (small)</v>
      </c>
      <c r="D473" t="s">
        <v>39</v>
      </c>
      <c r="E473" t="s">
        <v>40</v>
      </c>
      <c r="F473" t="s">
        <v>19</v>
      </c>
      <c r="G473" t="s">
        <v>26</v>
      </c>
      <c r="H473">
        <v>2047</v>
      </c>
      <c r="I473" t="s">
        <v>37</v>
      </c>
      <c r="J473" t="s">
        <v>69</v>
      </c>
      <c r="K473" t="s">
        <v>70</v>
      </c>
      <c r="L473" t="s">
        <v>65</v>
      </c>
      <c r="M473">
        <f>SUMIFS(RawResultsLong!$P:$P,RawResultsLong!$A:$A,A473)</f>
        <v>31.34</v>
      </c>
      <c r="N473">
        <f t="shared" si="45"/>
        <v>993.10467209166723</v>
      </c>
      <c r="O473" t="s">
        <v>75</v>
      </c>
      <c r="P473">
        <f>SUMIFS(TechnologyMapping!$D:$D,TechnologyMapping!$A:$A,C473)</f>
        <v>1</v>
      </c>
      <c r="Q473">
        <f t="shared" si="46"/>
        <v>993.10467209166723</v>
      </c>
      <c r="R473">
        <f>SUMIFS(FactorInputs!$I:$I,FactorInputs!$A:$A,B473)</f>
        <v>28.445412896699999</v>
      </c>
      <c r="S473" t="str">
        <f>_xlfn.XLOOKUP(B473,FactorInputs!$A$2:$A$888,FactorInputs!$F$2:$F$888,"")</f>
        <v>job-yr/MW</v>
      </c>
      <c r="T473" t="str">
        <f>_xlfn.XLOOKUP(B473,FactorInputs!$A$2:$A$888,FactorInputs!$B$2:$B$888,"")</f>
        <v>Rutovitz 2015</v>
      </c>
      <c r="U473" t="str">
        <f>_xlfn.XLOOKUP(B473,FactorInputs!$A$2:$A$888,FactorInputs!$T$2:$T$888,"")</f>
        <v>Rutovitz 2015</v>
      </c>
      <c r="V473">
        <f t="shared" si="47"/>
        <v>28249.272447289335</v>
      </c>
      <c r="W473" t="s">
        <v>76</v>
      </c>
    </row>
    <row r="474" spans="1:23" x14ac:dyDescent="0.3">
      <c r="A474" t="str">
        <f t="shared" si="42"/>
        <v>CN|NewCapacity|RE1|PWRSOLRTP|2047</v>
      </c>
      <c r="B474" t="str">
        <f t="shared" si="43"/>
        <v>Rooftop solar PV|2047|Construction&amp;Manufacturing|Direct</v>
      </c>
      <c r="C474" t="str">
        <f t="shared" si="44"/>
        <v>PWRSOLRTP|Rooftop solar PV</v>
      </c>
      <c r="D474" t="s">
        <v>39</v>
      </c>
      <c r="E474" t="s">
        <v>40</v>
      </c>
      <c r="F474" t="s">
        <v>19</v>
      </c>
      <c r="G474" t="s">
        <v>31</v>
      </c>
      <c r="H474">
        <v>2047</v>
      </c>
      <c r="I474" t="s">
        <v>37</v>
      </c>
      <c r="J474" t="s">
        <v>69</v>
      </c>
      <c r="K474" t="s">
        <v>70</v>
      </c>
      <c r="L474" t="s">
        <v>65</v>
      </c>
      <c r="M474">
        <f>SUMIFS(RawResultsLong!$P:$P,RawResultsLong!$A:$A,A474)</f>
        <v>2.54</v>
      </c>
      <c r="N474">
        <f t="shared" si="45"/>
        <v>80.487743047633529</v>
      </c>
      <c r="O474" t="s">
        <v>71</v>
      </c>
      <c r="P474">
        <f>SUMIFS(TechnologyMapping!$D:$D,TechnologyMapping!$A:$A,C474)</f>
        <v>1</v>
      </c>
      <c r="Q474">
        <f t="shared" si="46"/>
        <v>80.487743047633529</v>
      </c>
      <c r="R474">
        <f>SUMIFS(FactorInputs!$I:$I,FactorInputs!$A:$A,B474)</f>
        <v>4.6376099129100004</v>
      </c>
      <c r="S474" t="str">
        <f>_xlfn.XLOOKUP(B474,FactorInputs!$A$2:$A$888,FactorInputs!$F$2:$F$888,"")</f>
        <v>job-yr/MW</v>
      </c>
      <c r="T474" t="str">
        <f>_xlfn.XLOOKUP(B474,FactorInputs!$A$2:$A$888,FactorInputs!$B$2:$B$888,"")</f>
        <v>JEDI-US</v>
      </c>
      <c r="U474" t="str">
        <f>_xlfn.XLOOKUP(B474,FactorInputs!$A$2:$A$888,FactorInputs!$T$2:$T$888,"")</f>
        <v>JEDI-US</v>
      </c>
      <c r="V474">
        <f t="shared" si="47"/>
        <v>373.27075502545824</v>
      </c>
    </row>
    <row r="475" spans="1:23" x14ac:dyDescent="0.3">
      <c r="A475" t="str">
        <f t="shared" si="42"/>
        <v>CN|NewCapacity|RE1|PWRSOLRTP_ZNI|2047</v>
      </c>
      <c r="B475" t="str">
        <f t="shared" si="43"/>
        <v>Rooftop solar PV|2047|Construction&amp;Manufacturing|Direct</v>
      </c>
      <c r="C475" t="str">
        <f t="shared" si="44"/>
        <v>PWRSOLRTP_ZNI|Rooftop solar PV</v>
      </c>
      <c r="D475" t="s">
        <v>39</v>
      </c>
      <c r="E475" t="s">
        <v>40</v>
      </c>
      <c r="F475" t="s">
        <v>19</v>
      </c>
      <c r="G475" t="s">
        <v>32</v>
      </c>
      <c r="H475">
        <v>2047</v>
      </c>
      <c r="I475" t="s">
        <v>37</v>
      </c>
      <c r="J475" t="s">
        <v>69</v>
      </c>
      <c r="K475" t="s">
        <v>70</v>
      </c>
      <c r="L475" t="s">
        <v>65</v>
      </c>
      <c r="M475">
        <f>SUMIFS(RawResultsLong!$P:$P,RawResultsLong!$A:$A,A475)</f>
        <v>4.1832148787544647E-2</v>
      </c>
      <c r="N475">
        <f t="shared" si="45"/>
        <v>1.3255808042292394</v>
      </c>
      <c r="O475" t="s">
        <v>71</v>
      </c>
      <c r="P475">
        <f>SUMIFS(TechnologyMapping!$D:$D,TechnologyMapping!$A:$A,C475)</f>
        <v>1</v>
      </c>
      <c r="Q475">
        <f t="shared" si="46"/>
        <v>1.3255808042292394</v>
      </c>
      <c r="R475">
        <f>SUMIFS(FactorInputs!$I:$I,FactorInputs!$A:$A,B475)</f>
        <v>4.6376099129100004</v>
      </c>
      <c r="S475" t="str">
        <f>_xlfn.XLOOKUP(B475,FactorInputs!$A$2:$A$888,FactorInputs!$F$2:$F$888,"")</f>
        <v>job-yr/MW</v>
      </c>
      <c r="T475" t="str">
        <f>_xlfn.XLOOKUP(B475,FactorInputs!$A$2:$A$888,FactorInputs!$B$2:$B$888,"")</f>
        <v>JEDI-US</v>
      </c>
      <c r="U475" t="str">
        <f>_xlfn.XLOOKUP(B475,FactorInputs!$A$2:$A$888,FactorInputs!$T$2:$T$888,"")</f>
        <v>JEDI-US</v>
      </c>
      <c r="V475">
        <f t="shared" si="47"/>
        <v>6.1475266780567308</v>
      </c>
      <c r="W475" t="s">
        <v>73</v>
      </c>
    </row>
    <row r="476" spans="1:23" x14ac:dyDescent="0.3">
      <c r="A476" t="str">
        <f t="shared" si="42"/>
        <v>CN|NewCapacity|RE1|PWRSOLUGE|2047</v>
      </c>
      <c r="B476" t="str">
        <f t="shared" si="43"/>
        <v>Utility-scale solar PV|2047|Construction&amp;Manufacturing|Direct</v>
      </c>
      <c r="C476" t="str">
        <f t="shared" si="44"/>
        <v>PWRSOLUGE|Utility-scale solar PV</v>
      </c>
      <c r="D476" t="s">
        <v>39</v>
      </c>
      <c r="E476" t="s">
        <v>40</v>
      </c>
      <c r="F476" t="s">
        <v>19</v>
      </c>
      <c r="G476" t="s">
        <v>33</v>
      </c>
      <c r="H476">
        <v>2047</v>
      </c>
      <c r="I476" t="s">
        <v>37</v>
      </c>
      <c r="J476" t="s">
        <v>69</v>
      </c>
      <c r="K476" t="s">
        <v>70</v>
      </c>
      <c r="L476" t="s">
        <v>65</v>
      </c>
      <c r="M476">
        <f>SUMIFS(RawResultsLong!$P:$P,RawResultsLong!$A:$A,A476)</f>
        <v>47.31</v>
      </c>
      <c r="N476">
        <f t="shared" si="45"/>
        <v>1499.1634344817096</v>
      </c>
      <c r="O476" t="s">
        <v>66</v>
      </c>
      <c r="P476">
        <f>SUMIFS(TechnologyMapping!$D:$D,TechnologyMapping!$A:$A,C476)</f>
        <v>1</v>
      </c>
      <c r="Q476">
        <f t="shared" si="46"/>
        <v>1499.1634344817096</v>
      </c>
      <c r="R476">
        <f>SUMIFS(FactorInputs!$I:$I,FactorInputs!$A:$A,B476)</f>
        <v>4.9619525516199996</v>
      </c>
      <c r="S476" t="str">
        <f>_xlfn.XLOOKUP(B476,FactorInputs!$A$2:$A$888,FactorInputs!$F$2:$F$888,"")</f>
        <v>job-yr/MW</v>
      </c>
      <c r="T476" t="str">
        <f>_xlfn.XLOOKUP(B476,FactorInputs!$A$2:$A$888,FactorInputs!$B$2:$B$888,"")</f>
        <v>I-JEDI</v>
      </c>
      <c r="U476" t="str">
        <f>_xlfn.XLOOKUP(B476,FactorInputs!$A$2:$A$888,FactorInputs!$T$2:$T$888,"")</f>
        <v>I-JEDI</v>
      </c>
      <c r="V476">
        <f t="shared" si="47"/>
        <v>7438.7778290219212</v>
      </c>
    </row>
    <row r="477" spans="1:23" x14ac:dyDescent="0.3">
      <c r="A477" t="str">
        <f t="shared" si="42"/>
        <v>CN|NewCapacity|RE1|PWRSOLUGE_BAT|2047</v>
      </c>
      <c r="B477" t="str">
        <f t="shared" si="43"/>
        <v>Utility-scale solar PV|2047|Construction&amp;Manufacturing|Direct</v>
      </c>
      <c r="C477" t="str">
        <f t="shared" si="44"/>
        <v>PWRSOLUGE_BAT|Utility-scale solar PV</v>
      </c>
      <c r="D477" t="s">
        <v>39</v>
      </c>
      <c r="E477" t="s">
        <v>40</v>
      </c>
      <c r="F477" t="s">
        <v>19</v>
      </c>
      <c r="G477" t="s">
        <v>41</v>
      </c>
      <c r="H477">
        <v>2047</v>
      </c>
      <c r="I477" t="s">
        <v>37</v>
      </c>
      <c r="J477" t="s">
        <v>69</v>
      </c>
      <c r="K477" t="s">
        <v>70</v>
      </c>
      <c r="L477" t="s">
        <v>65</v>
      </c>
      <c r="M477">
        <f>SUMIFS(RawResultsLong!$P:$P,RawResultsLong!$A:$A,A477)</f>
        <v>30.670102189502511</v>
      </c>
      <c r="N477">
        <f t="shared" si="45"/>
        <v>971.87689144619719</v>
      </c>
      <c r="O477" t="s">
        <v>66</v>
      </c>
      <c r="P477">
        <f>SUMIFS(TechnologyMapping!$D:$D,TechnologyMapping!$A:$A,C477)</f>
        <v>1</v>
      </c>
      <c r="Q477">
        <f t="shared" si="46"/>
        <v>971.87689144619719</v>
      </c>
      <c r="R477">
        <f>SUMIFS(FactorInputs!$I:$I,FactorInputs!$A:$A,B477)</f>
        <v>4.9619525516199996</v>
      </c>
      <c r="S477" t="str">
        <f>_xlfn.XLOOKUP(B477,FactorInputs!$A$2:$A$888,FactorInputs!$F$2:$F$888,"")</f>
        <v>job-yr/MW</v>
      </c>
      <c r="T477" t="str">
        <f>_xlfn.XLOOKUP(B477,FactorInputs!$A$2:$A$888,FactorInputs!$B$2:$B$888,"")</f>
        <v>I-JEDI</v>
      </c>
      <c r="U477" t="str">
        <f>_xlfn.XLOOKUP(B477,FactorInputs!$A$2:$A$888,FactorInputs!$T$2:$T$888,"")</f>
        <v>I-JEDI</v>
      </c>
      <c r="V477">
        <f t="shared" si="47"/>
        <v>4822.4070213719715</v>
      </c>
      <c r="W477" t="s">
        <v>77</v>
      </c>
    </row>
    <row r="478" spans="1:23" x14ac:dyDescent="0.3">
      <c r="A478" t="str">
        <f t="shared" si="42"/>
        <v>CN|NewCapacity|RE1|PWRSOLUGE_BAT|2047</v>
      </c>
      <c r="B478" t="str">
        <f t="shared" si="43"/>
        <v>Battery storage (grid)|2047|Construction&amp;Manufacturing|Direct</v>
      </c>
      <c r="C478" t="str">
        <f t="shared" si="44"/>
        <v>PWRSOLUGE_BAT|Battery storage (grid)</v>
      </c>
      <c r="D478" t="s">
        <v>39</v>
      </c>
      <c r="E478" t="s">
        <v>40</v>
      </c>
      <c r="F478" t="s">
        <v>19</v>
      </c>
      <c r="G478" t="s">
        <v>41</v>
      </c>
      <c r="H478">
        <v>2047</v>
      </c>
      <c r="I478" t="s">
        <v>37</v>
      </c>
      <c r="J478" t="s">
        <v>69</v>
      </c>
      <c r="K478" t="s">
        <v>70</v>
      </c>
      <c r="L478" t="s">
        <v>65</v>
      </c>
      <c r="M478">
        <f>SUMIFS(RawResultsLong!$P:$P,RawResultsLong!$A:$A,A478)</f>
        <v>30.670102189502511</v>
      </c>
      <c r="N478">
        <f t="shared" si="45"/>
        <v>971.87689144619719</v>
      </c>
      <c r="O478" t="s">
        <v>78</v>
      </c>
      <c r="P478">
        <f>SUMIFS(TechnologyMapping!$D:$D,TechnologyMapping!$A:$A,C478)</f>
        <v>0.6</v>
      </c>
      <c r="Q478">
        <f t="shared" si="46"/>
        <v>583.12613486771829</v>
      </c>
      <c r="R478">
        <f>SUMIFS(FactorInputs!$I:$I,FactorInputs!$A:$A,B478)</f>
        <v>0.384571185363</v>
      </c>
      <c r="S478" t="str">
        <f>_xlfn.XLOOKUP(B478,FactorInputs!$A$2:$A$888,FactorInputs!$F$2:$F$888,"")</f>
        <v>job-yr/MW</v>
      </c>
      <c r="T478" t="str">
        <f>_xlfn.XLOOKUP(B478,FactorInputs!$A$2:$A$888,FactorInputs!$B$2:$B$888,"")</f>
        <v>Rutovitz 2025</v>
      </c>
      <c r="U478" t="str">
        <f>_xlfn.XLOOKUP(B478,FactorInputs!$A$2:$A$888,FactorInputs!$T$2:$T$888,"")</f>
        <v>Rutovitz 2025</v>
      </c>
      <c r="V478">
        <f t="shared" si="47"/>
        <v>224.25350890222302</v>
      </c>
      <c r="W478" t="s">
        <v>79</v>
      </c>
    </row>
    <row r="479" spans="1:23" x14ac:dyDescent="0.3">
      <c r="A479" t="str">
        <f t="shared" si="42"/>
        <v>CN|NewCapacity|RE1|PWRWNDOFS_FIX|2047</v>
      </c>
      <c r="B479" t="str">
        <f t="shared" si="43"/>
        <v>Offshore wind (fixed)|2047|Construction&amp;Manufacturing|Direct</v>
      </c>
      <c r="C479" t="str">
        <f t="shared" si="44"/>
        <v>PWRWNDOFS_FIX|Offshore wind (fixed)</v>
      </c>
      <c r="D479" t="s">
        <v>39</v>
      </c>
      <c r="E479" t="s">
        <v>40</v>
      </c>
      <c r="F479" t="s">
        <v>19</v>
      </c>
      <c r="G479" t="s">
        <v>42</v>
      </c>
      <c r="H479">
        <v>2047</v>
      </c>
      <c r="I479" t="s">
        <v>37</v>
      </c>
      <c r="J479" t="s">
        <v>69</v>
      </c>
      <c r="K479" t="s">
        <v>70</v>
      </c>
      <c r="L479" t="s">
        <v>65</v>
      </c>
      <c r="M479">
        <f>SUMIFS(RawResultsLong!$P:$P,RawResultsLong!$A:$A,A479)</f>
        <v>47.31</v>
      </c>
      <c r="N479">
        <f t="shared" si="45"/>
        <v>1499.1634344817096</v>
      </c>
      <c r="O479" t="s">
        <v>74</v>
      </c>
      <c r="P479">
        <f>SUMIFS(TechnologyMapping!$D:$D,TechnologyMapping!$A:$A,C479)</f>
        <v>1</v>
      </c>
      <c r="Q479">
        <f t="shared" si="46"/>
        <v>1499.1634344817096</v>
      </c>
      <c r="R479">
        <f>SUMIFS(FactorInputs!$I:$I,FactorInputs!$A:$A,B479)</f>
        <v>3.5621799856599998</v>
      </c>
      <c r="S479" t="str">
        <f>_xlfn.XLOOKUP(B479,FactorInputs!$A$2:$A$888,FactorInputs!$F$2:$F$888,"")</f>
        <v>job-yr/MW</v>
      </c>
      <c r="T479" t="str">
        <f>_xlfn.XLOOKUP(B479,FactorInputs!$A$2:$A$888,FactorInputs!$B$2:$B$888,"")</f>
        <v>French QBIS 2023</v>
      </c>
      <c r="U479" t="str">
        <f>_xlfn.XLOOKUP(B479,FactorInputs!$A$2:$A$888,FactorInputs!$T$2:$T$888,"")</f>
        <v>French QBIS 2023</v>
      </c>
      <c r="V479">
        <f t="shared" si="47"/>
        <v>5340.2899815440524</v>
      </c>
    </row>
    <row r="480" spans="1:23" x14ac:dyDescent="0.3">
      <c r="A480" t="str">
        <f t="shared" si="42"/>
        <v>CN|NewCapacity|RE1|PWRWNDOFS_FLO|2047</v>
      </c>
      <c r="B480" t="str">
        <f t="shared" si="43"/>
        <v>Offshore wind (floating)|2047|Construction&amp;Manufacturing|Direct</v>
      </c>
      <c r="C480" t="str">
        <f t="shared" si="44"/>
        <v>PWRWNDOFS_FLO|Offshore wind (floating)</v>
      </c>
      <c r="D480" t="s">
        <v>39</v>
      </c>
      <c r="E480" t="s">
        <v>40</v>
      </c>
      <c r="F480" t="s">
        <v>19</v>
      </c>
      <c r="G480" t="s">
        <v>43</v>
      </c>
      <c r="H480">
        <v>2047</v>
      </c>
      <c r="I480" t="s">
        <v>37</v>
      </c>
      <c r="J480" t="s">
        <v>69</v>
      </c>
      <c r="K480" t="s">
        <v>70</v>
      </c>
      <c r="L480" t="s">
        <v>65</v>
      </c>
      <c r="M480">
        <f>SUMIFS(RawResultsLong!$P:$P,RawResultsLong!$A:$A,A480)</f>
        <v>2.3209769134012128</v>
      </c>
      <c r="N480">
        <f t="shared" si="45"/>
        <v>73.547320246191489</v>
      </c>
      <c r="O480" t="s">
        <v>80</v>
      </c>
      <c r="P480">
        <f>SUMIFS(TechnologyMapping!$D:$D,TechnologyMapping!$A:$A,C480)</f>
        <v>1</v>
      </c>
      <c r="Q480">
        <f t="shared" si="46"/>
        <v>73.547320246191489</v>
      </c>
      <c r="R480">
        <f>SUMIFS(FactorInputs!$I:$I,FactorInputs!$A:$A,B480)</f>
        <v>8.6015960878800009</v>
      </c>
      <c r="S480" t="str">
        <f>_xlfn.XLOOKUP(B480,FactorInputs!$A$2:$A$888,FactorInputs!$F$2:$F$888,"")</f>
        <v>job-yr/MW</v>
      </c>
      <c r="T480" t="str">
        <f>_xlfn.XLOOKUP(B480,FactorInputs!$A$2:$A$888,FactorInputs!$B$2:$B$888,"")</f>
        <v>French QBIS 2023</v>
      </c>
      <c r="U480" t="str">
        <f>_xlfn.XLOOKUP(B480,FactorInputs!$A$2:$A$888,FactorInputs!$T$2:$T$888,"")</f>
        <v>French QBIS 2023</v>
      </c>
      <c r="V480">
        <f t="shared" si="47"/>
        <v>632.62434210369827</v>
      </c>
    </row>
    <row r="481" spans="1:23" x14ac:dyDescent="0.3">
      <c r="A481" t="str">
        <f t="shared" si="42"/>
        <v>CN|NewCapacity|RE1|PWRWNDONS|2047</v>
      </c>
      <c r="B481" t="str">
        <f t="shared" si="43"/>
        <v>Onshore wind|2047|Construction&amp;Manufacturing|Direct</v>
      </c>
      <c r="C481" t="str">
        <f t="shared" si="44"/>
        <v>PWRWNDONS|Onshore wind</v>
      </c>
      <c r="D481" t="s">
        <v>39</v>
      </c>
      <c r="E481" t="s">
        <v>40</v>
      </c>
      <c r="F481" t="s">
        <v>19</v>
      </c>
      <c r="G481" t="s">
        <v>36</v>
      </c>
      <c r="H481">
        <v>2047</v>
      </c>
      <c r="I481" t="s">
        <v>37</v>
      </c>
      <c r="J481" t="s">
        <v>69</v>
      </c>
      <c r="K481" t="s">
        <v>70</v>
      </c>
      <c r="L481" t="s">
        <v>65</v>
      </c>
      <c r="M481">
        <f>SUMIFS(RawResultsLong!$P:$P,RawResultsLong!$A:$A,A481)</f>
        <v>47.31</v>
      </c>
      <c r="N481">
        <f t="shared" si="45"/>
        <v>1499.1634344817096</v>
      </c>
      <c r="O481" t="s">
        <v>68</v>
      </c>
      <c r="P481">
        <f>SUMIFS(TechnologyMapping!$D:$D,TechnologyMapping!$A:$A,C481)</f>
        <v>1</v>
      </c>
      <c r="Q481">
        <f t="shared" si="46"/>
        <v>1499.1634344817096</v>
      </c>
      <c r="R481">
        <f>SUMIFS(FactorInputs!$I:$I,FactorInputs!$A:$A,B481)</f>
        <v>6.5674852611799999</v>
      </c>
      <c r="S481" t="str">
        <f>_xlfn.XLOOKUP(B481,FactorInputs!$A$2:$A$888,FactorInputs!$F$2:$F$888,"")</f>
        <v>job-yr/MW</v>
      </c>
      <c r="T481" t="str">
        <f>_xlfn.XLOOKUP(B481,FactorInputs!$A$2:$A$888,FactorInputs!$B$2:$B$888,"")</f>
        <v>I-JEDI</v>
      </c>
      <c r="U481" t="str">
        <f>_xlfn.XLOOKUP(B481,FactorInputs!$A$2:$A$888,FactorInputs!$T$2:$T$888,"")</f>
        <v>I-JEDI</v>
      </c>
      <c r="V481">
        <f t="shared" si="47"/>
        <v>9845.7337600586161</v>
      </c>
    </row>
    <row r="482" spans="1:23" x14ac:dyDescent="0.3">
      <c r="A482" t="str">
        <f t="shared" si="42"/>
        <v>CN|AccumulatedNewCapacity|RE1|PWRHYDDAM|2048</v>
      </c>
      <c r="B482" t="str">
        <f t="shared" si="43"/>
        <v>Hydro (large)|2048|O&amp;M|Direct</v>
      </c>
      <c r="C482" t="str">
        <f t="shared" si="44"/>
        <v>PWRHYDDAM|Hydro (large)</v>
      </c>
      <c r="D482" t="s">
        <v>39</v>
      </c>
      <c r="E482" t="s">
        <v>40</v>
      </c>
      <c r="F482" t="s">
        <v>19</v>
      </c>
      <c r="G482" t="s">
        <v>24</v>
      </c>
      <c r="H482">
        <v>2048</v>
      </c>
      <c r="I482" t="s">
        <v>18</v>
      </c>
      <c r="J482" t="s">
        <v>63</v>
      </c>
      <c r="K482" t="s">
        <v>64</v>
      </c>
      <c r="L482" t="s">
        <v>65</v>
      </c>
      <c r="M482">
        <f>SUMIFS(RawResultsLong!$P:$P,RawResultsLong!$A:$A,A482)</f>
        <v>37.840000000000003</v>
      </c>
      <c r="N482">
        <f t="shared" si="45"/>
        <v>1199.0772428828554</v>
      </c>
      <c r="O482" t="s">
        <v>72</v>
      </c>
      <c r="P482">
        <f>SUMIFS(TechnologyMapping!$D:$D,TechnologyMapping!$A:$A,C482)</f>
        <v>1</v>
      </c>
      <c r="Q482">
        <f t="shared" si="46"/>
        <v>1199.0772428828554</v>
      </c>
      <c r="R482">
        <f>SUMIFS(FactorInputs!$I:$I,FactorInputs!$A:$A,B482)</f>
        <v>0.63884262295100003</v>
      </c>
      <c r="S482" t="str">
        <f>_xlfn.XLOOKUP(B482,FactorInputs!$A$2:$A$888,FactorInputs!$F$2:$F$888,"")</f>
        <v>job/MW</v>
      </c>
      <c r="T482" t="str">
        <f>_xlfn.XLOOKUP(B482,FactorInputs!$A$2:$A$888,FactorInputs!$B$2:$B$888,"")</f>
        <v>Rutovitz 2015</v>
      </c>
      <c r="U482" t="str">
        <f>_xlfn.XLOOKUP(B482,FactorInputs!$A$2:$A$888,FactorInputs!$T$2:$T$888,"")</f>
        <v>Rutovitz 2015</v>
      </c>
      <c r="V482">
        <f t="shared" si="47"/>
        <v>766.02165096413671</v>
      </c>
    </row>
    <row r="483" spans="1:23" x14ac:dyDescent="0.3">
      <c r="A483" t="str">
        <f t="shared" si="42"/>
        <v>CN|AccumulatedNewCapacity|RE1|PWRHYDROR_NDC|2048</v>
      </c>
      <c r="B483" t="str">
        <f t="shared" si="43"/>
        <v>Hydro (small)|2048|O&amp;M|Direct</v>
      </c>
      <c r="C483" t="str">
        <f t="shared" si="44"/>
        <v>PWRHYDROR_NDC|Hydro (small)</v>
      </c>
      <c r="D483" t="s">
        <v>39</v>
      </c>
      <c r="E483" t="s">
        <v>40</v>
      </c>
      <c r="F483" t="s">
        <v>19</v>
      </c>
      <c r="G483" t="s">
        <v>26</v>
      </c>
      <c r="H483">
        <v>2048</v>
      </c>
      <c r="I483" t="s">
        <v>18</v>
      </c>
      <c r="J483" t="s">
        <v>63</v>
      </c>
      <c r="K483" t="s">
        <v>64</v>
      </c>
      <c r="L483" t="s">
        <v>65</v>
      </c>
      <c r="M483">
        <f>SUMIFS(RawResultsLong!$P:$P,RawResultsLong!$A:$A,A483)</f>
        <v>121.6663582335095</v>
      </c>
      <c r="N483">
        <f t="shared" si="45"/>
        <v>3855.3742437165529</v>
      </c>
      <c r="O483" t="s">
        <v>75</v>
      </c>
      <c r="P483">
        <f>SUMIFS(TechnologyMapping!$D:$D,TechnologyMapping!$A:$A,C483)</f>
        <v>1</v>
      </c>
      <c r="Q483">
        <f t="shared" si="46"/>
        <v>3855.3742437165529</v>
      </c>
      <c r="R483">
        <f>SUMIFS(FactorInputs!$I:$I,FactorInputs!$A:$A,B483)</f>
        <v>5.2145740963899998</v>
      </c>
      <c r="S483" t="str">
        <f>_xlfn.XLOOKUP(B483,FactorInputs!$A$2:$A$888,FactorInputs!$F$2:$F$888,"")</f>
        <v>job/MW</v>
      </c>
      <c r="T483" t="str">
        <f>_xlfn.XLOOKUP(B483,FactorInputs!$A$2:$A$888,FactorInputs!$B$2:$B$888,"")</f>
        <v>Rutovitz 2015</v>
      </c>
      <c r="U483" t="str">
        <f>_xlfn.XLOOKUP(B483,FactorInputs!$A$2:$A$888,FactorInputs!$T$2:$T$888,"")</f>
        <v>Rutovitz 2015</v>
      </c>
      <c r="V483">
        <f t="shared" si="47"/>
        <v>20104.134663173521</v>
      </c>
      <c r="W483" t="s">
        <v>76</v>
      </c>
    </row>
    <row r="484" spans="1:23" x14ac:dyDescent="0.3">
      <c r="A484" t="str">
        <f t="shared" si="42"/>
        <v>CN|AccumulatedNewCapacity|RE1|PWRSOLRTP|2048</v>
      </c>
      <c r="B484" t="str">
        <f t="shared" si="43"/>
        <v>Rooftop solar PV|2048|O&amp;M|Direct</v>
      </c>
      <c r="C484" t="str">
        <f t="shared" si="44"/>
        <v>PWRSOLRTP|Rooftop solar PV</v>
      </c>
      <c r="D484" t="s">
        <v>39</v>
      </c>
      <c r="E484" t="s">
        <v>40</v>
      </c>
      <c r="F484" t="s">
        <v>19</v>
      </c>
      <c r="G484" t="s">
        <v>31</v>
      </c>
      <c r="H484">
        <v>2048</v>
      </c>
      <c r="I484" t="s">
        <v>18</v>
      </c>
      <c r="J484" t="s">
        <v>63</v>
      </c>
      <c r="K484" t="s">
        <v>64</v>
      </c>
      <c r="L484" t="s">
        <v>65</v>
      </c>
      <c r="M484">
        <f>SUMIFS(RawResultsLong!$P:$P,RawResultsLong!$A:$A,A484)</f>
        <v>216.22345518622689</v>
      </c>
      <c r="N484">
        <f t="shared" si="45"/>
        <v>6851.7078353939114</v>
      </c>
      <c r="O484" t="s">
        <v>71</v>
      </c>
      <c r="P484">
        <f>SUMIFS(TechnologyMapping!$D:$D,TechnologyMapping!$A:$A,C484)</f>
        <v>1</v>
      </c>
      <c r="Q484">
        <f t="shared" si="46"/>
        <v>6851.7078353939114</v>
      </c>
      <c r="R484">
        <f>SUMIFS(FactorInputs!$I:$I,FactorInputs!$A:$A,B484)</f>
        <v>0.221117647059</v>
      </c>
      <c r="S484" t="str">
        <f>_xlfn.XLOOKUP(B484,FactorInputs!$A$2:$A$888,FactorInputs!$F$2:$F$888,"")</f>
        <v>job/MW</v>
      </c>
      <c r="T484" t="str">
        <f>_xlfn.XLOOKUP(B484,FactorInputs!$A$2:$A$888,FactorInputs!$B$2:$B$888,"")</f>
        <v>JEDI-US</v>
      </c>
      <c r="U484" t="str">
        <f>_xlfn.XLOOKUP(B484,FactorInputs!$A$2:$A$888,FactorInputs!$T$2:$T$888,"")</f>
        <v>JEDI-US</v>
      </c>
      <c r="V484">
        <f t="shared" si="47"/>
        <v>1515.0335148980157</v>
      </c>
    </row>
    <row r="485" spans="1:23" x14ac:dyDescent="0.3">
      <c r="A485" t="str">
        <f t="shared" si="42"/>
        <v>CN|AccumulatedNewCapacity|RE1|PWRSOLRTP_ZNI|2048</v>
      </c>
      <c r="B485" t="str">
        <f t="shared" si="43"/>
        <v>Rooftop solar PV|2048|O&amp;M|Direct</v>
      </c>
      <c r="C485" t="str">
        <f t="shared" si="44"/>
        <v>PWRSOLRTP_ZNI|Rooftop solar PV</v>
      </c>
      <c r="D485" t="s">
        <v>39</v>
      </c>
      <c r="E485" t="s">
        <v>40</v>
      </c>
      <c r="F485" t="s">
        <v>19</v>
      </c>
      <c r="G485" t="s">
        <v>32</v>
      </c>
      <c r="H485">
        <v>2048</v>
      </c>
      <c r="I485" t="s">
        <v>18</v>
      </c>
      <c r="J485" t="s">
        <v>63</v>
      </c>
      <c r="K485" t="s">
        <v>64</v>
      </c>
      <c r="L485" t="s">
        <v>65</v>
      </c>
      <c r="M485">
        <f>SUMIFS(RawResultsLong!$P:$P,RawResultsLong!$A:$A,A485)</f>
        <v>1.324706857770813</v>
      </c>
      <c r="N485">
        <f t="shared" si="45"/>
        <v>41.977427236887884</v>
      </c>
      <c r="O485" t="s">
        <v>71</v>
      </c>
      <c r="P485">
        <f>SUMIFS(TechnologyMapping!$D:$D,TechnologyMapping!$A:$A,C485)</f>
        <v>1</v>
      </c>
      <c r="Q485">
        <f t="shared" si="46"/>
        <v>41.977427236887884</v>
      </c>
      <c r="R485">
        <f>SUMIFS(FactorInputs!$I:$I,FactorInputs!$A:$A,B485)</f>
        <v>0.221117647059</v>
      </c>
      <c r="S485" t="str">
        <f>_xlfn.XLOOKUP(B485,FactorInputs!$A$2:$A$888,FactorInputs!$F$2:$F$888,"")</f>
        <v>job/MW</v>
      </c>
      <c r="T485" t="str">
        <f>_xlfn.XLOOKUP(B485,FactorInputs!$A$2:$A$888,FactorInputs!$B$2:$B$888,"")</f>
        <v>JEDI-US</v>
      </c>
      <c r="U485" t="str">
        <f>_xlfn.XLOOKUP(B485,FactorInputs!$A$2:$A$888,FactorInputs!$T$2:$T$888,"")</f>
        <v>JEDI-US</v>
      </c>
      <c r="V485">
        <f t="shared" si="47"/>
        <v>9.2819499402110281</v>
      </c>
      <c r="W485" t="s">
        <v>73</v>
      </c>
    </row>
    <row r="486" spans="1:23" x14ac:dyDescent="0.3">
      <c r="A486" t="str">
        <f t="shared" si="42"/>
        <v>CN|AccumulatedNewCapacity|RE1|PWRSOLUGE|2048</v>
      </c>
      <c r="B486" t="str">
        <f t="shared" si="43"/>
        <v>Utility-scale solar PV|2048|O&amp;M|Direct</v>
      </c>
      <c r="C486" t="str">
        <f t="shared" si="44"/>
        <v>PWRSOLUGE|Utility-scale solar PV</v>
      </c>
      <c r="D486" t="s">
        <v>39</v>
      </c>
      <c r="E486" t="s">
        <v>40</v>
      </c>
      <c r="F486" t="s">
        <v>19</v>
      </c>
      <c r="G486" t="s">
        <v>33</v>
      </c>
      <c r="H486">
        <v>2048</v>
      </c>
      <c r="I486" t="s">
        <v>18</v>
      </c>
      <c r="J486" t="s">
        <v>63</v>
      </c>
      <c r="K486" t="s">
        <v>64</v>
      </c>
      <c r="L486" t="s">
        <v>65</v>
      </c>
      <c r="M486">
        <f>SUMIFS(RawResultsLong!$P:$P,RawResultsLong!$A:$A,A486)</f>
        <v>522.82204486843852</v>
      </c>
      <c r="N486">
        <f t="shared" si="45"/>
        <v>16567.230868901264</v>
      </c>
      <c r="O486" t="s">
        <v>66</v>
      </c>
      <c r="P486">
        <f>SUMIFS(TechnologyMapping!$D:$D,TechnologyMapping!$A:$A,C486)</f>
        <v>1</v>
      </c>
      <c r="Q486">
        <f t="shared" si="46"/>
        <v>16567.230868901264</v>
      </c>
      <c r="R486">
        <f>SUMIFS(FactorInputs!$I:$I,FactorInputs!$A:$A,B486)</f>
        <v>7.1592567567600005E-2</v>
      </c>
      <c r="S486" t="str">
        <f>_xlfn.XLOOKUP(B486,FactorInputs!$A$2:$A$888,FactorInputs!$F$2:$F$888,"")</f>
        <v>job/MW</v>
      </c>
      <c r="T486" t="str">
        <f>_xlfn.XLOOKUP(B486,FactorInputs!$A$2:$A$888,FactorInputs!$B$2:$B$888,"")</f>
        <v>I-JEDI</v>
      </c>
      <c r="U486" t="str">
        <f>_xlfn.XLOOKUP(B486,FactorInputs!$A$2:$A$888,FactorInputs!$T$2:$T$888,"")</f>
        <v>I-JEDI</v>
      </c>
      <c r="V486">
        <f t="shared" si="47"/>
        <v>1186.0905953898423</v>
      </c>
    </row>
    <row r="487" spans="1:23" x14ac:dyDescent="0.3">
      <c r="A487" t="str">
        <f t="shared" si="42"/>
        <v>CN|AccumulatedNewCapacity|RE1|PWRSOLUGE_BAT|2048</v>
      </c>
      <c r="B487" t="str">
        <f t="shared" si="43"/>
        <v>Utility-scale solar PV|2048|O&amp;M|Direct</v>
      </c>
      <c r="C487" t="str">
        <f t="shared" si="44"/>
        <v>PWRSOLUGE_BAT|Utility-scale solar PV</v>
      </c>
      <c r="D487" t="s">
        <v>39</v>
      </c>
      <c r="E487" t="s">
        <v>40</v>
      </c>
      <c r="F487" t="s">
        <v>19</v>
      </c>
      <c r="G487" t="s">
        <v>41</v>
      </c>
      <c r="H487">
        <v>2048</v>
      </c>
      <c r="I487" t="s">
        <v>18</v>
      </c>
      <c r="J487" t="s">
        <v>63</v>
      </c>
      <c r="K487" t="s">
        <v>64</v>
      </c>
      <c r="L487" t="s">
        <v>65</v>
      </c>
      <c r="M487">
        <f>SUMIFS(RawResultsLong!$P:$P,RawResultsLong!$A:$A,A487)</f>
        <v>30.670102189502511</v>
      </c>
      <c r="N487">
        <f t="shared" si="45"/>
        <v>971.87689144619719</v>
      </c>
      <c r="O487" t="s">
        <v>66</v>
      </c>
      <c r="P487">
        <f>SUMIFS(TechnologyMapping!$D:$D,TechnologyMapping!$A:$A,C487)</f>
        <v>1</v>
      </c>
      <c r="Q487">
        <f t="shared" si="46"/>
        <v>971.87689144619719</v>
      </c>
      <c r="R487">
        <f>SUMIFS(FactorInputs!$I:$I,FactorInputs!$A:$A,B487)</f>
        <v>7.1592567567600005E-2</v>
      </c>
      <c r="S487" t="str">
        <f>_xlfn.XLOOKUP(B487,FactorInputs!$A$2:$A$888,FactorInputs!$F$2:$F$888,"")</f>
        <v>job/MW</v>
      </c>
      <c r="T487" t="str">
        <f>_xlfn.XLOOKUP(B487,FactorInputs!$A$2:$A$888,FactorInputs!$B$2:$B$888,"")</f>
        <v>I-JEDI</v>
      </c>
      <c r="U487" t="str">
        <f>_xlfn.XLOOKUP(B487,FactorInputs!$A$2:$A$888,FactorInputs!$T$2:$T$888,"")</f>
        <v>I-JEDI</v>
      </c>
      <c r="V487">
        <f t="shared" si="47"/>
        <v>69.579162018250926</v>
      </c>
      <c r="W487" t="s">
        <v>77</v>
      </c>
    </row>
    <row r="488" spans="1:23" x14ac:dyDescent="0.3">
      <c r="A488" t="str">
        <f t="shared" si="42"/>
        <v>CN|AccumulatedNewCapacity|RE1|PWRSOLUGE_BAT|2048</v>
      </c>
      <c r="B488" t="str">
        <f t="shared" si="43"/>
        <v>Battery storage (grid)|2048|O&amp;M|Direct</v>
      </c>
      <c r="C488" t="str">
        <f t="shared" si="44"/>
        <v>PWRSOLUGE_BAT|Battery storage (grid)</v>
      </c>
      <c r="D488" t="s">
        <v>39</v>
      </c>
      <c r="E488" t="s">
        <v>40</v>
      </c>
      <c r="F488" t="s">
        <v>19</v>
      </c>
      <c r="G488" t="s">
        <v>41</v>
      </c>
      <c r="H488">
        <v>2048</v>
      </c>
      <c r="I488" t="s">
        <v>18</v>
      </c>
      <c r="J488" t="s">
        <v>63</v>
      </c>
      <c r="K488" t="s">
        <v>64</v>
      </c>
      <c r="L488" t="s">
        <v>65</v>
      </c>
      <c r="M488">
        <f>SUMIFS(RawResultsLong!$P:$P,RawResultsLong!$A:$A,A488)</f>
        <v>30.670102189502511</v>
      </c>
      <c r="N488">
        <f t="shared" si="45"/>
        <v>971.87689144619719</v>
      </c>
      <c r="O488" t="s">
        <v>78</v>
      </c>
      <c r="P488">
        <f>SUMIFS(TechnologyMapping!$D:$D,TechnologyMapping!$A:$A,C488)</f>
        <v>0.6</v>
      </c>
      <c r="Q488">
        <f t="shared" si="46"/>
        <v>583.12613486771829</v>
      </c>
      <c r="R488">
        <f>SUMIFS(FactorInputs!$I:$I,FactorInputs!$A:$A,B488)</f>
        <v>1.7779112713399998E-2</v>
      </c>
      <c r="S488" t="str">
        <f>_xlfn.XLOOKUP(B488,FactorInputs!$A$2:$A$888,FactorInputs!$F$2:$F$888,"")</f>
        <v>job/MW</v>
      </c>
      <c r="T488" t="str">
        <f>_xlfn.XLOOKUP(B488,FactorInputs!$A$2:$A$888,FactorInputs!$B$2:$B$888,"")</f>
        <v>Rutovitz 2025</v>
      </c>
      <c r="U488" t="str">
        <f>_xlfn.XLOOKUP(B488,FactorInputs!$A$2:$A$888,FactorInputs!$T$2:$T$888,"")</f>
        <v>Rutovitz 2025</v>
      </c>
      <c r="V488">
        <f t="shared" si="47"/>
        <v>10.367465277942452</v>
      </c>
      <c r="W488" t="s">
        <v>79</v>
      </c>
    </row>
    <row r="489" spans="1:23" x14ac:dyDescent="0.3">
      <c r="A489" t="str">
        <f t="shared" si="42"/>
        <v>CN|AccumulatedNewCapacity|RE1|PWRSOLUPE|2048</v>
      </c>
      <c r="B489" t="str">
        <f t="shared" si="43"/>
        <v>Utility-scale solar PV|2048|O&amp;M|Direct</v>
      </c>
      <c r="C489" t="str">
        <f t="shared" si="44"/>
        <v>PWRSOLUPE|Utility-scale solar PV</v>
      </c>
      <c r="D489" t="s">
        <v>39</v>
      </c>
      <c r="E489" t="s">
        <v>40</v>
      </c>
      <c r="F489" t="s">
        <v>19</v>
      </c>
      <c r="G489" t="s">
        <v>34</v>
      </c>
      <c r="H489">
        <v>2048</v>
      </c>
      <c r="I489" t="s">
        <v>18</v>
      </c>
      <c r="J489" t="s">
        <v>63</v>
      </c>
      <c r="K489" t="s">
        <v>64</v>
      </c>
      <c r="L489" t="s">
        <v>65</v>
      </c>
      <c r="M489">
        <f>SUMIFS(RawResultsLong!$P:$P,RawResultsLong!$A:$A,A489)</f>
        <v>12.14419823999993</v>
      </c>
      <c r="N489">
        <f t="shared" si="45"/>
        <v>384.82642026009364</v>
      </c>
      <c r="O489" t="s">
        <v>66</v>
      </c>
      <c r="P489">
        <f>SUMIFS(TechnologyMapping!$D:$D,TechnologyMapping!$A:$A,C489)</f>
        <v>1</v>
      </c>
      <c r="Q489">
        <f t="shared" si="46"/>
        <v>384.82642026009364</v>
      </c>
      <c r="R489">
        <f>SUMIFS(FactorInputs!$I:$I,FactorInputs!$A:$A,B489)</f>
        <v>7.1592567567600005E-2</v>
      </c>
      <c r="S489" t="str">
        <f>_xlfn.XLOOKUP(B489,FactorInputs!$A$2:$A$888,FactorInputs!$F$2:$F$888,"")</f>
        <v>job/MW</v>
      </c>
      <c r="T489" t="str">
        <f>_xlfn.XLOOKUP(B489,FactorInputs!$A$2:$A$888,FactorInputs!$B$2:$B$888,"")</f>
        <v>I-JEDI</v>
      </c>
      <c r="U489" t="str">
        <f>_xlfn.XLOOKUP(B489,FactorInputs!$A$2:$A$888,FactorInputs!$T$2:$T$888,"")</f>
        <v>I-JEDI</v>
      </c>
      <c r="V489">
        <f t="shared" si="47"/>
        <v>27.550711494268388</v>
      </c>
      <c r="W489" t="s">
        <v>67</v>
      </c>
    </row>
    <row r="490" spans="1:23" x14ac:dyDescent="0.3">
      <c r="A490" t="str">
        <f t="shared" si="42"/>
        <v>CN|AccumulatedNewCapacity|RE1|PWRWNDOFS_FIX|2048</v>
      </c>
      <c r="B490" t="str">
        <f t="shared" si="43"/>
        <v>Offshore wind (fixed)|2048|O&amp;M|Direct</v>
      </c>
      <c r="C490" t="str">
        <f t="shared" si="44"/>
        <v>PWRWNDOFS_FIX|Offshore wind (fixed)</v>
      </c>
      <c r="D490" t="s">
        <v>39</v>
      </c>
      <c r="E490" t="s">
        <v>40</v>
      </c>
      <c r="F490" t="s">
        <v>19</v>
      </c>
      <c r="G490" t="s">
        <v>42</v>
      </c>
      <c r="H490">
        <v>2048</v>
      </c>
      <c r="I490" t="s">
        <v>18</v>
      </c>
      <c r="J490" t="s">
        <v>63</v>
      </c>
      <c r="K490" t="s">
        <v>64</v>
      </c>
      <c r="L490" t="s">
        <v>65</v>
      </c>
      <c r="M490">
        <f>SUMIFS(RawResultsLong!$P:$P,RawResultsLong!$A:$A,A490)</f>
        <v>518.20702457715811</v>
      </c>
      <c r="N490">
        <f t="shared" si="45"/>
        <v>16420.989700647642</v>
      </c>
      <c r="O490" t="s">
        <v>74</v>
      </c>
      <c r="P490">
        <f>SUMIFS(TechnologyMapping!$D:$D,TechnologyMapping!$A:$A,C490)</f>
        <v>1</v>
      </c>
      <c r="Q490">
        <f t="shared" si="46"/>
        <v>16420.989700647642</v>
      </c>
      <c r="R490">
        <f>SUMIFS(FactorInputs!$I:$I,FactorInputs!$A:$A,B490)</f>
        <v>5.73743778802E-2</v>
      </c>
      <c r="S490" t="str">
        <f>_xlfn.XLOOKUP(B490,FactorInputs!$A$2:$A$888,FactorInputs!$F$2:$F$888,"")</f>
        <v>job/MW</v>
      </c>
      <c r="T490" t="str">
        <f>_xlfn.XLOOKUP(B490,FactorInputs!$A$2:$A$888,FactorInputs!$B$2:$B$888,"")</f>
        <v>French QBIS 2023</v>
      </c>
      <c r="U490" t="str">
        <f>_xlfn.XLOOKUP(B490,FactorInputs!$A$2:$A$888,FactorInputs!$T$2:$T$888,"")</f>
        <v>French QBIS 2023</v>
      </c>
      <c r="V490">
        <f t="shared" si="47"/>
        <v>942.14406825183016</v>
      </c>
    </row>
    <row r="491" spans="1:23" x14ac:dyDescent="0.3">
      <c r="A491" t="str">
        <f t="shared" si="42"/>
        <v>CN|AccumulatedNewCapacity|RE1|PWRWNDOFS_FLO|2048</v>
      </c>
      <c r="B491" t="str">
        <f t="shared" si="43"/>
        <v>Offshore wind (floating)|2048|O&amp;M|Direct</v>
      </c>
      <c r="C491" t="str">
        <f t="shared" si="44"/>
        <v>PWRWNDOFS_FLO|Offshore wind (floating)</v>
      </c>
      <c r="D491" t="s">
        <v>39</v>
      </c>
      <c r="E491" t="s">
        <v>40</v>
      </c>
      <c r="F491" t="s">
        <v>19</v>
      </c>
      <c r="G491" t="s">
        <v>43</v>
      </c>
      <c r="H491">
        <v>2048</v>
      </c>
      <c r="I491" t="s">
        <v>18</v>
      </c>
      <c r="J491" t="s">
        <v>63</v>
      </c>
      <c r="K491" t="s">
        <v>64</v>
      </c>
      <c r="L491" t="s">
        <v>65</v>
      </c>
      <c r="M491">
        <f>SUMIFS(RawResultsLong!$P:$P,RawResultsLong!$A:$A,A491)</f>
        <v>7.2734896835090179</v>
      </c>
      <c r="N491">
        <f t="shared" si="45"/>
        <v>230.48297980546738</v>
      </c>
      <c r="O491" t="s">
        <v>80</v>
      </c>
      <c r="P491">
        <f>SUMIFS(TechnologyMapping!$D:$D,TechnologyMapping!$A:$A,C491)</f>
        <v>1</v>
      </c>
      <c r="Q491">
        <f t="shared" si="46"/>
        <v>230.48297980546738</v>
      </c>
      <c r="R491">
        <f>SUMIFS(FactorInputs!$I:$I,FactorInputs!$A:$A,B491)</f>
        <v>0.137389124424</v>
      </c>
      <c r="S491" t="str">
        <f>_xlfn.XLOOKUP(B491,FactorInputs!$A$2:$A$888,FactorInputs!$F$2:$F$888,"")</f>
        <v>job/MW</v>
      </c>
      <c r="T491" t="str">
        <f>_xlfn.XLOOKUP(B491,FactorInputs!$A$2:$A$888,FactorInputs!$B$2:$B$888,"")</f>
        <v>French QBIS 2023</v>
      </c>
      <c r="U491" t="str">
        <f>_xlfn.XLOOKUP(B491,FactorInputs!$A$2:$A$888,FactorInputs!$T$2:$T$888,"")</f>
        <v>French QBIS 2023</v>
      </c>
      <c r="V491">
        <f t="shared" si="47"/>
        <v>31.665854790107637</v>
      </c>
    </row>
    <row r="492" spans="1:23" x14ac:dyDescent="0.3">
      <c r="A492" t="str">
        <f t="shared" si="42"/>
        <v>CN|AccumulatedNewCapacity|RE1|PWRWNDONS|2048</v>
      </c>
      <c r="B492" t="str">
        <f t="shared" si="43"/>
        <v>Onshore wind|2048|O&amp;M|Direct</v>
      </c>
      <c r="C492" t="str">
        <f t="shared" si="44"/>
        <v>PWRWNDONS|Onshore wind</v>
      </c>
      <c r="D492" t="s">
        <v>39</v>
      </c>
      <c r="E492" t="s">
        <v>40</v>
      </c>
      <c r="F492" t="s">
        <v>19</v>
      </c>
      <c r="G492" t="s">
        <v>36</v>
      </c>
      <c r="H492">
        <v>2048</v>
      </c>
      <c r="I492" t="s">
        <v>18</v>
      </c>
      <c r="J492" t="s">
        <v>63</v>
      </c>
      <c r="K492" t="s">
        <v>64</v>
      </c>
      <c r="L492" t="s">
        <v>65</v>
      </c>
      <c r="M492">
        <f>SUMIFS(RawResultsLong!$P:$P,RawResultsLong!$A:$A,A492)</f>
        <v>756.9294464844354</v>
      </c>
      <c r="N492">
        <f t="shared" si="45"/>
        <v>23985.646769223113</v>
      </c>
      <c r="O492" t="s">
        <v>68</v>
      </c>
      <c r="P492">
        <f>SUMIFS(TechnologyMapping!$D:$D,TechnologyMapping!$A:$A,C492)</f>
        <v>1</v>
      </c>
      <c r="Q492">
        <f t="shared" si="46"/>
        <v>23985.646769223113</v>
      </c>
      <c r="R492">
        <f>SUMIFS(FactorInputs!$I:$I,FactorInputs!$A:$A,B492)</f>
        <v>2.7087591240899999E-2</v>
      </c>
      <c r="S492" t="str">
        <f>_xlfn.XLOOKUP(B492,FactorInputs!$A$2:$A$888,FactorInputs!$F$2:$F$888,"")</f>
        <v>job/MW</v>
      </c>
      <c r="T492" t="str">
        <f>_xlfn.XLOOKUP(B492,FactorInputs!$A$2:$A$888,FactorInputs!$B$2:$B$888,"")</f>
        <v>I-JEDI</v>
      </c>
      <c r="U492" t="str">
        <f>_xlfn.XLOOKUP(B492,FactorInputs!$A$2:$A$888,FactorInputs!$T$2:$T$888,"")</f>
        <v>I-JEDI</v>
      </c>
      <c r="V492">
        <f t="shared" si="47"/>
        <v>649.71339533332934</v>
      </c>
    </row>
    <row r="493" spans="1:23" x14ac:dyDescent="0.3">
      <c r="A493" t="str">
        <f t="shared" si="42"/>
        <v>CN|NewCapacity|RE1|PWRHYDROR_NDC|2048</v>
      </c>
      <c r="B493" t="str">
        <f t="shared" si="43"/>
        <v>Hydro (small)|2048|Construction&amp;Manufacturing|Direct</v>
      </c>
      <c r="C493" t="str">
        <f t="shared" si="44"/>
        <v>PWRHYDROR_NDC|Hydro (small)</v>
      </c>
      <c r="D493" t="s">
        <v>39</v>
      </c>
      <c r="E493" t="s">
        <v>40</v>
      </c>
      <c r="F493" t="s">
        <v>19</v>
      </c>
      <c r="G493" t="s">
        <v>26</v>
      </c>
      <c r="H493">
        <v>2048</v>
      </c>
      <c r="I493" t="s">
        <v>37</v>
      </c>
      <c r="J493" t="s">
        <v>69</v>
      </c>
      <c r="K493" t="s">
        <v>70</v>
      </c>
      <c r="L493" t="s">
        <v>65</v>
      </c>
      <c r="M493">
        <f>SUMIFS(RawResultsLong!$P:$P,RawResultsLong!$A:$A,A493)</f>
        <v>31.34</v>
      </c>
      <c r="N493">
        <f t="shared" si="45"/>
        <v>993.10467209166723</v>
      </c>
      <c r="O493" t="s">
        <v>75</v>
      </c>
      <c r="P493">
        <f>SUMIFS(TechnologyMapping!$D:$D,TechnologyMapping!$A:$A,C493)</f>
        <v>1</v>
      </c>
      <c r="Q493">
        <f t="shared" si="46"/>
        <v>993.10467209166723</v>
      </c>
      <c r="R493">
        <f>SUMIFS(FactorInputs!$I:$I,FactorInputs!$A:$A,B493)</f>
        <v>28.4381430671</v>
      </c>
      <c r="S493" t="str">
        <f>_xlfn.XLOOKUP(B493,FactorInputs!$A$2:$A$888,FactorInputs!$F$2:$F$888,"")</f>
        <v>job-yr/MW</v>
      </c>
      <c r="T493" t="str">
        <f>_xlfn.XLOOKUP(B493,FactorInputs!$A$2:$A$888,FactorInputs!$B$2:$B$888,"")</f>
        <v>Rutovitz 2015</v>
      </c>
      <c r="U493" t="str">
        <f>_xlfn.XLOOKUP(B493,FactorInputs!$A$2:$A$888,FactorInputs!$T$2:$T$888,"")</f>
        <v>Rutovitz 2015</v>
      </c>
      <c r="V493">
        <f t="shared" si="47"/>
        <v>28242.052745548266</v>
      </c>
      <c r="W493" t="s">
        <v>76</v>
      </c>
    </row>
    <row r="494" spans="1:23" x14ac:dyDescent="0.3">
      <c r="A494" t="str">
        <f t="shared" si="42"/>
        <v>CN|NewCapacity|RE1|PWRSOLRTP|2048</v>
      </c>
      <c r="B494" t="str">
        <f t="shared" si="43"/>
        <v>Rooftop solar PV|2048|Construction&amp;Manufacturing|Direct</v>
      </c>
      <c r="C494" t="str">
        <f t="shared" si="44"/>
        <v>PWRSOLRTP|Rooftop solar PV</v>
      </c>
      <c r="D494" t="s">
        <v>39</v>
      </c>
      <c r="E494" t="s">
        <v>40</v>
      </c>
      <c r="F494" t="s">
        <v>19</v>
      </c>
      <c r="G494" t="s">
        <v>31</v>
      </c>
      <c r="H494">
        <v>2048</v>
      </c>
      <c r="I494" t="s">
        <v>37</v>
      </c>
      <c r="J494" t="s">
        <v>69</v>
      </c>
      <c r="K494" t="s">
        <v>70</v>
      </c>
      <c r="L494" t="s">
        <v>65</v>
      </c>
      <c r="M494">
        <f>SUMIFS(RawResultsLong!$P:$P,RawResultsLong!$A:$A,A494)</f>
        <v>1.27</v>
      </c>
      <c r="N494">
        <f t="shared" si="45"/>
        <v>40.243871523816765</v>
      </c>
      <c r="O494" t="s">
        <v>71</v>
      </c>
      <c r="P494">
        <f>SUMIFS(TechnologyMapping!$D:$D,TechnologyMapping!$A:$A,C494)</f>
        <v>1</v>
      </c>
      <c r="Q494">
        <f t="shared" si="46"/>
        <v>40.243871523816765</v>
      </c>
      <c r="R494">
        <f>SUMIFS(FactorInputs!$I:$I,FactorInputs!$A:$A,B494)</f>
        <v>4.53192696212</v>
      </c>
      <c r="S494" t="str">
        <f>_xlfn.XLOOKUP(B494,FactorInputs!$A$2:$A$888,FactorInputs!$F$2:$F$888,"")</f>
        <v>job-yr/MW</v>
      </c>
      <c r="T494" t="str">
        <f>_xlfn.XLOOKUP(B494,FactorInputs!$A$2:$A$888,FactorInputs!$B$2:$B$888,"")</f>
        <v>JEDI-US</v>
      </c>
      <c r="U494" t="str">
        <f>_xlfn.XLOOKUP(B494,FactorInputs!$A$2:$A$888,FactorInputs!$T$2:$T$888,"")</f>
        <v>JEDI-US</v>
      </c>
      <c r="V494">
        <f t="shared" si="47"/>
        <v>182.38228641887849</v>
      </c>
    </row>
    <row r="495" spans="1:23" x14ac:dyDescent="0.3">
      <c r="A495" t="str">
        <f t="shared" si="42"/>
        <v>CN|NewCapacity|RE1|PWRSOLRTP_ZNI|2048</v>
      </c>
      <c r="B495" t="str">
        <f t="shared" si="43"/>
        <v>Rooftop solar PV|2048|Construction&amp;Manufacturing|Direct</v>
      </c>
      <c r="C495" t="str">
        <f t="shared" si="44"/>
        <v>PWRSOLRTP_ZNI|Rooftop solar PV</v>
      </c>
      <c r="D495" t="s">
        <v>39</v>
      </c>
      <c r="E495" t="s">
        <v>40</v>
      </c>
      <c r="F495" t="s">
        <v>19</v>
      </c>
      <c r="G495" t="s">
        <v>32</v>
      </c>
      <c r="H495">
        <v>2048</v>
      </c>
      <c r="I495" t="s">
        <v>37</v>
      </c>
      <c r="J495" t="s">
        <v>69</v>
      </c>
      <c r="K495" t="s">
        <v>70</v>
      </c>
      <c r="L495" t="s">
        <v>65</v>
      </c>
      <c r="M495">
        <f>SUMIFS(RawResultsLong!$P:$P,RawResultsLong!$A:$A,A495)</f>
        <v>5.6455203810572632E-2</v>
      </c>
      <c r="N495">
        <f t="shared" si="45"/>
        <v>1.7889574559083274</v>
      </c>
      <c r="O495" t="s">
        <v>71</v>
      </c>
      <c r="P495">
        <f>SUMIFS(TechnologyMapping!$D:$D,TechnologyMapping!$A:$A,C495)</f>
        <v>1</v>
      </c>
      <c r="Q495">
        <f t="shared" si="46"/>
        <v>1.7889574559083274</v>
      </c>
      <c r="R495">
        <f>SUMIFS(FactorInputs!$I:$I,FactorInputs!$A:$A,B495)</f>
        <v>4.53192696212</v>
      </c>
      <c r="S495" t="str">
        <f>_xlfn.XLOOKUP(B495,FactorInputs!$A$2:$A$888,FactorInputs!$F$2:$F$888,"")</f>
        <v>job-yr/MW</v>
      </c>
      <c r="T495" t="str">
        <f>_xlfn.XLOOKUP(B495,FactorInputs!$A$2:$A$888,FactorInputs!$B$2:$B$888,"")</f>
        <v>JEDI-US</v>
      </c>
      <c r="U495" t="str">
        <f>_xlfn.XLOOKUP(B495,FactorInputs!$A$2:$A$888,FactorInputs!$T$2:$T$888,"")</f>
        <v>JEDI-US</v>
      </c>
      <c r="V495">
        <f t="shared" si="47"/>
        <v>8.1074245285165496</v>
      </c>
      <c r="W495" t="s">
        <v>73</v>
      </c>
    </row>
    <row r="496" spans="1:23" x14ac:dyDescent="0.3">
      <c r="A496" t="str">
        <f t="shared" si="42"/>
        <v>CN|NewCapacity|RE1|PWRSOLUGE|2048</v>
      </c>
      <c r="B496" t="str">
        <f t="shared" si="43"/>
        <v>Utility-scale solar PV|2048|Construction&amp;Manufacturing|Direct</v>
      </c>
      <c r="C496" t="str">
        <f t="shared" si="44"/>
        <v>PWRSOLUGE|Utility-scale solar PV</v>
      </c>
      <c r="D496" t="s">
        <v>39</v>
      </c>
      <c r="E496" t="s">
        <v>40</v>
      </c>
      <c r="F496" t="s">
        <v>19</v>
      </c>
      <c r="G496" t="s">
        <v>33</v>
      </c>
      <c r="H496">
        <v>2048</v>
      </c>
      <c r="I496" t="s">
        <v>37</v>
      </c>
      <c r="J496" t="s">
        <v>69</v>
      </c>
      <c r="K496" t="s">
        <v>70</v>
      </c>
      <c r="L496" t="s">
        <v>65</v>
      </c>
      <c r="M496">
        <f>SUMIFS(RawResultsLong!$P:$P,RawResultsLong!$A:$A,A496)</f>
        <v>47.31</v>
      </c>
      <c r="N496">
        <f t="shared" si="45"/>
        <v>1499.1634344817096</v>
      </c>
      <c r="O496" t="s">
        <v>66</v>
      </c>
      <c r="P496">
        <f>SUMIFS(TechnologyMapping!$D:$D,TechnologyMapping!$A:$A,C496)</f>
        <v>1</v>
      </c>
      <c r="Q496">
        <f t="shared" si="46"/>
        <v>1499.1634344817096</v>
      </c>
      <c r="R496">
        <f>SUMIFS(FactorInputs!$I:$I,FactorInputs!$A:$A,B496)</f>
        <v>4.8490727867899999</v>
      </c>
      <c r="S496" t="str">
        <f>_xlfn.XLOOKUP(B496,FactorInputs!$A$2:$A$888,FactorInputs!$F$2:$F$888,"")</f>
        <v>job-yr/MW</v>
      </c>
      <c r="T496" t="str">
        <f>_xlfn.XLOOKUP(B496,FactorInputs!$A$2:$A$888,FactorInputs!$B$2:$B$888,"")</f>
        <v>I-JEDI</v>
      </c>
      <c r="U496" t="str">
        <f>_xlfn.XLOOKUP(B496,FactorInputs!$A$2:$A$888,FactorInputs!$T$2:$T$888,"")</f>
        <v>I-JEDI</v>
      </c>
      <c r="V496">
        <f t="shared" si="47"/>
        <v>7269.5526130958906</v>
      </c>
    </row>
    <row r="497" spans="1:23" x14ac:dyDescent="0.3">
      <c r="A497" t="str">
        <f t="shared" si="42"/>
        <v>CN|NewCapacity|RE1|PWRWNDOFS_FIX|2048</v>
      </c>
      <c r="B497" t="str">
        <f t="shared" si="43"/>
        <v>Offshore wind (fixed)|2048|Construction&amp;Manufacturing|Direct</v>
      </c>
      <c r="C497" t="str">
        <f t="shared" si="44"/>
        <v>PWRWNDOFS_FIX|Offshore wind (fixed)</v>
      </c>
      <c r="D497" t="s">
        <v>39</v>
      </c>
      <c r="E497" t="s">
        <v>40</v>
      </c>
      <c r="F497" t="s">
        <v>19</v>
      </c>
      <c r="G497" t="s">
        <v>42</v>
      </c>
      <c r="H497">
        <v>2048</v>
      </c>
      <c r="I497" t="s">
        <v>37</v>
      </c>
      <c r="J497" t="s">
        <v>69</v>
      </c>
      <c r="K497" t="s">
        <v>70</v>
      </c>
      <c r="L497" t="s">
        <v>65</v>
      </c>
      <c r="M497">
        <f>SUMIFS(RawResultsLong!$P:$P,RawResultsLong!$A:$A,A497)</f>
        <v>47.31</v>
      </c>
      <c r="N497">
        <f t="shared" si="45"/>
        <v>1499.1634344817096</v>
      </c>
      <c r="O497" t="s">
        <v>74</v>
      </c>
      <c r="P497">
        <f>SUMIFS(TechnologyMapping!$D:$D,TechnologyMapping!$A:$A,C497)</f>
        <v>1</v>
      </c>
      <c r="Q497">
        <f t="shared" si="46"/>
        <v>1499.1634344817096</v>
      </c>
      <c r="R497">
        <f>SUMIFS(FactorInputs!$I:$I,FactorInputs!$A:$A,B497)</f>
        <v>3.4906330241700001</v>
      </c>
      <c r="S497" t="str">
        <f>_xlfn.XLOOKUP(B497,FactorInputs!$A$2:$A$888,FactorInputs!$F$2:$F$888,"")</f>
        <v>job-yr/MW</v>
      </c>
      <c r="T497" t="str">
        <f>_xlfn.XLOOKUP(B497,FactorInputs!$A$2:$A$888,FactorInputs!$B$2:$B$888,"")</f>
        <v>French QBIS 2023</v>
      </c>
      <c r="U497" t="str">
        <f>_xlfn.XLOOKUP(B497,FactorInputs!$A$2:$A$888,FactorInputs!$T$2:$T$888,"")</f>
        <v>French QBIS 2023</v>
      </c>
      <c r="V497">
        <f t="shared" si="47"/>
        <v>5233.029393029974</v>
      </c>
    </row>
    <row r="498" spans="1:23" x14ac:dyDescent="0.3">
      <c r="A498" t="str">
        <f t="shared" si="42"/>
        <v>CN|NewCapacity|RE1|PWRWNDOFS_FLO|2048</v>
      </c>
      <c r="B498" t="str">
        <f t="shared" si="43"/>
        <v>Offshore wind (floating)|2048|Construction&amp;Manufacturing|Direct</v>
      </c>
      <c r="C498" t="str">
        <f t="shared" si="44"/>
        <v>PWRWNDOFS_FLO|Offshore wind (floating)</v>
      </c>
      <c r="D498" t="s">
        <v>39</v>
      </c>
      <c r="E498" t="s">
        <v>40</v>
      </c>
      <c r="F498" t="s">
        <v>19</v>
      </c>
      <c r="G498" t="s">
        <v>43</v>
      </c>
      <c r="H498">
        <v>2048</v>
      </c>
      <c r="I498" t="s">
        <v>37</v>
      </c>
      <c r="J498" t="s">
        <v>69</v>
      </c>
      <c r="K498" t="s">
        <v>70</v>
      </c>
      <c r="L498" t="s">
        <v>65</v>
      </c>
      <c r="M498">
        <f>SUMIFS(RawResultsLong!$P:$P,RawResultsLong!$A:$A,A498)</f>
        <v>4.9525127701078064</v>
      </c>
      <c r="N498">
        <f t="shared" si="45"/>
        <v>156.93565955927593</v>
      </c>
      <c r="O498" t="s">
        <v>80</v>
      </c>
      <c r="P498">
        <f>SUMIFS(TechnologyMapping!$D:$D,TechnologyMapping!$A:$A,C498)</f>
        <v>1</v>
      </c>
      <c r="Q498">
        <f t="shared" si="46"/>
        <v>156.93565955927593</v>
      </c>
      <c r="R498">
        <f>SUMIFS(FactorInputs!$I:$I,FactorInputs!$A:$A,B498)</f>
        <v>8.25651350481</v>
      </c>
      <c r="S498" t="str">
        <f>_xlfn.XLOOKUP(B498,FactorInputs!$A$2:$A$888,FactorInputs!$F$2:$F$888,"")</f>
        <v>job-yr/MW</v>
      </c>
      <c r="T498" t="str">
        <f>_xlfn.XLOOKUP(B498,FactorInputs!$A$2:$A$888,FactorInputs!$B$2:$B$888,"")</f>
        <v>French QBIS 2023</v>
      </c>
      <c r="U498" t="str">
        <f>_xlfn.XLOOKUP(B498,FactorInputs!$A$2:$A$888,FactorInputs!$T$2:$T$888,"")</f>
        <v>French QBIS 2023</v>
      </c>
      <c r="V498">
        <f t="shared" si="47"/>
        <v>1295.7413925374262</v>
      </c>
    </row>
    <row r="499" spans="1:23" x14ac:dyDescent="0.3">
      <c r="A499" t="str">
        <f t="shared" si="42"/>
        <v>CN|NewCapacity|RE1|PWRWNDONS|2048</v>
      </c>
      <c r="B499" t="str">
        <f t="shared" si="43"/>
        <v>Onshore wind|2048|Construction&amp;Manufacturing|Direct</v>
      </c>
      <c r="C499" t="str">
        <f t="shared" si="44"/>
        <v>PWRWNDONS|Onshore wind</v>
      </c>
      <c r="D499" t="s">
        <v>39</v>
      </c>
      <c r="E499" t="s">
        <v>40</v>
      </c>
      <c r="F499" t="s">
        <v>19</v>
      </c>
      <c r="G499" t="s">
        <v>36</v>
      </c>
      <c r="H499">
        <v>2048</v>
      </c>
      <c r="I499" t="s">
        <v>37</v>
      </c>
      <c r="J499" t="s">
        <v>69</v>
      </c>
      <c r="K499" t="s">
        <v>70</v>
      </c>
      <c r="L499" t="s">
        <v>65</v>
      </c>
      <c r="M499">
        <f>SUMIFS(RawResultsLong!$P:$P,RawResultsLong!$A:$A,A499)</f>
        <v>47.31</v>
      </c>
      <c r="N499">
        <f t="shared" si="45"/>
        <v>1499.1634344817096</v>
      </c>
      <c r="O499" t="s">
        <v>68</v>
      </c>
      <c r="P499">
        <f>SUMIFS(TechnologyMapping!$D:$D,TechnologyMapping!$A:$A,C499)</f>
        <v>1</v>
      </c>
      <c r="Q499">
        <f t="shared" si="46"/>
        <v>1499.1634344817096</v>
      </c>
      <c r="R499">
        <f>SUMIFS(FactorInputs!$I:$I,FactorInputs!$A:$A,B499)</f>
        <v>6.5492435129800004</v>
      </c>
      <c r="S499" t="str">
        <f>_xlfn.XLOOKUP(B499,FactorInputs!$A$2:$A$888,FactorInputs!$F$2:$F$888,"")</f>
        <v>job-yr/MW</v>
      </c>
      <c r="T499" t="str">
        <f>_xlfn.XLOOKUP(B499,FactorInputs!$A$2:$A$888,FactorInputs!$B$2:$B$888,"")</f>
        <v>I-JEDI</v>
      </c>
      <c r="U499" t="str">
        <f>_xlfn.XLOOKUP(B499,FactorInputs!$A$2:$A$888,FactorInputs!$T$2:$T$888,"")</f>
        <v>I-JEDI</v>
      </c>
      <c r="V499">
        <f t="shared" si="47"/>
        <v>9818.3863981761551</v>
      </c>
    </row>
    <row r="500" spans="1:23" x14ac:dyDescent="0.3">
      <c r="A500" t="str">
        <f t="shared" si="42"/>
        <v>CN|AccumulatedNewCapacity|RE1|PWRHYDDAM|2049</v>
      </c>
      <c r="B500" t="str">
        <f t="shared" si="43"/>
        <v>Hydro (large)|2049|O&amp;M|Direct</v>
      </c>
      <c r="C500" t="str">
        <f t="shared" si="44"/>
        <v>PWRHYDDAM|Hydro (large)</v>
      </c>
      <c r="D500" t="s">
        <v>39</v>
      </c>
      <c r="E500" t="s">
        <v>40</v>
      </c>
      <c r="F500" t="s">
        <v>19</v>
      </c>
      <c r="G500" t="s">
        <v>24</v>
      </c>
      <c r="H500">
        <v>2049</v>
      </c>
      <c r="I500" t="s">
        <v>18</v>
      </c>
      <c r="J500" t="s">
        <v>63</v>
      </c>
      <c r="K500" t="s">
        <v>64</v>
      </c>
      <c r="L500" t="s">
        <v>65</v>
      </c>
      <c r="M500">
        <f>SUMIFS(RawResultsLong!$P:$P,RawResultsLong!$A:$A,A500)</f>
        <v>37.840000000000003</v>
      </c>
      <c r="N500">
        <f t="shared" si="45"/>
        <v>1199.0772428828554</v>
      </c>
      <c r="O500" t="s">
        <v>72</v>
      </c>
      <c r="P500">
        <f>SUMIFS(TechnologyMapping!$D:$D,TechnologyMapping!$A:$A,C500)</f>
        <v>1</v>
      </c>
      <c r="Q500">
        <f t="shared" si="46"/>
        <v>1199.0772428828554</v>
      </c>
      <c r="R500">
        <f>SUMIFS(FactorInputs!$I:$I,FactorInputs!$A:$A,B500)</f>
        <v>0.63866721311499997</v>
      </c>
      <c r="S500" t="str">
        <f>_xlfn.XLOOKUP(B500,FactorInputs!$A$2:$A$888,FactorInputs!$F$2:$F$888,"")</f>
        <v>job/MW</v>
      </c>
      <c r="T500" t="str">
        <f>_xlfn.XLOOKUP(B500,FactorInputs!$A$2:$A$888,FactorInputs!$B$2:$B$888,"")</f>
        <v>Rutovitz 2015</v>
      </c>
      <c r="U500" t="str">
        <f>_xlfn.XLOOKUP(B500,FactorInputs!$A$2:$A$888,FactorInputs!$T$2:$T$888,"")</f>
        <v>Rutovitz 2015</v>
      </c>
      <c r="V500">
        <f t="shared" si="47"/>
        <v>765.81132102161121</v>
      </c>
    </row>
    <row r="501" spans="1:23" x14ac:dyDescent="0.3">
      <c r="A501" t="str">
        <f t="shared" si="42"/>
        <v>CN|AccumulatedNewCapacity|RE1|PWRHYDROR_NDC|2049</v>
      </c>
      <c r="B501" t="str">
        <f t="shared" si="43"/>
        <v>Hydro (small)|2049|O&amp;M|Direct</v>
      </c>
      <c r="C501" t="str">
        <f t="shared" si="44"/>
        <v>PWRHYDROR_NDC|Hydro (small)</v>
      </c>
      <c r="D501" t="s">
        <v>39</v>
      </c>
      <c r="E501" t="s">
        <v>40</v>
      </c>
      <c r="F501" t="s">
        <v>19</v>
      </c>
      <c r="G501" t="s">
        <v>26</v>
      </c>
      <c r="H501">
        <v>2049</v>
      </c>
      <c r="I501" t="s">
        <v>18</v>
      </c>
      <c r="J501" t="s">
        <v>63</v>
      </c>
      <c r="K501" t="s">
        <v>64</v>
      </c>
      <c r="L501" t="s">
        <v>65</v>
      </c>
      <c r="M501">
        <f>SUMIFS(RawResultsLong!$P:$P,RawResultsLong!$A:$A,A501)</f>
        <v>121.6663582335095</v>
      </c>
      <c r="N501">
        <f t="shared" si="45"/>
        <v>3855.3742437165529</v>
      </c>
      <c r="O501" t="s">
        <v>75</v>
      </c>
      <c r="P501">
        <f>SUMIFS(TechnologyMapping!$D:$D,TechnologyMapping!$A:$A,C501)</f>
        <v>1</v>
      </c>
      <c r="Q501">
        <f t="shared" si="46"/>
        <v>3855.3742437165529</v>
      </c>
      <c r="R501">
        <f>SUMIFS(FactorInputs!$I:$I,FactorInputs!$A:$A,B501)</f>
        <v>5.2129948795200001</v>
      </c>
      <c r="S501" t="str">
        <f>_xlfn.XLOOKUP(B501,FactorInputs!$A$2:$A$888,FactorInputs!$F$2:$F$888,"")</f>
        <v>job/MW</v>
      </c>
      <c r="T501" t="str">
        <f>_xlfn.XLOOKUP(B501,FactorInputs!$A$2:$A$888,FactorInputs!$B$2:$B$888,"")</f>
        <v>Rutovitz 2015</v>
      </c>
      <c r="U501" t="str">
        <f>_xlfn.XLOOKUP(B501,FactorInputs!$A$2:$A$888,FactorInputs!$T$2:$T$888,"")</f>
        <v>Rutovitz 2015</v>
      </c>
      <c r="V501">
        <f t="shared" si="47"/>
        <v>20098.046191127683</v>
      </c>
      <c r="W501" t="s">
        <v>76</v>
      </c>
    </row>
    <row r="502" spans="1:23" x14ac:dyDescent="0.3">
      <c r="A502" t="str">
        <f t="shared" si="42"/>
        <v>CN|AccumulatedNewCapacity|RE1|PWRSOLRTP|2049</v>
      </c>
      <c r="B502" t="str">
        <f t="shared" si="43"/>
        <v>Rooftop solar PV|2049|O&amp;M|Direct</v>
      </c>
      <c r="C502" t="str">
        <f t="shared" si="44"/>
        <v>PWRSOLRTP|Rooftop solar PV</v>
      </c>
      <c r="D502" t="s">
        <v>39</v>
      </c>
      <c r="E502" t="s">
        <v>40</v>
      </c>
      <c r="F502" t="s">
        <v>19</v>
      </c>
      <c r="G502" t="s">
        <v>31</v>
      </c>
      <c r="H502">
        <v>2049</v>
      </c>
      <c r="I502" t="s">
        <v>18</v>
      </c>
      <c r="J502" t="s">
        <v>63</v>
      </c>
      <c r="K502" t="s">
        <v>64</v>
      </c>
      <c r="L502" t="s">
        <v>65</v>
      </c>
      <c r="M502">
        <f>SUMIFS(RawResultsLong!$P:$P,RawResultsLong!$A:$A,A502)</f>
        <v>217.4934551862269</v>
      </c>
      <c r="N502">
        <f t="shared" si="45"/>
        <v>6891.9517069177282</v>
      </c>
      <c r="O502" t="s">
        <v>71</v>
      </c>
      <c r="P502">
        <f>SUMIFS(TechnologyMapping!$D:$D,TechnologyMapping!$A:$A,C502)</f>
        <v>1</v>
      </c>
      <c r="Q502">
        <f t="shared" si="46"/>
        <v>6891.9517069177282</v>
      </c>
      <c r="R502">
        <f>SUMIFS(FactorInputs!$I:$I,FactorInputs!$A:$A,B502)</f>
        <v>0.21908823529400001</v>
      </c>
      <c r="S502" t="str">
        <f>_xlfn.XLOOKUP(B502,FactorInputs!$A$2:$A$888,FactorInputs!$F$2:$F$888,"")</f>
        <v>job/MW</v>
      </c>
      <c r="T502" t="str">
        <f>_xlfn.XLOOKUP(B502,FactorInputs!$A$2:$A$888,FactorInputs!$B$2:$B$888,"")</f>
        <v>JEDI-US</v>
      </c>
      <c r="U502" t="str">
        <f>_xlfn.XLOOKUP(B502,FactorInputs!$A$2:$A$888,FactorInputs!$T$2:$T$888,"")</f>
        <v>JEDI-US</v>
      </c>
      <c r="V502">
        <f t="shared" si="47"/>
        <v>1509.9455372000762</v>
      </c>
    </row>
    <row r="503" spans="1:23" x14ac:dyDescent="0.3">
      <c r="A503" t="str">
        <f t="shared" si="42"/>
        <v>CN|AccumulatedNewCapacity|RE1|PWRSOLRTP_ZNI|2049</v>
      </c>
      <c r="B503" t="str">
        <f t="shared" si="43"/>
        <v>Rooftop solar PV|2049|O&amp;M|Direct</v>
      </c>
      <c r="C503" t="str">
        <f t="shared" si="44"/>
        <v>PWRSOLRTP_ZNI|Rooftop solar PV</v>
      </c>
      <c r="D503" t="s">
        <v>39</v>
      </c>
      <c r="E503" t="s">
        <v>40</v>
      </c>
      <c r="F503" t="s">
        <v>19</v>
      </c>
      <c r="G503" t="s">
        <v>32</v>
      </c>
      <c r="H503">
        <v>2049</v>
      </c>
      <c r="I503" t="s">
        <v>18</v>
      </c>
      <c r="J503" t="s">
        <v>63</v>
      </c>
      <c r="K503" t="s">
        <v>64</v>
      </c>
      <c r="L503" t="s">
        <v>65</v>
      </c>
      <c r="M503">
        <f>SUMIFS(RawResultsLong!$P:$P,RawResultsLong!$A:$A,A503)</f>
        <v>1.3696294318356339</v>
      </c>
      <c r="N503">
        <f t="shared" si="45"/>
        <v>43.400937708686143</v>
      </c>
      <c r="O503" t="s">
        <v>71</v>
      </c>
      <c r="P503">
        <f>SUMIFS(TechnologyMapping!$D:$D,TechnologyMapping!$A:$A,C503)</f>
        <v>1</v>
      </c>
      <c r="Q503">
        <f t="shared" si="46"/>
        <v>43.400937708686143</v>
      </c>
      <c r="R503">
        <f>SUMIFS(FactorInputs!$I:$I,FactorInputs!$A:$A,B503)</f>
        <v>0.21908823529400001</v>
      </c>
      <c r="S503" t="str">
        <f>_xlfn.XLOOKUP(B503,FactorInputs!$A$2:$A$888,FactorInputs!$F$2:$F$888,"")</f>
        <v>job/MW</v>
      </c>
      <c r="T503" t="str">
        <f>_xlfn.XLOOKUP(B503,FactorInputs!$A$2:$A$888,FactorInputs!$B$2:$B$888,"")</f>
        <v>JEDI-US</v>
      </c>
      <c r="U503" t="str">
        <f>_xlfn.XLOOKUP(B503,FactorInputs!$A$2:$A$888,FactorInputs!$T$2:$T$888,"")</f>
        <v>JEDI-US</v>
      </c>
      <c r="V503">
        <f t="shared" si="47"/>
        <v>9.5086348527008671</v>
      </c>
      <c r="W503" t="s">
        <v>73</v>
      </c>
    </row>
    <row r="504" spans="1:23" x14ac:dyDescent="0.3">
      <c r="A504" t="str">
        <f t="shared" si="42"/>
        <v>CN|AccumulatedNewCapacity|RE1|PWRSOLUGE|2049</v>
      </c>
      <c r="B504" t="str">
        <f t="shared" si="43"/>
        <v>Utility-scale solar PV|2049|O&amp;M|Direct</v>
      </c>
      <c r="C504" t="str">
        <f t="shared" si="44"/>
        <v>PWRSOLUGE|Utility-scale solar PV</v>
      </c>
      <c r="D504" t="s">
        <v>39</v>
      </c>
      <c r="E504" t="s">
        <v>40</v>
      </c>
      <c r="F504" t="s">
        <v>19</v>
      </c>
      <c r="G504" t="s">
        <v>33</v>
      </c>
      <c r="H504">
        <v>2049</v>
      </c>
      <c r="I504" t="s">
        <v>18</v>
      </c>
      <c r="J504" t="s">
        <v>63</v>
      </c>
      <c r="K504" t="s">
        <v>64</v>
      </c>
      <c r="L504" t="s">
        <v>65</v>
      </c>
      <c r="M504">
        <f>SUMIFS(RawResultsLong!$P:$P,RawResultsLong!$A:$A,A504)</f>
        <v>522.82204486843852</v>
      </c>
      <c r="N504">
        <f t="shared" si="45"/>
        <v>16567.230868901264</v>
      </c>
      <c r="O504" t="s">
        <v>66</v>
      </c>
      <c r="P504">
        <f>SUMIFS(TechnologyMapping!$D:$D,TechnologyMapping!$A:$A,C504)</f>
        <v>1</v>
      </c>
      <c r="Q504">
        <f t="shared" si="46"/>
        <v>16567.230868901264</v>
      </c>
      <c r="R504">
        <f>SUMIFS(FactorInputs!$I:$I,FactorInputs!$A:$A,B504)</f>
        <v>7.1005743243199998E-2</v>
      </c>
      <c r="S504" t="str">
        <f>_xlfn.XLOOKUP(B504,FactorInputs!$A$2:$A$888,FactorInputs!$F$2:$F$888,"")</f>
        <v>job/MW</v>
      </c>
      <c r="T504" t="str">
        <f>_xlfn.XLOOKUP(B504,FactorInputs!$A$2:$A$888,FactorInputs!$B$2:$B$888,"")</f>
        <v>I-JEDI</v>
      </c>
      <c r="U504" t="str">
        <f>_xlfn.XLOOKUP(B504,FactorInputs!$A$2:$A$888,FactorInputs!$T$2:$T$888,"")</f>
        <v>I-JEDI</v>
      </c>
      <c r="V504">
        <f t="shared" si="47"/>
        <v>1176.3685413280205</v>
      </c>
    </row>
    <row r="505" spans="1:23" x14ac:dyDescent="0.3">
      <c r="A505" t="str">
        <f t="shared" si="42"/>
        <v>CN|AccumulatedNewCapacity|RE1|PWRSOLUGE_BAT|2049</v>
      </c>
      <c r="B505" t="str">
        <f t="shared" si="43"/>
        <v>Utility-scale solar PV|2049|O&amp;M|Direct</v>
      </c>
      <c r="C505" t="str">
        <f t="shared" si="44"/>
        <v>PWRSOLUGE_BAT|Utility-scale solar PV</v>
      </c>
      <c r="D505" t="s">
        <v>39</v>
      </c>
      <c r="E505" t="s">
        <v>40</v>
      </c>
      <c r="F505" t="s">
        <v>19</v>
      </c>
      <c r="G505" t="s">
        <v>41</v>
      </c>
      <c r="H505">
        <v>2049</v>
      </c>
      <c r="I505" t="s">
        <v>18</v>
      </c>
      <c r="J505" t="s">
        <v>63</v>
      </c>
      <c r="K505" t="s">
        <v>64</v>
      </c>
      <c r="L505" t="s">
        <v>65</v>
      </c>
      <c r="M505">
        <f>SUMIFS(RawResultsLong!$P:$P,RawResultsLong!$A:$A,A505)</f>
        <v>30.670102189502511</v>
      </c>
      <c r="N505">
        <f t="shared" si="45"/>
        <v>971.87689144619719</v>
      </c>
      <c r="O505" t="s">
        <v>66</v>
      </c>
      <c r="P505">
        <f>SUMIFS(TechnologyMapping!$D:$D,TechnologyMapping!$A:$A,C505)</f>
        <v>1</v>
      </c>
      <c r="Q505">
        <f t="shared" si="46"/>
        <v>971.87689144619719</v>
      </c>
      <c r="R505">
        <f>SUMIFS(FactorInputs!$I:$I,FactorInputs!$A:$A,B505)</f>
        <v>7.1005743243199998E-2</v>
      </c>
      <c r="S505" t="str">
        <f>_xlfn.XLOOKUP(B505,FactorInputs!$A$2:$A$888,FactorInputs!$F$2:$F$888,"")</f>
        <v>job/MW</v>
      </c>
      <c r="T505" t="str">
        <f>_xlfn.XLOOKUP(B505,FactorInputs!$A$2:$A$888,FactorInputs!$B$2:$B$888,"")</f>
        <v>I-JEDI</v>
      </c>
      <c r="U505" t="str">
        <f>_xlfn.XLOOKUP(B505,FactorInputs!$A$2:$A$888,FactorInputs!$T$2:$T$888,"")</f>
        <v>I-JEDI</v>
      </c>
      <c r="V505">
        <f t="shared" si="47"/>
        <v>69.008841018028036</v>
      </c>
      <c r="W505" t="s">
        <v>77</v>
      </c>
    </row>
    <row r="506" spans="1:23" x14ac:dyDescent="0.3">
      <c r="A506" t="str">
        <f t="shared" si="42"/>
        <v>CN|AccumulatedNewCapacity|RE1|PWRSOLUGE_BAT|2049</v>
      </c>
      <c r="B506" t="str">
        <f t="shared" si="43"/>
        <v>Battery storage (grid)|2049|O&amp;M|Direct</v>
      </c>
      <c r="C506" t="str">
        <f t="shared" si="44"/>
        <v>PWRSOLUGE_BAT|Battery storage (grid)</v>
      </c>
      <c r="D506" t="s">
        <v>39</v>
      </c>
      <c r="E506" t="s">
        <v>40</v>
      </c>
      <c r="F506" t="s">
        <v>19</v>
      </c>
      <c r="G506" t="s">
        <v>41</v>
      </c>
      <c r="H506">
        <v>2049</v>
      </c>
      <c r="I506" t="s">
        <v>18</v>
      </c>
      <c r="J506" t="s">
        <v>63</v>
      </c>
      <c r="K506" t="s">
        <v>64</v>
      </c>
      <c r="L506" t="s">
        <v>65</v>
      </c>
      <c r="M506">
        <f>SUMIFS(RawResultsLong!$P:$P,RawResultsLong!$A:$A,A506)</f>
        <v>30.670102189502511</v>
      </c>
      <c r="N506">
        <f t="shared" si="45"/>
        <v>971.87689144619719</v>
      </c>
      <c r="O506" t="s">
        <v>78</v>
      </c>
      <c r="P506">
        <f>SUMIFS(TechnologyMapping!$D:$D,TechnologyMapping!$A:$A,C506)</f>
        <v>0.6</v>
      </c>
      <c r="Q506">
        <f t="shared" si="46"/>
        <v>583.12613486771829</v>
      </c>
      <c r="R506">
        <f>SUMIFS(FactorInputs!$I:$I,FactorInputs!$A:$A,B506)</f>
        <v>1.75635499473E-2</v>
      </c>
      <c r="S506" t="str">
        <f>_xlfn.XLOOKUP(B506,FactorInputs!$A$2:$A$888,FactorInputs!$F$2:$F$888,"")</f>
        <v>job/MW</v>
      </c>
      <c r="T506" t="str">
        <f>_xlfn.XLOOKUP(B506,FactorInputs!$A$2:$A$888,FactorInputs!$B$2:$B$888,"")</f>
        <v>Rutovitz 2025</v>
      </c>
      <c r="U506" t="str">
        <f>_xlfn.XLOOKUP(B506,FactorInputs!$A$2:$A$888,FactorInputs!$T$2:$T$888,"")</f>
        <v>Rutovitz 2025</v>
      </c>
      <c r="V506">
        <f t="shared" si="47"/>
        <v>10.241764995325166</v>
      </c>
      <c r="W506" t="s">
        <v>79</v>
      </c>
    </row>
    <row r="507" spans="1:23" x14ac:dyDescent="0.3">
      <c r="A507" t="str">
        <f t="shared" si="42"/>
        <v>CN|AccumulatedNewCapacity|RE1|PWRSOLUPE|2049</v>
      </c>
      <c r="B507" t="str">
        <f t="shared" si="43"/>
        <v>Utility-scale solar PV|2049|O&amp;M|Direct</v>
      </c>
      <c r="C507" t="str">
        <f t="shared" si="44"/>
        <v>PWRSOLUPE|Utility-scale solar PV</v>
      </c>
      <c r="D507" t="s">
        <v>39</v>
      </c>
      <c r="E507" t="s">
        <v>40</v>
      </c>
      <c r="F507" t="s">
        <v>19</v>
      </c>
      <c r="G507" t="s">
        <v>34</v>
      </c>
      <c r="H507">
        <v>2049</v>
      </c>
      <c r="I507" t="s">
        <v>18</v>
      </c>
      <c r="J507" t="s">
        <v>63</v>
      </c>
      <c r="K507" t="s">
        <v>64</v>
      </c>
      <c r="L507" t="s">
        <v>65</v>
      </c>
      <c r="M507">
        <f>SUMIFS(RawResultsLong!$P:$P,RawResultsLong!$A:$A,A507)</f>
        <v>12.14419823999993</v>
      </c>
      <c r="N507">
        <f t="shared" si="45"/>
        <v>384.82642026009364</v>
      </c>
      <c r="O507" t="s">
        <v>66</v>
      </c>
      <c r="P507">
        <f>SUMIFS(TechnologyMapping!$D:$D,TechnologyMapping!$A:$A,C507)</f>
        <v>1</v>
      </c>
      <c r="Q507">
        <f t="shared" si="46"/>
        <v>384.82642026009364</v>
      </c>
      <c r="R507">
        <f>SUMIFS(FactorInputs!$I:$I,FactorInputs!$A:$A,B507)</f>
        <v>7.1005743243199998E-2</v>
      </c>
      <c r="S507" t="str">
        <f>_xlfn.XLOOKUP(B507,FactorInputs!$A$2:$A$888,FactorInputs!$F$2:$F$888,"")</f>
        <v>job/MW</v>
      </c>
      <c r="T507" t="str">
        <f>_xlfn.XLOOKUP(B507,FactorInputs!$A$2:$A$888,FactorInputs!$B$2:$B$888,"")</f>
        <v>I-JEDI</v>
      </c>
      <c r="U507" t="str">
        <f>_xlfn.XLOOKUP(B507,FactorInputs!$A$2:$A$888,FactorInputs!$T$2:$T$888,"")</f>
        <v>I-JEDI</v>
      </c>
      <c r="V507">
        <f t="shared" si="47"/>
        <v>27.324885990187987</v>
      </c>
      <c r="W507" t="s">
        <v>67</v>
      </c>
    </row>
    <row r="508" spans="1:23" x14ac:dyDescent="0.3">
      <c r="A508" t="str">
        <f t="shared" si="42"/>
        <v>CN|AccumulatedNewCapacity|RE1|PWRWNDOFS_FIX|2049</v>
      </c>
      <c r="B508" t="str">
        <f t="shared" si="43"/>
        <v>Offshore wind (fixed)|2049|O&amp;M|Direct</v>
      </c>
      <c r="C508" t="str">
        <f t="shared" si="44"/>
        <v>PWRWNDOFS_FIX|Offshore wind (fixed)</v>
      </c>
      <c r="D508" t="s">
        <v>39</v>
      </c>
      <c r="E508" t="s">
        <v>40</v>
      </c>
      <c r="F508" t="s">
        <v>19</v>
      </c>
      <c r="G508" t="s">
        <v>42</v>
      </c>
      <c r="H508">
        <v>2049</v>
      </c>
      <c r="I508" t="s">
        <v>18</v>
      </c>
      <c r="J508" t="s">
        <v>63</v>
      </c>
      <c r="K508" t="s">
        <v>64</v>
      </c>
      <c r="L508" t="s">
        <v>65</v>
      </c>
      <c r="M508">
        <f>SUMIFS(RawResultsLong!$P:$P,RawResultsLong!$A:$A,A508)</f>
        <v>553.85030883313163</v>
      </c>
      <c r="N508">
        <f t="shared" si="45"/>
        <v>17550.457222131332</v>
      </c>
      <c r="O508" t="s">
        <v>74</v>
      </c>
      <c r="P508">
        <f>SUMIFS(TechnologyMapping!$D:$D,TechnologyMapping!$A:$A,C508)</f>
        <v>1</v>
      </c>
      <c r="Q508">
        <f t="shared" si="46"/>
        <v>17550.457222131332</v>
      </c>
      <c r="R508">
        <f>SUMIFS(FactorInputs!$I:$I,FactorInputs!$A:$A,B508)</f>
        <v>5.6182119815700003E-2</v>
      </c>
      <c r="S508" t="str">
        <f>_xlfn.XLOOKUP(B508,FactorInputs!$A$2:$A$888,FactorInputs!$F$2:$F$888,"")</f>
        <v>job/MW</v>
      </c>
      <c r="T508" t="str">
        <f>_xlfn.XLOOKUP(B508,FactorInputs!$A$2:$A$888,FactorInputs!$B$2:$B$888,"")</f>
        <v>French QBIS 2023</v>
      </c>
      <c r="U508" t="str">
        <f>_xlfn.XLOOKUP(B508,FactorInputs!$A$2:$A$888,FactorInputs!$T$2:$T$888,"")</f>
        <v>French QBIS 2023</v>
      </c>
      <c r="V508">
        <f t="shared" si="47"/>
        <v>986.02189047409991</v>
      </c>
    </row>
    <row r="509" spans="1:23" x14ac:dyDescent="0.3">
      <c r="A509" t="str">
        <f t="shared" si="42"/>
        <v>CN|AccumulatedNewCapacity|RE1|PWRWNDOFS_FLO|2049</v>
      </c>
      <c r="B509" t="str">
        <f t="shared" si="43"/>
        <v>Offshore wind (floating)|2049|O&amp;M|Direct</v>
      </c>
      <c r="C509" t="str">
        <f t="shared" si="44"/>
        <v>PWRWNDOFS_FLO|Offshore wind (floating)</v>
      </c>
      <c r="D509" t="s">
        <v>39</v>
      </c>
      <c r="E509" t="s">
        <v>40</v>
      </c>
      <c r="F509" t="s">
        <v>19</v>
      </c>
      <c r="G509" t="s">
        <v>43</v>
      </c>
      <c r="H509">
        <v>2049</v>
      </c>
      <c r="I509" t="s">
        <v>18</v>
      </c>
      <c r="J509" t="s">
        <v>63</v>
      </c>
      <c r="K509" t="s">
        <v>64</v>
      </c>
      <c r="L509" t="s">
        <v>65</v>
      </c>
      <c r="M509">
        <f>SUMIFS(RawResultsLong!$P:$P,RawResultsLong!$A:$A,A509)</f>
        <v>7.2734896835090179</v>
      </c>
      <c r="N509">
        <f t="shared" si="45"/>
        <v>230.48297980546738</v>
      </c>
      <c r="O509" t="s">
        <v>80</v>
      </c>
      <c r="P509">
        <f>SUMIFS(TechnologyMapping!$D:$D,TechnologyMapping!$A:$A,C509)</f>
        <v>1</v>
      </c>
      <c r="Q509">
        <f t="shared" si="46"/>
        <v>230.48297980546738</v>
      </c>
      <c r="R509">
        <f>SUMIFS(FactorInputs!$I:$I,FactorInputs!$A:$A,B509)</f>
        <v>0.131599631336</v>
      </c>
      <c r="S509" t="str">
        <f>_xlfn.XLOOKUP(B509,FactorInputs!$A$2:$A$888,FactorInputs!$F$2:$F$888,"")</f>
        <v>job/MW</v>
      </c>
      <c r="T509" t="str">
        <f>_xlfn.XLOOKUP(B509,FactorInputs!$A$2:$A$888,FactorInputs!$B$2:$B$888,"")</f>
        <v>French QBIS 2023</v>
      </c>
      <c r="U509" t="str">
        <f>_xlfn.XLOOKUP(B509,FactorInputs!$A$2:$A$888,FactorInputs!$T$2:$T$888,"")</f>
        <v>French QBIS 2023</v>
      </c>
      <c r="V509">
        <f t="shared" si="47"/>
        <v>30.331475171622241</v>
      </c>
    </row>
    <row r="510" spans="1:23" x14ac:dyDescent="0.3">
      <c r="A510" t="str">
        <f t="shared" si="42"/>
        <v>CN|AccumulatedNewCapacity|RE1|PWRWNDONS|2049</v>
      </c>
      <c r="B510" t="str">
        <f t="shared" si="43"/>
        <v>Onshore wind|2049|O&amp;M|Direct</v>
      </c>
      <c r="C510" t="str">
        <f t="shared" si="44"/>
        <v>PWRWNDONS|Onshore wind</v>
      </c>
      <c r="D510" t="s">
        <v>39</v>
      </c>
      <c r="E510" t="s">
        <v>40</v>
      </c>
      <c r="F510" t="s">
        <v>19</v>
      </c>
      <c r="G510" t="s">
        <v>36</v>
      </c>
      <c r="H510">
        <v>2049</v>
      </c>
      <c r="I510" t="s">
        <v>18</v>
      </c>
      <c r="J510" t="s">
        <v>63</v>
      </c>
      <c r="K510" t="s">
        <v>64</v>
      </c>
      <c r="L510" t="s">
        <v>65</v>
      </c>
      <c r="M510">
        <f>SUMIFS(RawResultsLong!$P:$P,RawResultsLong!$A:$A,A510)</f>
        <v>804.23944648443535</v>
      </c>
      <c r="N510">
        <f t="shared" si="45"/>
        <v>25484.810203704823</v>
      </c>
      <c r="O510" t="s">
        <v>68</v>
      </c>
      <c r="P510">
        <f>SUMIFS(TechnologyMapping!$D:$D,TechnologyMapping!$A:$A,C510)</f>
        <v>1</v>
      </c>
      <c r="Q510">
        <f t="shared" si="46"/>
        <v>25484.810203704823</v>
      </c>
      <c r="R510">
        <f>SUMIFS(FactorInputs!$I:$I,FactorInputs!$A:$A,B510)</f>
        <v>2.7010948905099998E-2</v>
      </c>
      <c r="S510" t="str">
        <f>_xlfn.XLOOKUP(B510,FactorInputs!$A$2:$A$888,FactorInputs!$F$2:$F$888,"")</f>
        <v>job/MW</v>
      </c>
      <c r="T510" t="str">
        <f>_xlfn.XLOOKUP(B510,FactorInputs!$A$2:$A$888,FactorInputs!$B$2:$B$888,"")</f>
        <v>I-JEDI</v>
      </c>
      <c r="U510" t="str">
        <f>_xlfn.XLOOKUP(B510,FactorInputs!$A$2:$A$888,FactorInputs!$T$2:$T$888,"")</f>
        <v>I-JEDI</v>
      </c>
      <c r="V510">
        <f t="shared" si="47"/>
        <v>688.36890626844206</v>
      </c>
    </row>
    <row r="511" spans="1:23" x14ac:dyDescent="0.3">
      <c r="A511" t="str">
        <f t="shared" si="42"/>
        <v>CN|NewCapacity|RE1|PWRSOLRTP|2049</v>
      </c>
      <c r="B511" t="str">
        <f t="shared" si="43"/>
        <v>Rooftop solar PV|2049|Construction&amp;Manufacturing|Direct</v>
      </c>
      <c r="C511" t="str">
        <f t="shared" si="44"/>
        <v>PWRSOLRTP|Rooftop solar PV</v>
      </c>
      <c r="D511" t="s">
        <v>39</v>
      </c>
      <c r="E511" t="s">
        <v>40</v>
      </c>
      <c r="F511" t="s">
        <v>19</v>
      </c>
      <c r="G511" t="s">
        <v>31</v>
      </c>
      <c r="H511">
        <v>2049</v>
      </c>
      <c r="I511" t="s">
        <v>37</v>
      </c>
      <c r="J511" t="s">
        <v>69</v>
      </c>
      <c r="K511" t="s">
        <v>70</v>
      </c>
      <c r="L511" t="s">
        <v>65</v>
      </c>
      <c r="M511">
        <f>SUMIFS(RawResultsLong!$P:$P,RawResultsLong!$A:$A,A511)</f>
        <v>1.27</v>
      </c>
      <c r="N511">
        <f t="shared" si="45"/>
        <v>40.243871523816765</v>
      </c>
      <c r="O511" t="s">
        <v>71</v>
      </c>
      <c r="P511">
        <f>SUMIFS(TechnologyMapping!$D:$D,TechnologyMapping!$A:$A,C511)</f>
        <v>1</v>
      </c>
      <c r="Q511">
        <f t="shared" si="46"/>
        <v>40.243871523816765</v>
      </c>
      <c r="R511">
        <f>SUMIFS(FactorInputs!$I:$I,FactorInputs!$A:$A,B511)</f>
        <v>4.4262440113299997</v>
      </c>
      <c r="S511" t="str">
        <f>_xlfn.XLOOKUP(B511,FactorInputs!$A$2:$A$888,FactorInputs!$F$2:$F$888,"")</f>
        <v>job-yr/MW</v>
      </c>
      <c r="T511" t="str">
        <f>_xlfn.XLOOKUP(B511,FactorInputs!$A$2:$A$888,FactorInputs!$B$2:$B$888,"")</f>
        <v>JEDI-US</v>
      </c>
      <c r="U511" t="str">
        <f>_xlfn.XLOOKUP(B511,FactorInputs!$A$2:$A$888,FactorInputs!$T$2:$T$888,"")</f>
        <v>JEDI-US</v>
      </c>
      <c r="V511">
        <f t="shared" si="47"/>
        <v>178.12919532502787</v>
      </c>
    </row>
    <row r="512" spans="1:23" x14ac:dyDescent="0.3">
      <c r="A512" t="str">
        <f t="shared" si="42"/>
        <v>CN|NewCapacity|RE1|PWRSOLRTP_ZNI|2049</v>
      </c>
      <c r="B512" t="str">
        <f t="shared" si="43"/>
        <v>Rooftop solar PV|2049|Construction&amp;Manufacturing|Direct</v>
      </c>
      <c r="C512" t="str">
        <f t="shared" si="44"/>
        <v>PWRSOLRTP_ZNI|Rooftop solar PV</v>
      </c>
      <c r="D512" t="s">
        <v>39</v>
      </c>
      <c r="E512" t="s">
        <v>40</v>
      </c>
      <c r="F512" t="s">
        <v>19</v>
      </c>
      <c r="G512" t="s">
        <v>32</v>
      </c>
      <c r="H512">
        <v>2049</v>
      </c>
      <c r="I512" t="s">
        <v>37</v>
      </c>
      <c r="J512" t="s">
        <v>69</v>
      </c>
      <c r="K512" t="s">
        <v>70</v>
      </c>
      <c r="L512" t="s">
        <v>65</v>
      </c>
      <c r="M512">
        <f>SUMIFS(RawResultsLong!$P:$P,RawResultsLong!$A:$A,A512)</f>
        <v>4.4922574064820697E-2</v>
      </c>
      <c r="N512">
        <f t="shared" si="45"/>
        <v>1.4235104717982576</v>
      </c>
      <c r="O512" t="s">
        <v>71</v>
      </c>
      <c r="P512">
        <f>SUMIFS(TechnologyMapping!$D:$D,TechnologyMapping!$A:$A,C512)</f>
        <v>1</v>
      </c>
      <c r="Q512">
        <f t="shared" si="46"/>
        <v>1.4235104717982576</v>
      </c>
      <c r="R512">
        <f>SUMIFS(FactorInputs!$I:$I,FactorInputs!$A:$A,B512)</f>
        <v>4.4262440113299997</v>
      </c>
      <c r="S512" t="str">
        <f>_xlfn.XLOOKUP(B512,FactorInputs!$A$2:$A$888,FactorInputs!$F$2:$F$888,"")</f>
        <v>job-yr/MW</v>
      </c>
      <c r="T512" t="str">
        <f>_xlfn.XLOOKUP(B512,FactorInputs!$A$2:$A$888,FactorInputs!$B$2:$B$888,"")</f>
        <v>JEDI-US</v>
      </c>
      <c r="U512" t="str">
        <f>_xlfn.XLOOKUP(B512,FactorInputs!$A$2:$A$888,FactorInputs!$T$2:$T$888,"")</f>
        <v>JEDI-US</v>
      </c>
      <c r="V512">
        <f t="shared" si="47"/>
        <v>6.3008047008625798</v>
      </c>
      <c r="W512" t="s">
        <v>73</v>
      </c>
    </row>
    <row r="513" spans="1:23" x14ac:dyDescent="0.3">
      <c r="A513" t="str">
        <f t="shared" si="42"/>
        <v>CN|NewCapacity|RE1|PWRWNDOFS_FIX|2049</v>
      </c>
      <c r="B513" t="str">
        <f t="shared" si="43"/>
        <v>Offshore wind (fixed)|2049|Construction&amp;Manufacturing|Direct</v>
      </c>
      <c r="C513" t="str">
        <f t="shared" si="44"/>
        <v>PWRWNDOFS_FIX|Offshore wind (fixed)</v>
      </c>
      <c r="D513" t="s">
        <v>39</v>
      </c>
      <c r="E513" t="s">
        <v>40</v>
      </c>
      <c r="F513" t="s">
        <v>19</v>
      </c>
      <c r="G513" t="s">
        <v>42</v>
      </c>
      <c r="H513">
        <v>2049</v>
      </c>
      <c r="I513" t="s">
        <v>37</v>
      </c>
      <c r="J513" t="s">
        <v>69</v>
      </c>
      <c r="K513" t="s">
        <v>70</v>
      </c>
      <c r="L513" t="s">
        <v>65</v>
      </c>
      <c r="M513">
        <f>SUMIFS(RawResultsLong!$P:$P,RawResultsLong!$A:$A,A513)</f>
        <v>35.643284255973491</v>
      </c>
      <c r="N513">
        <f t="shared" si="45"/>
        <v>1129.4675214836836</v>
      </c>
      <c r="O513" t="s">
        <v>74</v>
      </c>
      <c r="P513">
        <f>SUMIFS(TechnologyMapping!$D:$D,TechnologyMapping!$A:$A,C513)</f>
        <v>1</v>
      </c>
      <c r="Q513">
        <f t="shared" si="46"/>
        <v>1129.4675214836836</v>
      </c>
      <c r="R513">
        <f>SUMIFS(FactorInputs!$I:$I,FactorInputs!$A:$A,B513)</f>
        <v>3.4190860626699999</v>
      </c>
      <c r="S513" t="str">
        <f>_xlfn.XLOOKUP(B513,FactorInputs!$A$2:$A$888,FactorInputs!$F$2:$F$888,"")</f>
        <v>job-yr/MW</v>
      </c>
      <c r="T513" t="str">
        <f>_xlfn.XLOOKUP(B513,FactorInputs!$A$2:$A$888,FactorInputs!$B$2:$B$888,"")</f>
        <v>French QBIS 2023</v>
      </c>
      <c r="U513" t="str">
        <f>_xlfn.XLOOKUP(B513,FactorInputs!$A$2:$A$888,FactorInputs!$T$2:$T$888,"")</f>
        <v>French QBIS 2023</v>
      </c>
      <c r="V513">
        <f t="shared" si="47"/>
        <v>3861.7466609432913</v>
      </c>
    </row>
    <row r="514" spans="1:23" x14ac:dyDescent="0.3">
      <c r="A514" t="str">
        <f t="shared" ref="A514:A577" si="48">D514&amp;"|"&amp;I514&amp;"|"&amp;F514&amp;"|"&amp;G514&amp;"|"&amp;H514</f>
        <v>CN|NewCapacity|RE1|PWRWNDONS|2049</v>
      </c>
      <c r="B514" t="str">
        <f t="shared" ref="B514:B577" si="49">O514&amp;"|"&amp;H514&amp;"|"&amp;K514&amp;"|"&amp;L514</f>
        <v>Onshore wind|2049|Construction&amp;Manufacturing|Direct</v>
      </c>
      <c r="C514" t="str">
        <f t="shared" ref="C514:C577" si="50">G514&amp;"|"&amp;O514</f>
        <v>PWRWNDONS|Onshore wind</v>
      </c>
      <c r="D514" t="s">
        <v>39</v>
      </c>
      <c r="E514" t="s">
        <v>40</v>
      </c>
      <c r="F514" t="s">
        <v>19</v>
      </c>
      <c r="G514" t="s">
        <v>36</v>
      </c>
      <c r="H514">
        <v>2049</v>
      </c>
      <c r="I514" t="s">
        <v>37</v>
      </c>
      <c r="J514" t="s">
        <v>69</v>
      </c>
      <c r="K514" t="s">
        <v>70</v>
      </c>
      <c r="L514" t="s">
        <v>65</v>
      </c>
      <c r="M514">
        <f>SUMIFS(RawResultsLong!$P:$P,RawResultsLong!$A:$A,A514)</f>
        <v>47.31</v>
      </c>
      <c r="N514">
        <f t="shared" ref="N514:N577" si="51">M514*1000/31.5576</f>
        <v>1499.1634344817096</v>
      </c>
      <c r="O514" t="s">
        <v>68</v>
      </c>
      <c r="P514">
        <f>SUMIFS(TechnologyMapping!$D:$D,TechnologyMapping!$A:$A,C514)</f>
        <v>1</v>
      </c>
      <c r="Q514">
        <f t="shared" ref="Q514:Q577" si="52">N514*P514</f>
        <v>1499.1634344817096</v>
      </c>
      <c r="R514">
        <f>SUMIFS(FactorInputs!$I:$I,FactorInputs!$A:$A,B514)</f>
        <v>6.5310017647800001</v>
      </c>
      <c r="S514" t="str">
        <f>_xlfn.XLOOKUP(B514,FactorInputs!$A$2:$A$888,FactorInputs!$F$2:$F$888,"")</f>
        <v>job-yr/MW</v>
      </c>
      <c r="T514" t="str">
        <f>_xlfn.XLOOKUP(B514,FactorInputs!$A$2:$A$888,FactorInputs!$B$2:$B$888,"")</f>
        <v>I-JEDI</v>
      </c>
      <c r="U514" t="str">
        <f>_xlfn.XLOOKUP(B514,FactorInputs!$A$2:$A$888,FactorInputs!$T$2:$T$888,"")</f>
        <v>I-JEDI</v>
      </c>
      <c r="V514">
        <f t="shared" ref="V514:V577" si="53">Q514*R514</f>
        <v>9791.0390362936905</v>
      </c>
    </row>
    <row r="515" spans="1:23" x14ac:dyDescent="0.3">
      <c r="A515" t="str">
        <f t="shared" si="48"/>
        <v>CN|AccumulatedNewCapacity|RE1|PWRHYDDAM|2050</v>
      </c>
      <c r="B515" t="str">
        <f t="shared" si="49"/>
        <v>Hydro (large)|2050|O&amp;M|Direct</v>
      </c>
      <c r="C515" t="str">
        <f t="shared" si="50"/>
        <v>PWRHYDDAM|Hydro (large)</v>
      </c>
      <c r="D515" t="s">
        <v>39</v>
      </c>
      <c r="E515" t="s">
        <v>40</v>
      </c>
      <c r="F515" t="s">
        <v>19</v>
      </c>
      <c r="G515" t="s">
        <v>24</v>
      </c>
      <c r="H515">
        <v>2050</v>
      </c>
      <c r="I515" t="s">
        <v>18</v>
      </c>
      <c r="J515" t="s">
        <v>63</v>
      </c>
      <c r="K515" t="s">
        <v>64</v>
      </c>
      <c r="L515" t="s">
        <v>65</v>
      </c>
      <c r="M515">
        <f>SUMIFS(RawResultsLong!$P:$P,RawResultsLong!$A:$A,A515)</f>
        <v>37.840000000000003</v>
      </c>
      <c r="N515">
        <f t="shared" si="51"/>
        <v>1199.0772428828554</v>
      </c>
      <c r="O515" t="s">
        <v>72</v>
      </c>
      <c r="P515">
        <f>SUMIFS(TechnologyMapping!$D:$D,TechnologyMapping!$A:$A,C515)</f>
        <v>1</v>
      </c>
      <c r="Q515">
        <f t="shared" si="52"/>
        <v>1199.0772428828554</v>
      </c>
      <c r="R515">
        <f>SUMIFS(FactorInputs!$I:$I,FactorInputs!$A:$A,B515)</f>
        <v>0.63849180327900001</v>
      </c>
      <c r="S515" t="str">
        <f>_xlfn.XLOOKUP(B515,FactorInputs!$A$2:$A$888,FactorInputs!$F$2:$F$888,"")</f>
        <v>job/MW</v>
      </c>
      <c r="T515" t="str">
        <f>_xlfn.XLOOKUP(B515,FactorInputs!$A$2:$A$888,FactorInputs!$B$2:$B$888,"")</f>
        <v>Rutovitz 2015</v>
      </c>
      <c r="U515" t="str">
        <f>_xlfn.XLOOKUP(B515,FactorInputs!$A$2:$A$888,FactorInputs!$T$2:$T$888,"")</f>
        <v>Rutovitz 2015</v>
      </c>
      <c r="V515">
        <f t="shared" si="53"/>
        <v>765.60099107908582</v>
      </c>
    </row>
    <row r="516" spans="1:23" x14ac:dyDescent="0.3">
      <c r="A516" t="str">
        <f t="shared" si="48"/>
        <v>CN|AccumulatedNewCapacity|RE1|PWRHYDROR_NDC|2050</v>
      </c>
      <c r="B516" t="str">
        <f t="shared" si="49"/>
        <v>Hydro (small)|2050|O&amp;M|Direct</v>
      </c>
      <c r="C516" t="str">
        <f t="shared" si="50"/>
        <v>PWRHYDROR_NDC|Hydro (small)</v>
      </c>
      <c r="D516" t="s">
        <v>39</v>
      </c>
      <c r="E516" t="s">
        <v>40</v>
      </c>
      <c r="F516" t="s">
        <v>19</v>
      </c>
      <c r="G516" t="s">
        <v>26</v>
      </c>
      <c r="H516">
        <v>2050</v>
      </c>
      <c r="I516" t="s">
        <v>18</v>
      </c>
      <c r="J516" t="s">
        <v>63</v>
      </c>
      <c r="K516" t="s">
        <v>64</v>
      </c>
      <c r="L516" t="s">
        <v>65</v>
      </c>
      <c r="M516">
        <f>SUMIFS(RawResultsLong!$P:$P,RawResultsLong!$A:$A,A516)</f>
        <v>121.6663582335095</v>
      </c>
      <c r="N516">
        <f t="shared" si="51"/>
        <v>3855.3742437165529</v>
      </c>
      <c r="O516" t="s">
        <v>75</v>
      </c>
      <c r="P516">
        <f>SUMIFS(TechnologyMapping!$D:$D,TechnologyMapping!$A:$A,C516)</f>
        <v>1</v>
      </c>
      <c r="Q516">
        <f t="shared" si="52"/>
        <v>3855.3742437165529</v>
      </c>
      <c r="R516">
        <f>SUMIFS(FactorInputs!$I:$I,FactorInputs!$A:$A,B516)</f>
        <v>5.2114156626500003</v>
      </c>
      <c r="S516" t="str">
        <f>_xlfn.XLOOKUP(B516,FactorInputs!$A$2:$A$888,FactorInputs!$F$2:$F$888,"")</f>
        <v>job/MW</v>
      </c>
      <c r="T516" t="str">
        <f>_xlfn.XLOOKUP(B516,FactorInputs!$A$2:$A$888,FactorInputs!$B$2:$B$888,"")</f>
        <v>Rutovitz 2015</v>
      </c>
      <c r="U516" t="str">
        <f>_xlfn.XLOOKUP(B516,FactorInputs!$A$2:$A$888,FactorInputs!$T$2:$T$888,"")</f>
        <v>Rutovitz 2015</v>
      </c>
      <c r="V516">
        <f t="shared" si="53"/>
        <v>20091.957719081842</v>
      </c>
      <c r="W516" t="s">
        <v>76</v>
      </c>
    </row>
    <row r="517" spans="1:23" x14ac:dyDescent="0.3">
      <c r="A517" t="str">
        <f t="shared" si="48"/>
        <v>CN|AccumulatedNewCapacity|RE1|PWRSOLRTP|2050</v>
      </c>
      <c r="B517" t="str">
        <f t="shared" si="49"/>
        <v>Rooftop solar PV|2050|O&amp;M|Direct</v>
      </c>
      <c r="C517" t="str">
        <f t="shared" si="50"/>
        <v>PWRSOLRTP|Rooftop solar PV</v>
      </c>
      <c r="D517" t="s">
        <v>39</v>
      </c>
      <c r="E517" t="s">
        <v>40</v>
      </c>
      <c r="F517" t="s">
        <v>19</v>
      </c>
      <c r="G517" t="s">
        <v>31</v>
      </c>
      <c r="H517">
        <v>2050</v>
      </c>
      <c r="I517" t="s">
        <v>18</v>
      </c>
      <c r="J517" t="s">
        <v>63</v>
      </c>
      <c r="K517" t="s">
        <v>64</v>
      </c>
      <c r="L517" t="s">
        <v>65</v>
      </c>
      <c r="M517">
        <f>SUMIFS(RawResultsLong!$P:$P,RawResultsLong!$A:$A,A517)</f>
        <v>218.76345518622691</v>
      </c>
      <c r="N517">
        <f t="shared" si="51"/>
        <v>6932.195578441545</v>
      </c>
      <c r="O517" t="s">
        <v>71</v>
      </c>
      <c r="P517">
        <f>SUMIFS(TechnologyMapping!$D:$D,TechnologyMapping!$A:$A,C517)</f>
        <v>1</v>
      </c>
      <c r="Q517">
        <f t="shared" si="52"/>
        <v>6932.195578441545</v>
      </c>
      <c r="R517">
        <f>SUMIFS(FactorInputs!$I:$I,FactorInputs!$A:$A,B517)</f>
        <v>0.21705882352899999</v>
      </c>
      <c r="S517" t="str">
        <f>_xlfn.XLOOKUP(B517,FactorInputs!$A$2:$A$888,FactorInputs!$F$2:$F$888,"")</f>
        <v>job/MW</v>
      </c>
      <c r="T517" t="str">
        <f>_xlfn.XLOOKUP(B517,FactorInputs!$A$2:$A$888,FactorInputs!$B$2:$B$888,"")</f>
        <v>JEDI-US</v>
      </c>
      <c r="U517" t="str">
        <f>_xlfn.XLOOKUP(B517,FactorInputs!$A$2:$A$888,FactorInputs!$T$2:$T$888,"")</f>
        <v>JEDI-US</v>
      </c>
      <c r="V517">
        <f t="shared" si="53"/>
        <v>1504.6942167294574</v>
      </c>
    </row>
    <row r="518" spans="1:23" x14ac:dyDescent="0.3">
      <c r="A518" t="str">
        <f t="shared" si="48"/>
        <v>CN|AccumulatedNewCapacity|RE1|PWRSOLRTP_ZNI|2050</v>
      </c>
      <c r="B518" t="str">
        <f t="shared" si="49"/>
        <v>Rooftop solar PV|2050|O&amp;M|Direct</v>
      </c>
      <c r="C518" t="str">
        <f t="shared" si="50"/>
        <v>PWRSOLRTP_ZNI|Rooftop solar PV</v>
      </c>
      <c r="D518" t="s">
        <v>39</v>
      </c>
      <c r="E518" t="s">
        <v>40</v>
      </c>
      <c r="F518" t="s">
        <v>19</v>
      </c>
      <c r="G518" t="s">
        <v>32</v>
      </c>
      <c r="H518">
        <v>2050</v>
      </c>
      <c r="I518" t="s">
        <v>18</v>
      </c>
      <c r="J518" t="s">
        <v>63</v>
      </c>
      <c r="K518" t="s">
        <v>64</v>
      </c>
      <c r="L518" t="s">
        <v>65</v>
      </c>
      <c r="M518">
        <f>SUMIFS(RawResultsLong!$P:$P,RawResultsLong!$A:$A,A518)</f>
        <v>1.3696294318356339</v>
      </c>
      <c r="N518">
        <f t="shared" si="51"/>
        <v>43.400937708686143</v>
      </c>
      <c r="O518" t="s">
        <v>71</v>
      </c>
      <c r="P518">
        <f>SUMIFS(TechnologyMapping!$D:$D,TechnologyMapping!$A:$A,C518)</f>
        <v>1</v>
      </c>
      <c r="Q518">
        <f t="shared" si="52"/>
        <v>43.400937708686143</v>
      </c>
      <c r="R518">
        <f>SUMIFS(FactorInputs!$I:$I,FactorInputs!$A:$A,B518)</f>
        <v>0.21705882352899999</v>
      </c>
      <c r="S518" t="str">
        <f>_xlfn.XLOOKUP(B518,FactorInputs!$A$2:$A$888,FactorInputs!$F$2:$F$888,"")</f>
        <v>job/MW</v>
      </c>
      <c r="T518" t="str">
        <f>_xlfn.XLOOKUP(B518,FactorInputs!$A$2:$A$888,FactorInputs!$B$2:$B$888,"")</f>
        <v>JEDI-US</v>
      </c>
      <c r="U518" t="str">
        <f>_xlfn.XLOOKUP(B518,FactorInputs!$A$2:$A$888,FactorInputs!$T$2:$T$888,"")</f>
        <v>JEDI-US</v>
      </c>
      <c r="V518">
        <f t="shared" si="53"/>
        <v>9.4205564791028262</v>
      </c>
      <c r="W518" t="s">
        <v>73</v>
      </c>
    </row>
    <row r="519" spans="1:23" x14ac:dyDescent="0.3">
      <c r="A519" t="str">
        <f t="shared" si="48"/>
        <v>CN|AccumulatedNewCapacity|RE1|PWRSOLUGE|2050</v>
      </c>
      <c r="B519" t="str">
        <f t="shared" si="49"/>
        <v>Utility-scale solar PV|2050|O&amp;M|Direct</v>
      </c>
      <c r="C519" t="str">
        <f t="shared" si="50"/>
        <v>PWRSOLUGE|Utility-scale solar PV</v>
      </c>
      <c r="D519" t="s">
        <v>39</v>
      </c>
      <c r="E519" t="s">
        <v>40</v>
      </c>
      <c r="F519" t="s">
        <v>19</v>
      </c>
      <c r="G519" t="s">
        <v>33</v>
      </c>
      <c r="H519">
        <v>2050</v>
      </c>
      <c r="I519" t="s">
        <v>18</v>
      </c>
      <c r="J519" t="s">
        <v>63</v>
      </c>
      <c r="K519" t="s">
        <v>64</v>
      </c>
      <c r="L519" t="s">
        <v>65</v>
      </c>
      <c r="M519">
        <f>SUMIFS(RawResultsLong!$P:$P,RawResultsLong!$A:$A,A519)</f>
        <v>516.10487686843851</v>
      </c>
      <c r="N519">
        <f t="shared" si="51"/>
        <v>16354.376659455678</v>
      </c>
      <c r="O519" t="s">
        <v>66</v>
      </c>
      <c r="P519">
        <f>SUMIFS(TechnologyMapping!$D:$D,TechnologyMapping!$A:$A,C519)</f>
        <v>1</v>
      </c>
      <c r="Q519">
        <f t="shared" si="52"/>
        <v>16354.376659455678</v>
      </c>
      <c r="R519">
        <f>SUMIFS(FactorInputs!$I:$I,FactorInputs!$A:$A,B519)</f>
        <v>7.0418918918899995E-2</v>
      </c>
      <c r="S519" t="str">
        <f>_xlfn.XLOOKUP(B519,FactorInputs!$A$2:$A$888,FactorInputs!$F$2:$F$888,"")</f>
        <v>job/MW</v>
      </c>
      <c r="T519" t="str">
        <f>_xlfn.XLOOKUP(B519,FactorInputs!$A$2:$A$888,FactorInputs!$B$2:$B$888,"")</f>
        <v>I-JEDI</v>
      </c>
      <c r="U519" t="str">
        <f>_xlfn.XLOOKUP(B519,FactorInputs!$A$2:$A$888,FactorInputs!$T$2:$T$888,"")</f>
        <v>I-JEDI</v>
      </c>
      <c r="V519">
        <f t="shared" si="53"/>
        <v>1151.65752395136</v>
      </c>
    </row>
    <row r="520" spans="1:23" x14ac:dyDescent="0.3">
      <c r="A520" t="str">
        <f t="shared" si="48"/>
        <v>CN|AccumulatedNewCapacity|RE1|PWRSOLUGE_BAT|2050</v>
      </c>
      <c r="B520" t="str">
        <f t="shared" si="49"/>
        <v>Utility-scale solar PV|2050|O&amp;M|Direct</v>
      </c>
      <c r="C520" t="str">
        <f t="shared" si="50"/>
        <v>PWRSOLUGE_BAT|Utility-scale solar PV</v>
      </c>
      <c r="D520" t="s">
        <v>39</v>
      </c>
      <c r="E520" t="s">
        <v>40</v>
      </c>
      <c r="F520" t="s">
        <v>19</v>
      </c>
      <c r="G520" t="s">
        <v>41</v>
      </c>
      <c r="H520">
        <v>2050</v>
      </c>
      <c r="I520" t="s">
        <v>18</v>
      </c>
      <c r="J520" t="s">
        <v>63</v>
      </c>
      <c r="K520" t="s">
        <v>64</v>
      </c>
      <c r="L520" t="s">
        <v>65</v>
      </c>
      <c r="M520">
        <f>SUMIFS(RawResultsLong!$P:$P,RawResultsLong!$A:$A,A520)</f>
        <v>30.670102189502511</v>
      </c>
      <c r="N520">
        <f t="shared" si="51"/>
        <v>971.87689144619719</v>
      </c>
      <c r="O520" t="s">
        <v>66</v>
      </c>
      <c r="P520">
        <f>SUMIFS(TechnologyMapping!$D:$D,TechnologyMapping!$A:$A,C520)</f>
        <v>1</v>
      </c>
      <c r="Q520">
        <f t="shared" si="52"/>
        <v>971.87689144619719</v>
      </c>
      <c r="R520">
        <f>SUMIFS(FactorInputs!$I:$I,FactorInputs!$A:$A,B520)</f>
        <v>7.0418918918899995E-2</v>
      </c>
      <c r="S520" t="str">
        <f>_xlfn.XLOOKUP(B520,FactorInputs!$A$2:$A$888,FactorInputs!$F$2:$F$888,"")</f>
        <v>job/MW</v>
      </c>
      <c r="T520" t="str">
        <f>_xlfn.XLOOKUP(B520,FactorInputs!$A$2:$A$888,FactorInputs!$B$2:$B$888,"")</f>
        <v>I-JEDI</v>
      </c>
      <c r="U520" t="str">
        <f>_xlfn.XLOOKUP(B520,FactorInputs!$A$2:$A$888,FactorInputs!$T$2:$T$888,"")</f>
        <v>I-JEDI</v>
      </c>
      <c r="V520">
        <f t="shared" si="53"/>
        <v>68.438520017902334</v>
      </c>
      <c r="W520" t="s">
        <v>77</v>
      </c>
    </row>
    <row r="521" spans="1:23" x14ac:dyDescent="0.3">
      <c r="A521" t="str">
        <f t="shared" si="48"/>
        <v>CN|AccumulatedNewCapacity|RE1|PWRSOLUGE_BAT|2050</v>
      </c>
      <c r="B521" t="str">
        <f t="shared" si="49"/>
        <v>Battery storage (grid)|2050|O&amp;M|Direct</v>
      </c>
      <c r="C521" t="str">
        <f t="shared" si="50"/>
        <v>PWRSOLUGE_BAT|Battery storage (grid)</v>
      </c>
      <c r="D521" t="s">
        <v>39</v>
      </c>
      <c r="E521" t="s">
        <v>40</v>
      </c>
      <c r="F521" t="s">
        <v>19</v>
      </c>
      <c r="G521" t="s">
        <v>41</v>
      </c>
      <c r="H521">
        <v>2050</v>
      </c>
      <c r="I521" t="s">
        <v>18</v>
      </c>
      <c r="J521" t="s">
        <v>63</v>
      </c>
      <c r="K521" t="s">
        <v>64</v>
      </c>
      <c r="L521" t="s">
        <v>65</v>
      </c>
      <c r="M521">
        <f>SUMIFS(RawResultsLong!$P:$P,RawResultsLong!$A:$A,A521)</f>
        <v>30.670102189502511</v>
      </c>
      <c r="N521">
        <f t="shared" si="51"/>
        <v>971.87689144619719</v>
      </c>
      <c r="O521" t="s">
        <v>78</v>
      </c>
      <c r="P521">
        <f>SUMIFS(TechnologyMapping!$D:$D,TechnologyMapping!$A:$A,C521)</f>
        <v>0.6</v>
      </c>
      <c r="Q521">
        <f t="shared" si="52"/>
        <v>583.12613486771829</v>
      </c>
      <c r="R521">
        <f>SUMIFS(FactorInputs!$I:$I,FactorInputs!$A:$A,B521)</f>
        <v>1.7347987181099998E-2</v>
      </c>
      <c r="S521" t="str">
        <f>_xlfn.XLOOKUP(B521,FactorInputs!$A$2:$A$888,FactorInputs!$F$2:$F$888,"")</f>
        <v>job/MW</v>
      </c>
      <c r="T521" t="str">
        <f>_xlfn.XLOOKUP(B521,FactorInputs!$A$2:$A$888,FactorInputs!$B$2:$B$888,"")</f>
        <v>Rutovitz 2025</v>
      </c>
      <c r="U521" t="str">
        <f>_xlfn.XLOOKUP(B521,FactorInputs!$A$2:$A$888,FactorInputs!$T$2:$T$888,"")</f>
        <v>Rutovitz 2025</v>
      </c>
      <c r="V521">
        <f t="shared" si="53"/>
        <v>10.116064712649566</v>
      </c>
      <c r="W521" t="s">
        <v>79</v>
      </c>
    </row>
    <row r="522" spans="1:23" x14ac:dyDescent="0.3">
      <c r="A522" t="str">
        <f t="shared" si="48"/>
        <v>CN|AccumulatedNewCapacity|RE1|PWRSOLUPE|2050</v>
      </c>
      <c r="B522" t="str">
        <f t="shared" si="49"/>
        <v>Utility-scale solar PV|2050|O&amp;M|Direct</v>
      </c>
      <c r="C522" t="str">
        <f t="shared" si="50"/>
        <v>PWRSOLUPE|Utility-scale solar PV</v>
      </c>
      <c r="D522" t="s">
        <v>39</v>
      </c>
      <c r="E522" t="s">
        <v>40</v>
      </c>
      <c r="F522" t="s">
        <v>19</v>
      </c>
      <c r="G522" t="s">
        <v>34</v>
      </c>
      <c r="H522">
        <v>2050</v>
      </c>
      <c r="I522" t="s">
        <v>18</v>
      </c>
      <c r="J522" t="s">
        <v>63</v>
      </c>
      <c r="K522" t="s">
        <v>64</v>
      </c>
      <c r="L522" t="s">
        <v>65</v>
      </c>
      <c r="M522">
        <f>SUMIFS(RawResultsLong!$P:$P,RawResultsLong!$A:$A,A522)</f>
        <v>6.833535839999973</v>
      </c>
      <c r="N522">
        <f t="shared" si="51"/>
        <v>216.54168377823322</v>
      </c>
      <c r="O522" t="s">
        <v>66</v>
      </c>
      <c r="P522">
        <f>SUMIFS(TechnologyMapping!$D:$D,TechnologyMapping!$A:$A,C522)</f>
        <v>1</v>
      </c>
      <c r="Q522">
        <f t="shared" si="52"/>
        <v>216.54168377823322</v>
      </c>
      <c r="R522">
        <f>SUMIFS(FactorInputs!$I:$I,FactorInputs!$A:$A,B522)</f>
        <v>7.0418918918899995E-2</v>
      </c>
      <c r="S522" t="str">
        <f>_xlfn.XLOOKUP(B522,FactorInputs!$A$2:$A$888,FactorInputs!$F$2:$F$888,"")</f>
        <v>job/MW</v>
      </c>
      <c r="T522" t="str">
        <f>_xlfn.XLOOKUP(B522,FactorInputs!$A$2:$A$888,FactorInputs!$B$2:$B$888,"")</f>
        <v>I-JEDI</v>
      </c>
      <c r="U522" t="str">
        <f>_xlfn.XLOOKUP(B522,FactorInputs!$A$2:$A$888,FactorInputs!$T$2:$T$888,"")</f>
        <v>I-JEDI</v>
      </c>
      <c r="V522">
        <f t="shared" si="53"/>
        <v>15.248631272541488</v>
      </c>
      <c r="W522" t="s">
        <v>67</v>
      </c>
    </row>
    <row r="523" spans="1:23" x14ac:dyDescent="0.3">
      <c r="A523" t="str">
        <f t="shared" si="48"/>
        <v>CN|AccumulatedNewCapacity|RE1|PWRWNDOFS_FIX|2050</v>
      </c>
      <c r="B523" t="str">
        <f t="shared" si="49"/>
        <v>Offshore wind (fixed)|2050|O&amp;M|Direct</v>
      </c>
      <c r="C523" t="str">
        <f t="shared" si="50"/>
        <v>PWRWNDOFS_FIX|Offshore wind (fixed)</v>
      </c>
      <c r="D523" t="s">
        <v>39</v>
      </c>
      <c r="E523" t="s">
        <v>40</v>
      </c>
      <c r="F523" t="s">
        <v>19</v>
      </c>
      <c r="G523" t="s">
        <v>42</v>
      </c>
      <c r="H523">
        <v>2050</v>
      </c>
      <c r="I523" t="s">
        <v>18</v>
      </c>
      <c r="J523" t="s">
        <v>63</v>
      </c>
      <c r="K523" t="s">
        <v>64</v>
      </c>
      <c r="L523" t="s">
        <v>65</v>
      </c>
      <c r="M523">
        <f>SUMIFS(RawResultsLong!$P:$P,RawResultsLong!$A:$A,A523)</f>
        <v>553.85030883313163</v>
      </c>
      <c r="N523">
        <f t="shared" si="51"/>
        <v>17550.457222131332</v>
      </c>
      <c r="O523" t="s">
        <v>74</v>
      </c>
      <c r="P523">
        <f>SUMIFS(TechnologyMapping!$D:$D,TechnologyMapping!$A:$A,C523)</f>
        <v>1</v>
      </c>
      <c r="Q523">
        <f t="shared" si="52"/>
        <v>17550.457222131332</v>
      </c>
      <c r="R523">
        <f>SUMIFS(FactorInputs!$I:$I,FactorInputs!$A:$A,B523)</f>
        <v>5.4989861751199999E-2</v>
      </c>
      <c r="S523" t="str">
        <f>_xlfn.XLOOKUP(B523,FactorInputs!$A$2:$A$888,FactorInputs!$F$2:$F$888,"")</f>
        <v>job/MW</v>
      </c>
      <c r="T523" t="str">
        <f>_xlfn.XLOOKUP(B523,FactorInputs!$A$2:$A$888,FactorInputs!$B$2:$B$888,"")</f>
        <v>French QBIS 2023</v>
      </c>
      <c r="U523" t="str">
        <f>_xlfn.XLOOKUP(B523,FactorInputs!$A$2:$A$888,FactorInputs!$T$2:$T$888,"")</f>
        <v>French QBIS 2023</v>
      </c>
      <c r="V523">
        <f t="shared" si="53"/>
        <v>965.09721631535149</v>
      </c>
    </row>
    <row r="524" spans="1:23" x14ac:dyDescent="0.3">
      <c r="A524" t="str">
        <f t="shared" si="48"/>
        <v>CN|AccumulatedNewCapacity|RE1|PWRWNDOFS_FLO|2050</v>
      </c>
      <c r="B524" t="str">
        <f t="shared" si="49"/>
        <v>Offshore wind (floating)|2050|O&amp;M|Direct</v>
      </c>
      <c r="C524" t="str">
        <f t="shared" si="50"/>
        <v>PWRWNDOFS_FLO|Offshore wind (floating)</v>
      </c>
      <c r="D524" t="s">
        <v>39</v>
      </c>
      <c r="E524" t="s">
        <v>40</v>
      </c>
      <c r="F524" t="s">
        <v>19</v>
      </c>
      <c r="G524" t="s">
        <v>43</v>
      </c>
      <c r="H524">
        <v>2050</v>
      </c>
      <c r="I524" t="s">
        <v>18</v>
      </c>
      <c r="J524" t="s">
        <v>63</v>
      </c>
      <c r="K524" t="s">
        <v>64</v>
      </c>
      <c r="L524" t="s">
        <v>65</v>
      </c>
      <c r="M524">
        <f>SUMIFS(RawResultsLong!$P:$P,RawResultsLong!$A:$A,A524)</f>
        <v>7.2734896835090179</v>
      </c>
      <c r="N524">
        <f t="shared" si="51"/>
        <v>230.48297980546738</v>
      </c>
      <c r="O524" t="s">
        <v>80</v>
      </c>
      <c r="P524">
        <f>SUMIFS(TechnologyMapping!$D:$D,TechnologyMapping!$A:$A,C524)</f>
        <v>1</v>
      </c>
      <c r="Q524">
        <f t="shared" si="52"/>
        <v>230.48297980546738</v>
      </c>
      <c r="R524">
        <f>SUMIFS(FactorInputs!$I:$I,FactorInputs!$A:$A,B524)</f>
        <v>0.125810138249</v>
      </c>
      <c r="S524" t="str">
        <f>_xlfn.XLOOKUP(B524,FactorInputs!$A$2:$A$888,FactorInputs!$F$2:$F$888,"")</f>
        <v>job/MW</v>
      </c>
      <c r="T524" t="str">
        <f>_xlfn.XLOOKUP(B524,FactorInputs!$A$2:$A$888,FactorInputs!$B$2:$B$888,"")</f>
        <v>French QBIS 2023</v>
      </c>
      <c r="U524" t="str">
        <f>_xlfn.XLOOKUP(B524,FactorInputs!$A$2:$A$888,FactorInputs!$T$2:$T$888,"")</f>
        <v>French QBIS 2023</v>
      </c>
      <c r="V524">
        <f t="shared" si="53"/>
        <v>28.997095553367327</v>
      </c>
    </row>
    <row r="525" spans="1:23" x14ac:dyDescent="0.3">
      <c r="A525" t="str">
        <f t="shared" si="48"/>
        <v>CN|AccumulatedNewCapacity|RE1|PWRWNDONS|2050</v>
      </c>
      <c r="B525" t="str">
        <f t="shared" si="49"/>
        <v>Onshore wind|2050|O&amp;M|Direct</v>
      </c>
      <c r="C525" t="str">
        <f t="shared" si="50"/>
        <v>PWRWNDONS|Onshore wind</v>
      </c>
      <c r="D525" t="s">
        <v>39</v>
      </c>
      <c r="E525" t="s">
        <v>40</v>
      </c>
      <c r="F525" t="s">
        <v>19</v>
      </c>
      <c r="G525" t="s">
        <v>36</v>
      </c>
      <c r="H525">
        <v>2050</v>
      </c>
      <c r="I525" t="s">
        <v>18</v>
      </c>
      <c r="J525" t="s">
        <v>63</v>
      </c>
      <c r="K525" t="s">
        <v>64</v>
      </c>
      <c r="L525" t="s">
        <v>65</v>
      </c>
      <c r="M525">
        <f>SUMIFS(RawResultsLong!$P:$P,RawResultsLong!$A:$A,A525)</f>
        <v>804.23944648443535</v>
      </c>
      <c r="N525">
        <f t="shared" si="51"/>
        <v>25484.810203704823</v>
      </c>
      <c r="O525" t="s">
        <v>68</v>
      </c>
      <c r="P525">
        <f>SUMIFS(TechnologyMapping!$D:$D,TechnologyMapping!$A:$A,C525)</f>
        <v>1</v>
      </c>
      <c r="Q525">
        <f t="shared" si="52"/>
        <v>25484.810203704823</v>
      </c>
      <c r="R525">
        <f>SUMIFS(FactorInputs!$I:$I,FactorInputs!$A:$A,B525)</f>
        <v>2.6934306569300001E-2</v>
      </c>
      <c r="S525" t="str">
        <f>_xlfn.XLOOKUP(B525,FactorInputs!$A$2:$A$888,FactorInputs!$F$2:$F$888,"")</f>
        <v>job/MW</v>
      </c>
      <c r="T525" t="str">
        <f>_xlfn.XLOOKUP(B525,FactorInputs!$A$2:$A$888,FactorInputs!$B$2:$B$888,"")</f>
        <v>I-JEDI</v>
      </c>
      <c r="U525" t="str">
        <f>_xlfn.XLOOKUP(B525,FactorInputs!$A$2:$A$888,FactorInputs!$T$2:$T$888,"")</f>
        <v>I-JEDI</v>
      </c>
      <c r="V525">
        <f t="shared" si="53"/>
        <v>686.41569088701056</v>
      </c>
    </row>
    <row r="526" spans="1:23" x14ac:dyDescent="0.3">
      <c r="A526" t="str">
        <f t="shared" si="48"/>
        <v>CN|NewCapacity|RE1|PWRSOLRTP|2050</v>
      </c>
      <c r="B526" t="str">
        <f t="shared" si="49"/>
        <v>Rooftop solar PV|2050|Construction&amp;Manufacturing|Direct</v>
      </c>
      <c r="C526" t="str">
        <f t="shared" si="50"/>
        <v>PWRSOLRTP|Rooftop solar PV</v>
      </c>
      <c r="D526" t="s">
        <v>39</v>
      </c>
      <c r="E526" t="s">
        <v>40</v>
      </c>
      <c r="F526" t="s">
        <v>19</v>
      </c>
      <c r="G526" t="s">
        <v>31</v>
      </c>
      <c r="H526">
        <v>2050</v>
      </c>
      <c r="I526" t="s">
        <v>37</v>
      </c>
      <c r="J526" t="s">
        <v>69</v>
      </c>
      <c r="K526" t="s">
        <v>70</v>
      </c>
      <c r="L526" t="s">
        <v>65</v>
      </c>
      <c r="M526">
        <f>SUMIFS(RawResultsLong!$P:$P,RawResultsLong!$A:$A,A526)</f>
        <v>1.27</v>
      </c>
      <c r="N526">
        <f t="shared" si="51"/>
        <v>40.243871523816765</v>
      </c>
      <c r="O526" t="s">
        <v>71</v>
      </c>
      <c r="P526">
        <f>SUMIFS(TechnologyMapping!$D:$D,TechnologyMapping!$A:$A,C526)</f>
        <v>1</v>
      </c>
      <c r="Q526">
        <f t="shared" si="52"/>
        <v>40.243871523816765</v>
      </c>
      <c r="R526">
        <f>SUMIFS(FactorInputs!$I:$I,FactorInputs!$A:$A,B526)</f>
        <v>4.3205610605400002</v>
      </c>
      <c r="S526" t="str">
        <f>_xlfn.XLOOKUP(B526,FactorInputs!$A$2:$A$888,FactorInputs!$F$2:$F$888,"")</f>
        <v>job-yr/MW</v>
      </c>
      <c r="T526" t="str">
        <f>_xlfn.XLOOKUP(B526,FactorInputs!$A$2:$A$888,FactorInputs!$B$2:$B$888,"")</f>
        <v>JEDI-US</v>
      </c>
      <c r="U526" t="str">
        <f>_xlfn.XLOOKUP(B526,FactorInputs!$A$2:$A$888,FactorInputs!$T$2:$T$888,"")</f>
        <v>JEDI-US</v>
      </c>
      <c r="V526">
        <f t="shared" si="53"/>
        <v>173.87610423117727</v>
      </c>
    </row>
    <row r="527" spans="1:23" x14ac:dyDescent="0.3">
      <c r="A527" t="str">
        <f t="shared" si="48"/>
        <v>CN|AccumulatedNewCapacity|RE1|PWRHYDDAM|2051</v>
      </c>
      <c r="B527" t="str">
        <f t="shared" si="49"/>
        <v>Hydro (large)|2051|O&amp;M|Direct</v>
      </c>
      <c r="C527" t="str">
        <f t="shared" si="50"/>
        <v>PWRHYDDAM|Hydro (large)</v>
      </c>
      <c r="D527" t="s">
        <v>39</v>
      </c>
      <c r="E527" t="s">
        <v>40</v>
      </c>
      <c r="F527" t="s">
        <v>19</v>
      </c>
      <c r="G527" t="s">
        <v>24</v>
      </c>
      <c r="H527">
        <v>2051</v>
      </c>
      <c r="I527" t="s">
        <v>18</v>
      </c>
      <c r="J527" t="s">
        <v>63</v>
      </c>
      <c r="K527" t="s">
        <v>64</v>
      </c>
      <c r="L527" t="s">
        <v>65</v>
      </c>
      <c r="M527">
        <f>SUMIFS(RawResultsLong!$P:$P,RawResultsLong!$A:$A,A527)</f>
        <v>37.840000000000003</v>
      </c>
      <c r="N527">
        <f t="shared" si="51"/>
        <v>1199.0772428828554</v>
      </c>
      <c r="O527" t="s">
        <v>72</v>
      </c>
      <c r="P527">
        <f>SUMIFS(TechnologyMapping!$D:$D,TechnologyMapping!$A:$A,C527)</f>
        <v>1</v>
      </c>
      <c r="Q527">
        <f t="shared" si="52"/>
        <v>1199.0772428828554</v>
      </c>
      <c r="R527">
        <f>SUMIFS(FactorInputs!$I:$I,FactorInputs!$A:$A,B527)</f>
        <v>0.63849180327900001</v>
      </c>
      <c r="S527" t="str">
        <f>_xlfn.XLOOKUP(B527,FactorInputs!$A$2:$A$888,FactorInputs!$F$2:$F$888,"")</f>
        <v>job/MW</v>
      </c>
      <c r="T527" t="str">
        <f>_xlfn.XLOOKUP(B527,FactorInputs!$A$2:$A$888,FactorInputs!$B$2:$B$888,"")</f>
        <v>Rutovitz 2015</v>
      </c>
      <c r="U527" t="str">
        <f>_xlfn.XLOOKUP(B527,FactorInputs!$A$2:$A$888,FactorInputs!$T$2:$T$888,"")</f>
        <v>Rutovitz 2015</v>
      </c>
      <c r="V527">
        <f t="shared" si="53"/>
        <v>765.60099107908582</v>
      </c>
    </row>
    <row r="528" spans="1:23" x14ac:dyDescent="0.3">
      <c r="A528" t="str">
        <f t="shared" si="48"/>
        <v>CN|AccumulatedNewCapacity|RE1|PWRHYDROR_NDC|2051</v>
      </c>
      <c r="B528" t="str">
        <f t="shared" si="49"/>
        <v>Hydro (small)|2051|O&amp;M|Direct</v>
      </c>
      <c r="C528" t="str">
        <f t="shared" si="50"/>
        <v>PWRHYDROR_NDC|Hydro (small)</v>
      </c>
      <c r="D528" t="s">
        <v>39</v>
      </c>
      <c r="E528" t="s">
        <v>40</v>
      </c>
      <c r="F528" t="s">
        <v>19</v>
      </c>
      <c r="G528" t="s">
        <v>26</v>
      </c>
      <c r="H528">
        <v>2051</v>
      </c>
      <c r="I528" t="s">
        <v>18</v>
      </c>
      <c r="J528" t="s">
        <v>63</v>
      </c>
      <c r="K528" t="s">
        <v>64</v>
      </c>
      <c r="L528" t="s">
        <v>65</v>
      </c>
      <c r="M528">
        <f>SUMIFS(RawResultsLong!$P:$P,RawResultsLong!$A:$A,A528)</f>
        <v>121.6663582335095</v>
      </c>
      <c r="N528">
        <f t="shared" si="51"/>
        <v>3855.3742437165529</v>
      </c>
      <c r="O528" t="s">
        <v>75</v>
      </c>
      <c r="P528">
        <f>SUMIFS(TechnologyMapping!$D:$D,TechnologyMapping!$A:$A,C528)</f>
        <v>1</v>
      </c>
      <c r="Q528">
        <f t="shared" si="52"/>
        <v>3855.3742437165529</v>
      </c>
      <c r="R528">
        <f>SUMIFS(FactorInputs!$I:$I,FactorInputs!$A:$A,B528)</f>
        <v>5.2114156626500003</v>
      </c>
      <c r="S528" t="str">
        <f>_xlfn.XLOOKUP(B528,FactorInputs!$A$2:$A$888,FactorInputs!$F$2:$F$888,"")</f>
        <v>job/MW</v>
      </c>
      <c r="T528" t="str">
        <f>_xlfn.XLOOKUP(B528,FactorInputs!$A$2:$A$888,FactorInputs!$B$2:$B$888,"")</f>
        <v>Rutovitz 2015</v>
      </c>
      <c r="U528" t="str">
        <f>_xlfn.XLOOKUP(B528,FactorInputs!$A$2:$A$888,FactorInputs!$T$2:$T$888,"")</f>
        <v>Rutovitz 2015</v>
      </c>
      <c r="V528">
        <f t="shared" si="53"/>
        <v>20091.957719081842</v>
      </c>
      <c r="W528" t="s">
        <v>76</v>
      </c>
    </row>
    <row r="529" spans="1:23" x14ac:dyDescent="0.3">
      <c r="A529" t="str">
        <f t="shared" si="48"/>
        <v>CN|AccumulatedNewCapacity|RE1|PWRSOLRTP|2051</v>
      </c>
      <c r="B529" t="str">
        <f t="shared" si="49"/>
        <v>Rooftop solar PV|2051|O&amp;M|Direct</v>
      </c>
      <c r="C529" t="str">
        <f t="shared" si="50"/>
        <v>PWRSOLRTP|Rooftop solar PV</v>
      </c>
      <c r="D529" t="s">
        <v>39</v>
      </c>
      <c r="E529" t="s">
        <v>40</v>
      </c>
      <c r="F529" t="s">
        <v>19</v>
      </c>
      <c r="G529" t="s">
        <v>31</v>
      </c>
      <c r="H529">
        <v>2051</v>
      </c>
      <c r="I529" t="s">
        <v>18</v>
      </c>
      <c r="J529" t="s">
        <v>63</v>
      </c>
      <c r="K529" t="s">
        <v>64</v>
      </c>
      <c r="L529" t="s">
        <v>65</v>
      </c>
      <c r="M529">
        <f>SUMIFS(RawResultsLong!$P:$P,RawResultsLong!$A:$A,A529)</f>
        <v>209.66345518622691</v>
      </c>
      <c r="N529">
        <f t="shared" si="51"/>
        <v>6643.833979333881</v>
      </c>
      <c r="O529" t="s">
        <v>71</v>
      </c>
      <c r="P529">
        <f>SUMIFS(TechnologyMapping!$D:$D,TechnologyMapping!$A:$A,C529)</f>
        <v>1</v>
      </c>
      <c r="Q529">
        <f t="shared" si="52"/>
        <v>6643.833979333881</v>
      </c>
      <c r="R529">
        <f>SUMIFS(FactorInputs!$I:$I,FactorInputs!$A:$A,B529)</f>
        <v>0.21705882352899999</v>
      </c>
      <c r="S529" t="str">
        <f>_xlfn.XLOOKUP(B529,FactorInputs!$A$2:$A$888,FactorInputs!$F$2:$F$888,"")</f>
        <v>job/MW</v>
      </c>
      <c r="T529" t="str">
        <f>_xlfn.XLOOKUP(B529,FactorInputs!$A$2:$A$888,FactorInputs!$B$2:$B$888,"")</f>
        <v>JEDI-US</v>
      </c>
      <c r="U529" t="str">
        <f>_xlfn.XLOOKUP(B529,FactorInputs!$A$2:$A$888,FactorInputs!$T$2:$T$888,"")</f>
        <v>JEDI-US</v>
      </c>
      <c r="V529">
        <f t="shared" si="53"/>
        <v>1442.1027872762068</v>
      </c>
    </row>
    <row r="530" spans="1:23" x14ac:dyDescent="0.3">
      <c r="A530" t="str">
        <f t="shared" si="48"/>
        <v>CN|AccumulatedNewCapacity|RE1|PWRSOLRTP_ZNI|2051</v>
      </c>
      <c r="B530" t="str">
        <f t="shared" si="49"/>
        <v>Rooftop solar PV|2051|O&amp;M|Direct</v>
      </c>
      <c r="C530" t="str">
        <f t="shared" si="50"/>
        <v>PWRSOLRTP_ZNI|Rooftop solar PV</v>
      </c>
      <c r="D530" t="s">
        <v>39</v>
      </c>
      <c r="E530" t="s">
        <v>40</v>
      </c>
      <c r="F530" t="s">
        <v>19</v>
      </c>
      <c r="G530" t="s">
        <v>32</v>
      </c>
      <c r="H530">
        <v>2051</v>
      </c>
      <c r="I530" t="s">
        <v>18</v>
      </c>
      <c r="J530" t="s">
        <v>63</v>
      </c>
      <c r="K530" t="s">
        <v>64</v>
      </c>
      <c r="L530" t="s">
        <v>65</v>
      </c>
      <c r="M530">
        <f>SUMIFS(RawResultsLong!$P:$P,RawResultsLong!$A:$A,A530)</f>
        <v>1.3696294318356339</v>
      </c>
      <c r="N530">
        <f t="shared" si="51"/>
        <v>43.400937708686143</v>
      </c>
      <c r="O530" t="s">
        <v>71</v>
      </c>
      <c r="P530">
        <f>SUMIFS(TechnologyMapping!$D:$D,TechnologyMapping!$A:$A,C530)</f>
        <v>1</v>
      </c>
      <c r="Q530">
        <f t="shared" si="52"/>
        <v>43.400937708686143</v>
      </c>
      <c r="R530">
        <f>SUMIFS(FactorInputs!$I:$I,FactorInputs!$A:$A,B530)</f>
        <v>0.21705882352899999</v>
      </c>
      <c r="S530" t="str">
        <f>_xlfn.XLOOKUP(B530,FactorInputs!$A$2:$A$888,FactorInputs!$F$2:$F$888,"")</f>
        <v>job/MW</v>
      </c>
      <c r="T530" t="str">
        <f>_xlfn.XLOOKUP(B530,FactorInputs!$A$2:$A$888,FactorInputs!$B$2:$B$888,"")</f>
        <v>JEDI-US</v>
      </c>
      <c r="U530" t="str">
        <f>_xlfn.XLOOKUP(B530,FactorInputs!$A$2:$A$888,FactorInputs!$T$2:$T$888,"")</f>
        <v>JEDI-US</v>
      </c>
      <c r="V530">
        <f t="shared" si="53"/>
        <v>9.4205564791028262</v>
      </c>
      <c r="W530" t="s">
        <v>73</v>
      </c>
    </row>
    <row r="531" spans="1:23" x14ac:dyDescent="0.3">
      <c r="A531" t="str">
        <f t="shared" si="48"/>
        <v>CN|AccumulatedNewCapacity|RE1|PWRSOLUGE|2051</v>
      </c>
      <c r="B531" t="str">
        <f t="shared" si="49"/>
        <v>Utility-scale solar PV|2051|O&amp;M|Direct</v>
      </c>
      <c r="C531" t="str">
        <f t="shared" si="50"/>
        <v>PWRSOLUGE|Utility-scale solar PV</v>
      </c>
      <c r="D531" t="s">
        <v>39</v>
      </c>
      <c r="E531" t="s">
        <v>40</v>
      </c>
      <c r="F531" t="s">
        <v>19</v>
      </c>
      <c r="G531" t="s">
        <v>33</v>
      </c>
      <c r="H531">
        <v>2051</v>
      </c>
      <c r="I531" t="s">
        <v>18</v>
      </c>
      <c r="J531" t="s">
        <v>63</v>
      </c>
      <c r="K531" t="s">
        <v>64</v>
      </c>
      <c r="L531" t="s">
        <v>65</v>
      </c>
      <c r="M531">
        <f>SUMIFS(RawResultsLong!$P:$P,RawResultsLong!$A:$A,A531)</f>
        <v>460.31769286843848</v>
      </c>
      <c r="N531">
        <f t="shared" si="51"/>
        <v>14586.587473966287</v>
      </c>
      <c r="O531" t="s">
        <v>66</v>
      </c>
      <c r="P531">
        <f>SUMIFS(TechnologyMapping!$D:$D,TechnologyMapping!$A:$A,C531)</f>
        <v>1</v>
      </c>
      <c r="Q531">
        <f t="shared" si="52"/>
        <v>14586.587473966287</v>
      </c>
      <c r="R531">
        <f>SUMIFS(FactorInputs!$I:$I,FactorInputs!$A:$A,B531)</f>
        <v>7.0418918918899995E-2</v>
      </c>
      <c r="S531" t="str">
        <f>_xlfn.XLOOKUP(B531,FactorInputs!$A$2:$A$888,FactorInputs!$F$2:$F$888,"")</f>
        <v>job/MW</v>
      </c>
      <c r="T531" t="str">
        <f>_xlfn.XLOOKUP(B531,FactorInputs!$A$2:$A$888,FactorInputs!$B$2:$B$888,"")</f>
        <v>I-JEDI</v>
      </c>
      <c r="U531" t="str">
        <f>_xlfn.XLOOKUP(B531,FactorInputs!$A$2:$A$888,FactorInputs!$T$2:$T$888,"")</f>
        <v>I-JEDI</v>
      </c>
      <c r="V531">
        <f t="shared" si="53"/>
        <v>1027.1717206326744</v>
      </c>
    </row>
    <row r="532" spans="1:23" x14ac:dyDescent="0.3">
      <c r="A532" t="str">
        <f t="shared" si="48"/>
        <v>CN|AccumulatedNewCapacity|RE1|PWRSOLUGE_BAT|2051</v>
      </c>
      <c r="B532" t="str">
        <f t="shared" si="49"/>
        <v>Utility-scale solar PV|2051|O&amp;M|Direct</v>
      </c>
      <c r="C532" t="str">
        <f t="shared" si="50"/>
        <v>PWRSOLUGE_BAT|Utility-scale solar PV</v>
      </c>
      <c r="D532" t="s">
        <v>39</v>
      </c>
      <c r="E532" t="s">
        <v>40</v>
      </c>
      <c r="F532" t="s">
        <v>19</v>
      </c>
      <c r="G532" t="s">
        <v>41</v>
      </c>
      <c r="H532">
        <v>2051</v>
      </c>
      <c r="I532" t="s">
        <v>18</v>
      </c>
      <c r="J532" t="s">
        <v>63</v>
      </c>
      <c r="K532" t="s">
        <v>64</v>
      </c>
      <c r="L532" t="s">
        <v>65</v>
      </c>
      <c r="M532">
        <f>SUMIFS(RawResultsLong!$P:$P,RawResultsLong!$A:$A,A532)</f>
        <v>30.670102189502511</v>
      </c>
      <c r="N532">
        <f t="shared" si="51"/>
        <v>971.87689144619719</v>
      </c>
      <c r="O532" t="s">
        <v>66</v>
      </c>
      <c r="P532">
        <f>SUMIFS(TechnologyMapping!$D:$D,TechnologyMapping!$A:$A,C532)</f>
        <v>1</v>
      </c>
      <c r="Q532">
        <f t="shared" si="52"/>
        <v>971.87689144619719</v>
      </c>
      <c r="R532">
        <f>SUMIFS(FactorInputs!$I:$I,FactorInputs!$A:$A,B532)</f>
        <v>7.0418918918899995E-2</v>
      </c>
      <c r="S532" t="str">
        <f>_xlfn.XLOOKUP(B532,FactorInputs!$A$2:$A$888,FactorInputs!$F$2:$F$888,"")</f>
        <v>job/MW</v>
      </c>
      <c r="T532" t="str">
        <f>_xlfn.XLOOKUP(B532,FactorInputs!$A$2:$A$888,FactorInputs!$B$2:$B$888,"")</f>
        <v>I-JEDI</v>
      </c>
      <c r="U532" t="str">
        <f>_xlfn.XLOOKUP(B532,FactorInputs!$A$2:$A$888,FactorInputs!$T$2:$T$888,"")</f>
        <v>I-JEDI</v>
      </c>
      <c r="V532">
        <f t="shared" si="53"/>
        <v>68.438520017902334</v>
      </c>
      <c r="W532" t="s">
        <v>77</v>
      </c>
    </row>
    <row r="533" spans="1:23" x14ac:dyDescent="0.3">
      <c r="A533" t="str">
        <f t="shared" si="48"/>
        <v>CN|AccumulatedNewCapacity|RE1|PWRSOLUGE_BAT|2051</v>
      </c>
      <c r="B533" t="str">
        <f t="shared" si="49"/>
        <v>Battery storage (grid)|2051|O&amp;M|Direct</v>
      </c>
      <c r="C533" t="str">
        <f t="shared" si="50"/>
        <v>PWRSOLUGE_BAT|Battery storage (grid)</v>
      </c>
      <c r="D533" t="s">
        <v>39</v>
      </c>
      <c r="E533" t="s">
        <v>40</v>
      </c>
      <c r="F533" t="s">
        <v>19</v>
      </c>
      <c r="G533" t="s">
        <v>41</v>
      </c>
      <c r="H533">
        <v>2051</v>
      </c>
      <c r="I533" t="s">
        <v>18</v>
      </c>
      <c r="J533" t="s">
        <v>63</v>
      </c>
      <c r="K533" t="s">
        <v>64</v>
      </c>
      <c r="L533" t="s">
        <v>65</v>
      </c>
      <c r="M533">
        <f>SUMIFS(RawResultsLong!$P:$P,RawResultsLong!$A:$A,A533)</f>
        <v>30.670102189502511</v>
      </c>
      <c r="N533">
        <f t="shared" si="51"/>
        <v>971.87689144619719</v>
      </c>
      <c r="O533" t="s">
        <v>78</v>
      </c>
      <c r="P533">
        <f>SUMIFS(TechnologyMapping!$D:$D,TechnologyMapping!$A:$A,C533)</f>
        <v>0.6</v>
      </c>
      <c r="Q533">
        <f t="shared" si="52"/>
        <v>583.12613486771829</v>
      </c>
      <c r="R533">
        <f>SUMIFS(FactorInputs!$I:$I,FactorInputs!$A:$A,B533)</f>
        <v>1.7347987181099998E-2</v>
      </c>
      <c r="S533" t="str">
        <f>_xlfn.XLOOKUP(B533,FactorInputs!$A$2:$A$888,FactorInputs!$F$2:$F$888,"")</f>
        <v>job/MW</v>
      </c>
      <c r="T533" t="str">
        <f>_xlfn.XLOOKUP(B533,FactorInputs!$A$2:$A$888,FactorInputs!$B$2:$B$888,"")</f>
        <v>Rutovitz 2025</v>
      </c>
      <c r="U533" t="str">
        <f>_xlfn.XLOOKUP(B533,FactorInputs!$A$2:$A$888,FactorInputs!$T$2:$T$888,"")</f>
        <v>Rutovitz 2025</v>
      </c>
      <c r="V533">
        <f t="shared" si="53"/>
        <v>10.116064712649566</v>
      </c>
      <c r="W533" t="s">
        <v>79</v>
      </c>
    </row>
    <row r="534" spans="1:23" x14ac:dyDescent="0.3">
      <c r="A534" t="str">
        <f t="shared" si="48"/>
        <v>CN|AccumulatedNewCapacity|RE1|PWRSOLUPE|2051</v>
      </c>
      <c r="B534" t="str">
        <f t="shared" si="49"/>
        <v>Utility-scale solar PV|2051|O&amp;M|Direct</v>
      </c>
      <c r="C534" t="str">
        <f t="shared" si="50"/>
        <v>PWRSOLUPE|Utility-scale solar PV</v>
      </c>
      <c r="D534" t="s">
        <v>39</v>
      </c>
      <c r="E534" t="s">
        <v>40</v>
      </c>
      <c r="F534" t="s">
        <v>19</v>
      </c>
      <c r="G534" t="s">
        <v>34</v>
      </c>
      <c r="H534">
        <v>2051</v>
      </c>
      <c r="I534" t="s">
        <v>18</v>
      </c>
      <c r="J534" t="s">
        <v>63</v>
      </c>
      <c r="K534" t="s">
        <v>64</v>
      </c>
      <c r="L534" t="s">
        <v>65</v>
      </c>
      <c r="M534">
        <f>SUMIFS(RawResultsLong!$P:$P,RawResultsLong!$A:$A,A534)</f>
        <v>3.4689599999999992</v>
      </c>
      <c r="N534">
        <f t="shared" si="51"/>
        <v>109.92470910335383</v>
      </c>
      <c r="O534" t="s">
        <v>66</v>
      </c>
      <c r="P534">
        <f>SUMIFS(TechnologyMapping!$D:$D,TechnologyMapping!$A:$A,C534)</f>
        <v>1</v>
      </c>
      <c r="Q534">
        <f t="shared" si="52"/>
        <v>109.92470910335383</v>
      </c>
      <c r="R534">
        <f>SUMIFS(FactorInputs!$I:$I,FactorInputs!$A:$A,B534)</f>
        <v>7.0418918918899995E-2</v>
      </c>
      <c r="S534" t="str">
        <f>_xlfn.XLOOKUP(B534,FactorInputs!$A$2:$A$888,FactorInputs!$F$2:$F$888,"")</f>
        <v>job/MW</v>
      </c>
      <c r="T534" t="str">
        <f>_xlfn.XLOOKUP(B534,FactorInputs!$A$2:$A$888,FactorInputs!$B$2:$B$888,"")</f>
        <v>I-JEDI</v>
      </c>
      <c r="U534" t="str">
        <f>_xlfn.XLOOKUP(B534,FactorInputs!$A$2:$A$888,FactorInputs!$T$2:$T$888,"")</f>
        <v>I-JEDI</v>
      </c>
      <c r="V534">
        <f t="shared" si="53"/>
        <v>7.7407791775327421</v>
      </c>
      <c r="W534" t="s">
        <v>67</v>
      </c>
    </row>
    <row r="535" spans="1:23" x14ac:dyDescent="0.3">
      <c r="A535" t="str">
        <f t="shared" si="48"/>
        <v>CN|AccumulatedNewCapacity|RE1|PWRWNDOFS_FIX|2051</v>
      </c>
      <c r="B535" t="str">
        <f t="shared" si="49"/>
        <v>Offshore wind (fixed)|2051|O&amp;M|Direct</v>
      </c>
      <c r="C535" t="str">
        <f t="shared" si="50"/>
        <v>PWRWNDOFS_FIX|Offshore wind (fixed)</v>
      </c>
      <c r="D535" t="s">
        <v>39</v>
      </c>
      <c r="E535" t="s">
        <v>40</v>
      </c>
      <c r="F535" t="s">
        <v>19</v>
      </c>
      <c r="G535" t="s">
        <v>42</v>
      </c>
      <c r="H535">
        <v>2051</v>
      </c>
      <c r="I535" t="s">
        <v>18</v>
      </c>
      <c r="J535" t="s">
        <v>63</v>
      </c>
      <c r="K535" t="s">
        <v>64</v>
      </c>
      <c r="L535" t="s">
        <v>65</v>
      </c>
      <c r="M535">
        <f>SUMIFS(RawResultsLong!$P:$P,RawResultsLong!$A:$A,A535)</f>
        <v>553.85030883313163</v>
      </c>
      <c r="N535">
        <f t="shared" si="51"/>
        <v>17550.457222131332</v>
      </c>
      <c r="O535" t="s">
        <v>74</v>
      </c>
      <c r="P535">
        <f>SUMIFS(TechnologyMapping!$D:$D,TechnologyMapping!$A:$A,C535)</f>
        <v>1</v>
      </c>
      <c r="Q535">
        <f t="shared" si="52"/>
        <v>17550.457222131332</v>
      </c>
      <c r="R535">
        <f>SUMIFS(FactorInputs!$I:$I,FactorInputs!$A:$A,B535)</f>
        <v>5.4989861751199999E-2</v>
      </c>
      <c r="S535" t="str">
        <f>_xlfn.XLOOKUP(B535,FactorInputs!$A$2:$A$888,FactorInputs!$F$2:$F$888,"")</f>
        <v>job/MW</v>
      </c>
      <c r="T535" t="str">
        <f>_xlfn.XLOOKUP(B535,FactorInputs!$A$2:$A$888,FactorInputs!$B$2:$B$888,"")</f>
        <v>French QBIS 2023</v>
      </c>
      <c r="U535" t="str">
        <f>_xlfn.XLOOKUP(B535,FactorInputs!$A$2:$A$888,FactorInputs!$T$2:$T$888,"")</f>
        <v>French QBIS 2023</v>
      </c>
      <c r="V535">
        <f t="shared" si="53"/>
        <v>965.09721631535149</v>
      </c>
    </row>
    <row r="536" spans="1:23" x14ac:dyDescent="0.3">
      <c r="A536" t="str">
        <f t="shared" si="48"/>
        <v>CN|AccumulatedNewCapacity|RE1|PWRWNDOFS_FLO|2051</v>
      </c>
      <c r="B536" t="str">
        <f t="shared" si="49"/>
        <v>Offshore wind (floating)|2051|O&amp;M|Direct</v>
      </c>
      <c r="C536" t="str">
        <f t="shared" si="50"/>
        <v>PWRWNDOFS_FLO|Offshore wind (floating)</v>
      </c>
      <c r="D536" t="s">
        <v>39</v>
      </c>
      <c r="E536" t="s">
        <v>40</v>
      </c>
      <c r="F536" t="s">
        <v>19</v>
      </c>
      <c r="G536" t="s">
        <v>43</v>
      </c>
      <c r="H536">
        <v>2051</v>
      </c>
      <c r="I536" t="s">
        <v>18</v>
      </c>
      <c r="J536" t="s">
        <v>63</v>
      </c>
      <c r="K536" t="s">
        <v>64</v>
      </c>
      <c r="L536" t="s">
        <v>65</v>
      </c>
      <c r="M536">
        <f>SUMIFS(RawResultsLong!$P:$P,RawResultsLong!$A:$A,A536)</f>
        <v>7.2734896835090179</v>
      </c>
      <c r="N536">
        <f t="shared" si="51"/>
        <v>230.48297980546738</v>
      </c>
      <c r="O536" t="s">
        <v>80</v>
      </c>
      <c r="P536">
        <f>SUMIFS(TechnologyMapping!$D:$D,TechnologyMapping!$A:$A,C536)</f>
        <v>1</v>
      </c>
      <c r="Q536">
        <f t="shared" si="52"/>
        <v>230.48297980546738</v>
      </c>
      <c r="R536">
        <f>SUMIFS(FactorInputs!$I:$I,FactorInputs!$A:$A,B536)</f>
        <v>0.125810138249</v>
      </c>
      <c r="S536" t="str">
        <f>_xlfn.XLOOKUP(B536,FactorInputs!$A$2:$A$888,FactorInputs!$F$2:$F$888,"")</f>
        <v>job/MW</v>
      </c>
      <c r="T536" t="str">
        <f>_xlfn.XLOOKUP(B536,FactorInputs!$A$2:$A$888,FactorInputs!$B$2:$B$888,"")</f>
        <v>French QBIS 2023</v>
      </c>
      <c r="U536" t="str">
        <f>_xlfn.XLOOKUP(B536,FactorInputs!$A$2:$A$888,FactorInputs!$T$2:$T$888,"")</f>
        <v>French QBIS 2023</v>
      </c>
      <c r="V536">
        <f t="shared" si="53"/>
        <v>28.997095553367327</v>
      </c>
    </row>
    <row r="537" spans="1:23" x14ac:dyDescent="0.3">
      <c r="A537" t="str">
        <f t="shared" si="48"/>
        <v>CN|AccumulatedNewCapacity|RE1|PWRWNDONS|2051</v>
      </c>
      <c r="B537" t="str">
        <f t="shared" si="49"/>
        <v>Onshore wind|2051|O&amp;M|Direct</v>
      </c>
      <c r="C537" t="str">
        <f t="shared" si="50"/>
        <v>PWRWNDONS|Onshore wind</v>
      </c>
      <c r="D537" t="s">
        <v>39</v>
      </c>
      <c r="E537" t="s">
        <v>40</v>
      </c>
      <c r="F537" t="s">
        <v>19</v>
      </c>
      <c r="G537" t="s">
        <v>36</v>
      </c>
      <c r="H537">
        <v>2051</v>
      </c>
      <c r="I537" t="s">
        <v>18</v>
      </c>
      <c r="J537" t="s">
        <v>63</v>
      </c>
      <c r="K537" t="s">
        <v>64</v>
      </c>
      <c r="L537" t="s">
        <v>65</v>
      </c>
      <c r="M537">
        <f>SUMIFS(RawResultsLong!$P:$P,RawResultsLong!$A:$A,A537)</f>
        <v>851.54944648443529</v>
      </c>
      <c r="N537">
        <f t="shared" si="51"/>
        <v>26983.973638186533</v>
      </c>
      <c r="O537" t="s">
        <v>68</v>
      </c>
      <c r="P537">
        <f>SUMIFS(TechnologyMapping!$D:$D,TechnologyMapping!$A:$A,C537)</f>
        <v>1</v>
      </c>
      <c r="Q537">
        <f t="shared" si="52"/>
        <v>26983.973638186533</v>
      </c>
      <c r="R537">
        <f>SUMIFS(FactorInputs!$I:$I,FactorInputs!$A:$A,B537)</f>
        <v>2.6934306569300001E-2</v>
      </c>
      <c r="S537" t="str">
        <f>_xlfn.XLOOKUP(B537,FactorInputs!$A$2:$A$888,FactorInputs!$F$2:$F$888,"")</f>
        <v>job/MW</v>
      </c>
      <c r="T537" t="str">
        <f>_xlfn.XLOOKUP(B537,FactorInputs!$A$2:$A$888,FactorInputs!$B$2:$B$888,"")</f>
        <v>I-JEDI</v>
      </c>
      <c r="U537" t="str">
        <f>_xlfn.XLOOKUP(B537,FactorInputs!$A$2:$A$888,FactorInputs!$T$2:$T$888,"")</f>
        <v>I-JEDI</v>
      </c>
      <c r="V537">
        <f t="shared" si="53"/>
        <v>726.79461842882563</v>
      </c>
    </row>
    <row r="538" spans="1:23" x14ac:dyDescent="0.3">
      <c r="A538" t="str">
        <f t="shared" si="48"/>
        <v>CN|NewCapacity|RE1|PWRSOLRTP|2051</v>
      </c>
      <c r="B538" t="str">
        <f t="shared" si="49"/>
        <v>Rooftop solar PV|2051|Construction&amp;Manufacturing|Direct</v>
      </c>
      <c r="C538" t="str">
        <f t="shared" si="50"/>
        <v>PWRSOLRTP|Rooftop solar PV</v>
      </c>
      <c r="D538" t="s">
        <v>39</v>
      </c>
      <c r="E538" t="s">
        <v>40</v>
      </c>
      <c r="F538" t="s">
        <v>19</v>
      </c>
      <c r="G538" t="s">
        <v>31</v>
      </c>
      <c r="H538">
        <v>2051</v>
      </c>
      <c r="I538" t="s">
        <v>37</v>
      </c>
      <c r="J538" t="s">
        <v>69</v>
      </c>
      <c r="K538" t="s">
        <v>70</v>
      </c>
      <c r="L538" t="s">
        <v>65</v>
      </c>
      <c r="M538">
        <f>SUMIFS(RawResultsLong!$P:$P,RawResultsLong!$A:$A,A538)</f>
        <v>1.27</v>
      </c>
      <c r="N538">
        <f t="shared" si="51"/>
        <v>40.243871523816765</v>
      </c>
      <c r="O538" t="s">
        <v>71</v>
      </c>
      <c r="P538">
        <f>SUMIFS(TechnologyMapping!$D:$D,TechnologyMapping!$A:$A,C538)</f>
        <v>1</v>
      </c>
      <c r="Q538">
        <f t="shared" si="52"/>
        <v>40.243871523816765</v>
      </c>
      <c r="R538">
        <f>SUMIFS(FactorInputs!$I:$I,FactorInputs!$A:$A,B538)</f>
        <v>4.3205610605400002</v>
      </c>
      <c r="S538" t="str">
        <f>_xlfn.XLOOKUP(B538,FactorInputs!$A$2:$A$888,FactorInputs!$F$2:$F$888,"")</f>
        <v>job-yr/MW</v>
      </c>
      <c r="T538" t="str">
        <f>_xlfn.XLOOKUP(B538,FactorInputs!$A$2:$A$888,FactorInputs!$B$2:$B$888,"")</f>
        <v>JEDI-US</v>
      </c>
      <c r="U538" t="str">
        <f>_xlfn.XLOOKUP(B538,FactorInputs!$A$2:$A$888,FactorInputs!$T$2:$T$888,"")</f>
        <v>JEDI-US</v>
      </c>
      <c r="V538">
        <f t="shared" si="53"/>
        <v>173.87610423117727</v>
      </c>
    </row>
    <row r="539" spans="1:23" x14ac:dyDescent="0.3">
      <c r="A539" t="str">
        <f t="shared" si="48"/>
        <v>CN|NewCapacity|RE1|PWRWNDONS|2051</v>
      </c>
      <c r="B539" t="str">
        <f t="shared" si="49"/>
        <v>Onshore wind|2051|Construction&amp;Manufacturing|Direct</v>
      </c>
      <c r="C539" t="str">
        <f t="shared" si="50"/>
        <v>PWRWNDONS|Onshore wind</v>
      </c>
      <c r="D539" t="s">
        <v>39</v>
      </c>
      <c r="E539" t="s">
        <v>40</v>
      </c>
      <c r="F539" t="s">
        <v>19</v>
      </c>
      <c r="G539" t="s">
        <v>36</v>
      </c>
      <c r="H539">
        <v>2051</v>
      </c>
      <c r="I539" t="s">
        <v>37</v>
      </c>
      <c r="J539" t="s">
        <v>69</v>
      </c>
      <c r="K539" t="s">
        <v>70</v>
      </c>
      <c r="L539" t="s">
        <v>65</v>
      </c>
      <c r="M539">
        <f>SUMIFS(RawResultsLong!$P:$P,RawResultsLong!$A:$A,A539)</f>
        <v>47.31</v>
      </c>
      <c r="N539">
        <f t="shared" si="51"/>
        <v>1499.1634344817096</v>
      </c>
      <c r="O539" t="s">
        <v>68</v>
      </c>
      <c r="P539">
        <f>SUMIFS(TechnologyMapping!$D:$D,TechnologyMapping!$A:$A,C539)</f>
        <v>1</v>
      </c>
      <c r="Q539">
        <f t="shared" si="52"/>
        <v>1499.1634344817096</v>
      </c>
      <c r="R539">
        <f>SUMIFS(FactorInputs!$I:$I,FactorInputs!$A:$A,B539)</f>
        <v>6.5127600165799997</v>
      </c>
      <c r="S539" t="str">
        <f>_xlfn.XLOOKUP(B539,FactorInputs!$A$2:$A$888,FactorInputs!$F$2:$F$888,"")</f>
        <v>job-yr/MW</v>
      </c>
      <c r="T539" t="str">
        <f>_xlfn.XLOOKUP(B539,FactorInputs!$A$2:$A$888,FactorInputs!$B$2:$B$888,"")</f>
        <v>I-JEDI</v>
      </c>
      <c r="U539" t="str">
        <f>_xlfn.XLOOKUP(B539,FactorInputs!$A$2:$A$888,FactorInputs!$T$2:$T$888,"")</f>
        <v>I-JEDI</v>
      </c>
      <c r="V539">
        <f t="shared" si="53"/>
        <v>9763.6916744112277</v>
      </c>
    </row>
    <row r="540" spans="1:23" x14ac:dyDescent="0.3">
      <c r="A540" t="str">
        <f t="shared" si="48"/>
        <v>CN|AccumulatedNewCapacity|RE1|PWRHYDDAM|2052</v>
      </c>
      <c r="B540" t="str">
        <f t="shared" si="49"/>
        <v>Hydro (large)|2052|O&amp;M|Direct</v>
      </c>
      <c r="C540" t="str">
        <f t="shared" si="50"/>
        <v>PWRHYDDAM|Hydro (large)</v>
      </c>
      <c r="D540" t="s">
        <v>39</v>
      </c>
      <c r="E540" t="s">
        <v>40</v>
      </c>
      <c r="F540" t="s">
        <v>19</v>
      </c>
      <c r="G540" t="s">
        <v>24</v>
      </c>
      <c r="H540">
        <v>2052</v>
      </c>
      <c r="I540" t="s">
        <v>18</v>
      </c>
      <c r="J540" t="s">
        <v>63</v>
      </c>
      <c r="K540" t="s">
        <v>64</v>
      </c>
      <c r="L540" t="s">
        <v>65</v>
      </c>
      <c r="M540">
        <f>SUMIFS(RawResultsLong!$P:$P,RawResultsLong!$A:$A,A540)</f>
        <v>37.840000000000003</v>
      </c>
      <c r="N540">
        <f t="shared" si="51"/>
        <v>1199.0772428828554</v>
      </c>
      <c r="O540" t="s">
        <v>72</v>
      </c>
      <c r="P540">
        <f>SUMIFS(TechnologyMapping!$D:$D,TechnologyMapping!$A:$A,C540)</f>
        <v>1</v>
      </c>
      <c r="Q540">
        <f t="shared" si="52"/>
        <v>1199.0772428828554</v>
      </c>
      <c r="R540">
        <f>SUMIFS(FactorInputs!$I:$I,FactorInputs!$A:$A,B540)</f>
        <v>0.63849180327900001</v>
      </c>
      <c r="S540" t="str">
        <f>_xlfn.XLOOKUP(B540,FactorInputs!$A$2:$A$888,FactorInputs!$F$2:$F$888,"")</f>
        <v>job/MW</v>
      </c>
      <c r="T540" t="str">
        <f>_xlfn.XLOOKUP(B540,FactorInputs!$A$2:$A$888,FactorInputs!$B$2:$B$888,"")</f>
        <v>Rutovitz 2015</v>
      </c>
      <c r="U540" t="str">
        <f>_xlfn.XLOOKUP(B540,FactorInputs!$A$2:$A$888,FactorInputs!$T$2:$T$888,"")</f>
        <v>Rutovitz 2015</v>
      </c>
      <c r="V540">
        <f t="shared" si="53"/>
        <v>765.60099107908582</v>
      </c>
    </row>
    <row r="541" spans="1:23" x14ac:dyDescent="0.3">
      <c r="A541" t="str">
        <f t="shared" si="48"/>
        <v>CN|AccumulatedNewCapacity|RE1|PWRHYDROR_NDC|2052</v>
      </c>
      <c r="B541" t="str">
        <f t="shared" si="49"/>
        <v>Hydro (small)|2052|O&amp;M|Direct</v>
      </c>
      <c r="C541" t="str">
        <f t="shared" si="50"/>
        <v>PWRHYDROR_NDC|Hydro (small)</v>
      </c>
      <c r="D541" t="s">
        <v>39</v>
      </c>
      <c r="E541" t="s">
        <v>40</v>
      </c>
      <c r="F541" t="s">
        <v>19</v>
      </c>
      <c r="G541" t="s">
        <v>26</v>
      </c>
      <c r="H541">
        <v>2052</v>
      </c>
      <c r="I541" t="s">
        <v>18</v>
      </c>
      <c r="J541" t="s">
        <v>63</v>
      </c>
      <c r="K541" t="s">
        <v>64</v>
      </c>
      <c r="L541" t="s">
        <v>65</v>
      </c>
      <c r="M541">
        <f>SUMIFS(RawResultsLong!$P:$P,RawResultsLong!$A:$A,A541)</f>
        <v>121.6663582335095</v>
      </c>
      <c r="N541">
        <f t="shared" si="51"/>
        <v>3855.3742437165529</v>
      </c>
      <c r="O541" t="s">
        <v>75</v>
      </c>
      <c r="P541">
        <f>SUMIFS(TechnologyMapping!$D:$D,TechnologyMapping!$A:$A,C541)</f>
        <v>1</v>
      </c>
      <c r="Q541">
        <f t="shared" si="52"/>
        <v>3855.3742437165529</v>
      </c>
      <c r="R541">
        <f>SUMIFS(FactorInputs!$I:$I,FactorInputs!$A:$A,B541)</f>
        <v>5.2114156626500003</v>
      </c>
      <c r="S541" t="str">
        <f>_xlfn.XLOOKUP(B541,FactorInputs!$A$2:$A$888,FactorInputs!$F$2:$F$888,"")</f>
        <v>job/MW</v>
      </c>
      <c r="T541" t="str">
        <f>_xlfn.XLOOKUP(B541,FactorInputs!$A$2:$A$888,FactorInputs!$B$2:$B$888,"")</f>
        <v>Rutovitz 2015</v>
      </c>
      <c r="U541" t="str">
        <f>_xlfn.XLOOKUP(B541,FactorInputs!$A$2:$A$888,FactorInputs!$T$2:$T$888,"")</f>
        <v>Rutovitz 2015</v>
      </c>
      <c r="V541">
        <f t="shared" si="53"/>
        <v>20091.957719081842</v>
      </c>
      <c r="W541" t="s">
        <v>76</v>
      </c>
    </row>
    <row r="542" spans="1:23" x14ac:dyDescent="0.3">
      <c r="A542" t="str">
        <f t="shared" si="48"/>
        <v>CN|AccumulatedNewCapacity|RE1|PWRSOLRTP|2052</v>
      </c>
      <c r="B542" t="str">
        <f t="shared" si="49"/>
        <v>Rooftop solar PV|2052|O&amp;M|Direct</v>
      </c>
      <c r="C542" t="str">
        <f t="shared" si="50"/>
        <v>PWRSOLRTP|Rooftop solar PV</v>
      </c>
      <c r="D542" t="s">
        <v>39</v>
      </c>
      <c r="E542" t="s">
        <v>40</v>
      </c>
      <c r="F542" t="s">
        <v>19</v>
      </c>
      <c r="G542" t="s">
        <v>31</v>
      </c>
      <c r="H542">
        <v>2052</v>
      </c>
      <c r="I542" t="s">
        <v>18</v>
      </c>
      <c r="J542" t="s">
        <v>63</v>
      </c>
      <c r="K542" t="s">
        <v>64</v>
      </c>
      <c r="L542" t="s">
        <v>65</v>
      </c>
      <c r="M542">
        <f>SUMIFS(RawResultsLong!$P:$P,RawResultsLong!$A:$A,A542)</f>
        <v>196.09345518622689</v>
      </c>
      <c r="N542">
        <f t="shared" si="51"/>
        <v>6213.8266276975082</v>
      </c>
      <c r="O542" t="s">
        <v>71</v>
      </c>
      <c r="P542">
        <f>SUMIFS(TechnologyMapping!$D:$D,TechnologyMapping!$A:$A,C542)</f>
        <v>1</v>
      </c>
      <c r="Q542">
        <f t="shared" si="52"/>
        <v>6213.8266276975082</v>
      </c>
      <c r="R542">
        <f>SUMIFS(FactorInputs!$I:$I,FactorInputs!$A:$A,B542)</f>
        <v>0.21705882352899999</v>
      </c>
      <c r="S542" t="str">
        <f>_xlfn.XLOOKUP(B542,FactorInputs!$A$2:$A$888,FactorInputs!$F$2:$F$888,"")</f>
        <v>job/MW</v>
      </c>
      <c r="T542" t="str">
        <f>_xlfn.XLOOKUP(B542,FactorInputs!$A$2:$A$888,FactorInputs!$B$2:$B$888,"")</f>
        <v>JEDI-US</v>
      </c>
      <c r="U542" t="str">
        <f>_xlfn.XLOOKUP(B542,FactorInputs!$A$2:$A$888,FactorInputs!$T$2:$T$888,"")</f>
        <v>JEDI-US</v>
      </c>
      <c r="V542">
        <f t="shared" si="53"/>
        <v>1348.7658974211945</v>
      </c>
    </row>
    <row r="543" spans="1:23" x14ac:dyDescent="0.3">
      <c r="A543" t="str">
        <f t="shared" si="48"/>
        <v>CN|AccumulatedNewCapacity|RE1|PWRSOLRTP_ZNI|2052</v>
      </c>
      <c r="B543" t="str">
        <f t="shared" si="49"/>
        <v>Rooftop solar PV|2052|O&amp;M|Direct</v>
      </c>
      <c r="C543" t="str">
        <f t="shared" si="50"/>
        <v>PWRSOLRTP_ZNI|Rooftop solar PV</v>
      </c>
      <c r="D543" t="s">
        <v>39</v>
      </c>
      <c r="E543" t="s">
        <v>40</v>
      </c>
      <c r="F543" t="s">
        <v>19</v>
      </c>
      <c r="G543" t="s">
        <v>32</v>
      </c>
      <c r="H543">
        <v>2052</v>
      </c>
      <c r="I543" t="s">
        <v>18</v>
      </c>
      <c r="J543" t="s">
        <v>63</v>
      </c>
      <c r="K543" t="s">
        <v>64</v>
      </c>
      <c r="L543" t="s">
        <v>65</v>
      </c>
      <c r="M543">
        <f>SUMIFS(RawResultsLong!$P:$P,RawResultsLong!$A:$A,A543)</f>
        <v>1.3696294318356339</v>
      </c>
      <c r="N543">
        <f t="shared" si="51"/>
        <v>43.400937708686143</v>
      </c>
      <c r="O543" t="s">
        <v>71</v>
      </c>
      <c r="P543">
        <f>SUMIFS(TechnologyMapping!$D:$D,TechnologyMapping!$A:$A,C543)</f>
        <v>1</v>
      </c>
      <c r="Q543">
        <f t="shared" si="52"/>
        <v>43.400937708686143</v>
      </c>
      <c r="R543">
        <f>SUMIFS(FactorInputs!$I:$I,FactorInputs!$A:$A,B543)</f>
        <v>0.21705882352899999</v>
      </c>
      <c r="S543" t="str">
        <f>_xlfn.XLOOKUP(B543,FactorInputs!$A$2:$A$888,FactorInputs!$F$2:$F$888,"")</f>
        <v>job/MW</v>
      </c>
      <c r="T543" t="str">
        <f>_xlfn.XLOOKUP(B543,FactorInputs!$A$2:$A$888,FactorInputs!$B$2:$B$888,"")</f>
        <v>JEDI-US</v>
      </c>
      <c r="U543" t="str">
        <f>_xlfn.XLOOKUP(B543,FactorInputs!$A$2:$A$888,FactorInputs!$T$2:$T$888,"")</f>
        <v>JEDI-US</v>
      </c>
      <c r="V543">
        <f t="shared" si="53"/>
        <v>9.4205564791028262</v>
      </c>
      <c r="W543" t="s">
        <v>73</v>
      </c>
    </row>
    <row r="544" spans="1:23" x14ac:dyDescent="0.3">
      <c r="A544" t="str">
        <f t="shared" si="48"/>
        <v>CN|AccumulatedNewCapacity|RE1|PWRSOLUGE|2052</v>
      </c>
      <c r="B544" t="str">
        <f t="shared" si="49"/>
        <v>Utility-scale solar PV|2052|O&amp;M|Direct</v>
      </c>
      <c r="C544" t="str">
        <f t="shared" si="50"/>
        <v>PWRSOLUGE|Utility-scale solar PV</v>
      </c>
      <c r="D544" t="s">
        <v>39</v>
      </c>
      <c r="E544" t="s">
        <v>40</v>
      </c>
      <c r="F544" t="s">
        <v>19</v>
      </c>
      <c r="G544" t="s">
        <v>33</v>
      </c>
      <c r="H544">
        <v>2052</v>
      </c>
      <c r="I544" t="s">
        <v>18</v>
      </c>
      <c r="J544" t="s">
        <v>63</v>
      </c>
      <c r="K544" t="s">
        <v>64</v>
      </c>
      <c r="L544" t="s">
        <v>65</v>
      </c>
      <c r="M544">
        <f>SUMIFS(RawResultsLong!$P:$P,RawResultsLong!$A:$A,A544)</f>
        <v>434.62185286843851</v>
      </c>
      <c r="N544">
        <f t="shared" si="51"/>
        <v>13772.33543959105</v>
      </c>
      <c r="O544" t="s">
        <v>66</v>
      </c>
      <c r="P544">
        <f>SUMIFS(TechnologyMapping!$D:$D,TechnologyMapping!$A:$A,C544)</f>
        <v>1</v>
      </c>
      <c r="Q544">
        <f t="shared" si="52"/>
        <v>13772.33543959105</v>
      </c>
      <c r="R544">
        <f>SUMIFS(FactorInputs!$I:$I,FactorInputs!$A:$A,B544)</f>
        <v>7.0418918918899995E-2</v>
      </c>
      <c r="S544" t="str">
        <f>_xlfn.XLOOKUP(B544,FactorInputs!$A$2:$A$888,FactorInputs!$F$2:$F$888,"")</f>
        <v>job/MW</v>
      </c>
      <c r="T544" t="str">
        <f>_xlfn.XLOOKUP(B544,FactorInputs!$A$2:$A$888,FactorInputs!$B$2:$B$888,"")</f>
        <v>I-JEDI</v>
      </c>
      <c r="U544" t="str">
        <f>_xlfn.XLOOKUP(B544,FactorInputs!$A$2:$A$888,FactorInputs!$T$2:$T$888,"")</f>
        <v>I-JEDI</v>
      </c>
      <c r="V544">
        <f t="shared" si="53"/>
        <v>969.83297264445503</v>
      </c>
    </row>
    <row r="545" spans="1:23" x14ac:dyDescent="0.3">
      <c r="A545" t="str">
        <f t="shared" si="48"/>
        <v>CN|AccumulatedNewCapacity|RE1|PWRSOLUGE_BAT|2052</v>
      </c>
      <c r="B545" t="str">
        <f t="shared" si="49"/>
        <v>Utility-scale solar PV|2052|O&amp;M|Direct</v>
      </c>
      <c r="C545" t="str">
        <f t="shared" si="50"/>
        <v>PWRSOLUGE_BAT|Utility-scale solar PV</v>
      </c>
      <c r="D545" t="s">
        <v>39</v>
      </c>
      <c r="E545" t="s">
        <v>40</v>
      </c>
      <c r="F545" t="s">
        <v>19</v>
      </c>
      <c r="G545" t="s">
        <v>41</v>
      </c>
      <c r="H545">
        <v>2052</v>
      </c>
      <c r="I545" t="s">
        <v>18</v>
      </c>
      <c r="J545" t="s">
        <v>63</v>
      </c>
      <c r="K545" t="s">
        <v>64</v>
      </c>
      <c r="L545" t="s">
        <v>65</v>
      </c>
      <c r="M545">
        <f>SUMIFS(RawResultsLong!$P:$P,RawResultsLong!$A:$A,A545)</f>
        <v>30.670102189502511</v>
      </c>
      <c r="N545">
        <f t="shared" si="51"/>
        <v>971.87689144619719</v>
      </c>
      <c r="O545" t="s">
        <v>66</v>
      </c>
      <c r="P545">
        <f>SUMIFS(TechnologyMapping!$D:$D,TechnologyMapping!$A:$A,C545)</f>
        <v>1</v>
      </c>
      <c r="Q545">
        <f t="shared" si="52"/>
        <v>971.87689144619719</v>
      </c>
      <c r="R545">
        <f>SUMIFS(FactorInputs!$I:$I,FactorInputs!$A:$A,B545)</f>
        <v>7.0418918918899995E-2</v>
      </c>
      <c r="S545" t="str">
        <f>_xlfn.XLOOKUP(B545,FactorInputs!$A$2:$A$888,FactorInputs!$F$2:$F$888,"")</f>
        <v>job/MW</v>
      </c>
      <c r="T545" t="str">
        <f>_xlfn.XLOOKUP(B545,FactorInputs!$A$2:$A$888,FactorInputs!$B$2:$B$888,"")</f>
        <v>I-JEDI</v>
      </c>
      <c r="U545" t="str">
        <f>_xlfn.XLOOKUP(B545,FactorInputs!$A$2:$A$888,FactorInputs!$T$2:$T$888,"")</f>
        <v>I-JEDI</v>
      </c>
      <c r="V545">
        <f t="shared" si="53"/>
        <v>68.438520017902334</v>
      </c>
      <c r="W545" t="s">
        <v>77</v>
      </c>
    </row>
    <row r="546" spans="1:23" x14ac:dyDescent="0.3">
      <c r="A546" t="str">
        <f t="shared" si="48"/>
        <v>CN|AccumulatedNewCapacity|RE1|PWRSOLUGE_BAT|2052</v>
      </c>
      <c r="B546" t="str">
        <f t="shared" si="49"/>
        <v>Battery storage (grid)|2052|O&amp;M|Direct</v>
      </c>
      <c r="C546" t="str">
        <f t="shared" si="50"/>
        <v>PWRSOLUGE_BAT|Battery storage (grid)</v>
      </c>
      <c r="D546" t="s">
        <v>39</v>
      </c>
      <c r="E546" t="s">
        <v>40</v>
      </c>
      <c r="F546" t="s">
        <v>19</v>
      </c>
      <c r="G546" t="s">
        <v>41</v>
      </c>
      <c r="H546">
        <v>2052</v>
      </c>
      <c r="I546" t="s">
        <v>18</v>
      </c>
      <c r="J546" t="s">
        <v>63</v>
      </c>
      <c r="K546" t="s">
        <v>64</v>
      </c>
      <c r="L546" t="s">
        <v>65</v>
      </c>
      <c r="M546">
        <f>SUMIFS(RawResultsLong!$P:$P,RawResultsLong!$A:$A,A546)</f>
        <v>30.670102189502511</v>
      </c>
      <c r="N546">
        <f t="shared" si="51"/>
        <v>971.87689144619719</v>
      </c>
      <c r="O546" t="s">
        <v>78</v>
      </c>
      <c r="P546">
        <f>SUMIFS(TechnologyMapping!$D:$D,TechnologyMapping!$A:$A,C546)</f>
        <v>0.6</v>
      </c>
      <c r="Q546">
        <f t="shared" si="52"/>
        <v>583.12613486771829</v>
      </c>
      <c r="R546">
        <f>SUMIFS(FactorInputs!$I:$I,FactorInputs!$A:$A,B546)</f>
        <v>1.7347987181099998E-2</v>
      </c>
      <c r="S546" t="str">
        <f>_xlfn.XLOOKUP(B546,FactorInputs!$A$2:$A$888,FactorInputs!$F$2:$F$888,"")</f>
        <v>job/MW</v>
      </c>
      <c r="T546" t="str">
        <f>_xlfn.XLOOKUP(B546,FactorInputs!$A$2:$A$888,FactorInputs!$B$2:$B$888,"")</f>
        <v>Rutovitz 2025</v>
      </c>
      <c r="U546" t="str">
        <f>_xlfn.XLOOKUP(B546,FactorInputs!$A$2:$A$888,FactorInputs!$T$2:$T$888,"")</f>
        <v>Rutovitz 2025</v>
      </c>
      <c r="V546">
        <f t="shared" si="53"/>
        <v>10.116064712649566</v>
      </c>
      <c r="W546" t="s">
        <v>79</v>
      </c>
    </row>
    <row r="547" spans="1:23" x14ac:dyDescent="0.3">
      <c r="A547" t="str">
        <f t="shared" si="48"/>
        <v>CN|AccumulatedNewCapacity|RE1|PWRWNDOFS_FIX|2052</v>
      </c>
      <c r="B547" t="str">
        <f t="shared" si="49"/>
        <v>Offshore wind (fixed)|2052|O&amp;M|Direct</v>
      </c>
      <c r="C547" t="str">
        <f t="shared" si="50"/>
        <v>PWRWNDOFS_FIX|Offshore wind (fixed)</v>
      </c>
      <c r="D547" t="s">
        <v>39</v>
      </c>
      <c r="E547" t="s">
        <v>40</v>
      </c>
      <c r="F547" t="s">
        <v>19</v>
      </c>
      <c r="G547" t="s">
        <v>42</v>
      </c>
      <c r="H547">
        <v>2052</v>
      </c>
      <c r="I547" t="s">
        <v>18</v>
      </c>
      <c r="J547" t="s">
        <v>63</v>
      </c>
      <c r="K547" t="s">
        <v>64</v>
      </c>
      <c r="L547" t="s">
        <v>65</v>
      </c>
      <c r="M547">
        <f>SUMIFS(RawResultsLong!$P:$P,RawResultsLong!$A:$A,A547)</f>
        <v>565.5570097473003</v>
      </c>
      <c r="N547">
        <f t="shared" si="51"/>
        <v>17921.42018871208</v>
      </c>
      <c r="O547" t="s">
        <v>74</v>
      </c>
      <c r="P547">
        <f>SUMIFS(TechnologyMapping!$D:$D,TechnologyMapping!$A:$A,C547)</f>
        <v>1</v>
      </c>
      <c r="Q547">
        <f t="shared" si="52"/>
        <v>17921.42018871208</v>
      </c>
      <c r="R547">
        <f>SUMIFS(FactorInputs!$I:$I,FactorInputs!$A:$A,B547)</f>
        <v>5.4989861751199999E-2</v>
      </c>
      <c r="S547" t="str">
        <f>_xlfn.XLOOKUP(B547,FactorInputs!$A$2:$A$888,FactorInputs!$F$2:$F$888,"")</f>
        <v>job/MW</v>
      </c>
      <c r="T547" t="str">
        <f>_xlfn.XLOOKUP(B547,FactorInputs!$A$2:$A$888,FactorInputs!$B$2:$B$888,"")</f>
        <v>French QBIS 2023</v>
      </c>
      <c r="U547" t="str">
        <f>_xlfn.XLOOKUP(B547,FactorInputs!$A$2:$A$888,FactorInputs!$T$2:$T$888,"")</f>
        <v>French QBIS 2023</v>
      </c>
      <c r="V547">
        <f t="shared" si="53"/>
        <v>985.49641856244182</v>
      </c>
    </row>
    <row r="548" spans="1:23" x14ac:dyDescent="0.3">
      <c r="A548" t="str">
        <f t="shared" si="48"/>
        <v>CN|AccumulatedNewCapacity|RE1|PWRWNDOFS_FLO|2052</v>
      </c>
      <c r="B548" t="str">
        <f t="shared" si="49"/>
        <v>Offshore wind (floating)|2052|O&amp;M|Direct</v>
      </c>
      <c r="C548" t="str">
        <f t="shared" si="50"/>
        <v>PWRWNDOFS_FLO|Offshore wind (floating)</v>
      </c>
      <c r="D548" t="s">
        <v>39</v>
      </c>
      <c r="E548" t="s">
        <v>40</v>
      </c>
      <c r="F548" t="s">
        <v>19</v>
      </c>
      <c r="G548" t="s">
        <v>43</v>
      </c>
      <c r="H548">
        <v>2052</v>
      </c>
      <c r="I548" t="s">
        <v>18</v>
      </c>
      <c r="J548" t="s">
        <v>63</v>
      </c>
      <c r="K548" t="s">
        <v>64</v>
      </c>
      <c r="L548" t="s">
        <v>65</v>
      </c>
      <c r="M548">
        <f>SUMIFS(RawResultsLong!$P:$P,RawResultsLong!$A:$A,A548)</f>
        <v>7.2734896835090179</v>
      </c>
      <c r="N548">
        <f t="shared" si="51"/>
        <v>230.48297980546738</v>
      </c>
      <c r="O548" t="s">
        <v>80</v>
      </c>
      <c r="P548">
        <f>SUMIFS(TechnologyMapping!$D:$D,TechnologyMapping!$A:$A,C548)</f>
        <v>1</v>
      </c>
      <c r="Q548">
        <f t="shared" si="52"/>
        <v>230.48297980546738</v>
      </c>
      <c r="R548">
        <f>SUMIFS(FactorInputs!$I:$I,FactorInputs!$A:$A,B548)</f>
        <v>0.125810138249</v>
      </c>
      <c r="S548" t="str">
        <f>_xlfn.XLOOKUP(B548,FactorInputs!$A$2:$A$888,FactorInputs!$F$2:$F$888,"")</f>
        <v>job/MW</v>
      </c>
      <c r="T548" t="str">
        <f>_xlfn.XLOOKUP(B548,FactorInputs!$A$2:$A$888,FactorInputs!$B$2:$B$888,"")</f>
        <v>French QBIS 2023</v>
      </c>
      <c r="U548" t="str">
        <f>_xlfn.XLOOKUP(B548,FactorInputs!$A$2:$A$888,FactorInputs!$T$2:$T$888,"")</f>
        <v>French QBIS 2023</v>
      </c>
      <c r="V548">
        <f t="shared" si="53"/>
        <v>28.997095553367327</v>
      </c>
    </row>
    <row r="549" spans="1:23" x14ac:dyDescent="0.3">
      <c r="A549" t="str">
        <f t="shared" si="48"/>
        <v>CN|AccumulatedNewCapacity|RE1|PWRWNDONS|2052</v>
      </c>
      <c r="B549" t="str">
        <f t="shared" si="49"/>
        <v>Onshore wind|2052|O&amp;M|Direct</v>
      </c>
      <c r="C549" t="str">
        <f t="shared" si="50"/>
        <v>PWRWNDONS|Onshore wind</v>
      </c>
      <c r="D549" t="s">
        <v>39</v>
      </c>
      <c r="E549" t="s">
        <v>40</v>
      </c>
      <c r="F549" t="s">
        <v>19</v>
      </c>
      <c r="G549" t="s">
        <v>36</v>
      </c>
      <c r="H549">
        <v>2052</v>
      </c>
      <c r="I549" t="s">
        <v>18</v>
      </c>
      <c r="J549" t="s">
        <v>63</v>
      </c>
      <c r="K549" t="s">
        <v>64</v>
      </c>
      <c r="L549" t="s">
        <v>65</v>
      </c>
      <c r="M549">
        <f>SUMIFS(RawResultsLong!$P:$P,RawResultsLong!$A:$A,A549)</f>
        <v>898.85944648443524</v>
      </c>
      <c r="N549">
        <f t="shared" si="51"/>
        <v>28483.13707266824</v>
      </c>
      <c r="O549" t="s">
        <v>68</v>
      </c>
      <c r="P549">
        <f>SUMIFS(TechnologyMapping!$D:$D,TechnologyMapping!$A:$A,C549)</f>
        <v>1</v>
      </c>
      <c r="Q549">
        <f t="shared" si="52"/>
        <v>28483.13707266824</v>
      </c>
      <c r="R549">
        <f>SUMIFS(FactorInputs!$I:$I,FactorInputs!$A:$A,B549)</f>
        <v>2.6934306569300001E-2</v>
      </c>
      <c r="S549" t="str">
        <f>_xlfn.XLOOKUP(B549,FactorInputs!$A$2:$A$888,FactorInputs!$F$2:$F$888,"")</f>
        <v>job/MW</v>
      </c>
      <c r="T549" t="str">
        <f>_xlfn.XLOOKUP(B549,FactorInputs!$A$2:$A$888,FactorInputs!$B$2:$B$888,"")</f>
        <v>I-JEDI</v>
      </c>
      <c r="U549" t="str">
        <f>_xlfn.XLOOKUP(B549,FactorInputs!$A$2:$A$888,FactorInputs!$T$2:$T$888,"")</f>
        <v>I-JEDI</v>
      </c>
      <c r="V549">
        <f t="shared" si="53"/>
        <v>767.17354597064059</v>
      </c>
    </row>
    <row r="550" spans="1:23" x14ac:dyDescent="0.3">
      <c r="A550" t="str">
        <f t="shared" si="48"/>
        <v>CN|NewCapacity|RE1|PWRSOLRTP|2052</v>
      </c>
      <c r="B550" t="str">
        <f t="shared" si="49"/>
        <v>Rooftop solar PV|2052|Construction&amp;Manufacturing|Direct</v>
      </c>
      <c r="C550" t="str">
        <f t="shared" si="50"/>
        <v>PWRSOLRTP|Rooftop solar PV</v>
      </c>
      <c r="D550" t="s">
        <v>39</v>
      </c>
      <c r="E550" t="s">
        <v>40</v>
      </c>
      <c r="F550" t="s">
        <v>19</v>
      </c>
      <c r="G550" t="s">
        <v>31</v>
      </c>
      <c r="H550">
        <v>2052</v>
      </c>
      <c r="I550" t="s">
        <v>37</v>
      </c>
      <c r="J550" t="s">
        <v>69</v>
      </c>
      <c r="K550" t="s">
        <v>70</v>
      </c>
      <c r="L550" t="s">
        <v>65</v>
      </c>
      <c r="M550">
        <f>SUMIFS(RawResultsLong!$P:$P,RawResultsLong!$A:$A,A550)</f>
        <v>1.27</v>
      </c>
      <c r="N550">
        <f t="shared" si="51"/>
        <v>40.243871523816765</v>
      </c>
      <c r="O550" t="s">
        <v>71</v>
      </c>
      <c r="P550">
        <f>SUMIFS(TechnologyMapping!$D:$D,TechnologyMapping!$A:$A,C550)</f>
        <v>1</v>
      </c>
      <c r="Q550">
        <f t="shared" si="52"/>
        <v>40.243871523816765</v>
      </c>
      <c r="R550">
        <f>SUMIFS(FactorInputs!$I:$I,FactorInputs!$A:$A,B550)</f>
        <v>4.3205610605400002</v>
      </c>
      <c r="S550" t="str">
        <f>_xlfn.XLOOKUP(B550,FactorInputs!$A$2:$A$888,FactorInputs!$F$2:$F$888,"")</f>
        <v>job-yr/MW</v>
      </c>
      <c r="T550" t="str">
        <f>_xlfn.XLOOKUP(B550,FactorInputs!$A$2:$A$888,FactorInputs!$B$2:$B$888,"")</f>
        <v>JEDI-US</v>
      </c>
      <c r="U550" t="str">
        <f>_xlfn.XLOOKUP(B550,FactorInputs!$A$2:$A$888,FactorInputs!$T$2:$T$888,"")</f>
        <v>JEDI-US</v>
      </c>
      <c r="V550">
        <f t="shared" si="53"/>
        <v>173.87610423117727</v>
      </c>
    </row>
    <row r="551" spans="1:23" x14ac:dyDescent="0.3">
      <c r="A551" t="str">
        <f t="shared" si="48"/>
        <v>CN|NewCapacity|RE1|PWRSOLUGE|2052</v>
      </c>
      <c r="B551" t="str">
        <f t="shared" si="49"/>
        <v>Utility-scale solar PV|2052|Construction&amp;Manufacturing|Direct</v>
      </c>
      <c r="C551" t="str">
        <f t="shared" si="50"/>
        <v>PWRSOLUGE|Utility-scale solar PV</v>
      </c>
      <c r="D551" t="s">
        <v>39</v>
      </c>
      <c r="E551" t="s">
        <v>40</v>
      </c>
      <c r="F551" t="s">
        <v>19</v>
      </c>
      <c r="G551" t="s">
        <v>33</v>
      </c>
      <c r="H551">
        <v>2052</v>
      </c>
      <c r="I551" t="s">
        <v>37</v>
      </c>
      <c r="J551" t="s">
        <v>69</v>
      </c>
      <c r="K551" t="s">
        <v>70</v>
      </c>
      <c r="L551" t="s">
        <v>65</v>
      </c>
      <c r="M551">
        <f>SUMIFS(RawResultsLong!$P:$P,RawResultsLong!$A:$A,A551)</f>
        <v>47.31</v>
      </c>
      <c r="N551">
        <f t="shared" si="51"/>
        <v>1499.1634344817096</v>
      </c>
      <c r="O551" t="s">
        <v>66</v>
      </c>
      <c r="P551">
        <f>SUMIFS(TechnologyMapping!$D:$D,TechnologyMapping!$A:$A,C551)</f>
        <v>1</v>
      </c>
      <c r="Q551">
        <f t="shared" si="52"/>
        <v>1499.1634344817096</v>
      </c>
      <c r="R551">
        <f>SUMIFS(FactorInputs!$I:$I,FactorInputs!$A:$A,B551)</f>
        <v>4.6233132571300004</v>
      </c>
      <c r="S551" t="str">
        <f>_xlfn.XLOOKUP(B551,FactorInputs!$A$2:$A$888,FactorInputs!$F$2:$F$888,"")</f>
        <v>job-yr/MW</v>
      </c>
      <c r="T551" t="str">
        <f>_xlfn.XLOOKUP(B551,FactorInputs!$A$2:$A$888,FactorInputs!$B$2:$B$888,"")</f>
        <v>I-JEDI</v>
      </c>
      <c r="U551" t="str">
        <f>_xlfn.XLOOKUP(B551,FactorInputs!$A$2:$A$888,FactorInputs!$T$2:$T$888,"")</f>
        <v>I-JEDI</v>
      </c>
      <c r="V551">
        <f t="shared" si="53"/>
        <v>6931.1021812438312</v>
      </c>
    </row>
    <row r="552" spans="1:23" x14ac:dyDescent="0.3">
      <c r="A552" t="str">
        <f t="shared" si="48"/>
        <v>CN|NewCapacity|RE1|PWRWNDOFS_FIX|2052</v>
      </c>
      <c r="B552" t="str">
        <f t="shared" si="49"/>
        <v>Offshore wind (fixed)|2052|Construction&amp;Manufacturing|Direct</v>
      </c>
      <c r="C552" t="str">
        <f t="shared" si="50"/>
        <v>PWRWNDOFS_FIX|Offshore wind (fixed)</v>
      </c>
      <c r="D552" t="s">
        <v>39</v>
      </c>
      <c r="E552" t="s">
        <v>40</v>
      </c>
      <c r="F552" t="s">
        <v>19</v>
      </c>
      <c r="G552" t="s">
        <v>42</v>
      </c>
      <c r="H552">
        <v>2052</v>
      </c>
      <c r="I552" t="s">
        <v>37</v>
      </c>
      <c r="J552" t="s">
        <v>69</v>
      </c>
      <c r="K552" t="s">
        <v>70</v>
      </c>
      <c r="L552" t="s">
        <v>65</v>
      </c>
      <c r="M552">
        <f>SUMIFS(RawResultsLong!$P:$P,RawResultsLong!$A:$A,A552)</f>
        <v>11.70670091416862</v>
      </c>
      <c r="N552">
        <f t="shared" si="51"/>
        <v>370.96296658074817</v>
      </c>
      <c r="O552" t="s">
        <v>74</v>
      </c>
      <c r="P552">
        <f>SUMIFS(TechnologyMapping!$D:$D,TechnologyMapping!$A:$A,C552)</f>
        <v>1</v>
      </c>
      <c r="Q552">
        <f t="shared" si="52"/>
        <v>370.96296658074817</v>
      </c>
      <c r="R552">
        <f>SUMIFS(FactorInputs!$I:$I,FactorInputs!$A:$A,B552)</f>
        <v>3.3475391011800002</v>
      </c>
      <c r="S552" t="str">
        <f>_xlfn.XLOOKUP(B552,FactorInputs!$A$2:$A$888,FactorInputs!$F$2:$F$888,"")</f>
        <v>job-yr/MW</v>
      </c>
      <c r="T552" t="str">
        <f>_xlfn.XLOOKUP(B552,FactorInputs!$A$2:$A$888,FactorInputs!$B$2:$B$888,"")</f>
        <v>French QBIS 2023</v>
      </c>
      <c r="U552" t="str">
        <f>_xlfn.XLOOKUP(B552,FactorInputs!$A$2:$A$888,FactorInputs!$T$2:$T$888,"")</f>
        <v>French QBIS 2023</v>
      </c>
      <c r="V552">
        <f t="shared" si="53"/>
        <v>1241.8130357187842</v>
      </c>
    </row>
    <row r="553" spans="1:23" x14ac:dyDescent="0.3">
      <c r="A553" t="str">
        <f t="shared" si="48"/>
        <v>CN|NewCapacity|RE1|PWRWNDONS|2052</v>
      </c>
      <c r="B553" t="str">
        <f t="shared" si="49"/>
        <v>Onshore wind|2052|Construction&amp;Manufacturing|Direct</v>
      </c>
      <c r="C553" t="str">
        <f t="shared" si="50"/>
        <v>PWRWNDONS|Onshore wind</v>
      </c>
      <c r="D553" t="s">
        <v>39</v>
      </c>
      <c r="E553" t="s">
        <v>40</v>
      </c>
      <c r="F553" t="s">
        <v>19</v>
      </c>
      <c r="G553" t="s">
        <v>36</v>
      </c>
      <c r="H553">
        <v>2052</v>
      </c>
      <c r="I553" t="s">
        <v>37</v>
      </c>
      <c r="J553" t="s">
        <v>69</v>
      </c>
      <c r="K553" t="s">
        <v>70</v>
      </c>
      <c r="L553" t="s">
        <v>65</v>
      </c>
      <c r="M553">
        <f>SUMIFS(RawResultsLong!$P:$P,RawResultsLong!$A:$A,A553)</f>
        <v>47.31</v>
      </c>
      <c r="N553">
        <f t="shared" si="51"/>
        <v>1499.1634344817096</v>
      </c>
      <c r="O553" t="s">
        <v>68</v>
      </c>
      <c r="P553">
        <f>SUMIFS(TechnologyMapping!$D:$D,TechnologyMapping!$A:$A,C553)</f>
        <v>1</v>
      </c>
      <c r="Q553">
        <f t="shared" si="52"/>
        <v>1499.1634344817096</v>
      </c>
      <c r="R553">
        <f>SUMIFS(FactorInputs!$I:$I,FactorInputs!$A:$A,B553)</f>
        <v>6.5127600165799997</v>
      </c>
      <c r="S553" t="str">
        <f>_xlfn.XLOOKUP(B553,FactorInputs!$A$2:$A$888,FactorInputs!$F$2:$F$888,"")</f>
        <v>job-yr/MW</v>
      </c>
      <c r="T553" t="str">
        <f>_xlfn.XLOOKUP(B553,FactorInputs!$A$2:$A$888,FactorInputs!$B$2:$B$888,"")</f>
        <v>I-JEDI</v>
      </c>
      <c r="U553" t="str">
        <f>_xlfn.XLOOKUP(B553,FactorInputs!$A$2:$A$888,FactorInputs!$T$2:$T$888,"")</f>
        <v>I-JEDI</v>
      </c>
      <c r="V553">
        <f t="shared" si="53"/>
        <v>9763.6916744112277</v>
      </c>
    </row>
    <row r="554" spans="1:23" x14ac:dyDescent="0.3">
      <c r="A554" t="str">
        <f t="shared" si="48"/>
        <v>CN|AccumulatedNewCapacity|RE1|PWRHYDDAM|2053</v>
      </c>
      <c r="B554" t="str">
        <f t="shared" si="49"/>
        <v>Hydro (large)|2053|O&amp;M|Direct</v>
      </c>
      <c r="C554" t="str">
        <f t="shared" si="50"/>
        <v>PWRHYDDAM|Hydro (large)</v>
      </c>
      <c r="D554" t="s">
        <v>39</v>
      </c>
      <c r="E554" t="s">
        <v>40</v>
      </c>
      <c r="F554" t="s">
        <v>19</v>
      </c>
      <c r="G554" t="s">
        <v>24</v>
      </c>
      <c r="H554">
        <v>2053</v>
      </c>
      <c r="I554" t="s">
        <v>18</v>
      </c>
      <c r="J554" t="s">
        <v>63</v>
      </c>
      <c r="K554" t="s">
        <v>64</v>
      </c>
      <c r="L554" t="s">
        <v>65</v>
      </c>
      <c r="M554">
        <f>SUMIFS(RawResultsLong!$P:$P,RawResultsLong!$A:$A,A554)</f>
        <v>37.840000000000003</v>
      </c>
      <c r="N554">
        <f t="shared" si="51"/>
        <v>1199.0772428828554</v>
      </c>
      <c r="O554" t="s">
        <v>72</v>
      </c>
      <c r="P554">
        <f>SUMIFS(TechnologyMapping!$D:$D,TechnologyMapping!$A:$A,C554)</f>
        <v>1</v>
      </c>
      <c r="Q554">
        <f t="shared" si="52"/>
        <v>1199.0772428828554</v>
      </c>
      <c r="R554">
        <f>SUMIFS(FactorInputs!$I:$I,FactorInputs!$A:$A,B554)</f>
        <v>0.63849180327900001</v>
      </c>
      <c r="S554" t="str">
        <f>_xlfn.XLOOKUP(B554,FactorInputs!$A$2:$A$888,FactorInputs!$F$2:$F$888,"")</f>
        <v>job/MW</v>
      </c>
      <c r="T554" t="str">
        <f>_xlfn.XLOOKUP(B554,FactorInputs!$A$2:$A$888,FactorInputs!$B$2:$B$888,"")</f>
        <v>Rutovitz 2015</v>
      </c>
      <c r="U554" t="str">
        <f>_xlfn.XLOOKUP(B554,FactorInputs!$A$2:$A$888,FactorInputs!$T$2:$T$888,"")</f>
        <v>Rutovitz 2015</v>
      </c>
      <c r="V554">
        <f t="shared" si="53"/>
        <v>765.60099107908582</v>
      </c>
    </row>
    <row r="555" spans="1:23" x14ac:dyDescent="0.3">
      <c r="A555" t="str">
        <f t="shared" si="48"/>
        <v>CN|AccumulatedNewCapacity|RE1|PWRHYDROR_NDC|2053</v>
      </c>
      <c r="B555" t="str">
        <f t="shared" si="49"/>
        <v>Hydro (small)|2053|O&amp;M|Direct</v>
      </c>
      <c r="C555" t="str">
        <f t="shared" si="50"/>
        <v>PWRHYDROR_NDC|Hydro (small)</v>
      </c>
      <c r="D555" t="s">
        <v>39</v>
      </c>
      <c r="E555" t="s">
        <v>40</v>
      </c>
      <c r="F555" t="s">
        <v>19</v>
      </c>
      <c r="G555" t="s">
        <v>26</v>
      </c>
      <c r="H555">
        <v>2053</v>
      </c>
      <c r="I555" t="s">
        <v>18</v>
      </c>
      <c r="J555" t="s">
        <v>63</v>
      </c>
      <c r="K555" t="s">
        <v>64</v>
      </c>
      <c r="L555" t="s">
        <v>65</v>
      </c>
      <c r="M555">
        <f>SUMIFS(RawResultsLong!$P:$P,RawResultsLong!$A:$A,A555)</f>
        <v>121.6663582335095</v>
      </c>
      <c r="N555">
        <f t="shared" si="51"/>
        <v>3855.3742437165529</v>
      </c>
      <c r="O555" t="s">
        <v>75</v>
      </c>
      <c r="P555">
        <f>SUMIFS(TechnologyMapping!$D:$D,TechnologyMapping!$A:$A,C555)</f>
        <v>1</v>
      </c>
      <c r="Q555">
        <f t="shared" si="52"/>
        <v>3855.3742437165529</v>
      </c>
      <c r="R555">
        <f>SUMIFS(FactorInputs!$I:$I,FactorInputs!$A:$A,B555)</f>
        <v>5.2114156626500003</v>
      </c>
      <c r="S555" t="str">
        <f>_xlfn.XLOOKUP(B555,FactorInputs!$A$2:$A$888,FactorInputs!$F$2:$F$888,"")</f>
        <v>job/MW</v>
      </c>
      <c r="T555" t="str">
        <f>_xlfn.XLOOKUP(B555,FactorInputs!$A$2:$A$888,FactorInputs!$B$2:$B$888,"")</f>
        <v>Rutovitz 2015</v>
      </c>
      <c r="U555" t="str">
        <f>_xlfn.XLOOKUP(B555,FactorInputs!$A$2:$A$888,FactorInputs!$T$2:$T$888,"")</f>
        <v>Rutovitz 2015</v>
      </c>
      <c r="V555">
        <f t="shared" si="53"/>
        <v>20091.957719081842</v>
      </c>
      <c r="W555" t="s">
        <v>76</v>
      </c>
    </row>
    <row r="556" spans="1:23" x14ac:dyDescent="0.3">
      <c r="A556" t="str">
        <f t="shared" si="48"/>
        <v>CN|AccumulatedNewCapacity|RE1|PWRSOLRTP|2053</v>
      </c>
      <c r="B556" t="str">
        <f t="shared" si="49"/>
        <v>Rooftop solar PV|2053|O&amp;M|Direct</v>
      </c>
      <c r="C556" t="str">
        <f t="shared" si="50"/>
        <v>PWRSOLRTP|Rooftop solar PV</v>
      </c>
      <c r="D556" t="s">
        <v>39</v>
      </c>
      <c r="E556" t="s">
        <v>40</v>
      </c>
      <c r="F556" t="s">
        <v>19</v>
      </c>
      <c r="G556" t="s">
        <v>31</v>
      </c>
      <c r="H556">
        <v>2053</v>
      </c>
      <c r="I556" t="s">
        <v>18</v>
      </c>
      <c r="J556" t="s">
        <v>63</v>
      </c>
      <c r="K556" t="s">
        <v>64</v>
      </c>
      <c r="L556" t="s">
        <v>65</v>
      </c>
      <c r="M556">
        <f>SUMIFS(RawResultsLong!$P:$P,RawResultsLong!$A:$A,A556)</f>
        <v>181.03345518622689</v>
      </c>
      <c r="N556">
        <f t="shared" si="51"/>
        <v>5736.6040252182329</v>
      </c>
      <c r="O556" t="s">
        <v>71</v>
      </c>
      <c r="P556">
        <f>SUMIFS(TechnologyMapping!$D:$D,TechnologyMapping!$A:$A,C556)</f>
        <v>1</v>
      </c>
      <c r="Q556">
        <f t="shared" si="52"/>
        <v>5736.6040252182329</v>
      </c>
      <c r="R556">
        <f>SUMIFS(FactorInputs!$I:$I,FactorInputs!$A:$A,B556)</f>
        <v>0.21705882352899999</v>
      </c>
      <c r="S556" t="str">
        <f>_xlfn.XLOOKUP(B556,FactorInputs!$A$2:$A$888,FactorInputs!$F$2:$F$888,"")</f>
        <v>job/MW</v>
      </c>
      <c r="T556" t="str">
        <f>_xlfn.XLOOKUP(B556,FactorInputs!$A$2:$A$888,FactorInputs!$B$2:$B$888,"")</f>
        <v>JEDI-US</v>
      </c>
      <c r="U556" t="str">
        <f>_xlfn.XLOOKUP(B556,FactorInputs!$A$2:$A$888,FactorInputs!$T$2:$T$888,"")</f>
        <v>JEDI-US</v>
      </c>
      <c r="V556">
        <f t="shared" si="53"/>
        <v>1245.1805207655955</v>
      </c>
    </row>
    <row r="557" spans="1:23" x14ac:dyDescent="0.3">
      <c r="A557" t="str">
        <f t="shared" si="48"/>
        <v>CN|AccumulatedNewCapacity|RE1|PWRSOLRTP_ZNI|2053</v>
      </c>
      <c r="B557" t="str">
        <f t="shared" si="49"/>
        <v>Rooftop solar PV|2053|O&amp;M|Direct</v>
      </c>
      <c r="C557" t="str">
        <f t="shared" si="50"/>
        <v>PWRSOLRTP_ZNI|Rooftop solar PV</v>
      </c>
      <c r="D557" t="s">
        <v>39</v>
      </c>
      <c r="E557" t="s">
        <v>40</v>
      </c>
      <c r="F557" t="s">
        <v>19</v>
      </c>
      <c r="G557" t="s">
        <v>32</v>
      </c>
      <c r="H557">
        <v>2053</v>
      </c>
      <c r="I557" t="s">
        <v>18</v>
      </c>
      <c r="J557" t="s">
        <v>63</v>
      </c>
      <c r="K557" t="s">
        <v>64</v>
      </c>
      <c r="L557" t="s">
        <v>65</v>
      </c>
      <c r="M557">
        <f>SUMIFS(RawResultsLong!$P:$P,RawResultsLong!$A:$A,A557)</f>
        <v>1.3916946197733999</v>
      </c>
      <c r="N557">
        <f t="shared" si="51"/>
        <v>44.100141321691126</v>
      </c>
      <c r="O557" t="s">
        <v>71</v>
      </c>
      <c r="P557">
        <f>SUMIFS(TechnologyMapping!$D:$D,TechnologyMapping!$A:$A,C557)</f>
        <v>1</v>
      </c>
      <c r="Q557">
        <f t="shared" si="52"/>
        <v>44.100141321691126</v>
      </c>
      <c r="R557">
        <f>SUMIFS(FactorInputs!$I:$I,FactorInputs!$A:$A,B557)</f>
        <v>0.21705882352899999</v>
      </c>
      <c r="S557" t="str">
        <f>_xlfn.XLOOKUP(B557,FactorInputs!$A$2:$A$888,FactorInputs!$F$2:$F$888,"")</f>
        <v>job/MW</v>
      </c>
      <c r="T557" t="str">
        <f>_xlfn.XLOOKUP(B557,FactorInputs!$A$2:$A$888,FactorInputs!$B$2:$B$888,"")</f>
        <v>JEDI-US</v>
      </c>
      <c r="U557" t="str">
        <f>_xlfn.XLOOKUP(B557,FactorInputs!$A$2:$A$888,FactorInputs!$T$2:$T$888,"")</f>
        <v>JEDI-US</v>
      </c>
      <c r="V557">
        <f t="shared" si="53"/>
        <v>9.5723247927489155</v>
      </c>
      <c r="W557" t="s">
        <v>73</v>
      </c>
    </row>
    <row r="558" spans="1:23" x14ac:dyDescent="0.3">
      <c r="A558" t="str">
        <f t="shared" si="48"/>
        <v>CN|AccumulatedNewCapacity|RE1|PWRSOLUGE|2053</v>
      </c>
      <c r="B558" t="str">
        <f t="shared" si="49"/>
        <v>Utility-scale solar PV|2053|O&amp;M|Direct</v>
      </c>
      <c r="C558" t="str">
        <f t="shared" si="50"/>
        <v>PWRSOLUGE|Utility-scale solar PV</v>
      </c>
      <c r="D558" t="s">
        <v>39</v>
      </c>
      <c r="E558" t="s">
        <v>40</v>
      </c>
      <c r="F558" t="s">
        <v>19</v>
      </c>
      <c r="G558" t="s">
        <v>33</v>
      </c>
      <c r="H558">
        <v>2053</v>
      </c>
      <c r="I558" t="s">
        <v>18</v>
      </c>
      <c r="J558" t="s">
        <v>63</v>
      </c>
      <c r="K558" t="s">
        <v>64</v>
      </c>
      <c r="L558" t="s">
        <v>65</v>
      </c>
      <c r="M558">
        <f>SUMIFS(RawResultsLong!$P:$P,RawResultsLong!$A:$A,A558)</f>
        <v>479.64451378446489</v>
      </c>
      <c r="N558">
        <f t="shared" si="51"/>
        <v>15199.017472319343</v>
      </c>
      <c r="O558" t="s">
        <v>66</v>
      </c>
      <c r="P558">
        <f>SUMIFS(TechnologyMapping!$D:$D,TechnologyMapping!$A:$A,C558)</f>
        <v>1</v>
      </c>
      <c r="Q558">
        <f t="shared" si="52"/>
        <v>15199.017472319343</v>
      </c>
      <c r="R558">
        <f>SUMIFS(FactorInputs!$I:$I,FactorInputs!$A:$A,B558)</f>
        <v>7.0418918918899995E-2</v>
      </c>
      <c r="S558" t="str">
        <f>_xlfn.XLOOKUP(B558,FactorInputs!$A$2:$A$888,FactorInputs!$F$2:$F$888,"")</f>
        <v>job/MW</v>
      </c>
      <c r="T558" t="str">
        <f>_xlfn.XLOOKUP(B558,FactorInputs!$A$2:$A$888,FactorInputs!$B$2:$B$888,"")</f>
        <v>I-JEDI</v>
      </c>
      <c r="U558" t="str">
        <f>_xlfn.XLOOKUP(B558,FactorInputs!$A$2:$A$888,FactorInputs!$T$2:$T$888,"")</f>
        <v>I-JEDI</v>
      </c>
      <c r="V558">
        <f t="shared" si="53"/>
        <v>1070.2983790302001</v>
      </c>
    </row>
    <row r="559" spans="1:23" x14ac:dyDescent="0.3">
      <c r="A559" t="str">
        <f t="shared" si="48"/>
        <v>CN|AccumulatedNewCapacity|RE1|PWRSOLUGE_BAT|2053</v>
      </c>
      <c r="B559" t="str">
        <f t="shared" si="49"/>
        <v>Utility-scale solar PV|2053|O&amp;M|Direct</v>
      </c>
      <c r="C559" t="str">
        <f t="shared" si="50"/>
        <v>PWRSOLUGE_BAT|Utility-scale solar PV</v>
      </c>
      <c r="D559" t="s">
        <v>39</v>
      </c>
      <c r="E559" t="s">
        <v>40</v>
      </c>
      <c r="F559" t="s">
        <v>19</v>
      </c>
      <c r="G559" t="s">
        <v>41</v>
      </c>
      <c r="H559">
        <v>2053</v>
      </c>
      <c r="I559" t="s">
        <v>18</v>
      </c>
      <c r="J559" t="s">
        <v>63</v>
      </c>
      <c r="K559" t="s">
        <v>64</v>
      </c>
      <c r="L559" t="s">
        <v>65</v>
      </c>
      <c r="M559">
        <f>SUMIFS(RawResultsLong!$P:$P,RawResultsLong!$A:$A,A559)</f>
        <v>30.670102189502511</v>
      </c>
      <c r="N559">
        <f t="shared" si="51"/>
        <v>971.87689144619719</v>
      </c>
      <c r="O559" t="s">
        <v>66</v>
      </c>
      <c r="P559">
        <f>SUMIFS(TechnologyMapping!$D:$D,TechnologyMapping!$A:$A,C559)</f>
        <v>1</v>
      </c>
      <c r="Q559">
        <f t="shared" si="52"/>
        <v>971.87689144619719</v>
      </c>
      <c r="R559">
        <f>SUMIFS(FactorInputs!$I:$I,FactorInputs!$A:$A,B559)</f>
        <v>7.0418918918899995E-2</v>
      </c>
      <c r="S559" t="str">
        <f>_xlfn.XLOOKUP(B559,FactorInputs!$A$2:$A$888,FactorInputs!$F$2:$F$888,"")</f>
        <v>job/MW</v>
      </c>
      <c r="T559" t="str">
        <f>_xlfn.XLOOKUP(B559,FactorInputs!$A$2:$A$888,FactorInputs!$B$2:$B$888,"")</f>
        <v>I-JEDI</v>
      </c>
      <c r="U559" t="str">
        <f>_xlfn.XLOOKUP(B559,FactorInputs!$A$2:$A$888,FactorInputs!$T$2:$T$888,"")</f>
        <v>I-JEDI</v>
      </c>
      <c r="V559">
        <f t="shared" si="53"/>
        <v>68.438520017902334</v>
      </c>
      <c r="W559" t="s">
        <v>77</v>
      </c>
    </row>
    <row r="560" spans="1:23" x14ac:dyDescent="0.3">
      <c r="A560" t="str">
        <f t="shared" si="48"/>
        <v>CN|AccumulatedNewCapacity|RE1|PWRSOLUGE_BAT|2053</v>
      </c>
      <c r="B560" t="str">
        <f t="shared" si="49"/>
        <v>Battery storage (grid)|2053|O&amp;M|Direct</v>
      </c>
      <c r="C560" t="str">
        <f t="shared" si="50"/>
        <v>PWRSOLUGE_BAT|Battery storage (grid)</v>
      </c>
      <c r="D560" t="s">
        <v>39</v>
      </c>
      <c r="E560" t="s">
        <v>40</v>
      </c>
      <c r="F560" t="s">
        <v>19</v>
      </c>
      <c r="G560" t="s">
        <v>41</v>
      </c>
      <c r="H560">
        <v>2053</v>
      </c>
      <c r="I560" t="s">
        <v>18</v>
      </c>
      <c r="J560" t="s">
        <v>63</v>
      </c>
      <c r="K560" t="s">
        <v>64</v>
      </c>
      <c r="L560" t="s">
        <v>65</v>
      </c>
      <c r="M560">
        <f>SUMIFS(RawResultsLong!$P:$P,RawResultsLong!$A:$A,A560)</f>
        <v>30.670102189502511</v>
      </c>
      <c r="N560">
        <f t="shared" si="51"/>
        <v>971.87689144619719</v>
      </c>
      <c r="O560" t="s">
        <v>78</v>
      </c>
      <c r="P560">
        <f>SUMIFS(TechnologyMapping!$D:$D,TechnologyMapping!$A:$A,C560)</f>
        <v>0.6</v>
      </c>
      <c r="Q560">
        <f t="shared" si="52"/>
        <v>583.12613486771829</v>
      </c>
      <c r="R560">
        <f>SUMIFS(FactorInputs!$I:$I,FactorInputs!$A:$A,B560)</f>
        <v>1.7347987181099998E-2</v>
      </c>
      <c r="S560" t="str">
        <f>_xlfn.XLOOKUP(B560,FactorInputs!$A$2:$A$888,FactorInputs!$F$2:$F$888,"")</f>
        <v>job/MW</v>
      </c>
      <c r="T560" t="str">
        <f>_xlfn.XLOOKUP(B560,FactorInputs!$A$2:$A$888,FactorInputs!$B$2:$B$888,"")</f>
        <v>Rutovitz 2025</v>
      </c>
      <c r="U560" t="str">
        <f>_xlfn.XLOOKUP(B560,FactorInputs!$A$2:$A$888,FactorInputs!$T$2:$T$888,"")</f>
        <v>Rutovitz 2025</v>
      </c>
      <c r="V560">
        <f t="shared" si="53"/>
        <v>10.116064712649566</v>
      </c>
      <c r="W560" t="s">
        <v>79</v>
      </c>
    </row>
    <row r="561" spans="1:23" x14ac:dyDescent="0.3">
      <c r="A561" t="str">
        <f t="shared" si="48"/>
        <v>CN|AccumulatedNewCapacity|RE1|PWRWNDOFS_FIX|2053</v>
      </c>
      <c r="B561" t="str">
        <f t="shared" si="49"/>
        <v>Offshore wind (fixed)|2053|O&amp;M|Direct</v>
      </c>
      <c r="C561" t="str">
        <f t="shared" si="50"/>
        <v>PWRWNDOFS_FIX|Offshore wind (fixed)</v>
      </c>
      <c r="D561" t="s">
        <v>39</v>
      </c>
      <c r="E561" t="s">
        <v>40</v>
      </c>
      <c r="F561" t="s">
        <v>19</v>
      </c>
      <c r="G561" t="s">
        <v>42</v>
      </c>
      <c r="H561">
        <v>2053</v>
      </c>
      <c r="I561" t="s">
        <v>18</v>
      </c>
      <c r="J561" t="s">
        <v>63</v>
      </c>
      <c r="K561" t="s">
        <v>64</v>
      </c>
      <c r="L561" t="s">
        <v>65</v>
      </c>
      <c r="M561">
        <f>SUMIFS(RawResultsLong!$P:$P,RawResultsLong!$A:$A,A561)</f>
        <v>587.94553340507798</v>
      </c>
      <c r="N561">
        <f t="shared" si="51"/>
        <v>18630.869692406202</v>
      </c>
      <c r="O561" t="s">
        <v>74</v>
      </c>
      <c r="P561">
        <f>SUMIFS(TechnologyMapping!$D:$D,TechnologyMapping!$A:$A,C561)</f>
        <v>1</v>
      </c>
      <c r="Q561">
        <f t="shared" si="52"/>
        <v>18630.869692406202</v>
      </c>
      <c r="R561">
        <f>SUMIFS(FactorInputs!$I:$I,FactorInputs!$A:$A,B561)</f>
        <v>5.4989861751199999E-2</v>
      </c>
      <c r="S561" t="str">
        <f>_xlfn.XLOOKUP(B561,FactorInputs!$A$2:$A$888,FactorInputs!$F$2:$F$888,"")</f>
        <v>job/MW</v>
      </c>
      <c r="T561" t="str">
        <f>_xlfn.XLOOKUP(B561,FactorInputs!$A$2:$A$888,FactorInputs!$B$2:$B$888,"")</f>
        <v>French QBIS 2023</v>
      </c>
      <c r="U561" t="str">
        <f>_xlfn.XLOOKUP(B561,FactorInputs!$A$2:$A$888,FactorInputs!$T$2:$T$888,"")</f>
        <v>French QBIS 2023</v>
      </c>
      <c r="V561">
        <f t="shared" si="53"/>
        <v>1024.508948690039</v>
      </c>
    </row>
    <row r="562" spans="1:23" x14ac:dyDescent="0.3">
      <c r="A562" t="str">
        <f t="shared" si="48"/>
        <v>CN|AccumulatedNewCapacity|RE1|PWRWNDOFS_FLO|2053</v>
      </c>
      <c r="B562" t="str">
        <f t="shared" si="49"/>
        <v>Offshore wind (floating)|2053|O&amp;M|Direct</v>
      </c>
      <c r="C562" t="str">
        <f t="shared" si="50"/>
        <v>PWRWNDOFS_FLO|Offshore wind (floating)</v>
      </c>
      <c r="D562" t="s">
        <v>39</v>
      </c>
      <c r="E562" t="s">
        <v>40</v>
      </c>
      <c r="F562" t="s">
        <v>19</v>
      </c>
      <c r="G562" t="s">
        <v>43</v>
      </c>
      <c r="H562">
        <v>2053</v>
      </c>
      <c r="I562" t="s">
        <v>18</v>
      </c>
      <c r="J562" t="s">
        <v>63</v>
      </c>
      <c r="K562" t="s">
        <v>64</v>
      </c>
      <c r="L562" t="s">
        <v>65</v>
      </c>
      <c r="M562">
        <f>SUMIFS(RawResultsLong!$P:$P,RawResultsLong!$A:$A,A562)</f>
        <v>7.2734896835090179</v>
      </c>
      <c r="N562">
        <f t="shared" si="51"/>
        <v>230.48297980546738</v>
      </c>
      <c r="O562" t="s">
        <v>80</v>
      </c>
      <c r="P562">
        <f>SUMIFS(TechnologyMapping!$D:$D,TechnologyMapping!$A:$A,C562)</f>
        <v>1</v>
      </c>
      <c r="Q562">
        <f t="shared" si="52"/>
        <v>230.48297980546738</v>
      </c>
      <c r="R562">
        <f>SUMIFS(FactorInputs!$I:$I,FactorInputs!$A:$A,B562)</f>
        <v>0.125810138249</v>
      </c>
      <c r="S562" t="str">
        <f>_xlfn.XLOOKUP(B562,FactorInputs!$A$2:$A$888,FactorInputs!$F$2:$F$888,"")</f>
        <v>job/MW</v>
      </c>
      <c r="T562" t="str">
        <f>_xlfn.XLOOKUP(B562,FactorInputs!$A$2:$A$888,FactorInputs!$B$2:$B$888,"")</f>
        <v>French QBIS 2023</v>
      </c>
      <c r="U562" t="str">
        <f>_xlfn.XLOOKUP(B562,FactorInputs!$A$2:$A$888,FactorInputs!$T$2:$T$888,"")</f>
        <v>French QBIS 2023</v>
      </c>
      <c r="V562">
        <f t="shared" si="53"/>
        <v>28.997095553367327</v>
      </c>
    </row>
    <row r="563" spans="1:23" x14ac:dyDescent="0.3">
      <c r="A563" t="str">
        <f t="shared" si="48"/>
        <v>CN|AccumulatedNewCapacity|RE1|PWRWNDONS|2053</v>
      </c>
      <c r="B563" t="str">
        <f t="shared" si="49"/>
        <v>Onshore wind|2053|O&amp;M|Direct</v>
      </c>
      <c r="C563" t="str">
        <f t="shared" si="50"/>
        <v>PWRWNDONS|Onshore wind</v>
      </c>
      <c r="D563" t="s">
        <v>39</v>
      </c>
      <c r="E563" t="s">
        <v>40</v>
      </c>
      <c r="F563" t="s">
        <v>19</v>
      </c>
      <c r="G563" t="s">
        <v>36</v>
      </c>
      <c r="H563">
        <v>2053</v>
      </c>
      <c r="I563" t="s">
        <v>18</v>
      </c>
      <c r="J563" t="s">
        <v>63</v>
      </c>
      <c r="K563" t="s">
        <v>64</v>
      </c>
      <c r="L563" t="s">
        <v>65</v>
      </c>
      <c r="M563">
        <f>SUMIFS(RawResultsLong!$P:$P,RawResultsLong!$A:$A,A563)</f>
        <v>946.16944648443518</v>
      </c>
      <c r="N563">
        <f t="shared" si="51"/>
        <v>29982.30050714995</v>
      </c>
      <c r="O563" t="s">
        <v>68</v>
      </c>
      <c r="P563">
        <f>SUMIFS(TechnologyMapping!$D:$D,TechnologyMapping!$A:$A,C563)</f>
        <v>1</v>
      </c>
      <c r="Q563">
        <f t="shared" si="52"/>
        <v>29982.30050714995</v>
      </c>
      <c r="R563">
        <f>SUMIFS(FactorInputs!$I:$I,FactorInputs!$A:$A,B563)</f>
        <v>2.6934306569300001E-2</v>
      </c>
      <c r="S563" t="str">
        <f>_xlfn.XLOOKUP(B563,FactorInputs!$A$2:$A$888,FactorInputs!$F$2:$F$888,"")</f>
        <v>job/MW</v>
      </c>
      <c r="T563" t="str">
        <f>_xlfn.XLOOKUP(B563,FactorInputs!$A$2:$A$888,FactorInputs!$B$2:$B$888,"")</f>
        <v>I-JEDI</v>
      </c>
      <c r="U563" t="str">
        <f>_xlfn.XLOOKUP(B563,FactorInputs!$A$2:$A$888,FactorInputs!$T$2:$T$888,"")</f>
        <v>I-JEDI</v>
      </c>
      <c r="V563">
        <f t="shared" si="53"/>
        <v>807.55247351245566</v>
      </c>
    </row>
    <row r="564" spans="1:23" x14ac:dyDescent="0.3">
      <c r="A564" t="str">
        <f t="shared" si="48"/>
        <v>CN|NewCapacity|RE1|PWRSOLRTP|2053</v>
      </c>
      <c r="B564" t="str">
        <f t="shared" si="49"/>
        <v>Rooftop solar PV|2053|Construction&amp;Manufacturing|Direct</v>
      </c>
      <c r="C564" t="str">
        <f t="shared" si="50"/>
        <v>PWRSOLRTP|Rooftop solar PV</v>
      </c>
      <c r="D564" t="s">
        <v>39</v>
      </c>
      <c r="E564" t="s">
        <v>40</v>
      </c>
      <c r="F564" t="s">
        <v>19</v>
      </c>
      <c r="G564" t="s">
        <v>31</v>
      </c>
      <c r="H564">
        <v>2053</v>
      </c>
      <c r="I564" t="s">
        <v>37</v>
      </c>
      <c r="J564" t="s">
        <v>69</v>
      </c>
      <c r="K564" t="s">
        <v>70</v>
      </c>
      <c r="L564" t="s">
        <v>65</v>
      </c>
      <c r="M564">
        <f>SUMIFS(RawResultsLong!$P:$P,RawResultsLong!$A:$A,A564)</f>
        <v>1.27</v>
      </c>
      <c r="N564">
        <f t="shared" si="51"/>
        <v>40.243871523816765</v>
      </c>
      <c r="O564" t="s">
        <v>71</v>
      </c>
      <c r="P564">
        <f>SUMIFS(TechnologyMapping!$D:$D,TechnologyMapping!$A:$A,C564)</f>
        <v>1</v>
      </c>
      <c r="Q564">
        <f t="shared" si="52"/>
        <v>40.243871523816765</v>
      </c>
      <c r="R564">
        <f>SUMIFS(FactorInputs!$I:$I,FactorInputs!$A:$A,B564)</f>
        <v>4.3205610605400002</v>
      </c>
      <c r="S564" t="str">
        <f>_xlfn.XLOOKUP(B564,FactorInputs!$A$2:$A$888,FactorInputs!$F$2:$F$888,"")</f>
        <v>job-yr/MW</v>
      </c>
      <c r="T564" t="str">
        <f>_xlfn.XLOOKUP(B564,FactorInputs!$A$2:$A$888,FactorInputs!$B$2:$B$888,"")</f>
        <v>JEDI-US</v>
      </c>
      <c r="U564" t="str">
        <f>_xlfn.XLOOKUP(B564,FactorInputs!$A$2:$A$888,FactorInputs!$T$2:$T$888,"")</f>
        <v>JEDI-US</v>
      </c>
      <c r="V564">
        <f t="shared" si="53"/>
        <v>173.87610423117727</v>
      </c>
    </row>
    <row r="565" spans="1:23" x14ac:dyDescent="0.3">
      <c r="A565" t="str">
        <f t="shared" si="48"/>
        <v>CN|NewCapacity|RE1|PWRSOLRTP_ZNI|2053</v>
      </c>
      <c r="B565" t="str">
        <f t="shared" si="49"/>
        <v>Rooftop solar PV|2053|Construction&amp;Manufacturing|Direct</v>
      </c>
      <c r="C565" t="str">
        <f t="shared" si="50"/>
        <v>PWRSOLRTP_ZNI|Rooftop solar PV</v>
      </c>
      <c r="D565" t="s">
        <v>39</v>
      </c>
      <c r="E565" t="s">
        <v>40</v>
      </c>
      <c r="F565" t="s">
        <v>19</v>
      </c>
      <c r="G565" t="s">
        <v>32</v>
      </c>
      <c r="H565">
        <v>2053</v>
      </c>
      <c r="I565" t="s">
        <v>37</v>
      </c>
      <c r="J565" t="s">
        <v>69</v>
      </c>
      <c r="K565" t="s">
        <v>70</v>
      </c>
      <c r="L565" t="s">
        <v>65</v>
      </c>
      <c r="M565">
        <f>SUMIFS(RawResultsLong!$P:$P,RawResultsLong!$A:$A,A565)</f>
        <v>2.2065187937765969E-2</v>
      </c>
      <c r="N565">
        <f t="shared" si="51"/>
        <v>0.69920361300498035</v>
      </c>
      <c r="O565" t="s">
        <v>71</v>
      </c>
      <c r="P565">
        <f>SUMIFS(TechnologyMapping!$D:$D,TechnologyMapping!$A:$A,C565)</f>
        <v>1</v>
      </c>
      <c r="Q565">
        <f t="shared" si="52"/>
        <v>0.69920361300498035</v>
      </c>
      <c r="R565">
        <f>SUMIFS(FactorInputs!$I:$I,FactorInputs!$A:$A,B565)</f>
        <v>4.3205610605400002</v>
      </c>
      <c r="S565" t="str">
        <f>_xlfn.XLOOKUP(B565,FactorInputs!$A$2:$A$888,FactorInputs!$F$2:$F$888,"")</f>
        <v>job-yr/MW</v>
      </c>
      <c r="T565" t="str">
        <f>_xlfn.XLOOKUP(B565,FactorInputs!$A$2:$A$888,FactorInputs!$B$2:$B$888,"")</f>
        <v>JEDI-US</v>
      </c>
      <c r="U565" t="str">
        <f>_xlfn.XLOOKUP(B565,FactorInputs!$A$2:$A$888,FactorInputs!$T$2:$T$888,"")</f>
        <v>JEDI-US</v>
      </c>
      <c r="V565">
        <f t="shared" si="53"/>
        <v>3.0209519037381978</v>
      </c>
      <c r="W565" t="s">
        <v>73</v>
      </c>
    </row>
    <row r="566" spans="1:23" x14ac:dyDescent="0.3">
      <c r="A566" t="str">
        <f t="shared" si="48"/>
        <v>CN|NewCapacity|RE1|PWRSOLUGE|2053</v>
      </c>
      <c r="B566" t="str">
        <f t="shared" si="49"/>
        <v>Utility-scale solar PV|2053|Construction&amp;Manufacturing|Direct</v>
      </c>
      <c r="C566" t="str">
        <f t="shared" si="50"/>
        <v>PWRSOLUGE|Utility-scale solar PV</v>
      </c>
      <c r="D566" t="s">
        <v>39</v>
      </c>
      <c r="E566" t="s">
        <v>40</v>
      </c>
      <c r="F566" t="s">
        <v>19</v>
      </c>
      <c r="G566" t="s">
        <v>33</v>
      </c>
      <c r="H566">
        <v>2053</v>
      </c>
      <c r="I566" t="s">
        <v>37</v>
      </c>
      <c r="J566" t="s">
        <v>69</v>
      </c>
      <c r="K566" t="s">
        <v>70</v>
      </c>
      <c r="L566" t="s">
        <v>65</v>
      </c>
      <c r="M566">
        <f>SUMIFS(RawResultsLong!$P:$P,RawResultsLong!$A:$A,A566)</f>
        <v>45.022660916026432</v>
      </c>
      <c r="N566">
        <f t="shared" si="51"/>
        <v>1426.6820327282946</v>
      </c>
      <c r="O566" t="s">
        <v>66</v>
      </c>
      <c r="P566">
        <f>SUMIFS(TechnologyMapping!$D:$D,TechnologyMapping!$A:$A,C566)</f>
        <v>1</v>
      </c>
      <c r="Q566">
        <f t="shared" si="52"/>
        <v>1426.6820327282946</v>
      </c>
      <c r="R566">
        <f>SUMIFS(FactorInputs!$I:$I,FactorInputs!$A:$A,B566)</f>
        <v>4.6233132571300004</v>
      </c>
      <c r="S566" t="str">
        <f>_xlfn.XLOOKUP(B566,FactorInputs!$A$2:$A$888,FactorInputs!$F$2:$F$888,"")</f>
        <v>job-yr/MW</v>
      </c>
      <c r="T566" t="str">
        <f>_xlfn.XLOOKUP(B566,FactorInputs!$A$2:$A$888,FactorInputs!$B$2:$B$888,"")</f>
        <v>I-JEDI</v>
      </c>
      <c r="U566" t="str">
        <f>_xlfn.XLOOKUP(B566,FactorInputs!$A$2:$A$888,FactorInputs!$T$2:$T$888,"")</f>
        <v>I-JEDI</v>
      </c>
      <c r="V566">
        <f t="shared" si="53"/>
        <v>6595.9979556219014</v>
      </c>
    </row>
    <row r="567" spans="1:23" x14ac:dyDescent="0.3">
      <c r="A567" t="str">
        <f t="shared" si="48"/>
        <v>CN|NewCapacity|RE1|PWRWNDOFS_FIX|2053</v>
      </c>
      <c r="B567" t="str">
        <f t="shared" si="49"/>
        <v>Offshore wind (fixed)|2053|Construction&amp;Manufacturing|Direct</v>
      </c>
      <c r="C567" t="str">
        <f t="shared" si="50"/>
        <v>PWRWNDOFS_FIX|Offshore wind (fixed)</v>
      </c>
      <c r="D567" t="s">
        <v>39</v>
      </c>
      <c r="E567" t="s">
        <v>40</v>
      </c>
      <c r="F567" t="s">
        <v>19</v>
      </c>
      <c r="G567" t="s">
        <v>42</v>
      </c>
      <c r="H567">
        <v>2053</v>
      </c>
      <c r="I567" t="s">
        <v>37</v>
      </c>
      <c r="J567" t="s">
        <v>69</v>
      </c>
      <c r="K567" t="s">
        <v>70</v>
      </c>
      <c r="L567" t="s">
        <v>65</v>
      </c>
      <c r="M567">
        <f>SUMIFS(RawResultsLong!$P:$P,RawResultsLong!$A:$A,A567)</f>
        <v>22.388523657777679</v>
      </c>
      <c r="N567">
        <f t="shared" si="51"/>
        <v>709.44950369412368</v>
      </c>
      <c r="O567" t="s">
        <v>74</v>
      </c>
      <c r="P567">
        <f>SUMIFS(TechnologyMapping!$D:$D,TechnologyMapping!$A:$A,C567)</f>
        <v>1</v>
      </c>
      <c r="Q567">
        <f t="shared" si="52"/>
        <v>709.44950369412368</v>
      </c>
      <c r="R567">
        <f>SUMIFS(FactorInputs!$I:$I,FactorInputs!$A:$A,B567)</f>
        <v>3.3475391011800002</v>
      </c>
      <c r="S567" t="str">
        <f>_xlfn.XLOOKUP(B567,FactorInputs!$A$2:$A$888,FactorInputs!$F$2:$F$888,"")</f>
        <v>job-yr/MW</v>
      </c>
      <c r="T567" t="str">
        <f>_xlfn.XLOOKUP(B567,FactorInputs!$A$2:$A$888,FactorInputs!$B$2:$B$888,"")</f>
        <v>French QBIS 2023</v>
      </c>
      <c r="U567" t="str">
        <f>_xlfn.XLOOKUP(B567,FactorInputs!$A$2:$A$888,FactorInputs!$T$2:$T$888,"")</f>
        <v>French QBIS 2023</v>
      </c>
      <c r="V567">
        <f t="shared" si="53"/>
        <v>2374.9099539288241</v>
      </c>
    </row>
    <row r="568" spans="1:23" x14ac:dyDescent="0.3">
      <c r="A568" t="str">
        <f t="shared" si="48"/>
        <v>CN|NewCapacity|RE1|PWRWNDONS|2053</v>
      </c>
      <c r="B568" t="str">
        <f t="shared" si="49"/>
        <v>Onshore wind|2053|Construction&amp;Manufacturing|Direct</v>
      </c>
      <c r="C568" t="str">
        <f t="shared" si="50"/>
        <v>PWRWNDONS|Onshore wind</v>
      </c>
      <c r="D568" t="s">
        <v>39</v>
      </c>
      <c r="E568" t="s">
        <v>40</v>
      </c>
      <c r="F568" t="s">
        <v>19</v>
      </c>
      <c r="G568" t="s">
        <v>36</v>
      </c>
      <c r="H568">
        <v>2053</v>
      </c>
      <c r="I568" t="s">
        <v>37</v>
      </c>
      <c r="J568" t="s">
        <v>69</v>
      </c>
      <c r="K568" t="s">
        <v>70</v>
      </c>
      <c r="L568" t="s">
        <v>65</v>
      </c>
      <c r="M568">
        <f>SUMIFS(RawResultsLong!$P:$P,RawResultsLong!$A:$A,A568)</f>
        <v>47.31</v>
      </c>
      <c r="N568">
        <f t="shared" si="51"/>
        <v>1499.1634344817096</v>
      </c>
      <c r="O568" t="s">
        <v>68</v>
      </c>
      <c r="P568">
        <f>SUMIFS(TechnologyMapping!$D:$D,TechnologyMapping!$A:$A,C568)</f>
        <v>1</v>
      </c>
      <c r="Q568">
        <f t="shared" si="52"/>
        <v>1499.1634344817096</v>
      </c>
      <c r="R568">
        <f>SUMIFS(FactorInputs!$I:$I,FactorInputs!$A:$A,B568)</f>
        <v>6.5127600165799997</v>
      </c>
      <c r="S568" t="str">
        <f>_xlfn.XLOOKUP(B568,FactorInputs!$A$2:$A$888,FactorInputs!$F$2:$F$888,"")</f>
        <v>job-yr/MW</v>
      </c>
      <c r="T568" t="str">
        <f>_xlfn.XLOOKUP(B568,FactorInputs!$A$2:$A$888,FactorInputs!$B$2:$B$888,"")</f>
        <v>I-JEDI</v>
      </c>
      <c r="U568" t="str">
        <f>_xlfn.XLOOKUP(B568,FactorInputs!$A$2:$A$888,FactorInputs!$T$2:$T$888,"")</f>
        <v>I-JEDI</v>
      </c>
      <c r="V568">
        <f t="shared" si="53"/>
        <v>9763.6916744112277</v>
      </c>
    </row>
    <row r="569" spans="1:23" x14ac:dyDescent="0.3">
      <c r="A569" t="str">
        <f t="shared" si="48"/>
        <v>CN|AccumulatedNewCapacity|RE1|PWRHYDDAM|2054</v>
      </c>
      <c r="B569" t="str">
        <f t="shared" si="49"/>
        <v>Hydro (large)|2054|O&amp;M|Direct</v>
      </c>
      <c r="C569" t="str">
        <f t="shared" si="50"/>
        <v>PWRHYDDAM|Hydro (large)</v>
      </c>
      <c r="D569" t="s">
        <v>39</v>
      </c>
      <c r="E569" t="s">
        <v>40</v>
      </c>
      <c r="F569" t="s">
        <v>19</v>
      </c>
      <c r="G569" t="s">
        <v>24</v>
      </c>
      <c r="H569">
        <v>2054</v>
      </c>
      <c r="I569" t="s">
        <v>18</v>
      </c>
      <c r="J569" t="s">
        <v>63</v>
      </c>
      <c r="K569" t="s">
        <v>64</v>
      </c>
      <c r="L569" t="s">
        <v>65</v>
      </c>
      <c r="M569">
        <f>SUMIFS(RawResultsLong!$P:$P,RawResultsLong!$A:$A,A569)</f>
        <v>37.840000000000003</v>
      </c>
      <c r="N569">
        <f t="shared" si="51"/>
        <v>1199.0772428828554</v>
      </c>
      <c r="O569" t="s">
        <v>72</v>
      </c>
      <c r="P569">
        <f>SUMIFS(TechnologyMapping!$D:$D,TechnologyMapping!$A:$A,C569)</f>
        <v>1</v>
      </c>
      <c r="Q569">
        <f t="shared" si="52"/>
        <v>1199.0772428828554</v>
      </c>
      <c r="R569">
        <f>SUMIFS(FactorInputs!$I:$I,FactorInputs!$A:$A,B569)</f>
        <v>0.63849180327900001</v>
      </c>
      <c r="S569" t="str">
        <f>_xlfn.XLOOKUP(B569,FactorInputs!$A$2:$A$888,FactorInputs!$F$2:$F$888,"")</f>
        <v>job/MW</v>
      </c>
      <c r="T569" t="str">
        <f>_xlfn.XLOOKUP(B569,FactorInputs!$A$2:$A$888,FactorInputs!$B$2:$B$888,"")</f>
        <v>Rutovitz 2015</v>
      </c>
      <c r="U569" t="str">
        <f>_xlfn.XLOOKUP(B569,FactorInputs!$A$2:$A$888,FactorInputs!$T$2:$T$888,"")</f>
        <v>Rutovitz 2015</v>
      </c>
      <c r="V569">
        <f t="shared" si="53"/>
        <v>765.60099107908582</v>
      </c>
    </row>
    <row r="570" spans="1:23" x14ac:dyDescent="0.3">
      <c r="A570" t="str">
        <f t="shared" si="48"/>
        <v>CN|AccumulatedNewCapacity|RE1|PWRHYDROR_NDC|2054</v>
      </c>
      <c r="B570" t="str">
        <f t="shared" si="49"/>
        <v>Hydro (small)|2054|O&amp;M|Direct</v>
      </c>
      <c r="C570" t="str">
        <f t="shared" si="50"/>
        <v>PWRHYDROR_NDC|Hydro (small)</v>
      </c>
      <c r="D570" t="s">
        <v>39</v>
      </c>
      <c r="E570" t="s">
        <v>40</v>
      </c>
      <c r="F570" t="s">
        <v>19</v>
      </c>
      <c r="G570" t="s">
        <v>26</v>
      </c>
      <c r="H570">
        <v>2054</v>
      </c>
      <c r="I570" t="s">
        <v>18</v>
      </c>
      <c r="J570" t="s">
        <v>63</v>
      </c>
      <c r="K570" t="s">
        <v>64</v>
      </c>
      <c r="L570" t="s">
        <v>65</v>
      </c>
      <c r="M570">
        <f>SUMIFS(RawResultsLong!$P:$P,RawResultsLong!$A:$A,A570)</f>
        <v>121.6663582335095</v>
      </c>
      <c r="N570">
        <f t="shared" si="51"/>
        <v>3855.3742437165529</v>
      </c>
      <c r="O570" t="s">
        <v>75</v>
      </c>
      <c r="P570">
        <f>SUMIFS(TechnologyMapping!$D:$D,TechnologyMapping!$A:$A,C570)</f>
        <v>1</v>
      </c>
      <c r="Q570">
        <f t="shared" si="52"/>
        <v>3855.3742437165529</v>
      </c>
      <c r="R570">
        <f>SUMIFS(FactorInputs!$I:$I,FactorInputs!$A:$A,B570)</f>
        <v>5.2114156626500003</v>
      </c>
      <c r="S570" t="str">
        <f>_xlfn.XLOOKUP(B570,FactorInputs!$A$2:$A$888,FactorInputs!$F$2:$F$888,"")</f>
        <v>job/MW</v>
      </c>
      <c r="T570" t="str">
        <f>_xlfn.XLOOKUP(B570,FactorInputs!$A$2:$A$888,FactorInputs!$B$2:$B$888,"")</f>
        <v>Rutovitz 2015</v>
      </c>
      <c r="U570" t="str">
        <f>_xlfn.XLOOKUP(B570,FactorInputs!$A$2:$A$888,FactorInputs!$T$2:$T$888,"")</f>
        <v>Rutovitz 2015</v>
      </c>
      <c r="V570">
        <f t="shared" si="53"/>
        <v>20091.957719081842</v>
      </c>
      <c r="W570" t="s">
        <v>76</v>
      </c>
    </row>
    <row r="571" spans="1:23" x14ac:dyDescent="0.3">
      <c r="A571" t="str">
        <f t="shared" si="48"/>
        <v>CN|AccumulatedNewCapacity|RE1|PWRSOLRTP|2054</v>
      </c>
      <c r="B571" t="str">
        <f t="shared" si="49"/>
        <v>Rooftop solar PV|2054|O&amp;M|Direct</v>
      </c>
      <c r="C571" t="str">
        <f t="shared" si="50"/>
        <v>PWRSOLRTP|Rooftop solar PV</v>
      </c>
      <c r="D571" t="s">
        <v>39</v>
      </c>
      <c r="E571" t="s">
        <v>40</v>
      </c>
      <c r="F571" t="s">
        <v>19</v>
      </c>
      <c r="G571" t="s">
        <v>31</v>
      </c>
      <c r="H571">
        <v>2054</v>
      </c>
      <c r="I571" t="s">
        <v>18</v>
      </c>
      <c r="J571" t="s">
        <v>63</v>
      </c>
      <c r="K571" t="s">
        <v>64</v>
      </c>
      <c r="L571" t="s">
        <v>65</v>
      </c>
      <c r="M571">
        <f>SUMIFS(RawResultsLong!$P:$P,RawResultsLong!$A:$A,A571)</f>
        <v>164.48345518622691</v>
      </c>
      <c r="N571">
        <f t="shared" si="51"/>
        <v>5212.1661718960531</v>
      </c>
      <c r="O571" t="s">
        <v>71</v>
      </c>
      <c r="P571">
        <f>SUMIFS(TechnologyMapping!$D:$D,TechnologyMapping!$A:$A,C571)</f>
        <v>1</v>
      </c>
      <c r="Q571">
        <f t="shared" si="52"/>
        <v>5212.1661718960531</v>
      </c>
      <c r="R571">
        <f>SUMIFS(FactorInputs!$I:$I,FactorInputs!$A:$A,B571)</f>
        <v>0.21705882352899999</v>
      </c>
      <c r="S571" t="str">
        <f>_xlfn.XLOOKUP(B571,FactorInputs!$A$2:$A$888,FactorInputs!$F$2:$F$888,"")</f>
        <v>job/MW</v>
      </c>
      <c r="T571" t="str">
        <f>_xlfn.XLOOKUP(B571,FactorInputs!$A$2:$A$888,FactorInputs!$B$2:$B$888,"")</f>
        <v>JEDI-US</v>
      </c>
      <c r="U571" t="str">
        <f>_xlfn.XLOOKUP(B571,FactorInputs!$A$2:$A$888,FactorInputs!$T$2:$T$888,"")</f>
        <v>JEDI-US</v>
      </c>
      <c r="V571">
        <f t="shared" si="53"/>
        <v>1131.3466573094088</v>
      </c>
    </row>
    <row r="572" spans="1:23" x14ac:dyDescent="0.3">
      <c r="A572" t="str">
        <f t="shared" si="48"/>
        <v>CN|AccumulatedNewCapacity|RE1|PWRSOLRTP_ZNI|2054</v>
      </c>
      <c r="B572" t="str">
        <f t="shared" si="49"/>
        <v>Rooftop solar PV|2054|O&amp;M|Direct</v>
      </c>
      <c r="C572" t="str">
        <f t="shared" si="50"/>
        <v>PWRSOLRTP_ZNI|Rooftop solar PV</v>
      </c>
      <c r="D572" t="s">
        <v>39</v>
      </c>
      <c r="E572" t="s">
        <v>40</v>
      </c>
      <c r="F572" t="s">
        <v>19</v>
      </c>
      <c r="G572" t="s">
        <v>32</v>
      </c>
      <c r="H572">
        <v>2054</v>
      </c>
      <c r="I572" t="s">
        <v>18</v>
      </c>
      <c r="J572" t="s">
        <v>63</v>
      </c>
      <c r="K572" t="s">
        <v>64</v>
      </c>
      <c r="L572" t="s">
        <v>65</v>
      </c>
      <c r="M572">
        <f>SUMIFS(RawResultsLong!$P:$P,RawResultsLong!$A:$A,A572)</f>
        <v>1.414235668535486</v>
      </c>
      <c r="N572">
        <f t="shared" si="51"/>
        <v>44.814424054284416</v>
      </c>
      <c r="O572" t="s">
        <v>71</v>
      </c>
      <c r="P572">
        <f>SUMIFS(TechnologyMapping!$D:$D,TechnologyMapping!$A:$A,C572)</f>
        <v>1</v>
      </c>
      <c r="Q572">
        <f t="shared" si="52"/>
        <v>44.814424054284416</v>
      </c>
      <c r="R572">
        <f>SUMIFS(FactorInputs!$I:$I,FactorInputs!$A:$A,B572)</f>
        <v>0.21705882352899999</v>
      </c>
      <c r="S572" t="str">
        <f>_xlfn.XLOOKUP(B572,FactorInputs!$A$2:$A$888,FactorInputs!$F$2:$F$888,"")</f>
        <v>job/MW</v>
      </c>
      <c r="T572" t="str">
        <f>_xlfn.XLOOKUP(B572,FactorInputs!$A$2:$A$888,FactorInputs!$B$2:$B$888,"")</f>
        <v>JEDI-US</v>
      </c>
      <c r="U572" t="str">
        <f>_xlfn.XLOOKUP(B572,FactorInputs!$A$2:$A$888,FactorInputs!$T$2:$T$888,"")</f>
        <v>JEDI-US</v>
      </c>
      <c r="V572">
        <f t="shared" si="53"/>
        <v>9.727366162352693</v>
      </c>
      <c r="W572" t="s">
        <v>73</v>
      </c>
    </row>
    <row r="573" spans="1:23" x14ac:dyDescent="0.3">
      <c r="A573" t="str">
        <f t="shared" si="48"/>
        <v>CN|AccumulatedNewCapacity|RE1|PWRSOLUGE|2054</v>
      </c>
      <c r="B573" t="str">
        <f t="shared" si="49"/>
        <v>Utility-scale solar PV|2054|O&amp;M|Direct</v>
      </c>
      <c r="C573" t="str">
        <f t="shared" si="50"/>
        <v>PWRSOLUGE|Utility-scale solar PV</v>
      </c>
      <c r="D573" t="s">
        <v>39</v>
      </c>
      <c r="E573" t="s">
        <v>40</v>
      </c>
      <c r="F573" t="s">
        <v>19</v>
      </c>
      <c r="G573" t="s">
        <v>33</v>
      </c>
      <c r="H573">
        <v>2054</v>
      </c>
      <c r="I573" t="s">
        <v>18</v>
      </c>
      <c r="J573" t="s">
        <v>63</v>
      </c>
      <c r="K573" t="s">
        <v>64</v>
      </c>
      <c r="L573" t="s">
        <v>65</v>
      </c>
      <c r="M573">
        <f>SUMIFS(RawResultsLong!$P:$P,RawResultsLong!$A:$A,A573)</f>
        <v>490.03962731418341</v>
      </c>
      <c r="N573">
        <f t="shared" si="51"/>
        <v>15528.418742685863</v>
      </c>
      <c r="O573" t="s">
        <v>66</v>
      </c>
      <c r="P573">
        <f>SUMIFS(TechnologyMapping!$D:$D,TechnologyMapping!$A:$A,C573)</f>
        <v>1</v>
      </c>
      <c r="Q573">
        <f t="shared" si="52"/>
        <v>15528.418742685863</v>
      </c>
      <c r="R573">
        <f>SUMIFS(FactorInputs!$I:$I,FactorInputs!$A:$A,B573)</f>
        <v>7.0418918918899995E-2</v>
      </c>
      <c r="S573" t="str">
        <f>_xlfn.XLOOKUP(B573,FactorInputs!$A$2:$A$888,FactorInputs!$F$2:$F$888,"")</f>
        <v>job/MW</v>
      </c>
      <c r="T573" t="str">
        <f>_xlfn.XLOOKUP(B573,FactorInputs!$A$2:$A$888,FactorInputs!$B$2:$B$888,"")</f>
        <v>I-JEDI</v>
      </c>
      <c r="U573" t="str">
        <f>_xlfn.XLOOKUP(B573,FactorInputs!$A$2:$A$888,FactorInputs!$T$2:$T$888,"")</f>
        <v>I-JEDI</v>
      </c>
      <c r="V573">
        <f t="shared" si="53"/>
        <v>1093.4944603799227</v>
      </c>
    </row>
    <row r="574" spans="1:23" x14ac:dyDescent="0.3">
      <c r="A574" t="str">
        <f t="shared" si="48"/>
        <v>CN|AccumulatedNewCapacity|RE1|PWRSOLUGE_BAT|2054</v>
      </c>
      <c r="B574" t="str">
        <f t="shared" si="49"/>
        <v>Utility-scale solar PV|2054|O&amp;M|Direct</v>
      </c>
      <c r="C574" t="str">
        <f t="shared" si="50"/>
        <v>PWRSOLUGE_BAT|Utility-scale solar PV</v>
      </c>
      <c r="D574" t="s">
        <v>39</v>
      </c>
      <c r="E574" t="s">
        <v>40</v>
      </c>
      <c r="F574" t="s">
        <v>19</v>
      </c>
      <c r="G574" t="s">
        <v>41</v>
      </c>
      <c r="H574">
        <v>2054</v>
      </c>
      <c r="I574" t="s">
        <v>18</v>
      </c>
      <c r="J574" t="s">
        <v>63</v>
      </c>
      <c r="K574" t="s">
        <v>64</v>
      </c>
      <c r="L574" t="s">
        <v>65</v>
      </c>
      <c r="M574">
        <f>SUMIFS(RawResultsLong!$P:$P,RawResultsLong!$A:$A,A574)</f>
        <v>30.670102189502511</v>
      </c>
      <c r="N574">
        <f t="shared" si="51"/>
        <v>971.87689144619719</v>
      </c>
      <c r="O574" t="s">
        <v>66</v>
      </c>
      <c r="P574">
        <f>SUMIFS(TechnologyMapping!$D:$D,TechnologyMapping!$A:$A,C574)</f>
        <v>1</v>
      </c>
      <c r="Q574">
        <f t="shared" si="52"/>
        <v>971.87689144619719</v>
      </c>
      <c r="R574">
        <f>SUMIFS(FactorInputs!$I:$I,FactorInputs!$A:$A,B574)</f>
        <v>7.0418918918899995E-2</v>
      </c>
      <c r="S574" t="str">
        <f>_xlfn.XLOOKUP(B574,FactorInputs!$A$2:$A$888,FactorInputs!$F$2:$F$888,"")</f>
        <v>job/MW</v>
      </c>
      <c r="T574" t="str">
        <f>_xlfn.XLOOKUP(B574,FactorInputs!$A$2:$A$888,FactorInputs!$B$2:$B$888,"")</f>
        <v>I-JEDI</v>
      </c>
      <c r="U574" t="str">
        <f>_xlfn.XLOOKUP(B574,FactorInputs!$A$2:$A$888,FactorInputs!$T$2:$T$888,"")</f>
        <v>I-JEDI</v>
      </c>
      <c r="V574">
        <f t="shared" si="53"/>
        <v>68.438520017902334</v>
      </c>
      <c r="W574" t="s">
        <v>77</v>
      </c>
    </row>
    <row r="575" spans="1:23" x14ac:dyDescent="0.3">
      <c r="A575" t="str">
        <f t="shared" si="48"/>
        <v>CN|AccumulatedNewCapacity|RE1|PWRSOLUGE_BAT|2054</v>
      </c>
      <c r="B575" t="str">
        <f t="shared" si="49"/>
        <v>Battery storage (grid)|2054|O&amp;M|Direct</v>
      </c>
      <c r="C575" t="str">
        <f t="shared" si="50"/>
        <v>PWRSOLUGE_BAT|Battery storage (grid)</v>
      </c>
      <c r="D575" t="s">
        <v>39</v>
      </c>
      <c r="E575" t="s">
        <v>40</v>
      </c>
      <c r="F575" t="s">
        <v>19</v>
      </c>
      <c r="G575" t="s">
        <v>41</v>
      </c>
      <c r="H575">
        <v>2054</v>
      </c>
      <c r="I575" t="s">
        <v>18</v>
      </c>
      <c r="J575" t="s">
        <v>63</v>
      </c>
      <c r="K575" t="s">
        <v>64</v>
      </c>
      <c r="L575" t="s">
        <v>65</v>
      </c>
      <c r="M575">
        <f>SUMIFS(RawResultsLong!$P:$P,RawResultsLong!$A:$A,A575)</f>
        <v>30.670102189502511</v>
      </c>
      <c r="N575">
        <f t="shared" si="51"/>
        <v>971.87689144619719</v>
      </c>
      <c r="O575" t="s">
        <v>78</v>
      </c>
      <c r="P575">
        <f>SUMIFS(TechnologyMapping!$D:$D,TechnologyMapping!$A:$A,C575)</f>
        <v>0.6</v>
      </c>
      <c r="Q575">
        <f t="shared" si="52"/>
        <v>583.12613486771829</v>
      </c>
      <c r="R575">
        <f>SUMIFS(FactorInputs!$I:$I,FactorInputs!$A:$A,B575)</f>
        <v>1.7347987181099998E-2</v>
      </c>
      <c r="S575" t="str">
        <f>_xlfn.XLOOKUP(B575,FactorInputs!$A$2:$A$888,FactorInputs!$F$2:$F$888,"")</f>
        <v>job/MW</v>
      </c>
      <c r="T575" t="str">
        <f>_xlfn.XLOOKUP(B575,FactorInputs!$A$2:$A$888,FactorInputs!$B$2:$B$888,"")</f>
        <v>Rutovitz 2025</v>
      </c>
      <c r="U575" t="str">
        <f>_xlfn.XLOOKUP(B575,FactorInputs!$A$2:$A$888,FactorInputs!$T$2:$T$888,"")</f>
        <v>Rutovitz 2025</v>
      </c>
      <c r="V575">
        <f t="shared" si="53"/>
        <v>10.116064712649566</v>
      </c>
      <c r="W575" t="s">
        <v>79</v>
      </c>
    </row>
    <row r="576" spans="1:23" x14ac:dyDescent="0.3">
      <c r="A576" t="str">
        <f t="shared" si="48"/>
        <v>CN|AccumulatedNewCapacity|RE1|PWRWNDOFS_FIX|2054</v>
      </c>
      <c r="B576" t="str">
        <f t="shared" si="49"/>
        <v>Offshore wind (fixed)|2054|O&amp;M|Direct</v>
      </c>
      <c r="C576" t="str">
        <f t="shared" si="50"/>
        <v>PWRWNDOFS_FIX|Offshore wind (fixed)</v>
      </c>
      <c r="D576" t="s">
        <v>39</v>
      </c>
      <c r="E576" t="s">
        <v>40</v>
      </c>
      <c r="F576" t="s">
        <v>19</v>
      </c>
      <c r="G576" t="s">
        <v>42</v>
      </c>
      <c r="H576">
        <v>2054</v>
      </c>
      <c r="I576" t="s">
        <v>18</v>
      </c>
      <c r="J576" t="s">
        <v>63</v>
      </c>
      <c r="K576" t="s">
        <v>64</v>
      </c>
      <c r="L576" t="s">
        <v>65</v>
      </c>
      <c r="M576">
        <f>SUMIFS(RawResultsLong!$P:$P,RawResultsLong!$A:$A,A576)</f>
        <v>609.11674579839485</v>
      </c>
      <c r="N576">
        <f t="shared" si="51"/>
        <v>19301.744929855086</v>
      </c>
      <c r="O576" t="s">
        <v>74</v>
      </c>
      <c r="P576">
        <f>SUMIFS(TechnologyMapping!$D:$D,TechnologyMapping!$A:$A,C576)</f>
        <v>1</v>
      </c>
      <c r="Q576">
        <f t="shared" si="52"/>
        <v>19301.744929855086</v>
      </c>
      <c r="R576">
        <f>SUMIFS(FactorInputs!$I:$I,FactorInputs!$A:$A,B576)</f>
        <v>5.4989861751199999E-2</v>
      </c>
      <c r="S576" t="str">
        <f>_xlfn.XLOOKUP(B576,FactorInputs!$A$2:$A$888,FactorInputs!$F$2:$F$888,"")</f>
        <v>job/MW</v>
      </c>
      <c r="T576" t="str">
        <f>_xlfn.XLOOKUP(B576,FactorInputs!$A$2:$A$888,FactorInputs!$B$2:$B$888,"")</f>
        <v>French QBIS 2023</v>
      </c>
      <c r="U576" t="str">
        <f>_xlfn.XLOOKUP(B576,FactorInputs!$A$2:$A$888,FactorInputs!$T$2:$T$888,"")</f>
        <v>French QBIS 2023</v>
      </c>
      <c r="V576">
        <f t="shared" si="53"/>
        <v>1061.4002852496567</v>
      </c>
    </row>
    <row r="577" spans="1:23" x14ac:dyDescent="0.3">
      <c r="A577" t="str">
        <f t="shared" si="48"/>
        <v>CN|AccumulatedNewCapacity|RE1|PWRWNDOFS_FLO|2054</v>
      </c>
      <c r="B577" t="str">
        <f t="shared" si="49"/>
        <v>Offshore wind (floating)|2054|O&amp;M|Direct</v>
      </c>
      <c r="C577" t="str">
        <f t="shared" si="50"/>
        <v>PWRWNDOFS_FLO|Offshore wind (floating)</v>
      </c>
      <c r="D577" t="s">
        <v>39</v>
      </c>
      <c r="E577" t="s">
        <v>40</v>
      </c>
      <c r="F577" t="s">
        <v>19</v>
      </c>
      <c r="G577" t="s">
        <v>43</v>
      </c>
      <c r="H577">
        <v>2054</v>
      </c>
      <c r="I577" t="s">
        <v>18</v>
      </c>
      <c r="J577" t="s">
        <v>63</v>
      </c>
      <c r="K577" t="s">
        <v>64</v>
      </c>
      <c r="L577" t="s">
        <v>65</v>
      </c>
      <c r="M577">
        <f>SUMIFS(RawResultsLong!$P:$P,RawResultsLong!$A:$A,A577)</f>
        <v>7.2734896835090179</v>
      </c>
      <c r="N577">
        <f t="shared" si="51"/>
        <v>230.48297980546738</v>
      </c>
      <c r="O577" t="s">
        <v>80</v>
      </c>
      <c r="P577">
        <f>SUMIFS(TechnologyMapping!$D:$D,TechnologyMapping!$A:$A,C577)</f>
        <v>1</v>
      </c>
      <c r="Q577">
        <f t="shared" si="52"/>
        <v>230.48297980546738</v>
      </c>
      <c r="R577">
        <f>SUMIFS(FactorInputs!$I:$I,FactorInputs!$A:$A,B577)</f>
        <v>0.125810138249</v>
      </c>
      <c r="S577" t="str">
        <f>_xlfn.XLOOKUP(B577,FactorInputs!$A$2:$A$888,FactorInputs!$F$2:$F$888,"")</f>
        <v>job/MW</v>
      </c>
      <c r="T577" t="str">
        <f>_xlfn.XLOOKUP(B577,FactorInputs!$A$2:$A$888,FactorInputs!$B$2:$B$888,"")</f>
        <v>French QBIS 2023</v>
      </c>
      <c r="U577" t="str">
        <f>_xlfn.XLOOKUP(B577,FactorInputs!$A$2:$A$888,FactorInputs!$T$2:$T$888,"")</f>
        <v>French QBIS 2023</v>
      </c>
      <c r="V577">
        <f t="shared" si="53"/>
        <v>28.997095553367327</v>
      </c>
    </row>
    <row r="578" spans="1:23" x14ac:dyDescent="0.3">
      <c r="A578" t="str">
        <f t="shared" ref="A578:A641" si="54">D578&amp;"|"&amp;I578&amp;"|"&amp;F578&amp;"|"&amp;G578&amp;"|"&amp;H578</f>
        <v>CN|AccumulatedNewCapacity|RE1|PWRWNDONS|2054</v>
      </c>
      <c r="B578" t="str">
        <f t="shared" ref="B578:B641" si="55">O578&amp;"|"&amp;H578&amp;"|"&amp;K578&amp;"|"&amp;L578</f>
        <v>Onshore wind|2054|O&amp;M|Direct</v>
      </c>
      <c r="C578" t="str">
        <f t="shared" ref="C578:C641" si="56">G578&amp;"|"&amp;O578</f>
        <v>PWRWNDONS|Onshore wind</v>
      </c>
      <c r="D578" t="s">
        <v>39</v>
      </c>
      <c r="E578" t="s">
        <v>40</v>
      </c>
      <c r="F578" t="s">
        <v>19</v>
      </c>
      <c r="G578" t="s">
        <v>36</v>
      </c>
      <c r="H578">
        <v>2054</v>
      </c>
      <c r="I578" t="s">
        <v>18</v>
      </c>
      <c r="J578" t="s">
        <v>63</v>
      </c>
      <c r="K578" t="s">
        <v>64</v>
      </c>
      <c r="L578" t="s">
        <v>65</v>
      </c>
      <c r="M578">
        <f>SUMIFS(RawResultsLong!$P:$P,RawResultsLong!$A:$A,A578)</f>
        <v>993.47944648443513</v>
      </c>
      <c r="N578">
        <f t="shared" ref="N578:N641" si="57">M578*1000/31.5576</f>
        <v>31481.463941631653</v>
      </c>
      <c r="O578" t="s">
        <v>68</v>
      </c>
      <c r="P578">
        <f>SUMIFS(TechnologyMapping!$D:$D,TechnologyMapping!$A:$A,C578)</f>
        <v>1</v>
      </c>
      <c r="Q578">
        <f t="shared" ref="Q578:Q641" si="58">N578*P578</f>
        <v>31481.463941631653</v>
      </c>
      <c r="R578">
        <f>SUMIFS(FactorInputs!$I:$I,FactorInputs!$A:$A,B578)</f>
        <v>2.6934306569300001E-2</v>
      </c>
      <c r="S578" t="str">
        <f>_xlfn.XLOOKUP(B578,FactorInputs!$A$2:$A$888,FactorInputs!$F$2:$F$888,"")</f>
        <v>job/MW</v>
      </c>
      <c r="T578" t="str">
        <f>_xlfn.XLOOKUP(B578,FactorInputs!$A$2:$A$888,FactorInputs!$B$2:$B$888,"")</f>
        <v>I-JEDI</v>
      </c>
      <c r="U578" t="str">
        <f>_xlfn.XLOOKUP(B578,FactorInputs!$A$2:$A$888,FactorInputs!$T$2:$T$888,"")</f>
        <v>I-JEDI</v>
      </c>
      <c r="V578">
        <f t="shared" ref="V578:V641" si="59">Q578*R578</f>
        <v>847.93140105427051</v>
      </c>
    </row>
    <row r="579" spans="1:23" x14ac:dyDescent="0.3">
      <c r="A579" t="str">
        <f t="shared" si="54"/>
        <v>CN|NewCapacity|RE1|PWRSOLRTP|2054</v>
      </c>
      <c r="B579" t="str">
        <f t="shared" si="55"/>
        <v>Rooftop solar PV|2054|Construction&amp;Manufacturing|Direct</v>
      </c>
      <c r="C579" t="str">
        <f t="shared" si="56"/>
        <v>PWRSOLRTP|Rooftop solar PV</v>
      </c>
      <c r="D579" t="s">
        <v>39</v>
      </c>
      <c r="E579" t="s">
        <v>40</v>
      </c>
      <c r="F579" t="s">
        <v>19</v>
      </c>
      <c r="G579" t="s">
        <v>31</v>
      </c>
      <c r="H579">
        <v>2054</v>
      </c>
      <c r="I579" t="s">
        <v>37</v>
      </c>
      <c r="J579" t="s">
        <v>69</v>
      </c>
      <c r="K579" t="s">
        <v>70</v>
      </c>
      <c r="L579" t="s">
        <v>65</v>
      </c>
      <c r="M579">
        <f>SUMIFS(RawResultsLong!$P:$P,RawResultsLong!$A:$A,A579)</f>
        <v>1.27</v>
      </c>
      <c r="N579">
        <f t="shared" si="57"/>
        <v>40.243871523816765</v>
      </c>
      <c r="O579" t="s">
        <v>71</v>
      </c>
      <c r="P579">
        <f>SUMIFS(TechnologyMapping!$D:$D,TechnologyMapping!$A:$A,C579)</f>
        <v>1</v>
      </c>
      <c r="Q579">
        <f t="shared" si="58"/>
        <v>40.243871523816765</v>
      </c>
      <c r="R579">
        <f>SUMIFS(FactorInputs!$I:$I,FactorInputs!$A:$A,B579)</f>
        <v>4.3205610605400002</v>
      </c>
      <c r="S579" t="str">
        <f>_xlfn.XLOOKUP(B579,FactorInputs!$A$2:$A$888,FactorInputs!$F$2:$F$888,"")</f>
        <v>job-yr/MW</v>
      </c>
      <c r="T579" t="str">
        <f>_xlfn.XLOOKUP(B579,FactorInputs!$A$2:$A$888,FactorInputs!$B$2:$B$888,"")</f>
        <v>JEDI-US</v>
      </c>
      <c r="U579" t="str">
        <f>_xlfn.XLOOKUP(B579,FactorInputs!$A$2:$A$888,FactorInputs!$T$2:$T$888,"")</f>
        <v>JEDI-US</v>
      </c>
      <c r="V579">
        <f t="shared" si="59"/>
        <v>173.87610423117727</v>
      </c>
    </row>
    <row r="580" spans="1:23" x14ac:dyDescent="0.3">
      <c r="A580" t="str">
        <f t="shared" si="54"/>
        <v>CN|NewCapacity|RE1|PWRSOLRTP_ZNI|2054</v>
      </c>
      <c r="B580" t="str">
        <f t="shared" si="55"/>
        <v>Rooftop solar PV|2054|Construction&amp;Manufacturing|Direct</v>
      </c>
      <c r="C580" t="str">
        <f t="shared" si="56"/>
        <v>PWRSOLRTP_ZNI|Rooftop solar PV</v>
      </c>
      <c r="D580" t="s">
        <v>39</v>
      </c>
      <c r="E580" t="s">
        <v>40</v>
      </c>
      <c r="F580" t="s">
        <v>19</v>
      </c>
      <c r="G580" t="s">
        <v>32</v>
      </c>
      <c r="H580">
        <v>2054</v>
      </c>
      <c r="I580" t="s">
        <v>37</v>
      </c>
      <c r="J580" t="s">
        <v>69</v>
      </c>
      <c r="K580" t="s">
        <v>70</v>
      </c>
      <c r="L580" t="s">
        <v>65</v>
      </c>
      <c r="M580">
        <f>SUMIFS(RawResultsLong!$P:$P,RawResultsLong!$A:$A,A580)</f>
        <v>2.2541048762086839E-2</v>
      </c>
      <c r="N580">
        <f t="shared" si="57"/>
        <v>0.71428273259331632</v>
      </c>
      <c r="O580" t="s">
        <v>71</v>
      </c>
      <c r="P580">
        <f>SUMIFS(TechnologyMapping!$D:$D,TechnologyMapping!$A:$A,C580)</f>
        <v>1</v>
      </c>
      <c r="Q580">
        <f t="shared" si="58"/>
        <v>0.71428273259331632</v>
      </c>
      <c r="R580">
        <f>SUMIFS(FactorInputs!$I:$I,FactorInputs!$A:$A,B580)</f>
        <v>4.3205610605400002</v>
      </c>
      <c r="S580" t="str">
        <f>_xlfn.XLOOKUP(B580,FactorInputs!$A$2:$A$888,FactorInputs!$F$2:$F$888,"")</f>
        <v>job-yr/MW</v>
      </c>
      <c r="T580" t="str">
        <f>_xlfn.XLOOKUP(B580,FactorInputs!$A$2:$A$888,FactorInputs!$B$2:$B$888,"")</f>
        <v>JEDI-US</v>
      </c>
      <c r="U580" t="str">
        <f>_xlfn.XLOOKUP(B580,FactorInputs!$A$2:$A$888,FactorInputs!$T$2:$T$888,"")</f>
        <v>JEDI-US</v>
      </c>
      <c r="V580">
        <f t="shared" si="59"/>
        <v>3.086102160658788</v>
      </c>
      <c r="W580" t="s">
        <v>73</v>
      </c>
    </row>
    <row r="581" spans="1:23" x14ac:dyDescent="0.3">
      <c r="A581" t="str">
        <f t="shared" si="54"/>
        <v>CN|NewCapacity|RE1|PWRSOLUGE|2054</v>
      </c>
      <c r="B581" t="str">
        <f t="shared" si="55"/>
        <v>Utility-scale solar PV|2054|Construction&amp;Manufacturing|Direct</v>
      </c>
      <c r="C581" t="str">
        <f t="shared" si="56"/>
        <v>PWRSOLUGE|Utility-scale solar PV</v>
      </c>
      <c r="D581" t="s">
        <v>39</v>
      </c>
      <c r="E581" t="s">
        <v>40</v>
      </c>
      <c r="F581" t="s">
        <v>19</v>
      </c>
      <c r="G581" t="s">
        <v>33</v>
      </c>
      <c r="H581">
        <v>2054</v>
      </c>
      <c r="I581" t="s">
        <v>37</v>
      </c>
      <c r="J581" t="s">
        <v>69</v>
      </c>
      <c r="K581" t="s">
        <v>70</v>
      </c>
      <c r="L581" t="s">
        <v>65</v>
      </c>
      <c r="M581">
        <f>SUMIFS(RawResultsLong!$P:$P,RawResultsLong!$A:$A,A581)</f>
        <v>10.395113529718561</v>
      </c>
      <c r="N581">
        <f t="shared" si="57"/>
        <v>329.40127036652217</v>
      </c>
      <c r="O581" t="s">
        <v>66</v>
      </c>
      <c r="P581">
        <f>SUMIFS(TechnologyMapping!$D:$D,TechnologyMapping!$A:$A,C581)</f>
        <v>1</v>
      </c>
      <c r="Q581">
        <f t="shared" si="58"/>
        <v>329.40127036652217</v>
      </c>
      <c r="R581">
        <f>SUMIFS(FactorInputs!$I:$I,FactorInputs!$A:$A,B581)</f>
        <v>4.6233132571300004</v>
      </c>
      <c r="S581" t="str">
        <f>_xlfn.XLOOKUP(B581,FactorInputs!$A$2:$A$888,FactorInputs!$F$2:$F$888,"")</f>
        <v>job-yr/MW</v>
      </c>
      <c r="T581" t="str">
        <f>_xlfn.XLOOKUP(B581,FactorInputs!$A$2:$A$888,FactorInputs!$B$2:$B$888,"")</f>
        <v>I-JEDI</v>
      </c>
      <c r="U581" t="str">
        <f>_xlfn.XLOOKUP(B581,FactorInputs!$A$2:$A$888,FactorInputs!$T$2:$T$888,"")</f>
        <v>I-JEDI</v>
      </c>
      <c r="V581">
        <f t="shared" si="59"/>
        <v>1522.9252602010056</v>
      </c>
    </row>
    <row r="582" spans="1:23" x14ac:dyDescent="0.3">
      <c r="A582" t="str">
        <f t="shared" si="54"/>
        <v>CN|NewCapacity|RE1|PWRWNDOFS_FIX|2054</v>
      </c>
      <c r="B582" t="str">
        <f t="shared" si="55"/>
        <v>Offshore wind (fixed)|2054|Construction&amp;Manufacturing|Direct</v>
      </c>
      <c r="C582" t="str">
        <f t="shared" si="56"/>
        <v>PWRWNDOFS_FIX|Offshore wind (fixed)</v>
      </c>
      <c r="D582" t="s">
        <v>39</v>
      </c>
      <c r="E582" t="s">
        <v>40</v>
      </c>
      <c r="F582" t="s">
        <v>19</v>
      </c>
      <c r="G582" t="s">
        <v>42</v>
      </c>
      <c r="H582">
        <v>2054</v>
      </c>
      <c r="I582" t="s">
        <v>37</v>
      </c>
      <c r="J582" t="s">
        <v>69</v>
      </c>
      <c r="K582" t="s">
        <v>70</v>
      </c>
      <c r="L582" t="s">
        <v>65</v>
      </c>
      <c r="M582">
        <f>SUMIFS(RawResultsLong!$P:$P,RawResultsLong!$A:$A,A582)</f>
        <v>21.17121239331691</v>
      </c>
      <c r="N582">
        <f t="shared" si="57"/>
        <v>670.87523744888426</v>
      </c>
      <c r="O582" t="s">
        <v>74</v>
      </c>
      <c r="P582">
        <f>SUMIFS(TechnologyMapping!$D:$D,TechnologyMapping!$A:$A,C582)</f>
        <v>1</v>
      </c>
      <c r="Q582">
        <f t="shared" si="58"/>
        <v>670.87523744888426</v>
      </c>
      <c r="R582">
        <f>SUMIFS(FactorInputs!$I:$I,FactorInputs!$A:$A,B582)</f>
        <v>3.3475391011800002</v>
      </c>
      <c r="S582" t="str">
        <f>_xlfn.XLOOKUP(B582,FactorInputs!$A$2:$A$888,FactorInputs!$F$2:$F$888,"")</f>
        <v>job-yr/MW</v>
      </c>
      <c r="T582" t="str">
        <f>_xlfn.XLOOKUP(B582,FactorInputs!$A$2:$A$888,FactorInputs!$B$2:$B$888,"")</f>
        <v>French QBIS 2023</v>
      </c>
      <c r="U582" t="str">
        <f>_xlfn.XLOOKUP(B582,FactorInputs!$A$2:$A$888,FactorInputs!$T$2:$T$888,"")</f>
        <v>French QBIS 2023</v>
      </c>
      <c r="V582">
        <f t="shared" si="59"/>
        <v>2245.7810893735573</v>
      </c>
    </row>
    <row r="583" spans="1:23" x14ac:dyDescent="0.3">
      <c r="A583" t="str">
        <f t="shared" si="54"/>
        <v>CN|NewCapacity|RE1|PWRWNDONS|2054</v>
      </c>
      <c r="B583" t="str">
        <f t="shared" si="55"/>
        <v>Onshore wind|2054|Construction&amp;Manufacturing|Direct</v>
      </c>
      <c r="C583" t="str">
        <f t="shared" si="56"/>
        <v>PWRWNDONS|Onshore wind</v>
      </c>
      <c r="D583" t="s">
        <v>39</v>
      </c>
      <c r="E583" t="s">
        <v>40</v>
      </c>
      <c r="F583" t="s">
        <v>19</v>
      </c>
      <c r="G583" t="s">
        <v>36</v>
      </c>
      <c r="H583">
        <v>2054</v>
      </c>
      <c r="I583" t="s">
        <v>37</v>
      </c>
      <c r="J583" t="s">
        <v>69</v>
      </c>
      <c r="K583" t="s">
        <v>70</v>
      </c>
      <c r="L583" t="s">
        <v>65</v>
      </c>
      <c r="M583">
        <f>SUMIFS(RawResultsLong!$P:$P,RawResultsLong!$A:$A,A583)</f>
        <v>47.31</v>
      </c>
      <c r="N583">
        <f t="shared" si="57"/>
        <v>1499.1634344817096</v>
      </c>
      <c r="O583" t="s">
        <v>68</v>
      </c>
      <c r="P583">
        <f>SUMIFS(TechnologyMapping!$D:$D,TechnologyMapping!$A:$A,C583)</f>
        <v>1</v>
      </c>
      <c r="Q583">
        <f t="shared" si="58"/>
        <v>1499.1634344817096</v>
      </c>
      <c r="R583">
        <f>SUMIFS(FactorInputs!$I:$I,FactorInputs!$A:$A,B583)</f>
        <v>6.5127600165799997</v>
      </c>
      <c r="S583" t="str">
        <f>_xlfn.XLOOKUP(B583,FactorInputs!$A$2:$A$888,FactorInputs!$F$2:$F$888,"")</f>
        <v>job-yr/MW</v>
      </c>
      <c r="T583" t="str">
        <f>_xlfn.XLOOKUP(B583,FactorInputs!$A$2:$A$888,FactorInputs!$B$2:$B$888,"")</f>
        <v>I-JEDI</v>
      </c>
      <c r="U583" t="str">
        <f>_xlfn.XLOOKUP(B583,FactorInputs!$A$2:$A$888,FactorInputs!$T$2:$T$888,"")</f>
        <v>I-JEDI</v>
      </c>
      <c r="V583">
        <f t="shared" si="59"/>
        <v>9763.6916744112277</v>
      </c>
    </row>
    <row r="584" spans="1:23" x14ac:dyDescent="0.3">
      <c r="A584" t="str">
        <f t="shared" si="54"/>
        <v>CN|AccumulatedNewCapacity|RE1|PWRHYDDAM|2055</v>
      </c>
      <c r="B584" t="str">
        <f t="shared" si="55"/>
        <v>Hydro (large)|2055|O&amp;M|Direct</v>
      </c>
      <c r="C584" t="str">
        <f t="shared" si="56"/>
        <v>PWRHYDDAM|Hydro (large)</v>
      </c>
      <c r="D584" t="s">
        <v>39</v>
      </c>
      <c r="E584" t="s">
        <v>40</v>
      </c>
      <c r="F584" t="s">
        <v>19</v>
      </c>
      <c r="G584" t="s">
        <v>24</v>
      </c>
      <c r="H584">
        <v>2055</v>
      </c>
      <c r="I584" t="s">
        <v>18</v>
      </c>
      <c r="J584" t="s">
        <v>63</v>
      </c>
      <c r="K584" t="s">
        <v>64</v>
      </c>
      <c r="L584" t="s">
        <v>65</v>
      </c>
      <c r="M584">
        <f>SUMIFS(RawResultsLong!$P:$P,RawResultsLong!$A:$A,A584)</f>
        <v>37.840000000000003</v>
      </c>
      <c r="N584">
        <f t="shared" si="57"/>
        <v>1199.0772428828554</v>
      </c>
      <c r="O584" t="s">
        <v>72</v>
      </c>
      <c r="P584">
        <f>SUMIFS(TechnologyMapping!$D:$D,TechnologyMapping!$A:$A,C584)</f>
        <v>1</v>
      </c>
      <c r="Q584">
        <f t="shared" si="58"/>
        <v>1199.0772428828554</v>
      </c>
      <c r="R584">
        <f>SUMIFS(FactorInputs!$I:$I,FactorInputs!$A:$A,B584)</f>
        <v>0.63849180327900001</v>
      </c>
      <c r="S584" t="str">
        <f>_xlfn.XLOOKUP(B584,FactorInputs!$A$2:$A$888,FactorInputs!$F$2:$F$888,"")</f>
        <v>job/MW</v>
      </c>
      <c r="T584" t="str">
        <f>_xlfn.XLOOKUP(B584,FactorInputs!$A$2:$A$888,FactorInputs!$B$2:$B$888,"")</f>
        <v>Rutovitz 2015</v>
      </c>
      <c r="U584" t="str">
        <f>_xlfn.XLOOKUP(B584,FactorInputs!$A$2:$A$888,FactorInputs!$T$2:$T$888,"")</f>
        <v>Rutovitz 2015</v>
      </c>
      <c r="V584">
        <f t="shared" si="59"/>
        <v>765.60099107908582</v>
      </c>
    </row>
    <row r="585" spans="1:23" x14ac:dyDescent="0.3">
      <c r="A585" t="str">
        <f t="shared" si="54"/>
        <v>CN|AccumulatedNewCapacity|RE1|PWRHYDROR_NDC|2055</v>
      </c>
      <c r="B585" t="str">
        <f t="shared" si="55"/>
        <v>Hydro (small)|2055|O&amp;M|Direct</v>
      </c>
      <c r="C585" t="str">
        <f t="shared" si="56"/>
        <v>PWRHYDROR_NDC|Hydro (small)</v>
      </c>
      <c r="D585" t="s">
        <v>39</v>
      </c>
      <c r="E585" t="s">
        <v>40</v>
      </c>
      <c r="F585" t="s">
        <v>19</v>
      </c>
      <c r="G585" t="s">
        <v>26</v>
      </c>
      <c r="H585">
        <v>2055</v>
      </c>
      <c r="I585" t="s">
        <v>18</v>
      </c>
      <c r="J585" t="s">
        <v>63</v>
      </c>
      <c r="K585" t="s">
        <v>64</v>
      </c>
      <c r="L585" t="s">
        <v>65</v>
      </c>
      <c r="M585">
        <f>SUMIFS(RawResultsLong!$P:$P,RawResultsLong!$A:$A,A585)</f>
        <v>121.6663582335095</v>
      </c>
      <c r="N585">
        <f t="shared" si="57"/>
        <v>3855.3742437165529</v>
      </c>
      <c r="O585" t="s">
        <v>75</v>
      </c>
      <c r="P585">
        <f>SUMIFS(TechnologyMapping!$D:$D,TechnologyMapping!$A:$A,C585)</f>
        <v>1</v>
      </c>
      <c r="Q585">
        <f t="shared" si="58"/>
        <v>3855.3742437165529</v>
      </c>
      <c r="R585">
        <f>SUMIFS(FactorInputs!$I:$I,FactorInputs!$A:$A,B585)</f>
        <v>5.2114156626500003</v>
      </c>
      <c r="S585" t="str">
        <f>_xlfn.XLOOKUP(B585,FactorInputs!$A$2:$A$888,FactorInputs!$F$2:$F$888,"")</f>
        <v>job/MW</v>
      </c>
      <c r="T585" t="str">
        <f>_xlfn.XLOOKUP(B585,FactorInputs!$A$2:$A$888,FactorInputs!$B$2:$B$888,"")</f>
        <v>Rutovitz 2015</v>
      </c>
      <c r="U585" t="str">
        <f>_xlfn.XLOOKUP(B585,FactorInputs!$A$2:$A$888,FactorInputs!$T$2:$T$888,"")</f>
        <v>Rutovitz 2015</v>
      </c>
      <c r="V585">
        <f t="shared" si="59"/>
        <v>20091.957719081842</v>
      </c>
      <c r="W585" t="s">
        <v>76</v>
      </c>
    </row>
    <row r="586" spans="1:23" x14ac:dyDescent="0.3">
      <c r="A586" t="str">
        <f t="shared" si="54"/>
        <v>CN|AccumulatedNewCapacity|RE1|PWRSOLRTP|2055</v>
      </c>
      <c r="B586" t="str">
        <f t="shared" si="55"/>
        <v>Rooftop solar PV|2055|O&amp;M|Direct</v>
      </c>
      <c r="C586" t="str">
        <f t="shared" si="56"/>
        <v>PWRSOLRTP|Rooftop solar PV</v>
      </c>
      <c r="D586" t="s">
        <v>39</v>
      </c>
      <c r="E586" t="s">
        <v>40</v>
      </c>
      <c r="F586" t="s">
        <v>19</v>
      </c>
      <c r="G586" t="s">
        <v>31</v>
      </c>
      <c r="H586">
        <v>2055</v>
      </c>
      <c r="I586" t="s">
        <v>18</v>
      </c>
      <c r="J586" t="s">
        <v>63</v>
      </c>
      <c r="K586" t="s">
        <v>64</v>
      </c>
      <c r="L586" t="s">
        <v>65</v>
      </c>
      <c r="M586">
        <f>SUMIFS(RawResultsLong!$P:$P,RawResultsLong!$A:$A,A586)</f>
        <v>147.65345518622689</v>
      </c>
      <c r="N586">
        <f t="shared" si="57"/>
        <v>4678.8556539859464</v>
      </c>
      <c r="O586" t="s">
        <v>71</v>
      </c>
      <c r="P586">
        <f>SUMIFS(TechnologyMapping!$D:$D,TechnologyMapping!$A:$A,C586)</f>
        <v>1</v>
      </c>
      <c r="Q586">
        <f t="shared" si="58"/>
        <v>4678.8556539859464</v>
      </c>
      <c r="R586">
        <f>SUMIFS(FactorInputs!$I:$I,FactorInputs!$A:$A,B586)</f>
        <v>0.21705882352899999</v>
      </c>
      <c r="S586" t="str">
        <f>_xlfn.XLOOKUP(B586,FactorInputs!$A$2:$A$888,FactorInputs!$F$2:$F$888,"")</f>
        <v>job/MW</v>
      </c>
      <c r="T586" t="str">
        <f>_xlfn.XLOOKUP(B586,FactorInputs!$A$2:$A$888,FactorInputs!$B$2:$B$888,"")</f>
        <v>JEDI-US</v>
      </c>
      <c r="U586" t="str">
        <f>_xlfn.XLOOKUP(B586,FactorInputs!$A$2:$A$888,FactorInputs!$T$2:$T$888,"")</f>
        <v>JEDI-US</v>
      </c>
      <c r="V586">
        <f t="shared" si="59"/>
        <v>1015.5869037161995</v>
      </c>
    </row>
    <row r="587" spans="1:23" x14ac:dyDescent="0.3">
      <c r="A587" t="str">
        <f t="shared" si="54"/>
        <v>CN|AccumulatedNewCapacity|RE1|PWRSOLRTP_ZNI|2055</v>
      </c>
      <c r="B587" t="str">
        <f t="shared" si="55"/>
        <v>Rooftop solar PV|2055|O&amp;M|Direct</v>
      </c>
      <c r="C587" t="str">
        <f t="shared" si="56"/>
        <v>PWRSOLRTP_ZNI|Rooftop solar PV</v>
      </c>
      <c r="D587" t="s">
        <v>39</v>
      </c>
      <c r="E587" t="s">
        <v>40</v>
      </c>
      <c r="F587" t="s">
        <v>19</v>
      </c>
      <c r="G587" t="s">
        <v>32</v>
      </c>
      <c r="H587">
        <v>2055</v>
      </c>
      <c r="I587" t="s">
        <v>18</v>
      </c>
      <c r="J587" t="s">
        <v>63</v>
      </c>
      <c r="K587" t="s">
        <v>64</v>
      </c>
      <c r="L587" t="s">
        <v>65</v>
      </c>
      <c r="M587">
        <f>SUMIFS(RawResultsLong!$P:$P,RawResultsLong!$A:$A,A587)</f>
        <v>1.414235668535486</v>
      </c>
      <c r="N587">
        <f t="shared" si="57"/>
        <v>44.814424054284416</v>
      </c>
      <c r="O587" t="s">
        <v>71</v>
      </c>
      <c r="P587">
        <f>SUMIFS(TechnologyMapping!$D:$D,TechnologyMapping!$A:$A,C587)</f>
        <v>1</v>
      </c>
      <c r="Q587">
        <f t="shared" si="58"/>
        <v>44.814424054284416</v>
      </c>
      <c r="R587">
        <f>SUMIFS(FactorInputs!$I:$I,FactorInputs!$A:$A,B587)</f>
        <v>0.21705882352899999</v>
      </c>
      <c r="S587" t="str">
        <f>_xlfn.XLOOKUP(B587,FactorInputs!$A$2:$A$888,FactorInputs!$F$2:$F$888,"")</f>
        <v>job/MW</v>
      </c>
      <c r="T587" t="str">
        <f>_xlfn.XLOOKUP(B587,FactorInputs!$A$2:$A$888,FactorInputs!$B$2:$B$888,"")</f>
        <v>JEDI-US</v>
      </c>
      <c r="U587" t="str">
        <f>_xlfn.XLOOKUP(B587,FactorInputs!$A$2:$A$888,FactorInputs!$T$2:$T$888,"")</f>
        <v>JEDI-US</v>
      </c>
      <c r="V587">
        <f t="shared" si="59"/>
        <v>9.727366162352693</v>
      </c>
      <c r="W587" t="s">
        <v>73</v>
      </c>
    </row>
    <row r="588" spans="1:23" x14ac:dyDescent="0.3">
      <c r="A588" t="str">
        <f t="shared" si="54"/>
        <v>CN|AccumulatedNewCapacity|RE1|PWRSOLUGE|2055</v>
      </c>
      <c r="B588" t="str">
        <f t="shared" si="55"/>
        <v>Utility-scale solar PV|2055|O&amp;M|Direct</v>
      </c>
      <c r="C588" t="str">
        <f t="shared" si="56"/>
        <v>PWRSOLUGE|Utility-scale solar PV</v>
      </c>
      <c r="D588" t="s">
        <v>39</v>
      </c>
      <c r="E588" t="s">
        <v>40</v>
      </c>
      <c r="F588" t="s">
        <v>19</v>
      </c>
      <c r="G588" t="s">
        <v>33</v>
      </c>
      <c r="H588">
        <v>2055</v>
      </c>
      <c r="I588" t="s">
        <v>18</v>
      </c>
      <c r="J588" t="s">
        <v>63</v>
      </c>
      <c r="K588" t="s">
        <v>64</v>
      </c>
      <c r="L588" t="s">
        <v>65</v>
      </c>
      <c r="M588">
        <f>SUMIFS(RawResultsLong!$P:$P,RawResultsLong!$A:$A,A588)</f>
        <v>482.15562731418339</v>
      </c>
      <c r="N588">
        <f t="shared" si="57"/>
        <v>15278.589858360059</v>
      </c>
      <c r="O588" t="s">
        <v>66</v>
      </c>
      <c r="P588">
        <f>SUMIFS(TechnologyMapping!$D:$D,TechnologyMapping!$A:$A,C588)</f>
        <v>1</v>
      </c>
      <c r="Q588">
        <f t="shared" si="58"/>
        <v>15278.589858360059</v>
      </c>
      <c r="R588">
        <f>SUMIFS(FactorInputs!$I:$I,FactorInputs!$A:$A,B588)</f>
        <v>7.0418918918899995E-2</v>
      </c>
      <c r="S588" t="str">
        <f>_xlfn.XLOOKUP(B588,FactorInputs!$A$2:$A$888,FactorInputs!$F$2:$F$888,"")</f>
        <v>job/MW</v>
      </c>
      <c r="T588" t="str">
        <f>_xlfn.XLOOKUP(B588,FactorInputs!$A$2:$A$888,FactorInputs!$B$2:$B$888,"")</f>
        <v>I-JEDI</v>
      </c>
      <c r="U588" t="str">
        <f>_xlfn.XLOOKUP(B588,FactorInputs!$A$2:$A$888,FactorInputs!$T$2:$T$888,"")</f>
        <v>I-JEDI</v>
      </c>
      <c r="V588">
        <f t="shared" si="59"/>
        <v>1075.9017804309847</v>
      </c>
    </row>
    <row r="589" spans="1:23" x14ac:dyDescent="0.3">
      <c r="A589" t="str">
        <f t="shared" si="54"/>
        <v>CN|AccumulatedNewCapacity|RE1|PWRSOLUGE_BAT|2055</v>
      </c>
      <c r="B589" t="str">
        <f t="shared" si="55"/>
        <v>Utility-scale solar PV|2055|O&amp;M|Direct</v>
      </c>
      <c r="C589" t="str">
        <f t="shared" si="56"/>
        <v>PWRSOLUGE_BAT|Utility-scale solar PV</v>
      </c>
      <c r="D589" t="s">
        <v>39</v>
      </c>
      <c r="E589" t="s">
        <v>40</v>
      </c>
      <c r="F589" t="s">
        <v>19</v>
      </c>
      <c r="G589" t="s">
        <v>41</v>
      </c>
      <c r="H589">
        <v>2055</v>
      </c>
      <c r="I589" t="s">
        <v>18</v>
      </c>
      <c r="J589" t="s">
        <v>63</v>
      </c>
      <c r="K589" t="s">
        <v>64</v>
      </c>
      <c r="L589" t="s">
        <v>65</v>
      </c>
      <c r="M589">
        <f>SUMIFS(RawResultsLong!$P:$P,RawResultsLong!$A:$A,A589)</f>
        <v>30.670102189502511</v>
      </c>
      <c r="N589">
        <f t="shared" si="57"/>
        <v>971.87689144619719</v>
      </c>
      <c r="O589" t="s">
        <v>66</v>
      </c>
      <c r="P589">
        <f>SUMIFS(TechnologyMapping!$D:$D,TechnologyMapping!$A:$A,C589)</f>
        <v>1</v>
      </c>
      <c r="Q589">
        <f t="shared" si="58"/>
        <v>971.87689144619719</v>
      </c>
      <c r="R589">
        <f>SUMIFS(FactorInputs!$I:$I,FactorInputs!$A:$A,B589)</f>
        <v>7.0418918918899995E-2</v>
      </c>
      <c r="S589" t="str">
        <f>_xlfn.XLOOKUP(B589,FactorInputs!$A$2:$A$888,FactorInputs!$F$2:$F$888,"")</f>
        <v>job/MW</v>
      </c>
      <c r="T589" t="str">
        <f>_xlfn.XLOOKUP(B589,FactorInputs!$A$2:$A$888,FactorInputs!$B$2:$B$888,"")</f>
        <v>I-JEDI</v>
      </c>
      <c r="U589" t="str">
        <f>_xlfn.XLOOKUP(B589,FactorInputs!$A$2:$A$888,FactorInputs!$T$2:$T$888,"")</f>
        <v>I-JEDI</v>
      </c>
      <c r="V589">
        <f t="shared" si="59"/>
        <v>68.438520017902334</v>
      </c>
      <c r="W589" t="s">
        <v>77</v>
      </c>
    </row>
    <row r="590" spans="1:23" x14ac:dyDescent="0.3">
      <c r="A590" t="str">
        <f t="shared" si="54"/>
        <v>CN|AccumulatedNewCapacity|RE1|PWRSOLUGE_BAT|2055</v>
      </c>
      <c r="B590" t="str">
        <f t="shared" si="55"/>
        <v>Battery storage (grid)|2055|O&amp;M|Direct</v>
      </c>
      <c r="C590" t="str">
        <f t="shared" si="56"/>
        <v>PWRSOLUGE_BAT|Battery storage (grid)</v>
      </c>
      <c r="D590" t="s">
        <v>39</v>
      </c>
      <c r="E590" t="s">
        <v>40</v>
      </c>
      <c r="F590" t="s">
        <v>19</v>
      </c>
      <c r="G590" t="s">
        <v>41</v>
      </c>
      <c r="H590">
        <v>2055</v>
      </c>
      <c r="I590" t="s">
        <v>18</v>
      </c>
      <c r="J590" t="s">
        <v>63</v>
      </c>
      <c r="K590" t="s">
        <v>64</v>
      </c>
      <c r="L590" t="s">
        <v>65</v>
      </c>
      <c r="M590">
        <f>SUMIFS(RawResultsLong!$P:$P,RawResultsLong!$A:$A,A590)</f>
        <v>30.670102189502511</v>
      </c>
      <c r="N590">
        <f t="shared" si="57"/>
        <v>971.87689144619719</v>
      </c>
      <c r="O590" t="s">
        <v>78</v>
      </c>
      <c r="P590">
        <f>SUMIFS(TechnologyMapping!$D:$D,TechnologyMapping!$A:$A,C590)</f>
        <v>0.6</v>
      </c>
      <c r="Q590">
        <f t="shared" si="58"/>
        <v>583.12613486771829</v>
      </c>
      <c r="R590">
        <f>SUMIFS(FactorInputs!$I:$I,FactorInputs!$A:$A,B590)</f>
        <v>1.7347987181099998E-2</v>
      </c>
      <c r="S590" t="str">
        <f>_xlfn.XLOOKUP(B590,FactorInputs!$A$2:$A$888,FactorInputs!$F$2:$F$888,"")</f>
        <v>job/MW</v>
      </c>
      <c r="T590" t="str">
        <f>_xlfn.XLOOKUP(B590,FactorInputs!$A$2:$A$888,FactorInputs!$B$2:$B$888,"")</f>
        <v>Rutovitz 2025</v>
      </c>
      <c r="U590" t="str">
        <f>_xlfn.XLOOKUP(B590,FactorInputs!$A$2:$A$888,FactorInputs!$T$2:$T$888,"")</f>
        <v>Rutovitz 2025</v>
      </c>
      <c r="V590">
        <f t="shared" si="59"/>
        <v>10.116064712649566</v>
      </c>
      <c r="W590" t="s">
        <v>79</v>
      </c>
    </row>
    <row r="591" spans="1:23" x14ac:dyDescent="0.3">
      <c r="A591" t="str">
        <f t="shared" si="54"/>
        <v>CN|AccumulatedNewCapacity|RE1|PWRWNDOFS_FIX|2055</v>
      </c>
      <c r="B591" t="str">
        <f t="shared" si="55"/>
        <v>Offshore wind (fixed)|2055|O&amp;M|Direct</v>
      </c>
      <c r="C591" t="str">
        <f t="shared" si="56"/>
        <v>PWRWNDOFS_FIX|Offshore wind (fixed)</v>
      </c>
      <c r="D591" t="s">
        <v>39</v>
      </c>
      <c r="E591" t="s">
        <v>40</v>
      </c>
      <c r="F591" t="s">
        <v>19</v>
      </c>
      <c r="G591" t="s">
        <v>42</v>
      </c>
      <c r="H591">
        <v>2055</v>
      </c>
      <c r="I591" t="s">
        <v>18</v>
      </c>
      <c r="J591" t="s">
        <v>63</v>
      </c>
      <c r="K591" t="s">
        <v>64</v>
      </c>
      <c r="L591" t="s">
        <v>65</v>
      </c>
      <c r="M591">
        <f>SUMIFS(RawResultsLong!$P:$P,RawResultsLong!$A:$A,A591)</f>
        <v>609.11674579839485</v>
      </c>
      <c r="N591">
        <f t="shared" si="57"/>
        <v>19301.744929855086</v>
      </c>
      <c r="O591" t="s">
        <v>74</v>
      </c>
      <c r="P591">
        <f>SUMIFS(TechnologyMapping!$D:$D,TechnologyMapping!$A:$A,C591)</f>
        <v>1</v>
      </c>
      <c r="Q591">
        <f t="shared" si="58"/>
        <v>19301.744929855086</v>
      </c>
      <c r="R591">
        <f>SUMIFS(FactorInputs!$I:$I,FactorInputs!$A:$A,B591)</f>
        <v>5.4989861751199999E-2</v>
      </c>
      <c r="S591" t="str">
        <f>_xlfn.XLOOKUP(B591,FactorInputs!$A$2:$A$888,FactorInputs!$F$2:$F$888,"")</f>
        <v>job/MW</v>
      </c>
      <c r="T591" t="str">
        <f>_xlfn.XLOOKUP(B591,FactorInputs!$A$2:$A$888,FactorInputs!$B$2:$B$888,"")</f>
        <v>French QBIS 2023</v>
      </c>
      <c r="U591" t="str">
        <f>_xlfn.XLOOKUP(B591,FactorInputs!$A$2:$A$888,FactorInputs!$T$2:$T$888,"")</f>
        <v>French QBIS 2023</v>
      </c>
      <c r="V591">
        <f t="shared" si="59"/>
        <v>1061.4002852496567</v>
      </c>
    </row>
    <row r="592" spans="1:23" x14ac:dyDescent="0.3">
      <c r="A592" t="str">
        <f t="shared" si="54"/>
        <v>CN|AccumulatedNewCapacity|RE1|PWRWNDOFS_FLO|2055</v>
      </c>
      <c r="B592" t="str">
        <f t="shared" si="55"/>
        <v>Offshore wind (floating)|2055|O&amp;M|Direct</v>
      </c>
      <c r="C592" t="str">
        <f t="shared" si="56"/>
        <v>PWRWNDOFS_FLO|Offshore wind (floating)</v>
      </c>
      <c r="D592" t="s">
        <v>39</v>
      </c>
      <c r="E592" t="s">
        <v>40</v>
      </c>
      <c r="F592" t="s">
        <v>19</v>
      </c>
      <c r="G592" t="s">
        <v>43</v>
      </c>
      <c r="H592">
        <v>2055</v>
      </c>
      <c r="I592" t="s">
        <v>18</v>
      </c>
      <c r="J592" t="s">
        <v>63</v>
      </c>
      <c r="K592" t="s">
        <v>64</v>
      </c>
      <c r="L592" t="s">
        <v>65</v>
      </c>
      <c r="M592">
        <f>SUMIFS(RawResultsLong!$P:$P,RawResultsLong!$A:$A,A592)</f>
        <v>7.2734896835090179</v>
      </c>
      <c r="N592">
        <f t="shared" si="57"/>
        <v>230.48297980546738</v>
      </c>
      <c r="O592" t="s">
        <v>80</v>
      </c>
      <c r="P592">
        <f>SUMIFS(TechnologyMapping!$D:$D,TechnologyMapping!$A:$A,C592)</f>
        <v>1</v>
      </c>
      <c r="Q592">
        <f t="shared" si="58"/>
        <v>230.48297980546738</v>
      </c>
      <c r="R592">
        <f>SUMIFS(FactorInputs!$I:$I,FactorInputs!$A:$A,B592)</f>
        <v>0.125810138249</v>
      </c>
      <c r="S592" t="str">
        <f>_xlfn.XLOOKUP(B592,FactorInputs!$A$2:$A$888,FactorInputs!$F$2:$F$888,"")</f>
        <v>job/MW</v>
      </c>
      <c r="T592" t="str">
        <f>_xlfn.XLOOKUP(B592,FactorInputs!$A$2:$A$888,FactorInputs!$B$2:$B$888,"")</f>
        <v>French QBIS 2023</v>
      </c>
      <c r="U592" t="str">
        <f>_xlfn.XLOOKUP(B592,FactorInputs!$A$2:$A$888,FactorInputs!$T$2:$T$888,"")</f>
        <v>French QBIS 2023</v>
      </c>
      <c r="V592">
        <f t="shared" si="59"/>
        <v>28.997095553367327</v>
      </c>
    </row>
    <row r="593" spans="1:23" x14ac:dyDescent="0.3">
      <c r="A593" t="str">
        <f t="shared" si="54"/>
        <v>CN|AccumulatedNewCapacity|RE1|PWRWNDONS|2055</v>
      </c>
      <c r="B593" t="str">
        <f t="shared" si="55"/>
        <v>Onshore wind|2055|O&amp;M|Direct</v>
      </c>
      <c r="C593" t="str">
        <f t="shared" si="56"/>
        <v>PWRWNDONS|Onshore wind</v>
      </c>
      <c r="D593" t="s">
        <v>39</v>
      </c>
      <c r="E593" t="s">
        <v>40</v>
      </c>
      <c r="F593" t="s">
        <v>19</v>
      </c>
      <c r="G593" t="s">
        <v>36</v>
      </c>
      <c r="H593">
        <v>2055</v>
      </c>
      <c r="I593" t="s">
        <v>18</v>
      </c>
      <c r="J593" t="s">
        <v>63</v>
      </c>
      <c r="K593" t="s">
        <v>64</v>
      </c>
      <c r="L593" t="s">
        <v>65</v>
      </c>
      <c r="M593">
        <f>SUMIFS(RawResultsLong!$P:$P,RawResultsLong!$A:$A,A593)</f>
        <v>1004.764977546814</v>
      </c>
      <c r="N593">
        <f t="shared" si="57"/>
        <v>31839.080840964263</v>
      </c>
      <c r="O593" t="s">
        <v>68</v>
      </c>
      <c r="P593">
        <f>SUMIFS(TechnologyMapping!$D:$D,TechnologyMapping!$A:$A,C593)</f>
        <v>1</v>
      </c>
      <c r="Q593">
        <f t="shared" si="58"/>
        <v>31839.080840964263</v>
      </c>
      <c r="R593">
        <f>SUMIFS(FactorInputs!$I:$I,FactorInputs!$A:$A,B593)</f>
        <v>2.6934306569300001E-2</v>
      </c>
      <c r="S593" t="str">
        <f>_xlfn.XLOOKUP(B593,FactorInputs!$A$2:$A$888,FactorInputs!$F$2:$F$888,"")</f>
        <v>job/MW</v>
      </c>
      <c r="T593" t="str">
        <f>_xlfn.XLOOKUP(B593,FactorInputs!$A$2:$A$888,FactorInputs!$B$2:$B$888,"")</f>
        <v>I-JEDI</v>
      </c>
      <c r="U593" t="str">
        <f>_xlfn.XLOOKUP(B593,FactorInputs!$A$2:$A$888,FactorInputs!$T$2:$T$888,"")</f>
        <v>I-JEDI</v>
      </c>
      <c r="V593">
        <f t="shared" si="59"/>
        <v>857.56356425525757</v>
      </c>
    </row>
    <row r="594" spans="1:23" x14ac:dyDescent="0.3">
      <c r="A594" t="str">
        <f t="shared" si="54"/>
        <v>CN|NewCapacity|RE1|PWRSOLRTP|2055</v>
      </c>
      <c r="B594" t="str">
        <f t="shared" si="55"/>
        <v>Rooftop solar PV|2055|Construction&amp;Manufacturing|Direct</v>
      </c>
      <c r="C594" t="str">
        <f t="shared" si="56"/>
        <v>PWRSOLRTP|Rooftop solar PV</v>
      </c>
      <c r="D594" t="s">
        <v>39</v>
      </c>
      <c r="E594" t="s">
        <v>40</v>
      </c>
      <c r="F594" t="s">
        <v>19</v>
      </c>
      <c r="G594" t="s">
        <v>31</v>
      </c>
      <c r="H594">
        <v>2055</v>
      </c>
      <c r="I594" t="s">
        <v>37</v>
      </c>
      <c r="J594" t="s">
        <v>69</v>
      </c>
      <c r="K594" t="s">
        <v>70</v>
      </c>
      <c r="L594" t="s">
        <v>65</v>
      </c>
      <c r="M594">
        <f>SUMIFS(RawResultsLong!$P:$P,RawResultsLong!$A:$A,A594)</f>
        <v>1.27</v>
      </c>
      <c r="N594">
        <f t="shared" si="57"/>
        <v>40.243871523816765</v>
      </c>
      <c r="O594" t="s">
        <v>71</v>
      </c>
      <c r="P594">
        <f>SUMIFS(TechnologyMapping!$D:$D,TechnologyMapping!$A:$A,C594)</f>
        <v>1</v>
      </c>
      <c r="Q594">
        <f t="shared" si="58"/>
        <v>40.243871523816765</v>
      </c>
      <c r="R594">
        <f>SUMIFS(FactorInputs!$I:$I,FactorInputs!$A:$A,B594)</f>
        <v>4.3205610605400002</v>
      </c>
      <c r="S594" t="str">
        <f>_xlfn.XLOOKUP(B594,FactorInputs!$A$2:$A$888,FactorInputs!$F$2:$F$888,"")</f>
        <v>job-yr/MW</v>
      </c>
      <c r="T594" t="str">
        <f>_xlfn.XLOOKUP(B594,FactorInputs!$A$2:$A$888,FactorInputs!$B$2:$B$888,"")</f>
        <v>JEDI-US</v>
      </c>
      <c r="U594" t="str">
        <f>_xlfn.XLOOKUP(B594,FactorInputs!$A$2:$A$888,FactorInputs!$T$2:$T$888,"")</f>
        <v>JEDI-US</v>
      </c>
      <c r="V594">
        <f t="shared" si="59"/>
        <v>173.87610423117727</v>
      </c>
    </row>
    <row r="595" spans="1:23" x14ac:dyDescent="0.3">
      <c r="A595" t="str">
        <f t="shared" si="54"/>
        <v>CN|NewCapacity|RE1|PWRWNDONS|2055</v>
      </c>
      <c r="B595" t="str">
        <f t="shared" si="55"/>
        <v>Onshore wind|2055|Construction&amp;Manufacturing|Direct</v>
      </c>
      <c r="C595" t="str">
        <f t="shared" si="56"/>
        <v>PWRWNDONS|Onshore wind</v>
      </c>
      <c r="D595" t="s">
        <v>39</v>
      </c>
      <c r="E595" t="s">
        <v>40</v>
      </c>
      <c r="F595" t="s">
        <v>19</v>
      </c>
      <c r="G595" t="s">
        <v>36</v>
      </c>
      <c r="H595">
        <v>2055</v>
      </c>
      <c r="I595" t="s">
        <v>37</v>
      </c>
      <c r="J595" t="s">
        <v>69</v>
      </c>
      <c r="K595" t="s">
        <v>70</v>
      </c>
      <c r="L595" t="s">
        <v>65</v>
      </c>
      <c r="M595">
        <f>SUMIFS(RawResultsLong!$P:$P,RawResultsLong!$A:$A,A595)</f>
        <v>11.439154376664289</v>
      </c>
      <c r="N595">
        <f t="shared" si="57"/>
        <v>362.48492840597163</v>
      </c>
      <c r="O595" t="s">
        <v>68</v>
      </c>
      <c r="P595">
        <f>SUMIFS(TechnologyMapping!$D:$D,TechnologyMapping!$A:$A,C595)</f>
        <v>1</v>
      </c>
      <c r="Q595">
        <f t="shared" si="58"/>
        <v>362.48492840597163</v>
      </c>
      <c r="R595">
        <f>SUMIFS(FactorInputs!$I:$I,FactorInputs!$A:$A,B595)</f>
        <v>6.5127600165799997</v>
      </c>
      <c r="S595" t="str">
        <f>_xlfn.XLOOKUP(B595,FactorInputs!$A$2:$A$888,FactorInputs!$F$2:$F$888,"")</f>
        <v>job-yr/MW</v>
      </c>
      <c r="T595" t="str">
        <f>_xlfn.XLOOKUP(B595,FactorInputs!$A$2:$A$888,FactorInputs!$B$2:$B$888,"")</f>
        <v>I-JEDI</v>
      </c>
      <c r="U595" t="str">
        <f>_xlfn.XLOOKUP(B595,FactorInputs!$A$2:$A$888,FactorInputs!$T$2:$T$888,"")</f>
        <v>I-JEDI</v>
      </c>
      <c r="V595">
        <f t="shared" si="59"/>
        <v>2360.7773483352757</v>
      </c>
    </row>
    <row r="596" spans="1:23" x14ac:dyDescent="0.3">
      <c r="A596" t="str">
        <f t="shared" si="54"/>
        <v>PA|AccumulatedNewCapacity|RE1|PWRSOLUGE|2025</v>
      </c>
      <c r="B596" t="str">
        <f t="shared" si="55"/>
        <v>Utility-scale solar PV|2025|O&amp;M|Direct</v>
      </c>
      <c r="C596" t="str">
        <f t="shared" si="56"/>
        <v>PWRSOLUGE|Utility-scale solar PV</v>
      </c>
      <c r="D596" t="s">
        <v>44</v>
      </c>
      <c r="E596" t="s">
        <v>45</v>
      </c>
      <c r="F596" t="s">
        <v>19</v>
      </c>
      <c r="G596" t="s">
        <v>33</v>
      </c>
      <c r="H596">
        <v>2025</v>
      </c>
      <c r="I596" t="s">
        <v>18</v>
      </c>
      <c r="J596" t="s">
        <v>63</v>
      </c>
      <c r="K596" t="s">
        <v>64</v>
      </c>
      <c r="L596" t="s">
        <v>65</v>
      </c>
      <c r="M596">
        <f>SUMIFS(RawResultsLong!$P:$P,RawResultsLong!$A:$A,A596)</f>
        <v>6.717168</v>
      </c>
      <c r="N596">
        <f t="shared" si="57"/>
        <v>212.85420944558521</v>
      </c>
      <c r="O596" t="s">
        <v>66</v>
      </c>
      <c r="P596">
        <f>SUMIFS(TechnologyMapping!$D:$D,TechnologyMapping!$A:$A,C596)</f>
        <v>1</v>
      </c>
      <c r="Q596">
        <f t="shared" si="58"/>
        <v>212.85420944558521</v>
      </c>
      <c r="R596">
        <f>SUMIFS(FactorInputs!$I:$I,FactorInputs!$A:$A,B596)</f>
        <v>9.4109234234200007E-2</v>
      </c>
      <c r="S596" t="str">
        <f>_xlfn.XLOOKUP(B596,FactorInputs!$A$2:$A$888,FactorInputs!$F$2:$F$888,"")</f>
        <v>job/MW</v>
      </c>
      <c r="T596" t="str">
        <f>_xlfn.XLOOKUP(B596,FactorInputs!$A$2:$A$888,FactorInputs!$B$2:$B$888,"")</f>
        <v>I-JEDI</v>
      </c>
      <c r="U596" t="str">
        <f>_xlfn.XLOOKUP(B596,FactorInputs!$A$2:$A$888,FactorInputs!$T$2:$T$888,"")</f>
        <v>I-JEDI</v>
      </c>
      <c r="V596">
        <f t="shared" si="59"/>
        <v>20.031546654450047</v>
      </c>
    </row>
    <row r="597" spans="1:23" x14ac:dyDescent="0.3">
      <c r="A597" t="str">
        <f t="shared" si="54"/>
        <v>PA|AccumulatedNewCapacity|RE1|PWRSOLUPE|2025</v>
      </c>
      <c r="B597" t="str">
        <f t="shared" si="55"/>
        <v>Utility-scale solar PV|2025|O&amp;M|Direct</v>
      </c>
      <c r="C597" t="str">
        <f t="shared" si="56"/>
        <v>PWRSOLUPE|Utility-scale solar PV</v>
      </c>
      <c r="D597" t="s">
        <v>44</v>
      </c>
      <c r="E597" t="s">
        <v>45</v>
      </c>
      <c r="F597" t="s">
        <v>19</v>
      </c>
      <c r="G597" t="s">
        <v>34</v>
      </c>
      <c r="H597">
        <v>2025</v>
      </c>
      <c r="I597" t="s">
        <v>18</v>
      </c>
      <c r="J597" t="s">
        <v>63</v>
      </c>
      <c r="K597" t="s">
        <v>64</v>
      </c>
      <c r="L597" t="s">
        <v>65</v>
      </c>
      <c r="M597">
        <f>SUMIFS(RawResultsLong!$P:$P,RawResultsLong!$A:$A,A597)</f>
        <v>5.3106623999999574</v>
      </c>
      <c r="N597">
        <f t="shared" si="57"/>
        <v>168.28473648186039</v>
      </c>
      <c r="O597" t="s">
        <v>66</v>
      </c>
      <c r="P597">
        <f>SUMIFS(TechnologyMapping!$D:$D,TechnologyMapping!$A:$A,C597)</f>
        <v>1</v>
      </c>
      <c r="Q597">
        <f t="shared" si="58"/>
        <v>168.28473648186039</v>
      </c>
      <c r="R597">
        <f>SUMIFS(FactorInputs!$I:$I,FactorInputs!$A:$A,B597)</f>
        <v>9.4109234234200007E-2</v>
      </c>
      <c r="S597" t="str">
        <f>_xlfn.XLOOKUP(B597,FactorInputs!$A$2:$A$888,FactorInputs!$F$2:$F$888,"")</f>
        <v>job/MW</v>
      </c>
      <c r="T597" t="str">
        <f>_xlfn.XLOOKUP(B597,FactorInputs!$A$2:$A$888,FactorInputs!$B$2:$B$888,"")</f>
        <v>I-JEDI</v>
      </c>
      <c r="U597" t="str">
        <f>_xlfn.XLOOKUP(B597,FactorInputs!$A$2:$A$888,FactorInputs!$T$2:$T$888,"")</f>
        <v>I-JEDI</v>
      </c>
      <c r="V597">
        <f t="shared" si="59"/>
        <v>15.837147683612022</v>
      </c>
      <c r="W597" t="s">
        <v>67</v>
      </c>
    </row>
    <row r="598" spans="1:23" x14ac:dyDescent="0.3">
      <c r="A598" t="str">
        <f t="shared" si="54"/>
        <v>PA|AccumulatedNewCapacity|RE1|PWRWNDONS|2025</v>
      </c>
      <c r="B598" t="str">
        <f t="shared" si="55"/>
        <v>Onshore wind|2025|O&amp;M|Direct</v>
      </c>
      <c r="C598" t="str">
        <f t="shared" si="56"/>
        <v>PWRWNDONS|Onshore wind</v>
      </c>
      <c r="D598" t="s">
        <v>44</v>
      </c>
      <c r="E598" t="s">
        <v>45</v>
      </c>
      <c r="F598" t="s">
        <v>19</v>
      </c>
      <c r="G598" t="s">
        <v>36</v>
      </c>
      <c r="H598">
        <v>2025</v>
      </c>
      <c r="I598" t="s">
        <v>18</v>
      </c>
      <c r="J598" t="s">
        <v>63</v>
      </c>
      <c r="K598" t="s">
        <v>64</v>
      </c>
      <c r="L598" t="s">
        <v>65</v>
      </c>
      <c r="M598">
        <f>SUMIFS(RawResultsLong!$P:$P,RawResultsLong!$A:$A,A598)</f>
        <v>0.15362331428571441</v>
      </c>
      <c r="N598">
        <f t="shared" si="57"/>
        <v>4.8680290733678859</v>
      </c>
      <c r="O598" t="s">
        <v>68</v>
      </c>
      <c r="P598">
        <f>SUMIFS(TechnologyMapping!$D:$D,TechnologyMapping!$A:$A,C598)</f>
        <v>1</v>
      </c>
      <c r="Q598">
        <f t="shared" si="58"/>
        <v>4.8680290733678859</v>
      </c>
      <c r="R598">
        <f>SUMIFS(FactorInputs!$I:$I,FactorInputs!$A:$A,B598)</f>
        <v>2.9744525547400001E-2</v>
      </c>
      <c r="S598" t="str">
        <f>_xlfn.XLOOKUP(B598,FactorInputs!$A$2:$A$888,FactorInputs!$F$2:$F$888,"")</f>
        <v>job/MW</v>
      </c>
      <c r="T598" t="str">
        <f>_xlfn.XLOOKUP(B598,FactorInputs!$A$2:$A$888,FactorInputs!$B$2:$B$888,"")</f>
        <v>I-JEDI</v>
      </c>
      <c r="U598" t="str">
        <f>_xlfn.XLOOKUP(B598,FactorInputs!$A$2:$A$888,FactorInputs!$T$2:$T$888,"")</f>
        <v>I-JEDI</v>
      </c>
      <c r="V598">
        <f t="shared" si="59"/>
        <v>0.14479721513827704</v>
      </c>
    </row>
    <row r="599" spans="1:23" x14ac:dyDescent="0.3">
      <c r="A599" t="str">
        <f t="shared" si="54"/>
        <v>PA|NewCapacity|RE1|PWRSOLUGE|2025</v>
      </c>
      <c r="B599" t="str">
        <f t="shared" si="55"/>
        <v>Utility-scale solar PV|2025|Construction&amp;Manufacturing|Direct</v>
      </c>
      <c r="C599" t="str">
        <f t="shared" si="56"/>
        <v>PWRSOLUGE|Utility-scale solar PV</v>
      </c>
      <c r="D599" t="s">
        <v>44</v>
      </c>
      <c r="E599" t="s">
        <v>45</v>
      </c>
      <c r="F599" t="s">
        <v>19</v>
      </c>
      <c r="G599" t="s">
        <v>33</v>
      </c>
      <c r="H599">
        <v>2025</v>
      </c>
      <c r="I599" t="s">
        <v>37</v>
      </c>
      <c r="J599" t="s">
        <v>69</v>
      </c>
      <c r="K599" t="s">
        <v>70</v>
      </c>
      <c r="L599" t="s">
        <v>65</v>
      </c>
      <c r="M599">
        <f>SUMIFS(RawResultsLong!$P:$P,RawResultsLong!$A:$A,A599)</f>
        <v>6.717168</v>
      </c>
      <c r="N599">
        <f t="shared" si="57"/>
        <v>212.85420944558521</v>
      </c>
      <c r="O599" t="s">
        <v>66</v>
      </c>
      <c r="P599">
        <f>SUMIFS(TechnologyMapping!$D:$D,TechnologyMapping!$A:$A,C599)</f>
        <v>1</v>
      </c>
      <c r="Q599">
        <f t="shared" si="58"/>
        <v>212.85420944558521</v>
      </c>
      <c r="R599">
        <f>SUMIFS(FactorInputs!$I:$I,FactorInputs!$A:$A,B599)</f>
        <v>9.4551514256299996</v>
      </c>
      <c r="S599" t="str">
        <f>_xlfn.XLOOKUP(B599,FactorInputs!$A$2:$A$888,FactorInputs!$F$2:$F$888,"")</f>
        <v>job-yr/MW</v>
      </c>
      <c r="T599" t="str">
        <f>_xlfn.XLOOKUP(B599,FactorInputs!$A$2:$A$888,FactorInputs!$B$2:$B$888,"")</f>
        <v>I-JEDI</v>
      </c>
      <c r="U599" t="str">
        <f>_xlfn.XLOOKUP(B599,FactorInputs!$A$2:$A$888,FactorInputs!$T$2:$T$888,"")</f>
        <v>I-JEDI</v>
      </c>
      <c r="V599">
        <f t="shared" si="59"/>
        <v>2012.5687818907716</v>
      </c>
    </row>
    <row r="600" spans="1:23" x14ac:dyDescent="0.3">
      <c r="A600" t="str">
        <f t="shared" si="54"/>
        <v>PA|NewCapacity|RE1|PWRSOLUPE|2025</v>
      </c>
      <c r="B600" t="str">
        <f t="shared" si="55"/>
        <v>Utility-scale solar PV|2025|Construction&amp;Manufacturing|Direct</v>
      </c>
      <c r="C600" t="str">
        <f t="shared" si="56"/>
        <v>PWRSOLUPE|Utility-scale solar PV</v>
      </c>
      <c r="D600" t="s">
        <v>44</v>
      </c>
      <c r="E600" t="s">
        <v>45</v>
      </c>
      <c r="F600" t="s">
        <v>19</v>
      </c>
      <c r="G600" t="s">
        <v>34</v>
      </c>
      <c r="H600">
        <v>2025</v>
      </c>
      <c r="I600" t="s">
        <v>37</v>
      </c>
      <c r="J600" t="s">
        <v>69</v>
      </c>
      <c r="K600" t="s">
        <v>70</v>
      </c>
      <c r="L600" t="s">
        <v>65</v>
      </c>
      <c r="M600">
        <f>SUMIFS(RawResultsLong!$P:$P,RawResultsLong!$A:$A,A600)</f>
        <v>5.3106623999999574</v>
      </c>
      <c r="N600">
        <f t="shared" si="57"/>
        <v>168.28473648186039</v>
      </c>
      <c r="O600" t="s">
        <v>66</v>
      </c>
      <c r="P600">
        <f>SUMIFS(TechnologyMapping!$D:$D,TechnologyMapping!$A:$A,C600)</f>
        <v>1</v>
      </c>
      <c r="Q600">
        <f t="shared" si="58"/>
        <v>168.28473648186039</v>
      </c>
      <c r="R600">
        <f>SUMIFS(FactorInputs!$I:$I,FactorInputs!$A:$A,B600)</f>
        <v>9.4551514256299996</v>
      </c>
      <c r="S600" t="str">
        <f>_xlfn.XLOOKUP(B600,FactorInputs!$A$2:$A$888,FactorInputs!$F$2:$F$888,"")</f>
        <v>job-yr/MW</v>
      </c>
      <c r="T600" t="str">
        <f>_xlfn.XLOOKUP(B600,FactorInputs!$A$2:$A$888,FactorInputs!$B$2:$B$888,"")</f>
        <v>I-JEDI</v>
      </c>
      <c r="U600" t="str">
        <f>_xlfn.XLOOKUP(B600,FactorInputs!$A$2:$A$888,FactorInputs!$T$2:$T$888,"")</f>
        <v>I-JEDI</v>
      </c>
      <c r="V600">
        <f t="shared" si="59"/>
        <v>1591.1576660582311</v>
      </c>
      <c r="W600" t="s">
        <v>67</v>
      </c>
    </row>
    <row r="601" spans="1:23" x14ac:dyDescent="0.3">
      <c r="A601" t="str">
        <f t="shared" si="54"/>
        <v>PA|NewCapacity|RE1|PWRWNDONS|2025</v>
      </c>
      <c r="B601" t="str">
        <f t="shared" si="55"/>
        <v>Onshore wind|2025|Construction&amp;Manufacturing|Direct</v>
      </c>
      <c r="C601" t="str">
        <f t="shared" si="56"/>
        <v>PWRWNDONS|Onshore wind</v>
      </c>
      <c r="D601" t="s">
        <v>44</v>
      </c>
      <c r="E601" t="s">
        <v>45</v>
      </c>
      <c r="F601" t="s">
        <v>19</v>
      </c>
      <c r="G601" t="s">
        <v>36</v>
      </c>
      <c r="H601">
        <v>2025</v>
      </c>
      <c r="I601" t="s">
        <v>37</v>
      </c>
      <c r="J601" t="s">
        <v>69</v>
      </c>
      <c r="K601" t="s">
        <v>70</v>
      </c>
      <c r="L601" t="s">
        <v>65</v>
      </c>
      <c r="M601">
        <f>SUMIFS(RawResultsLong!$P:$P,RawResultsLong!$A:$A,A601)</f>
        <v>0.15362331428571441</v>
      </c>
      <c r="N601">
        <f t="shared" si="57"/>
        <v>4.8680290733678859</v>
      </c>
      <c r="O601" t="s">
        <v>68</v>
      </c>
      <c r="P601">
        <f>SUMIFS(TechnologyMapping!$D:$D,TechnologyMapping!$A:$A,C601)</f>
        <v>1</v>
      </c>
      <c r="Q601">
        <f t="shared" si="58"/>
        <v>4.8680290733678859</v>
      </c>
      <c r="R601">
        <f>SUMIFS(FactorInputs!$I:$I,FactorInputs!$A:$A,B601)</f>
        <v>7.1854324967599998</v>
      </c>
      <c r="S601" t="str">
        <f>_xlfn.XLOOKUP(B601,FactorInputs!$A$2:$A$888,FactorInputs!$F$2:$F$888,"")</f>
        <v>job-yr/MW</v>
      </c>
      <c r="T601" t="str">
        <f>_xlfn.XLOOKUP(B601,FactorInputs!$A$2:$A$888,FactorInputs!$B$2:$B$888,"")</f>
        <v>I-JEDI</v>
      </c>
      <c r="U601" t="str">
        <f>_xlfn.XLOOKUP(B601,FactorInputs!$A$2:$A$888,FactorInputs!$T$2:$T$888,"")</f>
        <v>I-JEDI</v>
      </c>
      <c r="V601">
        <f t="shared" si="59"/>
        <v>34.978894298950074</v>
      </c>
    </row>
    <row r="602" spans="1:23" x14ac:dyDescent="0.3">
      <c r="A602" t="str">
        <f t="shared" si="54"/>
        <v>PA|AccumulatedNewCapacity|RE1|PWRSOLRTP|2026</v>
      </c>
      <c r="B602" t="str">
        <f t="shared" si="55"/>
        <v>Rooftop solar PV|2026|O&amp;M|Direct</v>
      </c>
      <c r="C602" t="str">
        <f t="shared" si="56"/>
        <v>PWRSOLRTP|Rooftop solar PV</v>
      </c>
      <c r="D602" t="s">
        <v>44</v>
      </c>
      <c r="E602" t="s">
        <v>45</v>
      </c>
      <c r="F602" t="s">
        <v>19</v>
      </c>
      <c r="G602" t="s">
        <v>31</v>
      </c>
      <c r="H602">
        <v>2026</v>
      </c>
      <c r="I602" t="s">
        <v>18</v>
      </c>
      <c r="J602" t="s">
        <v>63</v>
      </c>
      <c r="K602" t="s">
        <v>64</v>
      </c>
      <c r="L602" t="s">
        <v>65</v>
      </c>
      <c r="M602">
        <f>SUMIFS(RawResultsLong!$P:$P,RawResultsLong!$A:$A,A602)</f>
        <v>8.889961953075499</v>
      </c>
      <c r="N602">
        <f t="shared" si="57"/>
        <v>281.70589503243269</v>
      </c>
      <c r="O602" t="s">
        <v>71</v>
      </c>
      <c r="P602">
        <f>SUMIFS(TechnologyMapping!$D:$D,TechnologyMapping!$A:$A,C602)</f>
        <v>1</v>
      </c>
      <c r="Q602">
        <f t="shared" si="58"/>
        <v>281.70589503243269</v>
      </c>
      <c r="R602">
        <f>SUMIFS(FactorInputs!$I:$I,FactorInputs!$A:$A,B602)</f>
        <v>0.28588235294100001</v>
      </c>
      <c r="S602" t="str">
        <f>_xlfn.XLOOKUP(B602,FactorInputs!$A$2:$A$888,FactorInputs!$F$2:$F$888,"")</f>
        <v>job/MW</v>
      </c>
      <c r="T602" t="str">
        <f>_xlfn.XLOOKUP(B602,FactorInputs!$A$2:$A$888,FactorInputs!$B$2:$B$888,"")</f>
        <v>JEDI-US</v>
      </c>
      <c r="U602" t="str">
        <f>_xlfn.XLOOKUP(B602,FactorInputs!$A$2:$A$888,FactorInputs!$T$2:$T$888,"")</f>
        <v>JEDI-US</v>
      </c>
      <c r="V602">
        <f t="shared" si="59"/>
        <v>80.534744109222217</v>
      </c>
    </row>
    <row r="603" spans="1:23" x14ac:dyDescent="0.3">
      <c r="A603" t="str">
        <f t="shared" si="54"/>
        <v>PA|AccumulatedNewCapacity|RE1|PWRSOLUGE|2026</v>
      </c>
      <c r="B603" t="str">
        <f t="shared" si="55"/>
        <v>Utility-scale solar PV|2026|O&amp;M|Direct</v>
      </c>
      <c r="C603" t="str">
        <f t="shared" si="56"/>
        <v>PWRSOLUGE|Utility-scale solar PV</v>
      </c>
      <c r="D603" t="s">
        <v>44</v>
      </c>
      <c r="E603" t="s">
        <v>45</v>
      </c>
      <c r="F603" t="s">
        <v>19</v>
      </c>
      <c r="G603" t="s">
        <v>33</v>
      </c>
      <c r="H603">
        <v>2026</v>
      </c>
      <c r="I603" t="s">
        <v>18</v>
      </c>
      <c r="J603" t="s">
        <v>63</v>
      </c>
      <c r="K603" t="s">
        <v>64</v>
      </c>
      <c r="L603" t="s">
        <v>65</v>
      </c>
      <c r="M603">
        <f>SUMIFS(RawResultsLong!$P:$P,RawResultsLong!$A:$A,A603)</f>
        <v>62.504351999999997</v>
      </c>
      <c r="N603">
        <f t="shared" si="57"/>
        <v>1980.643394934976</v>
      </c>
      <c r="O603" t="s">
        <v>66</v>
      </c>
      <c r="P603">
        <f>SUMIFS(TechnologyMapping!$D:$D,TechnologyMapping!$A:$A,C603)</f>
        <v>1</v>
      </c>
      <c r="Q603">
        <f t="shared" si="58"/>
        <v>1980.643394934976</v>
      </c>
      <c r="R603">
        <f>SUMIFS(FactorInputs!$I:$I,FactorInputs!$A:$A,B603)</f>
        <v>9.17184684685E-2</v>
      </c>
      <c r="S603" t="str">
        <f>_xlfn.XLOOKUP(B603,FactorInputs!$A$2:$A$888,FactorInputs!$F$2:$F$888,"")</f>
        <v>job/MW</v>
      </c>
      <c r="T603" t="str">
        <f>_xlfn.XLOOKUP(B603,FactorInputs!$A$2:$A$888,FactorInputs!$B$2:$B$888,"")</f>
        <v>I-JEDI</v>
      </c>
      <c r="U603" t="str">
        <f>_xlfn.XLOOKUP(B603,FactorInputs!$A$2:$A$888,FactorInputs!$T$2:$T$888,"")</f>
        <v>I-JEDI</v>
      </c>
      <c r="V603">
        <f t="shared" si="59"/>
        <v>181.66157876568639</v>
      </c>
    </row>
    <row r="604" spans="1:23" x14ac:dyDescent="0.3">
      <c r="A604" t="str">
        <f t="shared" si="54"/>
        <v>PA|AccumulatedNewCapacity|RE1|PWRSOLUPE|2026</v>
      </c>
      <c r="B604" t="str">
        <f t="shared" si="55"/>
        <v>Utility-scale solar PV|2026|O&amp;M|Direct</v>
      </c>
      <c r="C604" t="str">
        <f t="shared" si="56"/>
        <v>PWRSOLUPE|Utility-scale solar PV</v>
      </c>
      <c r="D604" t="s">
        <v>44</v>
      </c>
      <c r="E604" t="s">
        <v>45</v>
      </c>
      <c r="F604" t="s">
        <v>19</v>
      </c>
      <c r="G604" t="s">
        <v>34</v>
      </c>
      <c r="H604">
        <v>2026</v>
      </c>
      <c r="I604" t="s">
        <v>18</v>
      </c>
      <c r="J604" t="s">
        <v>63</v>
      </c>
      <c r="K604" t="s">
        <v>64</v>
      </c>
      <c r="L604" t="s">
        <v>65</v>
      </c>
      <c r="M604">
        <f>SUMIFS(RawResultsLong!$P:$P,RawResultsLong!$A:$A,A604)</f>
        <v>8.6752382399999313</v>
      </c>
      <c r="N604">
        <f t="shared" si="57"/>
        <v>274.90171115673979</v>
      </c>
      <c r="O604" t="s">
        <v>66</v>
      </c>
      <c r="P604">
        <f>SUMIFS(TechnologyMapping!$D:$D,TechnologyMapping!$A:$A,C604)</f>
        <v>1</v>
      </c>
      <c r="Q604">
        <f t="shared" si="58"/>
        <v>274.90171115673979</v>
      </c>
      <c r="R604">
        <f>SUMIFS(FactorInputs!$I:$I,FactorInputs!$A:$A,B604)</f>
        <v>9.17184684685E-2</v>
      </c>
      <c r="S604" t="str">
        <f>_xlfn.XLOOKUP(B604,FactorInputs!$A$2:$A$888,FactorInputs!$F$2:$F$888,"")</f>
        <v>job/MW</v>
      </c>
      <c r="T604" t="str">
        <f>_xlfn.XLOOKUP(B604,FactorInputs!$A$2:$A$888,FactorInputs!$B$2:$B$888,"")</f>
        <v>I-JEDI</v>
      </c>
      <c r="U604" t="str">
        <f>_xlfn.XLOOKUP(B604,FactorInputs!$A$2:$A$888,FactorInputs!$T$2:$T$888,"")</f>
        <v>I-JEDI</v>
      </c>
      <c r="V604">
        <f t="shared" si="59"/>
        <v>25.213563926666133</v>
      </c>
      <c r="W604" t="s">
        <v>67</v>
      </c>
    </row>
    <row r="605" spans="1:23" x14ac:dyDescent="0.3">
      <c r="A605" t="str">
        <f t="shared" si="54"/>
        <v>PA|AccumulatedNewCapacity|RE1|PWRWNDONS|2026</v>
      </c>
      <c r="B605" t="str">
        <f t="shared" si="55"/>
        <v>Onshore wind|2026|O&amp;M|Direct</v>
      </c>
      <c r="C605" t="str">
        <f t="shared" si="56"/>
        <v>PWRWNDONS|Onshore wind</v>
      </c>
      <c r="D605" t="s">
        <v>44</v>
      </c>
      <c r="E605" t="s">
        <v>45</v>
      </c>
      <c r="F605" t="s">
        <v>19</v>
      </c>
      <c r="G605" t="s">
        <v>36</v>
      </c>
      <c r="H605">
        <v>2026</v>
      </c>
      <c r="I605" t="s">
        <v>18</v>
      </c>
      <c r="J605" t="s">
        <v>63</v>
      </c>
      <c r="K605" t="s">
        <v>64</v>
      </c>
      <c r="L605" t="s">
        <v>65</v>
      </c>
      <c r="M605">
        <f>SUMIFS(RawResultsLong!$P:$P,RawResultsLong!$A:$A,A605)</f>
        <v>0.15362331428571441</v>
      </c>
      <c r="N605">
        <f t="shared" si="57"/>
        <v>4.8680290733678859</v>
      </c>
      <c r="O605" t="s">
        <v>68</v>
      </c>
      <c r="P605">
        <f>SUMIFS(TechnologyMapping!$D:$D,TechnologyMapping!$A:$A,C605)</f>
        <v>1</v>
      </c>
      <c r="Q605">
        <f t="shared" si="58"/>
        <v>4.8680290733678859</v>
      </c>
      <c r="R605">
        <f>SUMIFS(FactorInputs!$I:$I,FactorInputs!$A:$A,B605)</f>
        <v>2.94890510949E-2</v>
      </c>
      <c r="S605" t="str">
        <f>_xlfn.XLOOKUP(B605,FactorInputs!$A$2:$A$888,FactorInputs!$F$2:$F$888,"")</f>
        <v>job/MW</v>
      </c>
      <c r="T605" t="str">
        <f>_xlfn.XLOOKUP(B605,FactorInputs!$A$2:$A$888,FactorInputs!$B$2:$B$888,"")</f>
        <v>I-JEDI</v>
      </c>
      <c r="U605" t="str">
        <f>_xlfn.XLOOKUP(B605,FactorInputs!$A$2:$A$888,FactorInputs!$T$2:$T$888,"")</f>
        <v>I-JEDI</v>
      </c>
      <c r="V605">
        <f t="shared" si="59"/>
        <v>0.14355355807600428</v>
      </c>
    </row>
    <row r="606" spans="1:23" x14ac:dyDescent="0.3">
      <c r="A606" t="str">
        <f t="shared" si="54"/>
        <v>PA|NewCapacity|RE1|PWRSOLRTP|2026</v>
      </c>
      <c r="B606" t="str">
        <f t="shared" si="55"/>
        <v>Rooftop solar PV|2026|Construction&amp;Manufacturing|Direct</v>
      </c>
      <c r="C606" t="str">
        <f t="shared" si="56"/>
        <v>PWRSOLRTP|Rooftop solar PV</v>
      </c>
      <c r="D606" t="s">
        <v>44</v>
      </c>
      <c r="E606" t="s">
        <v>45</v>
      </c>
      <c r="F606" t="s">
        <v>19</v>
      </c>
      <c r="G606" t="s">
        <v>31</v>
      </c>
      <c r="H606">
        <v>2026</v>
      </c>
      <c r="I606" t="s">
        <v>37</v>
      </c>
      <c r="J606" t="s">
        <v>69</v>
      </c>
      <c r="K606" t="s">
        <v>70</v>
      </c>
      <c r="L606" t="s">
        <v>65</v>
      </c>
      <c r="M606">
        <f>SUMIFS(RawResultsLong!$P:$P,RawResultsLong!$A:$A,A606)</f>
        <v>8.889961953075499</v>
      </c>
      <c r="N606">
        <f t="shared" si="57"/>
        <v>281.70589503243269</v>
      </c>
      <c r="O606" t="s">
        <v>71</v>
      </c>
      <c r="P606">
        <f>SUMIFS(TechnologyMapping!$D:$D,TechnologyMapping!$A:$A,C606)</f>
        <v>1</v>
      </c>
      <c r="Q606">
        <f t="shared" si="58"/>
        <v>281.70589503243269</v>
      </c>
      <c r="R606">
        <f>SUMIFS(FactorInputs!$I:$I,FactorInputs!$A:$A,B606)</f>
        <v>8.3634066920999999</v>
      </c>
      <c r="S606" t="str">
        <f>_xlfn.XLOOKUP(B606,FactorInputs!$A$2:$A$888,FactorInputs!$F$2:$F$888,"")</f>
        <v>job-yr/MW</v>
      </c>
      <c r="T606" t="str">
        <f>_xlfn.XLOOKUP(B606,FactorInputs!$A$2:$A$888,FactorInputs!$B$2:$B$888,"")</f>
        <v>JEDI-US</v>
      </c>
      <c r="U606" t="str">
        <f>_xlfn.XLOOKUP(B606,FactorInputs!$A$2:$A$888,FactorInputs!$T$2:$T$888,"")</f>
        <v>JEDI-US</v>
      </c>
      <c r="V606">
        <f t="shared" si="59"/>
        <v>2356.0209677182679</v>
      </c>
    </row>
    <row r="607" spans="1:23" x14ac:dyDescent="0.3">
      <c r="A607" t="str">
        <f t="shared" si="54"/>
        <v>PA|NewCapacity|RE1|PWRSOLUGE|2026</v>
      </c>
      <c r="B607" t="str">
        <f t="shared" si="55"/>
        <v>Utility-scale solar PV|2026|Construction&amp;Manufacturing|Direct</v>
      </c>
      <c r="C607" t="str">
        <f t="shared" si="56"/>
        <v>PWRSOLUGE|Utility-scale solar PV</v>
      </c>
      <c r="D607" t="s">
        <v>44</v>
      </c>
      <c r="E607" t="s">
        <v>45</v>
      </c>
      <c r="F607" t="s">
        <v>19</v>
      </c>
      <c r="G607" t="s">
        <v>33</v>
      </c>
      <c r="H607">
        <v>2026</v>
      </c>
      <c r="I607" t="s">
        <v>37</v>
      </c>
      <c r="J607" t="s">
        <v>69</v>
      </c>
      <c r="K607" t="s">
        <v>70</v>
      </c>
      <c r="L607" t="s">
        <v>65</v>
      </c>
      <c r="M607">
        <f>SUMIFS(RawResultsLong!$P:$P,RawResultsLong!$A:$A,A607)</f>
        <v>55.787184000000003</v>
      </c>
      <c r="N607">
        <f t="shared" si="57"/>
        <v>1767.7891854893908</v>
      </c>
      <c r="O607" t="s">
        <v>66</v>
      </c>
      <c r="P607">
        <f>SUMIFS(TechnologyMapping!$D:$D,TechnologyMapping!$A:$A,C607)</f>
        <v>1</v>
      </c>
      <c r="Q607">
        <f t="shared" si="58"/>
        <v>1767.7891854893908</v>
      </c>
      <c r="R607">
        <f>SUMIFS(FactorInputs!$I:$I,FactorInputs!$A:$A,B607)</f>
        <v>8.9403028512499993</v>
      </c>
      <c r="S607" t="str">
        <f>_xlfn.XLOOKUP(B607,FactorInputs!$A$2:$A$888,FactorInputs!$F$2:$F$888,"")</f>
        <v>job-yr/MW</v>
      </c>
      <c r="T607" t="str">
        <f>_xlfn.XLOOKUP(B607,FactorInputs!$A$2:$A$888,FactorInputs!$B$2:$B$888,"")</f>
        <v>I-JEDI</v>
      </c>
      <c r="U607" t="str">
        <f>_xlfn.XLOOKUP(B607,FactorInputs!$A$2:$A$888,FactorInputs!$T$2:$T$888,"")</f>
        <v>I-JEDI</v>
      </c>
      <c r="V607">
        <f t="shared" si="59"/>
        <v>15804.570695439714</v>
      </c>
    </row>
    <row r="608" spans="1:23" x14ac:dyDescent="0.3">
      <c r="A608" t="str">
        <f t="shared" si="54"/>
        <v>PA|NewCapacity|RE1|PWRSOLUPE|2026</v>
      </c>
      <c r="B608" t="str">
        <f t="shared" si="55"/>
        <v>Utility-scale solar PV|2026|Construction&amp;Manufacturing|Direct</v>
      </c>
      <c r="C608" t="str">
        <f t="shared" si="56"/>
        <v>PWRSOLUPE|Utility-scale solar PV</v>
      </c>
      <c r="D608" t="s">
        <v>44</v>
      </c>
      <c r="E608" t="s">
        <v>45</v>
      </c>
      <c r="F608" t="s">
        <v>19</v>
      </c>
      <c r="G608" t="s">
        <v>34</v>
      </c>
      <c r="H608">
        <v>2026</v>
      </c>
      <c r="I608" t="s">
        <v>37</v>
      </c>
      <c r="J608" t="s">
        <v>69</v>
      </c>
      <c r="K608" t="s">
        <v>70</v>
      </c>
      <c r="L608" t="s">
        <v>65</v>
      </c>
      <c r="M608">
        <f>SUMIFS(RawResultsLong!$P:$P,RawResultsLong!$A:$A,A608)</f>
        <v>3.364575839999973</v>
      </c>
      <c r="N608">
        <f t="shared" si="57"/>
        <v>106.61697467487936</v>
      </c>
      <c r="O608" t="s">
        <v>66</v>
      </c>
      <c r="P608">
        <f>SUMIFS(TechnologyMapping!$D:$D,TechnologyMapping!$A:$A,C608)</f>
        <v>1</v>
      </c>
      <c r="Q608">
        <f t="shared" si="58"/>
        <v>106.61697467487936</v>
      </c>
      <c r="R608">
        <f>SUMIFS(FactorInputs!$I:$I,FactorInputs!$A:$A,B608)</f>
        <v>8.9403028512499993</v>
      </c>
      <c r="S608" t="str">
        <f>_xlfn.XLOOKUP(B608,FactorInputs!$A$2:$A$888,FactorInputs!$F$2:$F$888,"")</f>
        <v>job-yr/MW</v>
      </c>
      <c r="T608" t="str">
        <f>_xlfn.XLOOKUP(B608,FactorInputs!$A$2:$A$888,FactorInputs!$B$2:$B$888,"")</f>
        <v>I-JEDI</v>
      </c>
      <c r="U608" t="str">
        <f>_xlfn.XLOOKUP(B608,FactorInputs!$A$2:$A$888,FactorInputs!$T$2:$T$888,"")</f>
        <v>I-JEDI</v>
      </c>
      <c r="V608">
        <f t="shared" si="59"/>
        <v>953.18804267747294</v>
      </c>
      <c r="W608" t="s">
        <v>67</v>
      </c>
    </row>
    <row r="609" spans="1:23" x14ac:dyDescent="0.3">
      <c r="A609" t="str">
        <f t="shared" si="54"/>
        <v>PA|AccumulatedNewCapacity|RE1|PWRSOLRTP|2027</v>
      </c>
      <c r="B609" t="str">
        <f t="shared" si="55"/>
        <v>Rooftop solar PV|2027|O&amp;M|Direct</v>
      </c>
      <c r="C609" t="str">
        <f t="shared" si="56"/>
        <v>PWRSOLRTP|Rooftop solar PV</v>
      </c>
      <c r="D609" t="s">
        <v>44</v>
      </c>
      <c r="E609" t="s">
        <v>45</v>
      </c>
      <c r="F609" t="s">
        <v>19</v>
      </c>
      <c r="G609" t="s">
        <v>31</v>
      </c>
      <c r="H609">
        <v>2027</v>
      </c>
      <c r="I609" t="s">
        <v>18</v>
      </c>
      <c r="J609" t="s">
        <v>63</v>
      </c>
      <c r="K609" t="s">
        <v>64</v>
      </c>
      <c r="L609" t="s">
        <v>65</v>
      </c>
      <c r="M609">
        <f>SUMIFS(RawResultsLong!$P:$P,RawResultsLong!$A:$A,A609)</f>
        <v>21.413741280913172</v>
      </c>
      <c r="N609">
        <f t="shared" si="57"/>
        <v>678.56051413647333</v>
      </c>
      <c r="O609" t="s">
        <v>71</v>
      </c>
      <c r="P609">
        <f>SUMIFS(TechnologyMapping!$D:$D,TechnologyMapping!$A:$A,C609)</f>
        <v>1</v>
      </c>
      <c r="Q609">
        <f t="shared" si="58"/>
        <v>678.56051413647333</v>
      </c>
      <c r="R609">
        <f>SUMIFS(FactorInputs!$I:$I,FactorInputs!$A:$A,B609)</f>
        <v>0.278823529412</v>
      </c>
      <c r="S609" t="str">
        <f>_xlfn.XLOOKUP(B609,FactorInputs!$A$2:$A$888,FactorInputs!$F$2:$F$888,"")</f>
        <v>job/MW</v>
      </c>
      <c r="T609" t="str">
        <f>_xlfn.XLOOKUP(B609,FactorInputs!$A$2:$A$888,FactorInputs!$B$2:$B$888,"")</f>
        <v>JEDI-US</v>
      </c>
      <c r="U609" t="str">
        <f>_xlfn.XLOOKUP(B609,FactorInputs!$A$2:$A$888,FactorInputs!$T$2:$T$888,"")</f>
        <v>JEDI-US</v>
      </c>
      <c r="V609">
        <f t="shared" si="59"/>
        <v>189.19863747115281</v>
      </c>
    </row>
    <row r="610" spans="1:23" x14ac:dyDescent="0.3">
      <c r="A610" t="str">
        <f t="shared" si="54"/>
        <v>PA|AccumulatedNewCapacity|RE1|PWRSOLUGE|2027</v>
      </c>
      <c r="B610" t="str">
        <f t="shared" si="55"/>
        <v>Utility-scale solar PV|2027|O&amp;M|Direct</v>
      </c>
      <c r="C610" t="str">
        <f t="shared" si="56"/>
        <v>PWRSOLUGE|Utility-scale solar PV</v>
      </c>
      <c r="D610" t="s">
        <v>44</v>
      </c>
      <c r="E610" t="s">
        <v>45</v>
      </c>
      <c r="F610" t="s">
        <v>19</v>
      </c>
      <c r="G610" t="s">
        <v>33</v>
      </c>
      <c r="H610">
        <v>2027</v>
      </c>
      <c r="I610" t="s">
        <v>18</v>
      </c>
      <c r="J610" t="s">
        <v>63</v>
      </c>
      <c r="K610" t="s">
        <v>64</v>
      </c>
      <c r="L610" t="s">
        <v>65</v>
      </c>
      <c r="M610">
        <f>SUMIFS(RawResultsLong!$P:$P,RawResultsLong!$A:$A,A610)</f>
        <v>135.51019199999999</v>
      </c>
      <c r="N610">
        <f t="shared" si="57"/>
        <v>4294.0588637919227</v>
      </c>
      <c r="O610" t="s">
        <v>66</v>
      </c>
      <c r="P610">
        <f>SUMIFS(TechnologyMapping!$D:$D,TechnologyMapping!$A:$A,C610)</f>
        <v>1</v>
      </c>
      <c r="Q610">
        <f t="shared" si="58"/>
        <v>4294.0588637919227</v>
      </c>
      <c r="R610">
        <f>SUMIFS(FactorInputs!$I:$I,FactorInputs!$A:$A,B610)</f>
        <v>8.9327702702700004E-2</v>
      </c>
      <c r="S610" t="str">
        <f>_xlfn.XLOOKUP(B610,FactorInputs!$A$2:$A$888,FactorInputs!$F$2:$F$888,"")</f>
        <v>job/MW</v>
      </c>
      <c r="T610" t="str">
        <f>_xlfn.XLOOKUP(B610,FactorInputs!$A$2:$A$888,FactorInputs!$B$2:$B$888,"")</f>
        <v>I-JEDI</v>
      </c>
      <c r="U610" t="str">
        <f>_xlfn.XLOOKUP(B610,FactorInputs!$A$2:$A$888,FactorInputs!$T$2:$T$888,"")</f>
        <v>I-JEDI</v>
      </c>
      <c r="V610">
        <f t="shared" si="59"/>
        <v>383.57841357269865</v>
      </c>
    </row>
    <row r="611" spans="1:23" x14ac:dyDescent="0.3">
      <c r="A611" t="str">
        <f t="shared" si="54"/>
        <v>PA|AccumulatedNewCapacity|RE1|PWRSOLUPE|2027</v>
      </c>
      <c r="B611" t="str">
        <f t="shared" si="55"/>
        <v>Utility-scale solar PV|2027|O&amp;M|Direct</v>
      </c>
      <c r="C611" t="str">
        <f t="shared" si="56"/>
        <v>PWRSOLUPE|Utility-scale solar PV</v>
      </c>
      <c r="D611" t="s">
        <v>44</v>
      </c>
      <c r="E611" t="s">
        <v>45</v>
      </c>
      <c r="F611" t="s">
        <v>19</v>
      </c>
      <c r="G611" t="s">
        <v>34</v>
      </c>
      <c r="H611">
        <v>2027</v>
      </c>
      <c r="I611" t="s">
        <v>18</v>
      </c>
      <c r="J611" t="s">
        <v>63</v>
      </c>
      <c r="K611" t="s">
        <v>64</v>
      </c>
      <c r="L611" t="s">
        <v>65</v>
      </c>
      <c r="M611">
        <f>SUMIFS(RawResultsLong!$P:$P,RawResultsLong!$A:$A,A611)</f>
        <v>12.14419823999993</v>
      </c>
      <c r="N611">
        <f t="shared" si="57"/>
        <v>384.82642026009364</v>
      </c>
      <c r="O611" t="s">
        <v>66</v>
      </c>
      <c r="P611">
        <f>SUMIFS(TechnologyMapping!$D:$D,TechnologyMapping!$A:$A,C611)</f>
        <v>1</v>
      </c>
      <c r="Q611">
        <f t="shared" si="58"/>
        <v>384.82642026009364</v>
      </c>
      <c r="R611">
        <f>SUMIFS(FactorInputs!$I:$I,FactorInputs!$A:$A,B611)</f>
        <v>8.9327702702700004E-2</v>
      </c>
      <c r="S611" t="str">
        <f>_xlfn.XLOOKUP(B611,FactorInputs!$A$2:$A$888,FactorInputs!$F$2:$F$888,"")</f>
        <v>job/MW</v>
      </c>
      <c r="T611" t="str">
        <f>_xlfn.XLOOKUP(B611,FactorInputs!$A$2:$A$888,FactorInputs!$B$2:$B$888,"")</f>
        <v>I-JEDI</v>
      </c>
      <c r="U611" t="str">
        <f>_xlfn.XLOOKUP(B611,FactorInputs!$A$2:$A$888,FactorInputs!$T$2:$T$888,"")</f>
        <v>I-JEDI</v>
      </c>
      <c r="V611">
        <f t="shared" si="59"/>
        <v>34.375660061137935</v>
      </c>
      <c r="W611" t="s">
        <v>67</v>
      </c>
    </row>
    <row r="612" spans="1:23" x14ac:dyDescent="0.3">
      <c r="A612" t="str">
        <f t="shared" si="54"/>
        <v>PA|AccumulatedNewCapacity|RE1|PWRWNDONS|2027</v>
      </c>
      <c r="B612" t="str">
        <f t="shared" si="55"/>
        <v>Onshore wind|2027|O&amp;M|Direct</v>
      </c>
      <c r="C612" t="str">
        <f t="shared" si="56"/>
        <v>PWRWNDONS|Onshore wind</v>
      </c>
      <c r="D612" t="s">
        <v>44</v>
      </c>
      <c r="E612" t="s">
        <v>45</v>
      </c>
      <c r="F612" t="s">
        <v>19</v>
      </c>
      <c r="G612" t="s">
        <v>36</v>
      </c>
      <c r="H612">
        <v>2027</v>
      </c>
      <c r="I612" t="s">
        <v>18</v>
      </c>
      <c r="J612" t="s">
        <v>63</v>
      </c>
      <c r="K612" t="s">
        <v>64</v>
      </c>
      <c r="L612" t="s">
        <v>65</v>
      </c>
      <c r="M612">
        <f>SUMIFS(RawResultsLong!$P:$P,RawResultsLong!$A:$A,A612)</f>
        <v>17.46688731428571</v>
      </c>
      <c r="N612">
        <f t="shared" si="57"/>
        <v>553.4922590528339</v>
      </c>
      <c r="O612" t="s">
        <v>68</v>
      </c>
      <c r="P612">
        <f>SUMIFS(TechnologyMapping!$D:$D,TechnologyMapping!$A:$A,C612)</f>
        <v>1</v>
      </c>
      <c r="Q612">
        <f t="shared" si="58"/>
        <v>553.4922590528339</v>
      </c>
      <c r="R612">
        <f>SUMIFS(FactorInputs!$I:$I,FactorInputs!$A:$A,B612)</f>
        <v>2.9233576642299999E-2</v>
      </c>
      <c r="S612" t="str">
        <f>_xlfn.XLOOKUP(B612,FactorInputs!$A$2:$A$888,FactorInputs!$F$2:$F$888,"")</f>
        <v>job/MW</v>
      </c>
      <c r="T612" t="str">
        <f>_xlfn.XLOOKUP(B612,FactorInputs!$A$2:$A$888,FactorInputs!$B$2:$B$888,"")</f>
        <v>I-JEDI</v>
      </c>
      <c r="U612" t="str">
        <f>_xlfn.XLOOKUP(B612,FactorInputs!$A$2:$A$888,FactorInputs!$T$2:$T$888,"")</f>
        <v>I-JEDI</v>
      </c>
      <c r="V612">
        <f t="shared" si="59"/>
        <v>16.180558375940784</v>
      </c>
    </row>
    <row r="613" spans="1:23" x14ac:dyDescent="0.3">
      <c r="A613" t="str">
        <f t="shared" si="54"/>
        <v>PA|NewCapacity|RE1|PWRSOLRTP|2027</v>
      </c>
      <c r="B613" t="str">
        <f t="shared" si="55"/>
        <v>Rooftop solar PV|2027|Construction&amp;Manufacturing|Direct</v>
      </c>
      <c r="C613" t="str">
        <f t="shared" si="56"/>
        <v>PWRSOLRTP|Rooftop solar PV</v>
      </c>
      <c r="D613" t="s">
        <v>44</v>
      </c>
      <c r="E613" t="s">
        <v>45</v>
      </c>
      <c r="F613" t="s">
        <v>19</v>
      </c>
      <c r="G613" t="s">
        <v>31</v>
      </c>
      <c r="H613">
        <v>2027</v>
      </c>
      <c r="I613" t="s">
        <v>37</v>
      </c>
      <c r="J613" t="s">
        <v>69</v>
      </c>
      <c r="K613" t="s">
        <v>70</v>
      </c>
      <c r="L613" t="s">
        <v>65</v>
      </c>
      <c r="M613">
        <f>SUMIFS(RawResultsLong!$P:$P,RawResultsLong!$A:$A,A613)</f>
        <v>12.523779327837669</v>
      </c>
      <c r="N613">
        <f t="shared" si="57"/>
        <v>396.85461910404047</v>
      </c>
      <c r="O613" t="s">
        <v>71</v>
      </c>
      <c r="P613">
        <f>SUMIFS(TechnologyMapping!$D:$D,TechnologyMapping!$A:$A,C613)</f>
        <v>1</v>
      </c>
      <c r="Q613">
        <f t="shared" si="58"/>
        <v>396.85461910404047</v>
      </c>
      <c r="R613">
        <f>SUMIFS(FactorInputs!$I:$I,FactorInputs!$A:$A,B613)</f>
        <v>7.8811100381600001</v>
      </c>
      <c r="S613" t="str">
        <f>_xlfn.XLOOKUP(B613,FactorInputs!$A$2:$A$888,FactorInputs!$F$2:$F$888,"")</f>
        <v>job-yr/MW</v>
      </c>
      <c r="T613" t="str">
        <f>_xlfn.XLOOKUP(B613,FactorInputs!$A$2:$A$888,FactorInputs!$B$2:$B$888,"")</f>
        <v>JEDI-US</v>
      </c>
      <c r="U613" t="str">
        <f>_xlfn.XLOOKUP(B613,FactorInputs!$A$2:$A$888,FactorInputs!$T$2:$T$888,"")</f>
        <v>JEDI-US</v>
      </c>
      <c r="V613">
        <f t="shared" si="59"/>
        <v>3127.6549223110169</v>
      </c>
    </row>
    <row r="614" spans="1:23" x14ac:dyDescent="0.3">
      <c r="A614" t="str">
        <f t="shared" si="54"/>
        <v>PA|NewCapacity|RE1|PWRSOLUGE|2027</v>
      </c>
      <c r="B614" t="str">
        <f t="shared" si="55"/>
        <v>Utility-scale solar PV|2027|Construction&amp;Manufacturing|Direct</v>
      </c>
      <c r="C614" t="str">
        <f t="shared" si="56"/>
        <v>PWRSOLUGE|Utility-scale solar PV</v>
      </c>
      <c r="D614" t="s">
        <v>44</v>
      </c>
      <c r="E614" t="s">
        <v>45</v>
      </c>
      <c r="F614" t="s">
        <v>19</v>
      </c>
      <c r="G614" t="s">
        <v>33</v>
      </c>
      <c r="H614">
        <v>2027</v>
      </c>
      <c r="I614" t="s">
        <v>37</v>
      </c>
      <c r="J614" t="s">
        <v>69</v>
      </c>
      <c r="K614" t="s">
        <v>70</v>
      </c>
      <c r="L614" t="s">
        <v>65</v>
      </c>
      <c r="M614">
        <f>SUMIFS(RawResultsLong!$P:$P,RawResultsLong!$A:$A,A614)</f>
        <v>73.005840000000006</v>
      </c>
      <c r="N614">
        <f t="shared" si="57"/>
        <v>2313.4154688569474</v>
      </c>
      <c r="O614" t="s">
        <v>66</v>
      </c>
      <c r="P614">
        <f>SUMIFS(TechnologyMapping!$D:$D,TechnologyMapping!$A:$A,C614)</f>
        <v>1</v>
      </c>
      <c r="Q614">
        <f t="shared" si="58"/>
        <v>2313.4154688569474</v>
      </c>
      <c r="R614">
        <f>SUMIFS(FactorInputs!$I:$I,FactorInputs!$A:$A,B614)</f>
        <v>8.42545427688</v>
      </c>
      <c r="S614" t="str">
        <f>_xlfn.XLOOKUP(B614,FactorInputs!$A$2:$A$888,FactorInputs!$F$2:$F$888,"")</f>
        <v>job-yr/MW</v>
      </c>
      <c r="T614" t="str">
        <f>_xlfn.XLOOKUP(B614,FactorInputs!$A$2:$A$888,FactorInputs!$B$2:$B$888,"")</f>
        <v>I-JEDI</v>
      </c>
      <c r="U614" t="str">
        <f>_xlfn.XLOOKUP(B614,FactorInputs!$A$2:$A$888,FactorInputs!$T$2:$T$888,"")</f>
        <v>I-JEDI</v>
      </c>
      <c r="V614">
        <f t="shared" si="59"/>
        <v>19491.576256281118</v>
      </c>
    </row>
    <row r="615" spans="1:23" x14ac:dyDescent="0.3">
      <c r="A615" t="str">
        <f t="shared" si="54"/>
        <v>PA|NewCapacity|RE1|PWRSOLUPE|2027</v>
      </c>
      <c r="B615" t="str">
        <f t="shared" si="55"/>
        <v>Utility-scale solar PV|2027|Construction&amp;Manufacturing|Direct</v>
      </c>
      <c r="C615" t="str">
        <f t="shared" si="56"/>
        <v>PWRSOLUPE|Utility-scale solar PV</v>
      </c>
      <c r="D615" t="s">
        <v>44</v>
      </c>
      <c r="E615" t="s">
        <v>45</v>
      </c>
      <c r="F615" t="s">
        <v>19</v>
      </c>
      <c r="G615" t="s">
        <v>34</v>
      </c>
      <c r="H615">
        <v>2027</v>
      </c>
      <c r="I615" t="s">
        <v>37</v>
      </c>
      <c r="J615" t="s">
        <v>69</v>
      </c>
      <c r="K615" t="s">
        <v>70</v>
      </c>
      <c r="L615" t="s">
        <v>65</v>
      </c>
      <c r="M615">
        <f>SUMIFS(RawResultsLong!$P:$P,RawResultsLong!$A:$A,A615)</f>
        <v>3.46896</v>
      </c>
      <c r="N615">
        <f t="shared" si="57"/>
        <v>109.92470910335386</v>
      </c>
      <c r="O615" t="s">
        <v>66</v>
      </c>
      <c r="P615">
        <f>SUMIFS(TechnologyMapping!$D:$D,TechnologyMapping!$A:$A,C615)</f>
        <v>1</v>
      </c>
      <c r="Q615">
        <f t="shared" si="58"/>
        <v>109.92470910335386</v>
      </c>
      <c r="R615">
        <f>SUMIFS(FactorInputs!$I:$I,FactorInputs!$A:$A,B615)</f>
        <v>8.42545427688</v>
      </c>
      <c r="S615" t="str">
        <f>_xlfn.XLOOKUP(B615,FactorInputs!$A$2:$A$888,FactorInputs!$F$2:$F$888,"")</f>
        <v>job-yr/MW</v>
      </c>
      <c r="T615" t="str">
        <f>_xlfn.XLOOKUP(B615,FactorInputs!$A$2:$A$888,FactorInputs!$B$2:$B$888,"")</f>
        <v>I-JEDI</v>
      </c>
      <c r="U615" t="str">
        <f>_xlfn.XLOOKUP(B615,FactorInputs!$A$2:$A$888,FactorInputs!$T$2:$T$888,"")</f>
        <v>I-JEDI</v>
      </c>
      <c r="V615">
        <f t="shared" si="59"/>
        <v>926.16561044964271</v>
      </c>
      <c r="W615" t="s">
        <v>67</v>
      </c>
    </row>
    <row r="616" spans="1:23" x14ac:dyDescent="0.3">
      <c r="A616" t="str">
        <f t="shared" si="54"/>
        <v>PA|NewCapacity|RE1|PWRWNDONS|2027</v>
      </c>
      <c r="B616" t="str">
        <f t="shared" si="55"/>
        <v>Onshore wind|2027|Construction&amp;Manufacturing|Direct</v>
      </c>
      <c r="C616" t="str">
        <f t="shared" si="56"/>
        <v>PWRWNDONS|Onshore wind</v>
      </c>
      <c r="D616" t="s">
        <v>44</v>
      </c>
      <c r="E616" t="s">
        <v>45</v>
      </c>
      <c r="F616" t="s">
        <v>19</v>
      </c>
      <c r="G616" t="s">
        <v>36</v>
      </c>
      <c r="H616">
        <v>2027</v>
      </c>
      <c r="I616" t="s">
        <v>37</v>
      </c>
      <c r="J616" t="s">
        <v>69</v>
      </c>
      <c r="K616" t="s">
        <v>70</v>
      </c>
      <c r="L616" t="s">
        <v>65</v>
      </c>
      <c r="M616">
        <f>SUMIFS(RawResultsLong!$P:$P,RawResultsLong!$A:$A,A616)</f>
        <v>17.313264</v>
      </c>
      <c r="N616">
        <f t="shared" si="57"/>
        <v>548.62422997946612</v>
      </c>
      <c r="O616" t="s">
        <v>68</v>
      </c>
      <c r="P616">
        <f>SUMIFS(TechnologyMapping!$D:$D,TechnologyMapping!$A:$A,C616)</f>
        <v>1</v>
      </c>
      <c r="Q616">
        <f t="shared" si="58"/>
        <v>548.62422997946612</v>
      </c>
      <c r="R616">
        <f>SUMIFS(FactorInputs!$I:$I,FactorInputs!$A:$A,B616)</f>
        <v>7.0622974902899998</v>
      </c>
      <c r="S616" t="str">
        <f>_xlfn.XLOOKUP(B616,FactorInputs!$A$2:$A$888,FactorInputs!$F$2:$F$888,"")</f>
        <v>job-yr/MW</v>
      </c>
      <c r="T616" t="str">
        <f>_xlfn.XLOOKUP(B616,FactorInputs!$A$2:$A$888,FactorInputs!$B$2:$B$888,"")</f>
        <v>I-JEDI</v>
      </c>
      <c r="U616" t="str">
        <f>_xlfn.XLOOKUP(B616,FactorInputs!$A$2:$A$888,FactorInputs!$T$2:$T$888,"")</f>
        <v>I-JEDI</v>
      </c>
      <c r="V616">
        <f t="shared" si="59"/>
        <v>3874.5475224962674</v>
      </c>
    </row>
    <row r="617" spans="1:23" x14ac:dyDescent="0.3">
      <c r="A617" t="str">
        <f t="shared" si="54"/>
        <v>PA|AccumulatedNewCapacity|RE1|PWRHYDDAM|2028</v>
      </c>
      <c r="B617" t="str">
        <f t="shared" si="55"/>
        <v>Hydro (large)|2028|O&amp;M|Direct</v>
      </c>
      <c r="C617" t="str">
        <f t="shared" si="56"/>
        <v>PWRHYDDAM|Hydro (large)</v>
      </c>
      <c r="D617" t="s">
        <v>44</v>
      </c>
      <c r="E617" t="s">
        <v>45</v>
      </c>
      <c r="F617" t="s">
        <v>19</v>
      </c>
      <c r="G617" t="s">
        <v>24</v>
      </c>
      <c r="H617">
        <v>2028</v>
      </c>
      <c r="I617" t="s">
        <v>18</v>
      </c>
      <c r="J617" t="s">
        <v>63</v>
      </c>
      <c r="K617" t="s">
        <v>64</v>
      </c>
      <c r="L617" t="s">
        <v>65</v>
      </c>
      <c r="M617">
        <f>SUMIFS(RawResultsLong!$P:$P,RawResultsLong!$A:$A,A617)</f>
        <v>37.840000000000003</v>
      </c>
      <c r="N617">
        <f t="shared" si="57"/>
        <v>1199.0772428828554</v>
      </c>
      <c r="O617" t="s">
        <v>72</v>
      </c>
      <c r="P617">
        <f>SUMIFS(TechnologyMapping!$D:$D,TechnologyMapping!$A:$A,C617)</f>
        <v>1</v>
      </c>
      <c r="Q617">
        <f t="shared" si="58"/>
        <v>1199.0772428828554</v>
      </c>
      <c r="R617">
        <f>SUMIFS(FactorInputs!$I:$I,FactorInputs!$A:$A,B617)</f>
        <v>0.63639999999999997</v>
      </c>
      <c r="S617" t="str">
        <f>_xlfn.XLOOKUP(B617,FactorInputs!$A$2:$A$888,FactorInputs!$F$2:$F$888,"")</f>
        <v>job/MW</v>
      </c>
      <c r="T617" t="str">
        <f>_xlfn.XLOOKUP(B617,FactorInputs!$A$2:$A$888,FactorInputs!$B$2:$B$888,"")</f>
        <v>Rutovitz 2015</v>
      </c>
      <c r="U617" t="str">
        <f>_xlfn.XLOOKUP(B617,FactorInputs!$A$2:$A$888,FactorInputs!$T$2:$T$888,"")</f>
        <v>Rutovitz 2015</v>
      </c>
      <c r="V617">
        <f t="shared" si="59"/>
        <v>763.09275737064911</v>
      </c>
    </row>
    <row r="618" spans="1:23" x14ac:dyDescent="0.3">
      <c r="A618" t="str">
        <f t="shared" si="54"/>
        <v>PA|AccumulatedNewCapacity|RE1|PWRSOLRTP|2028</v>
      </c>
      <c r="B618" t="str">
        <f t="shared" si="55"/>
        <v>Rooftop solar PV|2028|O&amp;M|Direct</v>
      </c>
      <c r="C618" t="str">
        <f t="shared" si="56"/>
        <v>PWRSOLRTP|Rooftop solar PV</v>
      </c>
      <c r="D618" t="s">
        <v>44</v>
      </c>
      <c r="E618" t="s">
        <v>45</v>
      </c>
      <c r="F618" t="s">
        <v>19</v>
      </c>
      <c r="G618" t="s">
        <v>31</v>
      </c>
      <c r="H618">
        <v>2028</v>
      </c>
      <c r="I618" t="s">
        <v>18</v>
      </c>
      <c r="J618" t="s">
        <v>63</v>
      </c>
      <c r="K618" t="s">
        <v>64</v>
      </c>
      <c r="L618" t="s">
        <v>65</v>
      </c>
      <c r="M618">
        <f>SUMIFS(RawResultsLong!$P:$P,RawResultsLong!$A:$A,A618)</f>
        <v>35.205751426759697</v>
      </c>
      <c r="N618">
        <f t="shared" si="57"/>
        <v>1115.6029427700364</v>
      </c>
      <c r="O618" t="s">
        <v>71</v>
      </c>
      <c r="P618">
        <f>SUMIFS(TechnologyMapping!$D:$D,TechnologyMapping!$A:$A,C618)</f>
        <v>1</v>
      </c>
      <c r="Q618">
        <f t="shared" si="58"/>
        <v>1115.6029427700364</v>
      </c>
      <c r="R618">
        <f>SUMIFS(FactorInputs!$I:$I,FactorInputs!$A:$A,B618)</f>
        <v>0.27176470588200002</v>
      </c>
      <c r="S618" t="str">
        <f>_xlfn.XLOOKUP(B618,FactorInputs!$A$2:$A$888,FactorInputs!$F$2:$F$888,"")</f>
        <v>job/MW</v>
      </c>
      <c r="T618" t="str">
        <f>_xlfn.XLOOKUP(B618,FactorInputs!$A$2:$A$888,FactorInputs!$B$2:$B$888,"")</f>
        <v>JEDI-US</v>
      </c>
      <c r="U618" t="str">
        <f>_xlfn.XLOOKUP(B618,FactorInputs!$A$2:$A$888,FactorInputs!$T$2:$T$888,"")</f>
        <v>JEDI-US</v>
      </c>
      <c r="V618">
        <f t="shared" si="59"/>
        <v>303.18150562299263</v>
      </c>
    </row>
    <row r="619" spans="1:23" x14ac:dyDescent="0.3">
      <c r="A619" t="str">
        <f t="shared" si="54"/>
        <v>PA|AccumulatedNewCapacity|RE1|PWRSOLUGE|2028</v>
      </c>
      <c r="B619" t="str">
        <f t="shared" si="55"/>
        <v>Utility-scale solar PV|2028|O&amp;M|Direct</v>
      </c>
      <c r="C619" t="str">
        <f t="shared" si="56"/>
        <v>PWRSOLUGE|Utility-scale solar PV</v>
      </c>
      <c r="D619" t="s">
        <v>44</v>
      </c>
      <c r="E619" t="s">
        <v>45</v>
      </c>
      <c r="F619" t="s">
        <v>19</v>
      </c>
      <c r="G619" t="s">
        <v>33</v>
      </c>
      <c r="H619">
        <v>2028</v>
      </c>
      <c r="I619" t="s">
        <v>18</v>
      </c>
      <c r="J619" t="s">
        <v>63</v>
      </c>
      <c r="K619" t="s">
        <v>64</v>
      </c>
      <c r="L619" t="s">
        <v>65</v>
      </c>
      <c r="M619">
        <f>SUMIFS(RawResultsLong!$P:$P,RawResultsLong!$A:$A,A619)</f>
        <v>135.51019199999999</v>
      </c>
      <c r="N619">
        <f t="shared" si="57"/>
        <v>4294.0588637919227</v>
      </c>
      <c r="O619" t="s">
        <v>66</v>
      </c>
      <c r="P619">
        <f>SUMIFS(TechnologyMapping!$D:$D,TechnologyMapping!$A:$A,C619)</f>
        <v>1</v>
      </c>
      <c r="Q619">
        <f t="shared" si="58"/>
        <v>4294.0588637919227</v>
      </c>
      <c r="R619">
        <f>SUMIFS(FactorInputs!$I:$I,FactorInputs!$A:$A,B619)</f>
        <v>8.6936936936899994E-2</v>
      </c>
      <c r="S619" t="str">
        <f>_xlfn.XLOOKUP(B619,FactorInputs!$A$2:$A$888,FactorInputs!$F$2:$F$888,"")</f>
        <v>job/MW</v>
      </c>
      <c r="T619" t="str">
        <f>_xlfn.XLOOKUP(B619,FactorInputs!$A$2:$A$888,FactorInputs!$B$2:$B$888,"")</f>
        <v>I-JEDI</v>
      </c>
      <c r="U619" t="str">
        <f>_xlfn.XLOOKUP(B619,FactorInputs!$A$2:$A$888,FactorInputs!$T$2:$T$888,"")</f>
        <v>I-JEDI</v>
      </c>
      <c r="V619">
        <f t="shared" si="59"/>
        <v>373.31232464481485</v>
      </c>
    </row>
    <row r="620" spans="1:23" x14ac:dyDescent="0.3">
      <c r="A620" t="str">
        <f t="shared" si="54"/>
        <v>PA|AccumulatedNewCapacity|RE1|PWRSOLUPE|2028</v>
      </c>
      <c r="B620" t="str">
        <f t="shared" si="55"/>
        <v>Utility-scale solar PV|2028|O&amp;M|Direct</v>
      </c>
      <c r="C620" t="str">
        <f t="shared" si="56"/>
        <v>PWRSOLUPE|Utility-scale solar PV</v>
      </c>
      <c r="D620" t="s">
        <v>44</v>
      </c>
      <c r="E620" t="s">
        <v>45</v>
      </c>
      <c r="F620" t="s">
        <v>19</v>
      </c>
      <c r="G620" t="s">
        <v>34</v>
      </c>
      <c r="H620">
        <v>2028</v>
      </c>
      <c r="I620" t="s">
        <v>18</v>
      </c>
      <c r="J620" t="s">
        <v>63</v>
      </c>
      <c r="K620" t="s">
        <v>64</v>
      </c>
      <c r="L620" t="s">
        <v>65</v>
      </c>
      <c r="M620">
        <f>SUMIFS(RawResultsLong!$P:$P,RawResultsLong!$A:$A,A620)</f>
        <v>12.14419823999993</v>
      </c>
      <c r="N620">
        <f t="shared" si="57"/>
        <v>384.82642026009364</v>
      </c>
      <c r="O620" t="s">
        <v>66</v>
      </c>
      <c r="P620">
        <f>SUMIFS(TechnologyMapping!$D:$D,TechnologyMapping!$A:$A,C620)</f>
        <v>1</v>
      </c>
      <c r="Q620">
        <f t="shared" si="58"/>
        <v>384.82642026009364</v>
      </c>
      <c r="R620">
        <f>SUMIFS(FactorInputs!$I:$I,FactorInputs!$A:$A,B620)</f>
        <v>8.6936936936899994E-2</v>
      </c>
      <c r="S620" t="str">
        <f>_xlfn.XLOOKUP(B620,FactorInputs!$A$2:$A$888,FactorInputs!$F$2:$F$888,"")</f>
        <v>job/MW</v>
      </c>
      <c r="T620" t="str">
        <f>_xlfn.XLOOKUP(B620,FactorInputs!$A$2:$A$888,FactorInputs!$B$2:$B$888,"")</f>
        <v>I-JEDI</v>
      </c>
      <c r="U620" t="str">
        <f>_xlfn.XLOOKUP(B620,FactorInputs!$A$2:$A$888,FactorInputs!$T$2:$T$888,"")</f>
        <v>I-JEDI</v>
      </c>
      <c r="V620">
        <f t="shared" si="59"/>
        <v>33.455630229804733</v>
      </c>
      <c r="W620" t="s">
        <v>67</v>
      </c>
    </row>
    <row r="621" spans="1:23" x14ac:dyDescent="0.3">
      <c r="A621" t="str">
        <f t="shared" si="54"/>
        <v>PA|AccumulatedNewCapacity|RE1|PWRWNDONS|2028</v>
      </c>
      <c r="B621" t="str">
        <f t="shared" si="55"/>
        <v>Onshore wind|2028|O&amp;M|Direct</v>
      </c>
      <c r="C621" t="str">
        <f t="shared" si="56"/>
        <v>PWRWNDONS|Onshore wind</v>
      </c>
      <c r="D621" t="s">
        <v>44</v>
      </c>
      <c r="E621" t="s">
        <v>45</v>
      </c>
      <c r="F621" t="s">
        <v>19</v>
      </c>
      <c r="G621" t="s">
        <v>36</v>
      </c>
      <c r="H621">
        <v>2028</v>
      </c>
      <c r="I621" t="s">
        <v>18</v>
      </c>
      <c r="J621" t="s">
        <v>63</v>
      </c>
      <c r="K621" t="s">
        <v>64</v>
      </c>
      <c r="L621" t="s">
        <v>65</v>
      </c>
      <c r="M621">
        <f>SUMIFS(RawResultsLong!$P:$P,RawResultsLong!$A:$A,A621)</f>
        <v>23.805623314285711</v>
      </c>
      <c r="N621">
        <f t="shared" si="57"/>
        <v>754.35468205078053</v>
      </c>
      <c r="O621" t="s">
        <v>68</v>
      </c>
      <c r="P621">
        <f>SUMIFS(TechnologyMapping!$D:$D,TechnologyMapping!$A:$A,C621)</f>
        <v>1</v>
      </c>
      <c r="Q621">
        <f t="shared" si="58"/>
        <v>754.35468205078053</v>
      </c>
      <c r="R621">
        <f>SUMIFS(FactorInputs!$I:$I,FactorInputs!$A:$A,B621)</f>
        <v>2.8978102189800001E-2</v>
      </c>
      <c r="S621" t="str">
        <f>_xlfn.XLOOKUP(B621,FactorInputs!$A$2:$A$888,FactorInputs!$F$2:$F$888,"")</f>
        <v>job/MW</v>
      </c>
      <c r="T621" t="str">
        <f>_xlfn.XLOOKUP(B621,FactorInputs!$A$2:$A$888,FactorInputs!$B$2:$B$888,"")</f>
        <v>I-JEDI</v>
      </c>
      <c r="U621" t="str">
        <f>_xlfn.XLOOKUP(B621,FactorInputs!$A$2:$A$888,FactorInputs!$T$2:$T$888,"")</f>
        <v>I-JEDI</v>
      </c>
      <c r="V621">
        <f t="shared" si="59"/>
        <v>21.859767063821607</v>
      </c>
    </row>
    <row r="622" spans="1:23" x14ac:dyDescent="0.3">
      <c r="A622" t="str">
        <f t="shared" si="54"/>
        <v>PA|NewCapacity|RE1|PWRHYDDAM|2028</v>
      </c>
      <c r="B622" t="str">
        <f t="shared" si="55"/>
        <v>Hydro (large)|2028|Construction&amp;Manufacturing|Direct</v>
      </c>
      <c r="C622" t="str">
        <f t="shared" si="56"/>
        <v>PWRHYDDAM|Hydro (large)</v>
      </c>
      <c r="D622" t="s">
        <v>44</v>
      </c>
      <c r="E622" t="s">
        <v>45</v>
      </c>
      <c r="F622" t="s">
        <v>19</v>
      </c>
      <c r="G622" t="s">
        <v>24</v>
      </c>
      <c r="H622">
        <v>2028</v>
      </c>
      <c r="I622" t="s">
        <v>37</v>
      </c>
      <c r="J622" t="s">
        <v>69</v>
      </c>
      <c r="K622" t="s">
        <v>70</v>
      </c>
      <c r="L622" t="s">
        <v>65</v>
      </c>
      <c r="M622">
        <f>SUMIFS(RawResultsLong!$P:$P,RawResultsLong!$A:$A,A622)</f>
        <v>37.840000000000003</v>
      </c>
      <c r="N622">
        <f t="shared" si="57"/>
        <v>1199.0772428828554</v>
      </c>
      <c r="O622" t="s">
        <v>72</v>
      </c>
      <c r="P622">
        <f>SUMIFS(TechnologyMapping!$D:$D,TechnologyMapping!$A:$A,C622)</f>
        <v>1</v>
      </c>
      <c r="Q622">
        <f t="shared" si="58"/>
        <v>1199.0772428828554</v>
      </c>
      <c r="R622">
        <f>SUMIFS(FactorInputs!$I:$I,FactorInputs!$A:$A,B622)</f>
        <v>11.5612666667</v>
      </c>
      <c r="S622" t="str">
        <f>_xlfn.XLOOKUP(B622,FactorInputs!$A$2:$A$888,FactorInputs!$F$2:$F$888,"")</f>
        <v>job-yr/MW</v>
      </c>
      <c r="T622" t="str">
        <f>_xlfn.XLOOKUP(B622,FactorInputs!$A$2:$A$888,FactorInputs!$B$2:$B$888,"")</f>
        <v>Rutovitz 2015</v>
      </c>
      <c r="U622" t="str">
        <f>_xlfn.XLOOKUP(B622,FactorInputs!$A$2:$A$888,FactorInputs!$T$2:$T$888,"")</f>
        <v>Rutovitz 2015</v>
      </c>
      <c r="V622">
        <f t="shared" si="59"/>
        <v>13862.851758940096</v>
      </c>
    </row>
    <row r="623" spans="1:23" x14ac:dyDescent="0.3">
      <c r="A623" t="str">
        <f t="shared" si="54"/>
        <v>PA|NewCapacity|RE1|PWRSOLRTP|2028</v>
      </c>
      <c r="B623" t="str">
        <f t="shared" si="55"/>
        <v>Rooftop solar PV|2028|Construction&amp;Manufacturing|Direct</v>
      </c>
      <c r="C623" t="str">
        <f t="shared" si="56"/>
        <v>PWRSOLRTP|Rooftop solar PV</v>
      </c>
      <c r="D623" t="s">
        <v>44</v>
      </c>
      <c r="E623" t="s">
        <v>45</v>
      </c>
      <c r="F623" t="s">
        <v>19</v>
      </c>
      <c r="G623" t="s">
        <v>31</v>
      </c>
      <c r="H623">
        <v>2028</v>
      </c>
      <c r="I623" t="s">
        <v>37</v>
      </c>
      <c r="J623" t="s">
        <v>69</v>
      </c>
      <c r="K623" t="s">
        <v>70</v>
      </c>
      <c r="L623" t="s">
        <v>65</v>
      </c>
      <c r="M623">
        <f>SUMIFS(RawResultsLong!$P:$P,RawResultsLong!$A:$A,A623)</f>
        <v>13.79201014584654</v>
      </c>
      <c r="N623">
        <f t="shared" si="57"/>
        <v>437.04242863356336</v>
      </c>
      <c r="O623" t="s">
        <v>71</v>
      </c>
      <c r="P623">
        <f>SUMIFS(TechnologyMapping!$D:$D,TechnologyMapping!$A:$A,C623)</f>
        <v>1</v>
      </c>
      <c r="Q623">
        <f t="shared" si="58"/>
        <v>437.04242863356336</v>
      </c>
      <c r="R623">
        <f>SUMIFS(FactorInputs!$I:$I,FactorInputs!$A:$A,B623)</f>
        <v>7.3988133842100003</v>
      </c>
      <c r="S623" t="str">
        <f>_xlfn.XLOOKUP(B623,FactorInputs!$A$2:$A$888,FactorInputs!$F$2:$F$888,"")</f>
        <v>job-yr/MW</v>
      </c>
      <c r="T623" t="str">
        <f>_xlfn.XLOOKUP(B623,FactorInputs!$A$2:$A$888,FactorInputs!$B$2:$B$888,"")</f>
        <v>JEDI-US</v>
      </c>
      <c r="U623" t="str">
        <f>_xlfn.XLOOKUP(B623,FactorInputs!$A$2:$A$888,FactorInputs!$T$2:$T$888,"")</f>
        <v>JEDI-US</v>
      </c>
      <c r="V623">
        <f t="shared" si="59"/>
        <v>3233.5953704416524</v>
      </c>
    </row>
    <row r="624" spans="1:23" x14ac:dyDescent="0.3">
      <c r="A624" t="str">
        <f t="shared" si="54"/>
        <v>PA|NewCapacity|RE1|PWRWNDONS|2028</v>
      </c>
      <c r="B624" t="str">
        <f t="shared" si="55"/>
        <v>Onshore wind|2028|Construction&amp;Manufacturing|Direct</v>
      </c>
      <c r="C624" t="str">
        <f t="shared" si="56"/>
        <v>PWRWNDONS|Onshore wind</v>
      </c>
      <c r="D624" t="s">
        <v>44</v>
      </c>
      <c r="E624" t="s">
        <v>45</v>
      </c>
      <c r="F624" t="s">
        <v>19</v>
      </c>
      <c r="G624" t="s">
        <v>36</v>
      </c>
      <c r="H624">
        <v>2028</v>
      </c>
      <c r="I624" t="s">
        <v>37</v>
      </c>
      <c r="J624" t="s">
        <v>69</v>
      </c>
      <c r="K624" t="s">
        <v>70</v>
      </c>
      <c r="L624" t="s">
        <v>65</v>
      </c>
      <c r="M624">
        <f>SUMIFS(RawResultsLong!$P:$P,RawResultsLong!$A:$A,A624)</f>
        <v>6.3387359999999999</v>
      </c>
      <c r="N624">
        <f t="shared" si="57"/>
        <v>200.8624229979466</v>
      </c>
      <c r="O624" t="s">
        <v>68</v>
      </c>
      <c r="P624">
        <f>SUMIFS(TechnologyMapping!$D:$D,TechnologyMapping!$A:$A,C624)</f>
        <v>1</v>
      </c>
      <c r="Q624">
        <f t="shared" si="58"/>
        <v>200.8624229979466</v>
      </c>
      <c r="R624">
        <f>SUMIFS(FactorInputs!$I:$I,FactorInputs!$A:$A,B624)</f>
        <v>7.0007299870599997</v>
      </c>
      <c r="S624" t="str">
        <f>_xlfn.XLOOKUP(B624,FactorInputs!$A$2:$A$888,FactorInputs!$F$2:$F$888,"")</f>
        <v>job-yr/MW</v>
      </c>
      <c r="T624" t="str">
        <f>_xlfn.XLOOKUP(B624,FactorInputs!$A$2:$A$888,FactorInputs!$B$2:$B$888,"")</f>
        <v>I-JEDI</v>
      </c>
      <c r="U624" t="str">
        <f>_xlfn.XLOOKUP(B624,FactorInputs!$A$2:$A$888,FactorInputs!$T$2:$T$888,"")</f>
        <v>I-JEDI</v>
      </c>
      <c r="V624">
        <f t="shared" si="59"/>
        <v>1406.1835879552548</v>
      </c>
    </row>
    <row r="625" spans="1:23" x14ac:dyDescent="0.3">
      <c r="A625" t="str">
        <f t="shared" si="54"/>
        <v>PA|AccumulatedNewCapacity|RE1|PWRHYDDAM|2029</v>
      </c>
      <c r="B625" t="str">
        <f t="shared" si="55"/>
        <v>Hydro (large)|2029|O&amp;M|Direct</v>
      </c>
      <c r="C625" t="str">
        <f t="shared" si="56"/>
        <v>PWRHYDDAM|Hydro (large)</v>
      </c>
      <c r="D625" t="s">
        <v>44</v>
      </c>
      <c r="E625" t="s">
        <v>45</v>
      </c>
      <c r="F625" t="s">
        <v>19</v>
      </c>
      <c r="G625" t="s">
        <v>24</v>
      </c>
      <c r="H625">
        <v>2029</v>
      </c>
      <c r="I625" t="s">
        <v>18</v>
      </c>
      <c r="J625" t="s">
        <v>63</v>
      </c>
      <c r="K625" t="s">
        <v>64</v>
      </c>
      <c r="L625" t="s">
        <v>65</v>
      </c>
      <c r="M625">
        <f>SUMIFS(RawResultsLong!$P:$P,RawResultsLong!$A:$A,A625)</f>
        <v>37.840000000000003</v>
      </c>
      <c r="N625">
        <f t="shared" si="57"/>
        <v>1199.0772428828554</v>
      </c>
      <c r="O625" t="s">
        <v>72</v>
      </c>
      <c r="P625">
        <f>SUMIFS(TechnologyMapping!$D:$D,TechnologyMapping!$A:$A,C625)</f>
        <v>1</v>
      </c>
      <c r="Q625">
        <f t="shared" si="58"/>
        <v>1199.0772428828554</v>
      </c>
      <c r="R625">
        <f>SUMIFS(FactorInputs!$I:$I,FactorInputs!$A:$A,B625)</f>
        <v>0.63919999999999999</v>
      </c>
      <c r="S625" t="str">
        <f>_xlfn.XLOOKUP(B625,FactorInputs!$A$2:$A$888,FactorInputs!$F$2:$F$888,"")</f>
        <v>job/MW</v>
      </c>
      <c r="T625" t="str">
        <f>_xlfn.XLOOKUP(B625,FactorInputs!$A$2:$A$888,FactorInputs!$B$2:$B$888,"")</f>
        <v>Rutovitz 2015</v>
      </c>
      <c r="U625" t="str">
        <f>_xlfn.XLOOKUP(B625,FactorInputs!$A$2:$A$888,FactorInputs!$T$2:$T$888,"")</f>
        <v>Rutovitz 2015</v>
      </c>
      <c r="V625">
        <f t="shared" si="59"/>
        <v>766.45017365072124</v>
      </c>
    </row>
    <row r="626" spans="1:23" x14ac:dyDescent="0.3">
      <c r="A626" t="str">
        <f t="shared" si="54"/>
        <v>PA|AccumulatedNewCapacity|RE1|PWRSOLRTP|2029</v>
      </c>
      <c r="B626" t="str">
        <f t="shared" si="55"/>
        <v>Rooftop solar PV|2029|O&amp;M|Direct</v>
      </c>
      <c r="C626" t="str">
        <f t="shared" si="56"/>
        <v>PWRSOLRTP|Rooftop solar PV</v>
      </c>
      <c r="D626" t="s">
        <v>44</v>
      </c>
      <c r="E626" t="s">
        <v>45</v>
      </c>
      <c r="F626" t="s">
        <v>19</v>
      </c>
      <c r="G626" t="s">
        <v>31</v>
      </c>
      <c r="H626">
        <v>2029</v>
      </c>
      <c r="I626" t="s">
        <v>18</v>
      </c>
      <c r="J626" t="s">
        <v>63</v>
      </c>
      <c r="K626" t="s">
        <v>64</v>
      </c>
      <c r="L626" t="s">
        <v>65</v>
      </c>
      <c r="M626">
        <f>SUMIFS(RawResultsLong!$P:$P,RawResultsLong!$A:$A,A626)</f>
        <v>49.473348129359572</v>
      </c>
      <c r="N626">
        <f t="shared" si="57"/>
        <v>1567.7157999771709</v>
      </c>
      <c r="O626" t="s">
        <v>71</v>
      </c>
      <c r="P626">
        <f>SUMIFS(TechnologyMapping!$D:$D,TechnologyMapping!$A:$A,C626)</f>
        <v>1</v>
      </c>
      <c r="Q626">
        <f t="shared" si="58"/>
        <v>1567.7157999771709</v>
      </c>
      <c r="R626">
        <f>SUMIFS(FactorInputs!$I:$I,FactorInputs!$A:$A,B626)</f>
        <v>0.26470588235300002</v>
      </c>
      <c r="S626" t="str">
        <f>_xlfn.XLOOKUP(B626,FactorInputs!$A$2:$A$888,FactorInputs!$F$2:$F$888,"")</f>
        <v>job/MW</v>
      </c>
      <c r="T626" t="str">
        <f>_xlfn.XLOOKUP(B626,FactorInputs!$A$2:$A$888,FactorInputs!$B$2:$B$888,"")</f>
        <v>JEDI-US</v>
      </c>
      <c r="U626" t="str">
        <f>_xlfn.XLOOKUP(B626,FactorInputs!$A$2:$A$888,FactorInputs!$T$2:$T$888,"")</f>
        <v>JEDI-US</v>
      </c>
      <c r="V626">
        <f t="shared" si="59"/>
        <v>414.98359411169633</v>
      </c>
    </row>
    <row r="627" spans="1:23" x14ac:dyDescent="0.3">
      <c r="A627" t="str">
        <f t="shared" si="54"/>
        <v>PA|AccumulatedNewCapacity|RE1|PWRSOLUGE|2029</v>
      </c>
      <c r="B627" t="str">
        <f t="shared" si="55"/>
        <v>Utility-scale solar PV|2029|O&amp;M|Direct</v>
      </c>
      <c r="C627" t="str">
        <f t="shared" si="56"/>
        <v>PWRSOLUGE|Utility-scale solar PV</v>
      </c>
      <c r="D627" t="s">
        <v>44</v>
      </c>
      <c r="E627" t="s">
        <v>45</v>
      </c>
      <c r="F627" t="s">
        <v>19</v>
      </c>
      <c r="G627" t="s">
        <v>33</v>
      </c>
      <c r="H627">
        <v>2029</v>
      </c>
      <c r="I627" t="s">
        <v>18</v>
      </c>
      <c r="J627" t="s">
        <v>63</v>
      </c>
      <c r="K627" t="s">
        <v>64</v>
      </c>
      <c r="L627" t="s">
        <v>65</v>
      </c>
      <c r="M627">
        <f>SUMIFS(RawResultsLong!$P:$P,RawResultsLong!$A:$A,A627)</f>
        <v>135.51019199999999</v>
      </c>
      <c r="N627">
        <f t="shared" si="57"/>
        <v>4294.0588637919227</v>
      </c>
      <c r="O627" t="s">
        <v>66</v>
      </c>
      <c r="P627">
        <f>SUMIFS(TechnologyMapping!$D:$D,TechnologyMapping!$A:$A,C627)</f>
        <v>1</v>
      </c>
      <c r="Q627">
        <f t="shared" si="58"/>
        <v>4294.0588637919227</v>
      </c>
      <c r="R627">
        <f>SUMIFS(FactorInputs!$I:$I,FactorInputs!$A:$A,B627)</f>
        <v>8.4546171171200002E-2</v>
      </c>
      <c r="S627" t="str">
        <f>_xlfn.XLOOKUP(B627,FactorInputs!$A$2:$A$888,FactorInputs!$F$2:$F$888,"")</f>
        <v>job/MW</v>
      </c>
      <c r="T627" t="str">
        <f>_xlfn.XLOOKUP(B627,FactorInputs!$A$2:$A$888,FactorInputs!$B$2:$B$888,"")</f>
        <v>I-JEDI</v>
      </c>
      <c r="U627" t="str">
        <f>_xlfn.XLOOKUP(B627,FactorInputs!$A$2:$A$888,FactorInputs!$T$2:$T$888,"")</f>
        <v>I-JEDI</v>
      </c>
      <c r="V627">
        <f t="shared" si="59"/>
        <v>363.0462357173605</v>
      </c>
    </row>
    <row r="628" spans="1:23" x14ac:dyDescent="0.3">
      <c r="A628" t="str">
        <f t="shared" si="54"/>
        <v>PA|AccumulatedNewCapacity|RE1|PWRSOLUPE|2029</v>
      </c>
      <c r="B628" t="str">
        <f t="shared" si="55"/>
        <v>Utility-scale solar PV|2029|O&amp;M|Direct</v>
      </c>
      <c r="C628" t="str">
        <f t="shared" si="56"/>
        <v>PWRSOLUPE|Utility-scale solar PV</v>
      </c>
      <c r="D628" t="s">
        <v>44</v>
      </c>
      <c r="E628" t="s">
        <v>45</v>
      </c>
      <c r="F628" t="s">
        <v>19</v>
      </c>
      <c r="G628" t="s">
        <v>34</v>
      </c>
      <c r="H628">
        <v>2029</v>
      </c>
      <c r="I628" t="s">
        <v>18</v>
      </c>
      <c r="J628" t="s">
        <v>63</v>
      </c>
      <c r="K628" t="s">
        <v>64</v>
      </c>
      <c r="L628" t="s">
        <v>65</v>
      </c>
      <c r="M628">
        <f>SUMIFS(RawResultsLong!$P:$P,RawResultsLong!$A:$A,A628)</f>
        <v>12.14419823999993</v>
      </c>
      <c r="N628">
        <f t="shared" si="57"/>
        <v>384.82642026009364</v>
      </c>
      <c r="O628" t="s">
        <v>66</v>
      </c>
      <c r="P628">
        <f>SUMIFS(TechnologyMapping!$D:$D,TechnologyMapping!$A:$A,C628)</f>
        <v>1</v>
      </c>
      <c r="Q628">
        <f t="shared" si="58"/>
        <v>384.82642026009364</v>
      </c>
      <c r="R628">
        <f>SUMIFS(FactorInputs!$I:$I,FactorInputs!$A:$A,B628)</f>
        <v>8.4546171171200002E-2</v>
      </c>
      <c r="S628" t="str">
        <f>_xlfn.XLOOKUP(B628,FactorInputs!$A$2:$A$888,FactorInputs!$F$2:$F$888,"")</f>
        <v>job/MW</v>
      </c>
      <c r="T628" t="str">
        <f>_xlfn.XLOOKUP(B628,FactorInputs!$A$2:$A$888,FactorInputs!$B$2:$B$888,"")</f>
        <v>I-JEDI</v>
      </c>
      <c r="U628" t="str">
        <f>_xlfn.XLOOKUP(B628,FactorInputs!$A$2:$A$888,FactorInputs!$T$2:$T$888,"")</f>
        <v>I-JEDI</v>
      </c>
      <c r="V628">
        <f t="shared" si="59"/>
        <v>32.535600398510027</v>
      </c>
      <c r="W628" t="s">
        <v>67</v>
      </c>
    </row>
    <row r="629" spans="1:23" x14ac:dyDescent="0.3">
      <c r="A629" t="str">
        <f t="shared" si="54"/>
        <v>PA|AccumulatedNewCapacity|RE1|PWRWNDONS|2029</v>
      </c>
      <c r="B629" t="str">
        <f t="shared" si="55"/>
        <v>Onshore wind|2029|O&amp;M|Direct</v>
      </c>
      <c r="C629" t="str">
        <f t="shared" si="56"/>
        <v>PWRWNDONS|Onshore wind</v>
      </c>
      <c r="D629" t="s">
        <v>44</v>
      </c>
      <c r="E629" t="s">
        <v>45</v>
      </c>
      <c r="F629" t="s">
        <v>19</v>
      </c>
      <c r="G629" t="s">
        <v>36</v>
      </c>
      <c r="H629">
        <v>2029</v>
      </c>
      <c r="I629" t="s">
        <v>18</v>
      </c>
      <c r="J629" t="s">
        <v>63</v>
      </c>
      <c r="K629" t="s">
        <v>64</v>
      </c>
      <c r="L629" t="s">
        <v>65</v>
      </c>
      <c r="M629">
        <f>SUMIFS(RawResultsLong!$P:$P,RawResultsLong!$A:$A,A629)</f>
        <v>33.266423314285717</v>
      </c>
      <c r="N629">
        <f t="shared" si="57"/>
        <v>1054.1493432417458</v>
      </c>
      <c r="O629" t="s">
        <v>68</v>
      </c>
      <c r="P629">
        <f>SUMIFS(TechnologyMapping!$D:$D,TechnologyMapping!$A:$A,C629)</f>
        <v>1</v>
      </c>
      <c r="Q629">
        <f t="shared" si="58"/>
        <v>1054.1493432417458</v>
      </c>
      <c r="R629">
        <f>SUMIFS(FactorInputs!$I:$I,FactorInputs!$A:$A,B629)</f>
        <v>2.87226277372E-2</v>
      </c>
      <c r="S629" t="str">
        <f>_xlfn.XLOOKUP(B629,FactorInputs!$A$2:$A$888,FactorInputs!$F$2:$F$888,"")</f>
        <v>job/MW</v>
      </c>
      <c r="T629" t="str">
        <f>_xlfn.XLOOKUP(B629,FactorInputs!$A$2:$A$888,FactorInputs!$B$2:$B$888,"")</f>
        <v>I-JEDI</v>
      </c>
      <c r="U629" t="str">
        <f>_xlfn.XLOOKUP(B629,FactorInputs!$A$2:$A$888,FactorInputs!$T$2:$T$888,"")</f>
        <v>I-JEDI</v>
      </c>
      <c r="V629">
        <f t="shared" si="59"/>
        <v>30.277939165346531</v>
      </c>
    </row>
    <row r="630" spans="1:23" x14ac:dyDescent="0.3">
      <c r="A630" t="str">
        <f t="shared" si="54"/>
        <v>PA|NewCapacity|RE1|PWRSOLRTP|2029</v>
      </c>
      <c r="B630" t="str">
        <f t="shared" si="55"/>
        <v>Rooftop solar PV|2029|Construction&amp;Manufacturing|Direct</v>
      </c>
      <c r="C630" t="str">
        <f t="shared" si="56"/>
        <v>PWRSOLRTP|Rooftop solar PV</v>
      </c>
      <c r="D630" t="s">
        <v>44</v>
      </c>
      <c r="E630" t="s">
        <v>45</v>
      </c>
      <c r="F630" t="s">
        <v>19</v>
      </c>
      <c r="G630" t="s">
        <v>31</v>
      </c>
      <c r="H630">
        <v>2029</v>
      </c>
      <c r="I630" t="s">
        <v>37</v>
      </c>
      <c r="J630" t="s">
        <v>69</v>
      </c>
      <c r="K630" t="s">
        <v>70</v>
      </c>
      <c r="L630" t="s">
        <v>65</v>
      </c>
      <c r="M630">
        <f>SUMIFS(RawResultsLong!$P:$P,RawResultsLong!$A:$A,A630)</f>
        <v>14.267596702599869</v>
      </c>
      <c r="N630">
        <f t="shared" si="57"/>
        <v>452.11285720713454</v>
      </c>
      <c r="O630" t="s">
        <v>71</v>
      </c>
      <c r="P630">
        <f>SUMIFS(TechnologyMapping!$D:$D,TechnologyMapping!$A:$A,C630)</f>
        <v>1</v>
      </c>
      <c r="Q630">
        <f t="shared" si="58"/>
        <v>452.11285720713454</v>
      </c>
      <c r="R630">
        <f>SUMIFS(FactorInputs!$I:$I,FactorInputs!$A:$A,B630)</f>
        <v>6.9165167302599997</v>
      </c>
      <c r="S630" t="str">
        <f>_xlfn.XLOOKUP(B630,FactorInputs!$A$2:$A$888,FactorInputs!$F$2:$F$888,"")</f>
        <v>job-yr/MW</v>
      </c>
      <c r="T630" t="str">
        <f>_xlfn.XLOOKUP(B630,FactorInputs!$A$2:$A$888,FactorInputs!$B$2:$B$888,"")</f>
        <v>JEDI-US</v>
      </c>
      <c r="U630" t="str">
        <f>_xlfn.XLOOKUP(B630,FactorInputs!$A$2:$A$888,FactorInputs!$T$2:$T$888,"")</f>
        <v>JEDI-US</v>
      </c>
      <c r="V630">
        <f t="shared" si="59"/>
        <v>3127.0461408387964</v>
      </c>
    </row>
    <row r="631" spans="1:23" x14ac:dyDescent="0.3">
      <c r="A631" t="str">
        <f t="shared" si="54"/>
        <v>PA|NewCapacity|RE1|PWRWNDONS|2029</v>
      </c>
      <c r="B631" t="str">
        <f t="shared" si="55"/>
        <v>Onshore wind|2029|Construction&amp;Manufacturing|Direct</v>
      </c>
      <c r="C631" t="str">
        <f t="shared" si="56"/>
        <v>PWRWNDONS|Onshore wind</v>
      </c>
      <c r="D631" t="s">
        <v>44</v>
      </c>
      <c r="E631" t="s">
        <v>45</v>
      </c>
      <c r="F631" t="s">
        <v>19</v>
      </c>
      <c r="G631" t="s">
        <v>36</v>
      </c>
      <c r="H631">
        <v>2029</v>
      </c>
      <c r="I631" t="s">
        <v>37</v>
      </c>
      <c r="J631" t="s">
        <v>69</v>
      </c>
      <c r="K631" t="s">
        <v>70</v>
      </c>
      <c r="L631" t="s">
        <v>65</v>
      </c>
      <c r="M631">
        <f>SUMIFS(RawResultsLong!$P:$P,RawResultsLong!$A:$A,A631)</f>
        <v>9.4608000000000008</v>
      </c>
      <c r="N631">
        <f t="shared" si="57"/>
        <v>299.79466119096514</v>
      </c>
      <c r="O631" t="s">
        <v>68</v>
      </c>
      <c r="P631">
        <f>SUMIFS(TechnologyMapping!$D:$D,TechnologyMapping!$A:$A,C631)</f>
        <v>1</v>
      </c>
      <c r="Q631">
        <f t="shared" si="58"/>
        <v>299.79466119096514</v>
      </c>
      <c r="R631">
        <f>SUMIFS(FactorInputs!$I:$I,FactorInputs!$A:$A,B631)</f>
        <v>6.9391624838199997</v>
      </c>
      <c r="S631" t="str">
        <f>_xlfn.XLOOKUP(B631,FactorInputs!$A$2:$A$888,FactorInputs!$F$2:$F$888,"")</f>
        <v>job-yr/MW</v>
      </c>
      <c r="T631" t="str">
        <f>_xlfn.XLOOKUP(B631,FactorInputs!$A$2:$A$888,FactorInputs!$B$2:$B$888,"")</f>
        <v>I-JEDI</v>
      </c>
      <c r="U631" t="str">
        <f>_xlfn.XLOOKUP(B631,FactorInputs!$A$2:$A$888,FactorInputs!$T$2:$T$888,"")</f>
        <v>I-JEDI</v>
      </c>
      <c r="V631">
        <f t="shared" si="59"/>
        <v>2080.3238657858728</v>
      </c>
    </row>
    <row r="632" spans="1:23" x14ac:dyDescent="0.3">
      <c r="A632" t="str">
        <f t="shared" si="54"/>
        <v>PA|AccumulatedNewCapacity|RE1|PWRHYDDAM|2030</v>
      </c>
      <c r="B632" t="str">
        <f t="shared" si="55"/>
        <v>Hydro (large)|2030|O&amp;M|Direct</v>
      </c>
      <c r="C632" t="str">
        <f t="shared" si="56"/>
        <v>PWRHYDDAM|Hydro (large)</v>
      </c>
      <c r="D632" t="s">
        <v>44</v>
      </c>
      <c r="E632" t="s">
        <v>45</v>
      </c>
      <c r="F632" t="s">
        <v>19</v>
      </c>
      <c r="G632" t="s">
        <v>24</v>
      </c>
      <c r="H632">
        <v>2030</v>
      </c>
      <c r="I632" t="s">
        <v>18</v>
      </c>
      <c r="J632" t="s">
        <v>63</v>
      </c>
      <c r="K632" t="s">
        <v>64</v>
      </c>
      <c r="L632" t="s">
        <v>65</v>
      </c>
      <c r="M632">
        <f>SUMIFS(RawResultsLong!$P:$P,RawResultsLong!$A:$A,A632)</f>
        <v>37.840000000000003</v>
      </c>
      <c r="N632">
        <f t="shared" si="57"/>
        <v>1199.0772428828554</v>
      </c>
      <c r="O632" t="s">
        <v>72</v>
      </c>
      <c r="P632">
        <f>SUMIFS(TechnologyMapping!$D:$D,TechnologyMapping!$A:$A,C632)</f>
        <v>1</v>
      </c>
      <c r="Q632">
        <f t="shared" si="58"/>
        <v>1199.0772428828554</v>
      </c>
      <c r="R632">
        <f>SUMIFS(FactorInputs!$I:$I,FactorInputs!$A:$A,B632)</f>
        <v>0.64200000000000002</v>
      </c>
      <c r="S632" t="str">
        <f>_xlfn.XLOOKUP(B632,FactorInputs!$A$2:$A$888,FactorInputs!$F$2:$F$888,"")</f>
        <v>job/MW</v>
      </c>
      <c r="T632" t="str">
        <f>_xlfn.XLOOKUP(B632,FactorInputs!$A$2:$A$888,FactorInputs!$B$2:$B$888,"")</f>
        <v>Rutovitz 2015</v>
      </c>
      <c r="U632" t="str">
        <f>_xlfn.XLOOKUP(B632,FactorInputs!$A$2:$A$888,FactorInputs!$T$2:$T$888,"")</f>
        <v>Rutovitz 2015</v>
      </c>
      <c r="V632">
        <f t="shared" si="59"/>
        <v>769.80758993079326</v>
      </c>
    </row>
    <row r="633" spans="1:23" x14ac:dyDescent="0.3">
      <c r="A633" t="str">
        <f t="shared" si="54"/>
        <v>PA|AccumulatedNewCapacity|RE1|PWRSOLRTP|2030</v>
      </c>
      <c r="B633" t="str">
        <f t="shared" si="55"/>
        <v>Rooftop solar PV|2030|O&amp;M|Direct</v>
      </c>
      <c r="C633" t="str">
        <f t="shared" si="56"/>
        <v>PWRSOLRTP|Rooftop solar PV</v>
      </c>
      <c r="D633" t="s">
        <v>44</v>
      </c>
      <c r="E633" t="s">
        <v>45</v>
      </c>
      <c r="F633" t="s">
        <v>19</v>
      </c>
      <c r="G633" t="s">
        <v>31</v>
      </c>
      <c r="H633">
        <v>2030</v>
      </c>
      <c r="I633" t="s">
        <v>18</v>
      </c>
      <c r="J633" t="s">
        <v>63</v>
      </c>
      <c r="K633" t="s">
        <v>64</v>
      </c>
      <c r="L633" t="s">
        <v>65</v>
      </c>
      <c r="M633">
        <f>SUMIFS(RawResultsLong!$P:$P,RawResultsLong!$A:$A,A633)</f>
        <v>63.42388712745722</v>
      </c>
      <c r="N633">
        <f t="shared" si="57"/>
        <v>2009.7817048019249</v>
      </c>
      <c r="O633" t="s">
        <v>71</v>
      </c>
      <c r="P633">
        <f>SUMIFS(TechnologyMapping!$D:$D,TechnologyMapping!$A:$A,C633)</f>
        <v>1</v>
      </c>
      <c r="Q633">
        <f t="shared" si="58"/>
        <v>2009.7817048019249</v>
      </c>
      <c r="R633">
        <f>SUMIFS(FactorInputs!$I:$I,FactorInputs!$A:$A,B633)</f>
        <v>0.25764705882400002</v>
      </c>
      <c r="S633" t="str">
        <f>_xlfn.XLOOKUP(B633,FactorInputs!$A$2:$A$888,FactorInputs!$F$2:$F$888,"")</f>
        <v>job/MW</v>
      </c>
      <c r="T633" t="str">
        <f>_xlfn.XLOOKUP(B633,FactorInputs!$A$2:$A$888,FactorInputs!$B$2:$B$888,"")</f>
        <v>JEDI-US</v>
      </c>
      <c r="U633" t="str">
        <f>_xlfn.XLOOKUP(B633,FactorInputs!$A$2:$A$888,FactorInputs!$T$2:$T$888,"")</f>
        <v>JEDI-US</v>
      </c>
      <c r="V633">
        <f t="shared" si="59"/>
        <v>517.81434512050055</v>
      </c>
    </row>
    <row r="634" spans="1:23" x14ac:dyDescent="0.3">
      <c r="A634" t="str">
        <f t="shared" si="54"/>
        <v>PA|AccumulatedNewCapacity|RE1|PWRSOLUGE|2030</v>
      </c>
      <c r="B634" t="str">
        <f t="shared" si="55"/>
        <v>Utility-scale solar PV|2030|O&amp;M|Direct</v>
      </c>
      <c r="C634" t="str">
        <f t="shared" si="56"/>
        <v>PWRSOLUGE|Utility-scale solar PV</v>
      </c>
      <c r="D634" t="s">
        <v>44</v>
      </c>
      <c r="E634" t="s">
        <v>45</v>
      </c>
      <c r="F634" t="s">
        <v>19</v>
      </c>
      <c r="G634" t="s">
        <v>33</v>
      </c>
      <c r="H634">
        <v>2030</v>
      </c>
      <c r="I634" t="s">
        <v>18</v>
      </c>
      <c r="J634" t="s">
        <v>63</v>
      </c>
      <c r="K634" t="s">
        <v>64</v>
      </c>
      <c r="L634" t="s">
        <v>65</v>
      </c>
      <c r="M634">
        <f>SUMIFS(RawResultsLong!$P:$P,RawResultsLong!$A:$A,A634)</f>
        <v>143.394192</v>
      </c>
      <c r="N634">
        <f t="shared" si="57"/>
        <v>4543.8877481177278</v>
      </c>
      <c r="O634" t="s">
        <v>66</v>
      </c>
      <c r="P634">
        <f>SUMIFS(TechnologyMapping!$D:$D,TechnologyMapping!$A:$A,C634)</f>
        <v>1</v>
      </c>
      <c r="Q634">
        <f t="shared" si="58"/>
        <v>4543.8877481177278</v>
      </c>
      <c r="R634">
        <f>SUMIFS(FactorInputs!$I:$I,FactorInputs!$A:$A,B634)</f>
        <v>8.2155405405400006E-2</v>
      </c>
      <c r="S634" t="str">
        <f>_xlfn.XLOOKUP(B634,FactorInputs!$A$2:$A$888,FactorInputs!$F$2:$F$888,"")</f>
        <v>job/MW</v>
      </c>
      <c r="T634" t="str">
        <f>_xlfn.XLOOKUP(B634,FactorInputs!$A$2:$A$888,FactorInputs!$B$2:$B$888,"")</f>
        <v>I-JEDI</v>
      </c>
      <c r="U634" t="str">
        <f>_xlfn.XLOOKUP(B634,FactorInputs!$A$2:$A$888,FactorInputs!$T$2:$T$888,"")</f>
        <v>I-JEDI</v>
      </c>
      <c r="V634">
        <f t="shared" si="59"/>
        <v>373.30494006324204</v>
      </c>
    </row>
    <row r="635" spans="1:23" x14ac:dyDescent="0.3">
      <c r="A635" t="str">
        <f t="shared" si="54"/>
        <v>PA|AccumulatedNewCapacity|RE1|PWRSOLUPE|2030</v>
      </c>
      <c r="B635" t="str">
        <f t="shared" si="55"/>
        <v>Utility-scale solar PV|2030|O&amp;M|Direct</v>
      </c>
      <c r="C635" t="str">
        <f t="shared" si="56"/>
        <v>PWRSOLUPE|Utility-scale solar PV</v>
      </c>
      <c r="D635" t="s">
        <v>44</v>
      </c>
      <c r="E635" t="s">
        <v>45</v>
      </c>
      <c r="F635" t="s">
        <v>19</v>
      </c>
      <c r="G635" t="s">
        <v>34</v>
      </c>
      <c r="H635">
        <v>2030</v>
      </c>
      <c r="I635" t="s">
        <v>18</v>
      </c>
      <c r="J635" t="s">
        <v>63</v>
      </c>
      <c r="K635" t="s">
        <v>64</v>
      </c>
      <c r="L635" t="s">
        <v>65</v>
      </c>
      <c r="M635">
        <f>SUMIFS(RawResultsLong!$P:$P,RawResultsLong!$A:$A,A635)</f>
        <v>12.14419823999993</v>
      </c>
      <c r="N635">
        <f t="shared" si="57"/>
        <v>384.82642026009364</v>
      </c>
      <c r="O635" t="s">
        <v>66</v>
      </c>
      <c r="P635">
        <f>SUMIFS(TechnologyMapping!$D:$D,TechnologyMapping!$A:$A,C635)</f>
        <v>1</v>
      </c>
      <c r="Q635">
        <f t="shared" si="58"/>
        <v>384.82642026009364</v>
      </c>
      <c r="R635">
        <f>SUMIFS(FactorInputs!$I:$I,FactorInputs!$A:$A,B635)</f>
        <v>8.2155405405400006E-2</v>
      </c>
      <c r="S635" t="str">
        <f>_xlfn.XLOOKUP(B635,FactorInputs!$A$2:$A$888,FactorInputs!$F$2:$F$888,"")</f>
        <v>job/MW</v>
      </c>
      <c r="T635" t="str">
        <f>_xlfn.XLOOKUP(B635,FactorInputs!$A$2:$A$888,FactorInputs!$B$2:$B$888,"")</f>
        <v>I-JEDI</v>
      </c>
      <c r="U635" t="str">
        <f>_xlfn.XLOOKUP(B635,FactorInputs!$A$2:$A$888,FactorInputs!$T$2:$T$888,"")</f>
        <v>I-JEDI</v>
      </c>
      <c r="V635">
        <f t="shared" si="59"/>
        <v>31.615570567176832</v>
      </c>
      <c r="W635" t="s">
        <v>67</v>
      </c>
    </row>
    <row r="636" spans="1:23" x14ac:dyDescent="0.3">
      <c r="A636" t="str">
        <f t="shared" si="54"/>
        <v>PA|AccumulatedNewCapacity|RE1|PWRWNDONS|2030</v>
      </c>
      <c r="B636" t="str">
        <f t="shared" si="55"/>
        <v>Onshore wind|2030|O&amp;M|Direct</v>
      </c>
      <c r="C636" t="str">
        <f t="shared" si="56"/>
        <v>PWRWNDONS|Onshore wind</v>
      </c>
      <c r="D636" t="s">
        <v>44</v>
      </c>
      <c r="E636" t="s">
        <v>45</v>
      </c>
      <c r="F636" t="s">
        <v>19</v>
      </c>
      <c r="G636" t="s">
        <v>36</v>
      </c>
      <c r="H636">
        <v>2030</v>
      </c>
      <c r="I636" t="s">
        <v>18</v>
      </c>
      <c r="J636" t="s">
        <v>63</v>
      </c>
      <c r="K636" t="s">
        <v>64</v>
      </c>
      <c r="L636" t="s">
        <v>65</v>
      </c>
      <c r="M636">
        <f>SUMIFS(RawResultsLong!$P:$P,RawResultsLong!$A:$A,A636)</f>
        <v>33.266423314285717</v>
      </c>
      <c r="N636">
        <f t="shared" si="57"/>
        <v>1054.1493432417458</v>
      </c>
      <c r="O636" t="s">
        <v>68</v>
      </c>
      <c r="P636">
        <f>SUMIFS(TechnologyMapping!$D:$D,TechnologyMapping!$A:$A,C636)</f>
        <v>1</v>
      </c>
      <c r="Q636">
        <f t="shared" si="58"/>
        <v>1054.1493432417458</v>
      </c>
      <c r="R636">
        <f>SUMIFS(FactorInputs!$I:$I,FactorInputs!$A:$A,B636)</f>
        <v>2.8467153284700002E-2</v>
      </c>
      <c r="S636" t="str">
        <f>_xlfn.XLOOKUP(B636,FactorInputs!$A$2:$A$888,FactorInputs!$F$2:$F$888,"")</f>
        <v>job/MW</v>
      </c>
      <c r="T636" t="str">
        <f>_xlfn.XLOOKUP(B636,FactorInputs!$A$2:$A$888,FactorInputs!$B$2:$B$888,"")</f>
        <v>I-JEDI</v>
      </c>
      <c r="U636" t="str">
        <f>_xlfn.XLOOKUP(B636,FactorInputs!$A$2:$A$888,FactorInputs!$T$2:$T$888,"")</f>
        <v>I-JEDI</v>
      </c>
      <c r="V636">
        <f t="shared" si="59"/>
        <v>30.008630939028613</v>
      </c>
    </row>
    <row r="637" spans="1:23" x14ac:dyDescent="0.3">
      <c r="A637" t="str">
        <f t="shared" si="54"/>
        <v>PA|NewCapacity|RE1|PWRSOLRTP|2030</v>
      </c>
      <c r="B637" t="str">
        <f t="shared" si="55"/>
        <v>Rooftop solar PV|2030|Construction&amp;Manufacturing|Direct</v>
      </c>
      <c r="C637" t="str">
        <f t="shared" si="56"/>
        <v>PWRSOLRTP|Rooftop solar PV</v>
      </c>
      <c r="D637" t="s">
        <v>44</v>
      </c>
      <c r="E637" t="s">
        <v>45</v>
      </c>
      <c r="F637" t="s">
        <v>19</v>
      </c>
      <c r="G637" t="s">
        <v>31</v>
      </c>
      <c r="H637">
        <v>2030</v>
      </c>
      <c r="I637" t="s">
        <v>37</v>
      </c>
      <c r="J637" t="s">
        <v>69</v>
      </c>
      <c r="K637" t="s">
        <v>70</v>
      </c>
      <c r="L637" t="s">
        <v>65</v>
      </c>
      <c r="M637">
        <f>SUMIFS(RawResultsLong!$P:$P,RawResultsLong!$A:$A,A637)</f>
        <v>13.950538998097651</v>
      </c>
      <c r="N637">
        <f t="shared" si="57"/>
        <v>442.06590482475377</v>
      </c>
      <c r="O637" t="s">
        <v>71</v>
      </c>
      <c r="P637">
        <f>SUMIFS(TechnologyMapping!$D:$D,TechnologyMapping!$A:$A,C637)</f>
        <v>1</v>
      </c>
      <c r="Q637">
        <f t="shared" si="58"/>
        <v>442.06590482475377</v>
      </c>
      <c r="R637">
        <f>SUMIFS(FactorInputs!$I:$I,FactorInputs!$A:$A,B637)</f>
        <v>6.4342200763099999</v>
      </c>
      <c r="S637" t="str">
        <f>_xlfn.XLOOKUP(B637,FactorInputs!$A$2:$A$888,FactorInputs!$F$2:$F$888,"")</f>
        <v>job-yr/MW</v>
      </c>
      <c r="T637" t="str">
        <f>_xlfn.XLOOKUP(B637,FactorInputs!$A$2:$A$888,FactorInputs!$B$2:$B$888,"")</f>
        <v>JEDI-US</v>
      </c>
      <c r="U637" t="str">
        <f>_xlfn.XLOOKUP(B637,FactorInputs!$A$2:$A$888,FactorInputs!$T$2:$T$888,"")</f>
        <v>JEDI-US</v>
      </c>
      <c r="V637">
        <f t="shared" si="59"/>
        <v>2844.3493198755764</v>
      </c>
    </row>
    <row r="638" spans="1:23" x14ac:dyDescent="0.3">
      <c r="A638" t="str">
        <f t="shared" si="54"/>
        <v>PA|NewCapacity|RE1|PWRSOLUGE|2030</v>
      </c>
      <c r="B638" t="str">
        <f t="shared" si="55"/>
        <v>Utility-scale solar PV|2030|Construction&amp;Manufacturing|Direct</v>
      </c>
      <c r="C638" t="str">
        <f t="shared" si="56"/>
        <v>PWRSOLUGE|Utility-scale solar PV</v>
      </c>
      <c r="D638" t="s">
        <v>44</v>
      </c>
      <c r="E638" t="s">
        <v>45</v>
      </c>
      <c r="F638" t="s">
        <v>19</v>
      </c>
      <c r="G638" t="s">
        <v>33</v>
      </c>
      <c r="H638">
        <v>2030</v>
      </c>
      <c r="I638" t="s">
        <v>37</v>
      </c>
      <c r="J638" t="s">
        <v>69</v>
      </c>
      <c r="K638" t="s">
        <v>70</v>
      </c>
      <c r="L638" t="s">
        <v>65</v>
      </c>
      <c r="M638">
        <f>SUMIFS(RawResultsLong!$P:$P,RawResultsLong!$A:$A,A638)</f>
        <v>7.8840000000000003</v>
      </c>
      <c r="N638">
        <f t="shared" si="57"/>
        <v>249.82888432580424</v>
      </c>
      <c r="O638" t="s">
        <v>66</v>
      </c>
      <c r="P638">
        <f>SUMIFS(TechnologyMapping!$D:$D,TechnologyMapping!$A:$A,C638)</f>
        <v>1</v>
      </c>
      <c r="Q638">
        <f t="shared" si="58"/>
        <v>249.82888432580424</v>
      </c>
      <c r="R638">
        <f>SUMIFS(FactorInputs!$I:$I,FactorInputs!$A:$A,B638)</f>
        <v>6.8809085537600003</v>
      </c>
      <c r="S638" t="str">
        <f>_xlfn.XLOOKUP(B638,FactorInputs!$A$2:$A$888,FactorInputs!$F$2:$F$888,"")</f>
        <v>job-yr/MW</v>
      </c>
      <c r="T638" t="str">
        <f>_xlfn.XLOOKUP(B638,FactorInputs!$A$2:$A$888,FactorInputs!$B$2:$B$888,"")</f>
        <v>I-JEDI</v>
      </c>
      <c r="U638" t="str">
        <f>_xlfn.XLOOKUP(B638,FactorInputs!$A$2:$A$888,FactorInputs!$T$2:$T$888,"")</f>
        <v>I-JEDI</v>
      </c>
      <c r="V638">
        <f t="shared" si="59"/>
        <v>1719.0497071337441</v>
      </c>
    </row>
    <row r="639" spans="1:23" x14ac:dyDescent="0.3">
      <c r="A639" t="str">
        <f t="shared" si="54"/>
        <v>PA|AccumulatedNewCapacity|RE1|PWRHYDDAM|2031</v>
      </c>
      <c r="B639" t="str">
        <f t="shared" si="55"/>
        <v>Hydro (large)|2031|O&amp;M|Direct</v>
      </c>
      <c r="C639" t="str">
        <f t="shared" si="56"/>
        <v>PWRHYDDAM|Hydro (large)</v>
      </c>
      <c r="D639" t="s">
        <v>44</v>
      </c>
      <c r="E639" t="s">
        <v>45</v>
      </c>
      <c r="F639" t="s">
        <v>19</v>
      </c>
      <c r="G639" t="s">
        <v>24</v>
      </c>
      <c r="H639">
        <v>2031</v>
      </c>
      <c r="I639" t="s">
        <v>18</v>
      </c>
      <c r="J639" t="s">
        <v>63</v>
      </c>
      <c r="K639" t="s">
        <v>64</v>
      </c>
      <c r="L639" t="s">
        <v>65</v>
      </c>
      <c r="M639">
        <f>SUMIFS(RawResultsLong!$P:$P,RawResultsLong!$A:$A,A639)</f>
        <v>37.840000000000003</v>
      </c>
      <c r="N639">
        <f t="shared" si="57"/>
        <v>1199.0772428828554</v>
      </c>
      <c r="O639" t="s">
        <v>72</v>
      </c>
      <c r="P639">
        <f>SUMIFS(TechnologyMapping!$D:$D,TechnologyMapping!$A:$A,C639)</f>
        <v>1</v>
      </c>
      <c r="Q639">
        <f t="shared" si="58"/>
        <v>1199.0772428828554</v>
      </c>
      <c r="R639">
        <f>SUMIFS(FactorInputs!$I:$I,FactorInputs!$A:$A,B639)</f>
        <v>0.64182459016399995</v>
      </c>
      <c r="S639" t="str">
        <f>_xlfn.XLOOKUP(B639,FactorInputs!$A$2:$A$888,FactorInputs!$F$2:$F$888,"")</f>
        <v>job/MW</v>
      </c>
      <c r="T639" t="str">
        <f>_xlfn.XLOOKUP(B639,FactorInputs!$A$2:$A$888,FactorInputs!$B$2:$B$888,"")</f>
        <v>Rutovitz 2015</v>
      </c>
      <c r="U639" t="str">
        <f>_xlfn.XLOOKUP(B639,FactorInputs!$A$2:$A$888,FactorInputs!$T$2:$T$888,"")</f>
        <v>Rutovitz 2015</v>
      </c>
      <c r="V639">
        <f t="shared" si="59"/>
        <v>769.59725998826775</v>
      </c>
    </row>
    <row r="640" spans="1:23" x14ac:dyDescent="0.3">
      <c r="A640" t="str">
        <f t="shared" si="54"/>
        <v>PA|AccumulatedNewCapacity|RE1|PWRSOLRTP|2031</v>
      </c>
      <c r="B640" t="str">
        <f t="shared" si="55"/>
        <v>Rooftop solar PV|2031|O&amp;M|Direct</v>
      </c>
      <c r="C640" t="str">
        <f t="shared" si="56"/>
        <v>PWRSOLRTP|Rooftop solar PV</v>
      </c>
      <c r="D640" t="s">
        <v>44</v>
      </c>
      <c r="E640" t="s">
        <v>45</v>
      </c>
      <c r="F640" t="s">
        <v>19</v>
      </c>
      <c r="G640" t="s">
        <v>31</v>
      </c>
      <c r="H640">
        <v>2031</v>
      </c>
      <c r="I640" t="s">
        <v>18</v>
      </c>
      <c r="J640" t="s">
        <v>63</v>
      </c>
      <c r="K640" t="s">
        <v>64</v>
      </c>
      <c r="L640" t="s">
        <v>65</v>
      </c>
      <c r="M640">
        <f>SUMIFS(RawResultsLong!$P:$P,RawResultsLong!$A:$A,A640)</f>
        <v>76.423253012048221</v>
      </c>
      <c r="N640">
        <f t="shared" si="57"/>
        <v>2421.7067524795366</v>
      </c>
      <c r="O640" t="s">
        <v>71</v>
      </c>
      <c r="P640">
        <f>SUMIFS(TechnologyMapping!$D:$D,TechnologyMapping!$A:$A,C640)</f>
        <v>1</v>
      </c>
      <c r="Q640">
        <f t="shared" si="58"/>
        <v>2421.7067524795366</v>
      </c>
      <c r="R640">
        <f>SUMIFS(FactorInputs!$I:$I,FactorInputs!$A:$A,B640)</f>
        <v>0.25561764705899997</v>
      </c>
      <c r="S640" t="str">
        <f>_xlfn.XLOOKUP(B640,FactorInputs!$A$2:$A$888,FactorInputs!$F$2:$F$888,"")</f>
        <v>job/MW</v>
      </c>
      <c r="T640" t="str">
        <f>_xlfn.XLOOKUP(B640,FactorInputs!$A$2:$A$888,FactorInputs!$B$2:$B$888,"")</f>
        <v>JEDI-US</v>
      </c>
      <c r="U640" t="str">
        <f>_xlfn.XLOOKUP(B640,FactorInputs!$A$2:$A$888,FactorInputs!$T$2:$T$888,"")</f>
        <v>JEDI-US</v>
      </c>
      <c r="V640">
        <f t="shared" si="59"/>
        <v>619.03098193571122</v>
      </c>
    </row>
    <row r="641" spans="1:23" x14ac:dyDescent="0.3">
      <c r="A641" t="str">
        <f t="shared" si="54"/>
        <v>PA|AccumulatedNewCapacity|RE1|PWRSOLUGE|2031</v>
      </c>
      <c r="B641" t="str">
        <f t="shared" si="55"/>
        <v>Utility-scale solar PV|2031|O&amp;M|Direct</v>
      </c>
      <c r="C641" t="str">
        <f t="shared" si="56"/>
        <v>PWRSOLUGE|Utility-scale solar PV</v>
      </c>
      <c r="D641" t="s">
        <v>44</v>
      </c>
      <c r="E641" t="s">
        <v>45</v>
      </c>
      <c r="F641" t="s">
        <v>19</v>
      </c>
      <c r="G641" t="s">
        <v>33</v>
      </c>
      <c r="H641">
        <v>2031</v>
      </c>
      <c r="I641" t="s">
        <v>18</v>
      </c>
      <c r="J641" t="s">
        <v>63</v>
      </c>
      <c r="K641" t="s">
        <v>64</v>
      </c>
      <c r="L641" t="s">
        <v>65</v>
      </c>
      <c r="M641">
        <f>SUMIFS(RawResultsLong!$P:$P,RawResultsLong!$A:$A,A641)</f>
        <v>143.394192</v>
      </c>
      <c r="N641">
        <f t="shared" si="57"/>
        <v>4543.8877481177278</v>
      </c>
      <c r="O641" t="s">
        <v>66</v>
      </c>
      <c r="P641">
        <f>SUMIFS(TechnologyMapping!$D:$D,TechnologyMapping!$A:$A,C641)</f>
        <v>1</v>
      </c>
      <c r="Q641">
        <f t="shared" si="58"/>
        <v>4543.8877481177278</v>
      </c>
      <c r="R641">
        <f>SUMIFS(FactorInputs!$I:$I,FactorInputs!$A:$A,B641)</f>
        <v>8.1568581081100003E-2</v>
      </c>
      <c r="S641" t="str">
        <f>_xlfn.XLOOKUP(B641,FactorInputs!$A$2:$A$888,FactorInputs!$F$2:$F$888,"")</f>
        <v>job/MW</v>
      </c>
      <c r="T641" t="str">
        <f>_xlfn.XLOOKUP(B641,FactorInputs!$A$2:$A$888,FactorInputs!$B$2:$B$888,"")</f>
        <v>I-JEDI</v>
      </c>
      <c r="U641" t="str">
        <f>_xlfn.XLOOKUP(B641,FactorInputs!$A$2:$A$888,FactorInputs!$T$2:$T$888,"")</f>
        <v>I-JEDI</v>
      </c>
      <c r="V641">
        <f t="shared" si="59"/>
        <v>370.6384762057578</v>
      </c>
    </row>
    <row r="642" spans="1:23" x14ac:dyDescent="0.3">
      <c r="A642" t="str">
        <f t="shared" ref="A642:A705" si="60">D642&amp;"|"&amp;I642&amp;"|"&amp;F642&amp;"|"&amp;G642&amp;"|"&amp;H642</f>
        <v>PA|AccumulatedNewCapacity|RE1|PWRSOLUPE|2031</v>
      </c>
      <c r="B642" t="str">
        <f t="shared" ref="B642:B705" si="61">O642&amp;"|"&amp;H642&amp;"|"&amp;K642&amp;"|"&amp;L642</f>
        <v>Utility-scale solar PV|2031|O&amp;M|Direct</v>
      </c>
      <c r="C642" t="str">
        <f t="shared" ref="C642:C705" si="62">G642&amp;"|"&amp;O642</f>
        <v>PWRSOLUPE|Utility-scale solar PV</v>
      </c>
      <c r="D642" t="s">
        <v>44</v>
      </c>
      <c r="E642" t="s">
        <v>45</v>
      </c>
      <c r="F642" t="s">
        <v>19</v>
      </c>
      <c r="G642" t="s">
        <v>34</v>
      </c>
      <c r="H642">
        <v>2031</v>
      </c>
      <c r="I642" t="s">
        <v>18</v>
      </c>
      <c r="J642" t="s">
        <v>63</v>
      </c>
      <c r="K642" t="s">
        <v>64</v>
      </c>
      <c r="L642" t="s">
        <v>65</v>
      </c>
      <c r="M642">
        <f>SUMIFS(RawResultsLong!$P:$P,RawResultsLong!$A:$A,A642)</f>
        <v>12.14419823999993</v>
      </c>
      <c r="N642">
        <f t="shared" ref="N642:N705" si="63">M642*1000/31.5576</f>
        <v>384.82642026009364</v>
      </c>
      <c r="O642" t="s">
        <v>66</v>
      </c>
      <c r="P642">
        <f>SUMIFS(TechnologyMapping!$D:$D,TechnologyMapping!$A:$A,C642)</f>
        <v>1</v>
      </c>
      <c r="Q642">
        <f t="shared" ref="Q642:Q705" si="64">N642*P642</f>
        <v>384.82642026009364</v>
      </c>
      <c r="R642">
        <f>SUMIFS(FactorInputs!$I:$I,FactorInputs!$A:$A,B642)</f>
        <v>8.1568581081100003E-2</v>
      </c>
      <c r="S642" t="str">
        <f>_xlfn.XLOOKUP(B642,FactorInputs!$A$2:$A$888,FactorInputs!$F$2:$F$888,"")</f>
        <v>job/MW</v>
      </c>
      <c r="T642" t="str">
        <f>_xlfn.XLOOKUP(B642,FactorInputs!$A$2:$A$888,FactorInputs!$B$2:$B$888,"")</f>
        <v>I-JEDI</v>
      </c>
      <c r="U642" t="str">
        <f>_xlfn.XLOOKUP(B642,FactorInputs!$A$2:$A$888,FactorInputs!$T$2:$T$888,"")</f>
        <v>I-JEDI</v>
      </c>
      <c r="V642">
        <f t="shared" ref="V642:V705" si="65">Q642*R642</f>
        <v>31.389745063134914</v>
      </c>
      <c r="W642" t="s">
        <v>67</v>
      </c>
    </row>
    <row r="643" spans="1:23" x14ac:dyDescent="0.3">
      <c r="A643" t="str">
        <f t="shared" si="60"/>
        <v>PA|AccumulatedNewCapacity|RE1|PWRWNDONS|2031</v>
      </c>
      <c r="B643" t="str">
        <f t="shared" si="61"/>
        <v>Onshore wind|2031|O&amp;M|Direct</v>
      </c>
      <c r="C643" t="str">
        <f t="shared" si="62"/>
        <v>PWRWNDONS|Onshore wind</v>
      </c>
      <c r="D643" t="s">
        <v>44</v>
      </c>
      <c r="E643" t="s">
        <v>45</v>
      </c>
      <c r="F643" t="s">
        <v>19</v>
      </c>
      <c r="G643" t="s">
        <v>36</v>
      </c>
      <c r="H643">
        <v>2031</v>
      </c>
      <c r="I643" t="s">
        <v>18</v>
      </c>
      <c r="J643" t="s">
        <v>63</v>
      </c>
      <c r="K643" t="s">
        <v>64</v>
      </c>
      <c r="L643" t="s">
        <v>65</v>
      </c>
      <c r="M643">
        <f>SUMIFS(RawResultsLong!$P:$P,RawResultsLong!$A:$A,A643)</f>
        <v>33.266423314285717</v>
      </c>
      <c r="N643">
        <f t="shared" si="63"/>
        <v>1054.1493432417458</v>
      </c>
      <c r="O643" t="s">
        <v>68</v>
      </c>
      <c r="P643">
        <f>SUMIFS(TechnologyMapping!$D:$D,TechnologyMapping!$A:$A,C643)</f>
        <v>1</v>
      </c>
      <c r="Q643">
        <f t="shared" si="64"/>
        <v>1054.1493432417458</v>
      </c>
      <c r="R643">
        <f>SUMIFS(FactorInputs!$I:$I,FactorInputs!$A:$A,B643)</f>
        <v>2.8390510948900001E-2</v>
      </c>
      <c r="S643" t="str">
        <f>_xlfn.XLOOKUP(B643,FactorInputs!$A$2:$A$888,FactorInputs!$F$2:$F$888,"")</f>
        <v>job/MW</v>
      </c>
      <c r="T643" t="str">
        <f>_xlfn.XLOOKUP(B643,FactorInputs!$A$2:$A$888,FactorInputs!$B$2:$B$888,"")</f>
        <v>I-JEDI</v>
      </c>
      <c r="U643" t="str">
        <f>_xlfn.XLOOKUP(B643,FactorInputs!$A$2:$A$888,FactorInputs!$T$2:$T$888,"")</f>
        <v>I-JEDI</v>
      </c>
      <c r="V643">
        <f t="shared" si="65"/>
        <v>29.927838471080531</v>
      </c>
    </row>
    <row r="644" spans="1:23" x14ac:dyDescent="0.3">
      <c r="A644" t="str">
        <f t="shared" si="60"/>
        <v>PA|NewCapacity|RE1|PWRSOLRTP|2031</v>
      </c>
      <c r="B644" t="str">
        <f t="shared" si="61"/>
        <v>Rooftop solar PV|2031|Construction&amp;Manufacturing|Direct</v>
      </c>
      <c r="C644" t="str">
        <f t="shared" si="62"/>
        <v>PWRSOLRTP|Rooftop solar PV</v>
      </c>
      <c r="D644" t="s">
        <v>44</v>
      </c>
      <c r="E644" t="s">
        <v>45</v>
      </c>
      <c r="F644" t="s">
        <v>19</v>
      </c>
      <c r="G644" t="s">
        <v>31</v>
      </c>
      <c r="H644">
        <v>2031</v>
      </c>
      <c r="I644" t="s">
        <v>37</v>
      </c>
      <c r="J644" t="s">
        <v>69</v>
      </c>
      <c r="K644" t="s">
        <v>70</v>
      </c>
      <c r="L644" t="s">
        <v>65</v>
      </c>
      <c r="M644">
        <f>SUMIFS(RawResultsLong!$P:$P,RawResultsLong!$A:$A,A644)</f>
        <v>12.999365884591001</v>
      </c>
      <c r="N644">
        <f t="shared" si="63"/>
        <v>411.92504767761176</v>
      </c>
      <c r="O644" t="s">
        <v>71</v>
      </c>
      <c r="P644">
        <f>SUMIFS(TechnologyMapping!$D:$D,TechnologyMapping!$A:$A,C644)</f>
        <v>1</v>
      </c>
      <c r="Q644">
        <f t="shared" si="64"/>
        <v>411.92504767761176</v>
      </c>
      <c r="R644">
        <f>SUMIFS(FactorInputs!$I:$I,FactorInputs!$A:$A,B644)</f>
        <v>6.3285371255299996</v>
      </c>
      <c r="S644" t="str">
        <f>_xlfn.XLOOKUP(B644,FactorInputs!$A$2:$A$888,FactorInputs!$F$2:$F$888,"")</f>
        <v>job-yr/MW</v>
      </c>
      <c r="T644" t="str">
        <f>_xlfn.XLOOKUP(B644,FactorInputs!$A$2:$A$888,FactorInputs!$B$2:$B$888,"")</f>
        <v>JEDI-US</v>
      </c>
      <c r="U644" t="str">
        <f>_xlfn.XLOOKUP(B644,FactorInputs!$A$2:$A$888,FactorInputs!$T$2:$T$888,"")</f>
        <v>JEDI-US</v>
      </c>
      <c r="V644">
        <f t="shared" si="65"/>
        <v>2606.882957163481</v>
      </c>
    </row>
    <row r="645" spans="1:23" x14ac:dyDescent="0.3">
      <c r="A645" t="str">
        <f t="shared" si="60"/>
        <v>PA|AccumulatedNewCapacity|RE1|PWRHYDDAM|2032</v>
      </c>
      <c r="B645" t="str">
        <f t="shared" si="61"/>
        <v>Hydro (large)|2032|O&amp;M|Direct</v>
      </c>
      <c r="C645" t="str">
        <f t="shared" si="62"/>
        <v>PWRHYDDAM|Hydro (large)</v>
      </c>
      <c r="D645" t="s">
        <v>44</v>
      </c>
      <c r="E645" t="s">
        <v>45</v>
      </c>
      <c r="F645" t="s">
        <v>19</v>
      </c>
      <c r="G645" t="s">
        <v>24</v>
      </c>
      <c r="H645">
        <v>2032</v>
      </c>
      <c r="I645" t="s">
        <v>18</v>
      </c>
      <c r="J645" t="s">
        <v>63</v>
      </c>
      <c r="K645" t="s">
        <v>64</v>
      </c>
      <c r="L645" t="s">
        <v>65</v>
      </c>
      <c r="M645">
        <f>SUMIFS(RawResultsLong!$P:$P,RawResultsLong!$A:$A,A645)</f>
        <v>37.840000000000003</v>
      </c>
      <c r="N645">
        <f t="shared" si="63"/>
        <v>1199.0772428828554</v>
      </c>
      <c r="O645" t="s">
        <v>72</v>
      </c>
      <c r="P645">
        <f>SUMIFS(TechnologyMapping!$D:$D,TechnologyMapping!$A:$A,C645)</f>
        <v>1</v>
      </c>
      <c r="Q645">
        <f t="shared" si="64"/>
        <v>1199.0772428828554</v>
      </c>
      <c r="R645">
        <f>SUMIFS(FactorInputs!$I:$I,FactorInputs!$A:$A,B645)</f>
        <v>0.641649180328</v>
      </c>
      <c r="S645" t="str">
        <f>_xlfn.XLOOKUP(B645,FactorInputs!$A$2:$A$888,FactorInputs!$F$2:$F$888,"")</f>
        <v>job/MW</v>
      </c>
      <c r="T645" t="str">
        <f>_xlfn.XLOOKUP(B645,FactorInputs!$A$2:$A$888,FactorInputs!$B$2:$B$888,"")</f>
        <v>Rutovitz 2015</v>
      </c>
      <c r="U645" t="str">
        <f>_xlfn.XLOOKUP(B645,FactorInputs!$A$2:$A$888,FactorInputs!$T$2:$T$888,"")</f>
        <v>Rutovitz 2015</v>
      </c>
      <c r="V645">
        <f t="shared" si="65"/>
        <v>769.38693004574236</v>
      </c>
    </row>
    <row r="646" spans="1:23" x14ac:dyDescent="0.3">
      <c r="A646" t="str">
        <f t="shared" si="60"/>
        <v>PA|AccumulatedNewCapacity|RE1|PWRSOLRTP|2032</v>
      </c>
      <c r="B646" t="str">
        <f t="shared" si="61"/>
        <v>Rooftop solar PV|2032|O&amp;M|Direct</v>
      </c>
      <c r="C646" t="str">
        <f t="shared" si="62"/>
        <v>PWRSOLRTP|Rooftop solar PV</v>
      </c>
      <c r="D646" t="s">
        <v>44</v>
      </c>
      <c r="E646" t="s">
        <v>45</v>
      </c>
      <c r="F646" t="s">
        <v>19</v>
      </c>
      <c r="G646" t="s">
        <v>31</v>
      </c>
      <c r="H646">
        <v>2032</v>
      </c>
      <c r="I646" t="s">
        <v>18</v>
      </c>
      <c r="J646" t="s">
        <v>63</v>
      </c>
      <c r="K646" t="s">
        <v>64</v>
      </c>
      <c r="L646" t="s">
        <v>65</v>
      </c>
      <c r="M646">
        <f>SUMIFS(RawResultsLong!$P:$P,RawResultsLong!$A:$A,A646)</f>
        <v>87.995859226379224</v>
      </c>
      <c r="N646">
        <f t="shared" si="63"/>
        <v>2788.4205144364346</v>
      </c>
      <c r="O646" t="s">
        <v>71</v>
      </c>
      <c r="P646">
        <f>SUMIFS(TechnologyMapping!$D:$D,TechnologyMapping!$A:$A,C646)</f>
        <v>1</v>
      </c>
      <c r="Q646">
        <f t="shared" si="64"/>
        <v>2788.4205144364346</v>
      </c>
      <c r="R646">
        <f>SUMIFS(FactorInputs!$I:$I,FactorInputs!$A:$A,B646)</f>
        <v>0.25358823529399999</v>
      </c>
      <c r="S646" t="str">
        <f>_xlfn.XLOOKUP(B646,FactorInputs!$A$2:$A$888,FactorInputs!$F$2:$F$888,"")</f>
        <v>job/MW</v>
      </c>
      <c r="T646" t="str">
        <f>_xlfn.XLOOKUP(B646,FactorInputs!$A$2:$A$888,FactorInputs!$B$2:$B$888,"")</f>
        <v>JEDI-US</v>
      </c>
      <c r="U646" t="str">
        <f>_xlfn.XLOOKUP(B646,FactorInputs!$A$2:$A$888,FactorInputs!$T$2:$T$888,"")</f>
        <v>JEDI-US</v>
      </c>
      <c r="V646">
        <f t="shared" si="65"/>
        <v>707.1106375135231</v>
      </c>
    </row>
    <row r="647" spans="1:23" x14ac:dyDescent="0.3">
      <c r="A647" t="str">
        <f t="shared" si="60"/>
        <v>PA|AccumulatedNewCapacity|RE1|PWRSOLUGE|2032</v>
      </c>
      <c r="B647" t="str">
        <f t="shared" si="61"/>
        <v>Utility-scale solar PV|2032|O&amp;M|Direct</v>
      </c>
      <c r="C647" t="str">
        <f t="shared" si="62"/>
        <v>PWRSOLUGE|Utility-scale solar PV</v>
      </c>
      <c r="D647" t="s">
        <v>44</v>
      </c>
      <c r="E647" t="s">
        <v>45</v>
      </c>
      <c r="F647" t="s">
        <v>19</v>
      </c>
      <c r="G647" t="s">
        <v>33</v>
      </c>
      <c r="H647">
        <v>2032</v>
      </c>
      <c r="I647" t="s">
        <v>18</v>
      </c>
      <c r="J647" t="s">
        <v>63</v>
      </c>
      <c r="K647" t="s">
        <v>64</v>
      </c>
      <c r="L647" t="s">
        <v>65</v>
      </c>
      <c r="M647">
        <f>SUMIFS(RawResultsLong!$P:$P,RawResultsLong!$A:$A,A647)</f>
        <v>143.394192</v>
      </c>
      <c r="N647">
        <f t="shared" si="63"/>
        <v>4543.8877481177278</v>
      </c>
      <c r="O647" t="s">
        <v>66</v>
      </c>
      <c r="P647">
        <f>SUMIFS(TechnologyMapping!$D:$D,TechnologyMapping!$A:$A,C647)</f>
        <v>1</v>
      </c>
      <c r="Q647">
        <f t="shared" si="64"/>
        <v>4543.8877481177278</v>
      </c>
      <c r="R647">
        <f>SUMIFS(FactorInputs!$I:$I,FactorInputs!$A:$A,B647)</f>
        <v>8.09817567568E-2</v>
      </c>
      <c r="S647" t="str">
        <f>_xlfn.XLOOKUP(B647,FactorInputs!$A$2:$A$888,FactorInputs!$F$2:$F$888,"")</f>
        <v>job/MW</v>
      </c>
      <c r="T647" t="str">
        <f>_xlfn.XLOOKUP(B647,FactorInputs!$A$2:$A$888,FactorInputs!$B$2:$B$888,"")</f>
        <v>I-JEDI</v>
      </c>
      <c r="U647" t="str">
        <f>_xlfn.XLOOKUP(B647,FactorInputs!$A$2:$A$888,FactorInputs!$T$2:$T$888,"")</f>
        <v>I-JEDI</v>
      </c>
      <c r="V647">
        <f t="shared" si="65"/>
        <v>367.97201234827355</v>
      </c>
    </row>
    <row r="648" spans="1:23" x14ac:dyDescent="0.3">
      <c r="A648" t="str">
        <f t="shared" si="60"/>
        <v>PA|AccumulatedNewCapacity|RE1|PWRSOLUPE|2032</v>
      </c>
      <c r="B648" t="str">
        <f t="shared" si="61"/>
        <v>Utility-scale solar PV|2032|O&amp;M|Direct</v>
      </c>
      <c r="C648" t="str">
        <f t="shared" si="62"/>
        <v>PWRSOLUPE|Utility-scale solar PV</v>
      </c>
      <c r="D648" t="s">
        <v>44</v>
      </c>
      <c r="E648" t="s">
        <v>45</v>
      </c>
      <c r="F648" t="s">
        <v>19</v>
      </c>
      <c r="G648" t="s">
        <v>34</v>
      </c>
      <c r="H648">
        <v>2032</v>
      </c>
      <c r="I648" t="s">
        <v>18</v>
      </c>
      <c r="J648" t="s">
        <v>63</v>
      </c>
      <c r="K648" t="s">
        <v>64</v>
      </c>
      <c r="L648" t="s">
        <v>65</v>
      </c>
      <c r="M648">
        <f>SUMIFS(RawResultsLong!$P:$P,RawResultsLong!$A:$A,A648)</f>
        <v>12.14419823999993</v>
      </c>
      <c r="N648">
        <f t="shared" si="63"/>
        <v>384.82642026009364</v>
      </c>
      <c r="O648" t="s">
        <v>66</v>
      </c>
      <c r="P648">
        <f>SUMIFS(TechnologyMapping!$D:$D,TechnologyMapping!$A:$A,C648)</f>
        <v>1</v>
      </c>
      <c r="Q648">
        <f t="shared" si="64"/>
        <v>384.82642026009364</v>
      </c>
      <c r="R648">
        <f>SUMIFS(FactorInputs!$I:$I,FactorInputs!$A:$A,B648)</f>
        <v>8.09817567568E-2</v>
      </c>
      <c r="S648" t="str">
        <f>_xlfn.XLOOKUP(B648,FactorInputs!$A$2:$A$888,FactorInputs!$F$2:$F$888,"")</f>
        <v>job/MW</v>
      </c>
      <c r="T648" t="str">
        <f>_xlfn.XLOOKUP(B648,FactorInputs!$A$2:$A$888,FactorInputs!$B$2:$B$888,"")</f>
        <v>I-JEDI</v>
      </c>
      <c r="U648" t="str">
        <f>_xlfn.XLOOKUP(B648,FactorInputs!$A$2:$A$888,FactorInputs!$T$2:$T$888,"")</f>
        <v>I-JEDI</v>
      </c>
      <c r="V648">
        <f t="shared" si="65"/>
        <v>31.163919559092996</v>
      </c>
      <c r="W648" t="s">
        <v>67</v>
      </c>
    </row>
    <row r="649" spans="1:23" x14ac:dyDescent="0.3">
      <c r="A649" t="str">
        <f t="shared" si="60"/>
        <v>PA|AccumulatedNewCapacity|RE1|PWRWNDOFS_FIX|2032</v>
      </c>
      <c r="B649" t="str">
        <f t="shared" si="61"/>
        <v>Offshore wind (fixed)|2032|O&amp;M|Direct</v>
      </c>
      <c r="C649" t="str">
        <f t="shared" si="62"/>
        <v>PWRWNDOFS_FIX|Offshore wind (fixed)</v>
      </c>
      <c r="D649" t="s">
        <v>44</v>
      </c>
      <c r="E649" t="s">
        <v>45</v>
      </c>
      <c r="F649" t="s">
        <v>19</v>
      </c>
      <c r="G649" t="s">
        <v>42</v>
      </c>
      <c r="H649">
        <v>2032</v>
      </c>
      <c r="I649" t="s">
        <v>18</v>
      </c>
      <c r="J649" t="s">
        <v>63</v>
      </c>
      <c r="K649" t="s">
        <v>64</v>
      </c>
      <c r="L649" t="s">
        <v>65</v>
      </c>
      <c r="M649">
        <f>SUMIFS(RawResultsLong!$P:$P,RawResultsLong!$A:$A,A649)</f>
        <v>1.752</v>
      </c>
      <c r="N649">
        <f t="shared" si="63"/>
        <v>55.517529850178718</v>
      </c>
      <c r="O649" t="s">
        <v>74</v>
      </c>
      <c r="P649">
        <f>SUMIFS(TechnologyMapping!$D:$D,TechnologyMapping!$A:$A,C649)</f>
        <v>1</v>
      </c>
      <c r="Q649">
        <f t="shared" si="64"/>
        <v>55.517529850178718</v>
      </c>
      <c r="R649">
        <f>SUMIFS(FactorInputs!$I:$I,FactorInputs!$A:$A,B649)</f>
        <v>7.6450506912400004E-2</v>
      </c>
      <c r="S649" t="str">
        <f>_xlfn.XLOOKUP(B649,FactorInputs!$A$2:$A$888,FactorInputs!$F$2:$F$888,"")</f>
        <v>job/MW</v>
      </c>
      <c r="T649" t="str">
        <f>_xlfn.XLOOKUP(B649,FactorInputs!$A$2:$A$888,FactorInputs!$B$2:$B$888,"")</f>
        <v>French QBIS 2023</v>
      </c>
      <c r="U649" t="str">
        <f>_xlfn.XLOOKUP(B649,FactorInputs!$A$2:$A$888,FactorInputs!$T$2:$T$888,"")</f>
        <v>French QBIS 2023</v>
      </c>
      <c r="V649">
        <f t="shared" si="65"/>
        <v>4.2443432995704615</v>
      </c>
    </row>
    <row r="650" spans="1:23" x14ac:dyDescent="0.3">
      <c r="A650" t="str">
        <f t="shared" si="60"/>
        <v>PA|AccumulatedNewCapacity|RE1|PWRWNDONS|2032</v>
      </c>
      <c r="B650" t="str">
        <f t="shared" si="61"/>
        <v>Onshore wind|2032|O&amp;M|Direct</v>
      </c>
      <c r="C650" t="str">
        <f t="shared" si="62"/>
        <v>PWRWNDONS|Onshore wind</v>
      </c>
      <c r="D650" t="s">
        <v>44</v>
      </c>
      <c r="E650" t="s">
        <v>45</v>
      </c>
      <c r="F650" t="s">
        <v>19</v>
      </c>
      <c r="G650" t="s">
        <v>36</v>
      </c>
      <c r="H650">
        <v>2032</v>
      </c>
      <c r="I650" t="s">
        <v>18</v>
      </c>
      <c r="J650" t="s">
        <v>63</v>
      </c>
      <c r="K650" t="s">
        <v>64</v>
      </c>
      <c r="L650" t="s">
        <v>65</v>
      </c>
      <c r="M650">
        <f>SUMIFS(RawResultsLong!$P:$P,RawResultsLong!$A:$A,A650)</f>
        <v>33.266423314285717</v>
      </c>
      <c r="N650">
        <f t="shared" si="63"/>
        <v>1054.1493432417458</v>
      </c>
      <c r="O650" t="s">
        <v>68</v>
      </c>
      <c r="P650">
        <f>SUMIFS(TechnologyMapping!$D:$D,TechnologyMapping!$A:$A,C650)</f>
        <v>1</v>
      </c>
      <c r="Q650">
        <f t="shared" si="64"/>
        <v>1054.1493432417458</v>
      </c>
      <c r="R650">
        <f>SUMIFS(FactorInputs!$I:$I,FactorInputs!$A:$A,B650)</f>
        <v>2.83138686131E-2</v>
      </c>
      <c r="S650" t="str">
        <f>_xlfn.XLOOKUP(B650,FactorInputs!$A$2:$A$888,FactorInputs!$F$2:$F$888,"")</f>
        <v>job/MW</v>
      </c>
      <c r="T650" t="str">
        <f>_xlfn.XLOOKUP(B650,FactorInputs!$A$2:$A$888,FactorInputs!$B$2:$B$888,"")</f>
        <v>I-JEDI</v>
      </c>
      <c r="U650" t="str">
        <f>_xlfn.XLOOKUP(B650,FactorInputs!$A$2:$A$888,FactorInputs!$T$2:$T$888,"")</f>
        <v>I-JEDI</v>
      </c>
      <c r="V650">
        <f t="shared" si="65"/>
        <v>29.847046003132444</v>
      </c>
    </row>
    <row r="651" spans="1:23" x14ac:dyDescent="0.3">
      <c r="A651" t="str">
        <f t="shared" si="60"/>
        <v>PA|NewCapacity|RE1|PWRSOLRTP|2032</v>
      </c>
      <c r="B651" t="str">
        <f t="shared" si="61"/>
        <v>Rooftop solar PV|2032|Construction&amp;Manufacturing|Direct</v>
      </c>
      <c r="C651" t="str">
        <f t="shared" si="62"/>
        <v>PWRSOLRTP|Rooftop solar PV</v>
      </c>
      <c r="D651" t="s">
        <v>44</v>
      </c>
      <c r="E651" t="s">
        <v>45</v>
      </c>
      <c r="F651" t="s">
        <v>19</v>
      </c>
      <c r="G651" t="s">
        <v>31</v>
      </c>
      <c r="H651">
        <v>2032</v>
      </c>
      <c r="I651" t="s">
        <v>37</v>
      </c>
      <c r="J651" t="s">
        <v>69</v>
      </c>
      <c r="K651" t="s">
        <v>70</v>
      </c>
      <c r="L651" t="s">
        <v>65</v>
      </c>
      <c r="M651">
        <f>SUMIFS(RawResultsLong!$P:$P,RawResultsLong!$A:$A,A651)</f>
        <v>11.57260621433101</v>
      </c>
      <c r="N651">
        <f t="shared" si="63"/>
        <v>366.71376195689817</v>
      </c>
      <c r="O651" t="s">
        <v>71</v>
      </c>
      <c r="P651">
        <f>SUMIFS(TechnologyMapping!$D:$D,TechnologyMapping!$A:$A,C651)</f>
        <v>1</v>
      </c>
      <c r="Q651">
        <f t="shared" si="64"/>
        <v>366.71376195689817</v>
      </c>
      <c r="R651">
        <f>SUMIFS(FactorInputs!$I:$I,FactorInputs!$A:$A,B651)</f>
        <v>6.2228541747400001</v>
      </c>
      <c r="S651" t="str">
        <f>_xlfn.XLOOKUP(B651,FactorInputs!$A$2:$A$888,FactorInputs!$F$2:$F$888,"")</f>
        <v>job-yr/MW</v>
      </c>
      <c r="T651" t="str">
        <f>_xlfn.XLOOKUP(B651,FactorInputs!$A$2:$A$888,FactorInputs!$B$2:$B$888,"")</f>
        <v>JEDI-US</v>
      </c>
      <c r="U651" t="str">
        <f>_xlfn.XLOOKUP(B651,FactorInputs!$A$2:$A$888,FactorInputs!$T$2:$T$888,"")</f>
        <v>JEDI-US</v>
      </c>
      <c r="V651">
        <f t="shared" si="65"/>
        <v>2282.0062645280946</v>
      </c>
    </row>
    <row r="652" spans="1:23" x14ac:dyDescent="0.3">
      <c r="A652" t="str">
        <f t="shared" si="60"/>
        <v>PA|NewCapacity|RE1|PWRWNDOFS_FIX|2032</v>
      </c>
      <c r="B652" t="str">
        <f t="shared" si="61"/>
        <v>Offshore wind (fixed)|2032|Construction&amp;Manufacturing|Direct</v>
      </c>
      <c r="C652" t="str">
        <f t="shared" si="62"/>
        <v>PWRWNDOFS_FIX|Offshore wind (fixed)</v>
      </c>
      <c r="D652" t="s">
        <v>44</v>
      </c>
      <c r="E652" t="s">
        <v>45</v>
      </c>
      <c r="F652" t="s">
        <v>19</v>
      </c>
      <c r="G652" t="s">
        <v>42</v>
      </c>
      <c r="H652">
        <v>2032</v>
      </c>
      <c r="I652" t="s">
        <v>37</v>
      </c>
      <c r="J652" t="s">
        <v>69</v>
      </c>
      <c r="K652" t="s">
        <v>70</v>
      </c>
      <c r="L652" t="s">
        <v>65</v>
      </c>
      <c r="M652">
        <f>SUMIFS(RawResultsLong!$P:$P,RawResultsLong!$A:$A,A652)</f>
        <v>1.752</v>
      </c>
      <c r="N652">
        <f t="shared" si="63"/>
        <v>55.517529850178718</v>
      </c>
      <c r="O652" t="s">
        <v>74</v>
      </c>
      <c r="P652">
        <f>SUMIFS(TechnologyMapping!$D:$D,TechnologyMapping!$A:$A,C652)</f>
        <v>1</v>
      </c>
      <c r="Q652">
        <f t="shared" si="64"/>
        <v>55.517529850178718</v>
      </c>
      <c r="R652">
        <f>SUMIFS(FactorInputs!$I:$I,FactorInputs!$A:$A,B652)</f>
        <v>4.6353844080300002</v>
      </c>
      <c r="S652" t="str">
        <f>_xlfn.XLOOKUP(B652,FactorInputs!$A$2:$A$888,FactorInputs!$F$2:$F$888,"")</f>
        <v>job-yr/MW</v>
      </c>
      <c r="T652" t="str">
        <f>_xlfn.XLOOKUP(B652,FactorInputs!$A$2:$A$888,FactorInputs!$B$2:$B$888,"")</f>
        <v>French QBIS 2023</v>
      </c>
      <c r="U652" t="str">
        <f>_xlfn.XLOOKUP(B652,FactorInputs!$A$2:$A$888,FactorInputs!$T$2:$T$888,"")</f>
        <v>French QBIS 2023</v>
      </c>
      <c r="V652">
        <f t="shared" si="65"/>
        <v>257.34509223985856</v>
      </c>
    </row>
    <row r="653" spans="1:23" x14ac:dyDescent="0.3">
      <c r="A653" t="str">
        <f t="shared" si="60"/>
        <v>PA|AccumulatedNewCapacity|RE1|PWRHYDDAM|2033</v>
      </c>
      <c r="B653" t="str">
        <f t="shared" si="61"/>
        <v>Hydro (large)|2033|O&amp;M|Direct</v>
      </c>
      <c r="C653" t="str">
        <f t="shared" si="62"/>
        <v>PWRHYDDAM|Hydro (large)</v>
      </c>
      <c r="D653" t="s">
        <v>44</v>
      </c>
      <c r="E653" t="s">
        <v>45</v>
      </c>
      <c r="F653" t="s">
        <v>19</v>
      </c>
      <c r="G653" t="s">
        <v>24</v>
      </c>
      <c r="H653">
        <v>2033</v>
      </c>
      <c r="I653" t="s">
        <v>18</v>
      </c>
      <c r="J653" t="s">
        <v>63</v>
      </c>
      <c r="K653" t="s">
        <v>64</v>
      </c>
      <c r="L653" t="s">
        <v>65</v>
      </c>
      <c r="M653">
        <f>SUMIFS(RawResultsLong!$P:$P,RawResultsLong!$A:$A,A653)</f>
        <v>37.840000000000003</v>
      </c>
      <c r="N653">
        <f t="shared" si="63"/>
        <v>1199.0772428828554</v>
      </c>
      <c r="O653" t="s">
        <v>72</v>
      </c>
      <c r="P653">
        <f>SUMIFS(TechnologyMapping!$D:$D,TechnologyMapping!$A:$A,C653)</f>
        <v>1</v>
      </c>
      <c r="Q653">
        <f t="shared" si="64"/>
        <v>1199.0772428828554</v>
      </c>
      <c r="R653">
        <f>SUMIFS(FactorInputs!$I:$I,FactorInputs!$A:$A,B653)</f>
        <v>0.64147377049200005</v>
      </c>
      <c r="S653" t="str">
        <f>_xlfn.XLOOKUP(B653,FactorInputs!$A$2:$A$888,FactorInputs!$F$2:$F$888,"")</f>
        <v>job/MW</v>
      </c>
      <c r="T653" t="str">
        <f>_xlfn.XLOOKUP(B653,FactorInputs!$A$2:$A$888,FactorInputs!$B$2:$B$888,"")</f>
        <v>Rutovitz 2015</v>
      </c>
      <c r="U653" t="str">
        <f>_xlfn.XLOOKUP(B653,FactorInputs!$A$2:$A$888,FactorInputs!$T$2:$T$888,"")</f>
        <v>Rutovitz 2015</v>
      </c>
      <c r="V653">
        <f t="shared" si="65"/>
        <v>769.17660010321697</v>
      </c>
    </row>
    <row r="654" spans="1:23" x14ac:dyDescent="0.3">
      <c r="A654" t="str">
        <f t="shared" si="60"/>
        <v>PA|AccumulatedNewCapacity|RE1|PWRSOLRTP|2033</v>
      </c>
      <c r="B654" t="str">
        <f t="shared" si="61"/>
        <v>Rooftop solar PV|2033|O&amp;M|Direct</v>
      </c>
      <c r="C654" t="str">
        <f t="shared" si="62"/>
        <v>PWRSOLRTP|Rooftop solar PV</v>
      </c>
      <c r="D654" t="s">
        <v>44</v>
      </c>
      <c r="E654" t="s">
        <v>45</v>
      </c>
      <c r="F654" t="s">
        <v>19</v>
      </c>
      <c r="G654" t="s">
        <v>31</v>
      </c>
      <c r="H654">
        <v>2033</v>
      </c>
      <c r="I654" t="s">
        <v>18</v>
      </c>
      <c r="J654" t="s">
        <v>63</v>
      </c>
      <c r="K654" t="s">
        <v>64</v>
      </c>
      <c r="L654" t="s">
        <v>65</v>
      </c>
      <c r="M654">
        <f>SUMIFS(RawResultsLong!$P:$P,RawResultsLong!$A:$A,A654)</f>
        <v>98.141705770450244</v>
      </c>
      <c r="N654">
        <f t="shared" si="63"/>
        <v>3109.9229906726187</v>
      </c>
      <c r="O654" t="s">
        <v>71</v>
      </c>
      <c r="P654">
        <f>SUMIFS(TechnologyMapping!$D:$D,TechnologyMapping!$A:$A,C654)</f>
        <v>1</v>
      </c>
      <c r="Q654">
        <f t="shared" si="64"/>
        <v>3109.9229906726187</v>
      </c>
      <c r="R654">
        <f>SUMIFS(FactorInputs!$I:$I,FactorInputs!$A:$A,B654)</f>
        <v>0.251558823529</v>
      </c>
      <c r="S654" t="str">
        <f>_xlfn.XLOOKUP(B654,FactorInputs!$A$2:$A$888,FactorInputs!$F$2:$F$888,"")</f>
        <v>job/MW</v>
      </c>
      <c r="T654" t="str">
        <f>_xlfn.XLOOKUP(B654,FactorInputs!$A$2:$A$888,FactorInputs!$B$2:$B$888,"")</f>
        <v>JEDI-US</v>
      </c>
      <c r="U654" t="str">
        <f>_xlfn.XLOOKUP(B654,FactorInputs!$A$2:$A$888,FactorInputs!$T$2:$T$888,"")</f>
        <v>JEDI-US</v>
      </c>
      <c r="V654">
        <f t="shared" si="65"/>
        <v>782.32856879939322</v>
      </c>
    </row>
    <row r="655" spans="1:23" x14ac:dyDescent="0.3">
      <c r="A655" t="str">
        <f t="shared" si="60"/>
        <v>PA|AccumulatedNewCapacity|RE1|PWRSOLUGE|2033</v>
      </c>
      <c r="B655" t="str">
        <f t="shared" si="61"/>
        <v>Utility-scale solar PV|2033|O&amp;M|Direct</v>
      </c>
      <c r="C655" t="str">
        <f t="shared" si="62"/>
        <v>PWRSOLUGE|Utility-scale solar PV</v>
      </c>
      <c r="D655" t="s">
        <v>44</v>
      </c>
      <c r="E655" t="s">
        <v>45</v>
      </c>
      <c r="F655" t="s">
        <v>19</v>
      </c>
      <c r="G655" t="s">
        <v>33</v>
      </c>
      <c r="H655">
        <v>2033</v>
      </c>
      <c r="I655" t="s">
        <v>18</v>
      </c>
      <c r="J655" t="s">
        <v>63</v>
      </c>
      <c r="K655" t="s">
        <v>64</v>
      </c>
      <c r="L655" t="s">
        <v>65</v>
      </c>
      <c r="M655">
        <f>SUMIFS(RawResultsLong!$P:$P,RawResultsLong!$A:$A,A655)</f>
        <v>143.394192</v>
      </c>
      <c r="N655">
        <f t="shared" si="63"/>
        <v>4543.8877481177278</v>
      </c>
      <c r="O655" t="s">
        <v>66</v>
      </c>
      <c r="P655">
        <f>SUMIFS(TechnologyMapping!$D:$D,TechnologyMapping!$A:$A,C655)</f>
        <v>1</v>
      </c>
      <c r="Q655">
        <f t="shared" si="64"/>
        <v>4543.8877481177278</v>
      </c>
      <c r="R655">
        <f>SUMIFS(FactorInputs!$I:$I,FactorInputs!$A:$A,B655)</f>
        <v>8.0394932432399993E-2</v>
      </c>
      <c r="S655" t="str">
        <f>_xlfn.XLOOKUP(B655,FactorInputs!$A$2:$A$888,FactorInputs!$F$2:$F$888,"")</f>
        <v>job/MW</v>
      </c>
      <c r="T655" t="str">
        <f>_xlfn.XLOOKUP(B655,FactorInputs!$A$2:$A$888,FactorInputs!$B$2:$B$888,"")</f>
        <v>I-JEDI</v>
      </c>
      <c r="U655" t="str">
        <f>_xlfn.XLOOKUP(B655,FactorInputs!$A$2:$A$888,FactorInputs!$T$2:$T$888,"")</f>
        <v>I-JEDI</v>
      </c>
      <c r="V655">
        <f t="shared" si="65"/>
        <v>365.3055484903349</v>
      </c>
    </row>
    <row r="656" spans="1:23" x14ac:dyDescent="0.3">
      <c r="A656" t="str">
        <f t="shared" si="60"/>
        <v>PA|AccumulatedNewCapacity|RE1|PWRSOLUPE|2033</v>
      </c>
      <c r="B656" t="str">
        <f t="shared" si="61"/>
        <v>Utility-scale solar PV|2033|O&amp;M|Direct</v>
      </c>
      <c r="C656" t="str">
        <f t="shared" si="62"/>
        <v>PWRSOLUPE|Utility-scale solar PV</v>
      </c>
      <c r="D656" t="s">
        <v>44</v>
      </c>
      <c r="E656" t="s">
        <v>45</v>
      </c>
      <c r="F656" t="s">
        <v>19</v>
      </c>
      <c r="G656" t="s">
        <v>34</v>
      </c>
      <c r="H656">
        <v>2033</v>
      </c>
      <c r="I656" t="s">
        <v>18</v>
      </c>
      <c r="J656" t="s">
        <v>63</v>
      </c>
      <c r="K656" t="s">
        <v>64</v>
      </c>
      <c r="L656" t="s">
        <v>65</v>
      </c>
      <c r="M656">
        <f>SUMIFS(RawResultsLong!$P:$P,RawResultsLong!$A:$A,A656)</f>
        <v>12.14419823999993</v>
      </c>
      <c r="N656">
        <f t="shared" si="63"/>
        <v>384.82642026009364</v>
      </c>
      <c r="O656" t="s">
        <v>66</v>
      </c>
      <c r="P656">
        <f>SUMIFS(TechnologyMapping!$D:$D,TechnologyMapping!$A:$A,C656)</f>
        <v>1</v>
      </c>
      <c r="Q656">
        <f t="shared" si="64"/>
        <v>384.82642026009364</v>
      </c>
      <c r="R656">
        <f>SUMIFS(FactorInputs!$I:$I,FactorInputs!$A:$A,B656)</f>
        <v>8.0394932432399993E-2</v>
      </c>
      <c r="S656" t="str">
        <f>_xlfn.XLOOKUP(B656,FactorInputs!$A$2:$A$888,FactorInputs!$F$2:$F$888,"")</f>
        <v>job/MW</v>
      </c>
      <c r="T656" t="str">
        <f>_xlfn.XLOOKUP(B656,FactorInputs!$A$2:$A$888,FactorInputs!$B$2:$B$888,"")</f>
        <v>I-JEDI</v>
      </c>
      <c r="U656" t="str">
        <f>_xlfn.XLOOKUP(B656,FactorInputs!$A$2:$A$888,FactorInputs!$T$2:$T$888,"")</f>
        <v>I-JEDI</v>
      </c>
      <c r="V656">
        <f t="shared" si="65"/>
        <v>30.938094055012591</v>
      </c>
      <c r="W656" t="s">
        <v>67</v>
      </c>
    </row>
    <row r="657" spans="1:23" x14ac:dyDescent="0.3">
      <c r="A657" t="str">
        <f t="shared" si="60"/>
        <v>PA|AccumulatedNewCapacity|RE1|PWRWNDOFS_FIX|2033</v>
      </c>
      <c r="B657" t="str">
        <f t="shared" si="61"/>
        <v>Offshore wind (fixed)|2033|O&amp;M|Direct</v>
      </c>
      <c r="C657" t="str">
        <f t="shared" si="62"/>
        <v>PWRWNDOFS_FIX|Offshore wind (fixed)</v>
      </c>
      <c r="D657" t="s">
        <v>44</v>
      </c>
      <c r="E657" t="s">
        <v>45</v>
      </c>
      <c r="F657" t="s">
        <v>19</v>
      </c>
      <c r="G657" t="s">
        <v>42</v>
      </c>
      <c r="H657">
        <v>2033</v>
      </c>
      <c r="I657" t="s">
        <v>18</v>
      </c>
      <c r="J657" t="s">
        <v>63</v>
      </c>
      <c r="K657" t="s">
        <v>64</v>
      </c>
      <c r="L657" t="s">
        <v>65</v>
      </c>
      <c r="M657">
        <f>SUMIFS(RawResultsLong!$P:$P,RawResultsLong!$A:$A,A657)</f>
        <v>3.504</v>
      </c>
      <c r="N657">
        <f t="shared" si="63"/>
        <v>111.03505970035744</v>
      </c>
      <c r="O657" t="s">
        <v>74</v>
      </c>
      <c r="P657">
        <f>SUMIFS(TechnologyMapping!$D:$D,TechnologyMapping!$A:$A,C657)</f>
        <v>1</v>
      </c>
      <c r="Q657">
        <f t="shared" si="64"/>
        <v>111.03505970035744</v>
      </c>
      <c r="R657">
        <f>SUMIFS(FactorInputs!$I:$I,FactorInputs!$A:$A,B657)</f>
        <v>7.52582488479E-2</v>
      </c>
      <c r="S657" t="str">
        <f>_xlfn.XLOOKUP(B657,FactorInputs!$A$2:$A$888,FactorInputs!$F$2:$F$888,"")</f>
        <v>job/MW</v>
      </c>
      <c r="T657" t="str">
        <f>_xlfn.XLOOKUP(B657,FactorInputs!$A$2:$A$888,FactorInputs!$B$2:$B$888,"")</f>
        <v>French QBIS 2023</v>
      </c>
      <c r="U657" t="str">
        <f>_xlfn.XLOOKUP(B657,FactorInputs!$A$2:$A$888,FactorInputs!$T$2:$T$888,"")</f>
        <v>French QBIS 2023</v>
      </c>
      <c r="V657">
        <f t="shared" si="65"/>
        <v>8.3563041537709335</v>
      </c>
    </row>
    <row r="658" spans="1:23" x14ac:dyDescent="0.3">
      <c r="A658" t="str">
        <f t="shared" si="60"/>
        <v>PA|AccumulatedNewCapacity|RE1|PWRWNDONS|2033</v>
      </c>
      <c r="B658" t="str">
        <f t="shared" si="61"/>
        <v>Onshore wind|2033|O&amp;M|Direct</v>
      </c>
      <c r="C658" t="str">
        <f t="shared" si="62"/>
        <v>PWRWNDONS|Onshore wind</v>
      </c>
      <c r="D658" t="s">
        <v>44</v>
      </c>
      <c r="E658" t="s">
        <v>45</v>
      </c>
      <c r="F658" t="s">
        <v>19</v>
      </c>
      <c r="G658" t="s">
        <v>36</v>
      </c>
      <c r="H658">
        <v>2033</v>
      </c>
      <c r="I658" t="s">
        <v>18</v>
      </c>
      <c r="J658" t="s">
        <v>63</v>
      </c>
      <c r="K658" t="s">
        <v>64</v>
      </c>
      <c r="L658" t="s">
        <v>65</v>
      </c>
      <c r="M658">
        <f>SUMIFS(RawResultsLong!$P:$P,RawResultsLong!$A:$A,A658)</f>
        <v>33.266423314285717</v>
      </c>
      <c r="N658">
        <f t="shared" si="63"/>
        <v>1054.1493432417458</v>
      </c>
      <c r="O658" t="s">
        <v>68</v>
      </c>
      <c r="P658">
        <f>SUMIFS(TechnologyMapping!$D:$D,TechnologyMapping!$A:$A,C658)</f>
        <v>1</v>
      </c>
      <c r="Q658">
        <f t="shared" si="64"/>
        <v>1054.1493432417458</v>
      </c>
      <c r="R658">
        <f>SUMIFS(FactorInputs!$I:$I,FactorInputs!$A:$A,B658)</f>
        <v>2.8237226277399999E-2</v>
      </c>
      <c r="S658" t="str">
        <f>_xlfn.XLOOKUP(B658,FactorInputs!$A$2:$A$888,FactorInputs!$F$2:$F$888,"")</f>
        <v>job/MW</v>
      </c>
      <c r="T658" t="str">
        <f>_xlfn.XLOOKUP(B658,FactorInputs!$A$2:$A$888,FactorInputs!$B$2:$B$888,"")</f>
        <v>I-JEDI</v>
      </c>
      <c r="U658" t="str">
        <f>_xlfn.XLOOKUP(B658,FactorInputs!$A$2:$A$888,FactorInputs!$T$2:$T$888,"")</f>
        <v>I-JEDI</v>
      </c>
      <c r="V658">
        <f t="shared" si="65"/>
        <v>29.766253535289774</v>
      </c>
    </row>
    <row r="659" spans="1:23" x14ac:dyDescent="0.3">
      <c r="A659" t="str">
        <f t="shared" si="60"/>
        <v>PA|NewCapacity|RE1|PWRSOLRTP|2033</v>
      </c>
      <c r="B659" t="str">
        <f t="shared" si="61"/>
        <v>Rooftop solar PV|2033|Construction&amp;Manufacturing|Direct</v>
      </c>
      <c r="C659" t="str">
        <f t="shared" si="62"/>
        <v>PWRSOLRTP|Rooftop solar PV</v>
      </c>
      <c r="D659" t="s">
        <v>44</v>
      </c>
      <c r="E659" t="s">
        <v>45</v>
      </c>
      <c r="F659" t="s">
        <v>19</v>
      </c>
      <c r="G659" t="s">
        <v>31</v>
      </c>
      <c r="H659">
        <v>2033</v>
      </c>
      <c r="I659" t="s">
        <v>37</v>
      </c>
      <c r="J659" t="s">
        <v>69</v>
      </c>
      <c r="K659" t="s">
        <v>70</v>
      </c>
      <c r="L659" t="s">
        <v>65</v>
      </c>
      <c r="M659">
        <f>SUMIFS(RawResultsLong!$P:$P,RawResultsLong!$A:$A,A659)</f>
        <v>10.14584654407102</v>
      </c>
      <c r="N659">
        <f t="shared" si="63"/>
        <v>321.50247623618463</v>
      </c>
      <c r="O659" t="s">
        <v>71</v>
      </c>
      <c r="P659">
        <f>SUMIFS(TechnologyMapping!$D:$D,TechnologyMapping!$A:$A,C659)</f>
        <v>1</v>
      </c>
      <c r="Q659">
        <f t="shared" si="64"/>
        <v>321.50247623618463</v>
      </c>
      <c r="R659">
        <f>SUMIFS(FactorInputs!$I:$I,FactorInputs!$A:$A,B659)</f>
        <v>6.1171712239499998</v>
      </c>
      <c r="S659" t="str">
        <f>_xlfn.XLOOKUP(B659,FactorInputs!$A$2:$A$888,FactorInputs!$F$2:$F$888,"")</f>
        <v>job-yr/MW</v>
      </c>
      <c r="T659" t="str">
        <f>_xlfn.XLOOKUP(B659,FactorInputs!$A$2:$A$888,FactorInputs!$B$2:$B$888,"")</f>
        <v>JEDI-US</v>
      </c>
      <c r="U659" t="str">
        <f>_xlfn.XLOOKUP(B659,FactorInputs!$A$2:$A$888,FactorInputs!$T$2:$T$888,"")</f>
        <v>JEDI-US</v>
      </c>
      <c r="V659">
        <f t="shared" si="65"/>
        <v>1966.6856960606574</v>
      </c>
    </row>
    <row r="660" spans="1:23" x14ac:dyDescent="0.3">
      <c r="A660" t="str">
        <f t="shared" si="60"/>
        <v>PA|NewCapacity|RE1|PWRWNDOFS_FIX|2033</v>
      </c>
      <c r="B660" t="str">
        <f t="shared" si="61"/>
        <v>Offshore wind (fixed)|2033|Construction&amp;Manufacturing|Direct</v>
      </c>
      <c r="C660" t="str">
        <f t="shared" si="62"/>
        <v>PWRWNDOFS_FIX|Offshore wind (fixed)</v>
      </c>
      <c r="D660" t="s">
        <v>44</v>
      </c>
      <c r="E660" t="s">
        <v>45</v>
      </c>
      <c r="F660" t="s">
        <v>19</v>
      </c>
      <c r="G660" t="s">
        <v>42</v>
      </c>
      <c r="H660">
        <v>2033</v>
      </c>
      <c r="I660" t="s">
        <v>37</v>
      </c>
      <c r="J660" t="s">
        <v>69</v>
      </c>
      <c r="K660" t="s">
        <v>70</v>
      </c>
      <c r="L660" t="s">
        <v>65</v>
      </c>
      <c r="M660">
        <f>SUMIFS(RawResultsLong!$P:$P,RawResultsLong!$A:$A,A660)</f>
        <v>1.752</v>
      </c>
      <c r="N660">
        <f t="shared" si="63"/>
        <v>55.517529850178718</v>
      </c>
      <c r="O660" t="s">
        <v>74</v>
      </c>
      <c r="P660">
        <f>SUMIFS(TechnologyMapping!$D:$D,TechnologyMapping!$A:$A,C660)</f>
        <v>1</v>
      </c>
      <c r="Q660">
        <f t="shared" si="64"/>
        <v>55.517529850178718</v>
      </c>
      <c r="R660">
        <f>SUMIFS(FactorInputs!$I:$I,FactorInputs!$A:$A,B660)</f>
        <v>4.56383744654</v>
      </c>
      <c r="S660" t="str">
        <f>_xlfn.XLOOKUP(B660,FactorInputs!$A$2:$A$888,FactorInputs!$F$2:$F$888,"")</f>
        <v>job-yr/MW</v>
      </c>
      <c r="T660" t="str">
        <f>_xlfn.XLOOKUP(B660,FactorInputs!$A$2:$A$888,FactorInputs!$B$2:$B$888,"")</f>
        <v>French QBIS 2023</v>
      </c>
      <c r="U660" t="str">
        <f>_xlfn.XLOOKUP(B660,FactorInputs!$A$2:$A$888,FactorInputs!$T$2:$T$888,"")</f>
        <v>French QBIS 2023</v>
      </c>
      <c r="V660">
        <f t="shared" si="65"/>
        <v>253.37298166964786</v>
      </c>
    </row>
    <row r="661" spans="1:23" x14ac:dyDescent="0.3">
      <c r="A661" t="str">
        <f t="shared" si="60"/>
        <v>PA|AccumulatedNewCapacity|RE1|PWRHYDDAM|2034</v>
      </c>
      <c r="B661" t="str">
        <f t="shared" si="61"/>
        <v>Hydro (large)|2034|O&amp;M|Direct</v>
      </c>
      <c r="C661" t="str">
        <f t="shared" si="62"/>
        <v>PWRHYDDAM|Hydro (large)</v>
      </c>
      <c r="D661" t="s">
        <v>44</v>
      </c>
      <c r="E661" t="s">
        <v>45</v>
      </c>
      <c r="F661" t="s">
        <v>19</v>
      </c>
      <c r="G661" t="s">
        <v>24</v>
      </c>
      <c r="H661">
        <v>2034</v>
      </c>
      <c r="I661" t="s">
        <v>18</v>
      </c>
      <c r="J661" t="s">
        <v>63</v>
      </c>
      <c r="K661" t="s">
        <v>64</v>
      </c>
      <c r="L661" t="s">
        <v>65</v>
      </c>
      <c r="M661">
        <f>SUMIFS(RawResultsLong!$P:$P,RawResultsLong!$A:$A,A661)</f>
        <v>37.840000000000003</v>
      </c>
      <c r="N661">
        <f t="shared" si="63"/>
        <v>1199.0772428828554</v>
      </c>
      <c r="O661" t="s">
        <v>72</v>
      </c>
      <c r="P661">
        <f>SUMIFS(TechnologyMapping!$D:$D,TechnologyMapping!$A:$A,C661)</f>
        <v>1</v>
      </c>
      <c r="Q661">
        <f t="shared" si="64"/>
        <v>1199.0772428828554</v>
      </c>
      <c r="R661">
        <f>SUMIFS(FactorInputs!$I:$I,FactorInputs!$A:$A,B661)</f>
        <v>0.64129836065599999</v>
      </c>
      <c r="S661" t="str">
        <f>_xlfn.XLOOKUP(B661,FactorInputs!$A$2:$A$888,FactorInputs!$F$2:$F$888,"")</f>
        <v>job/MW</v>
      </c>
      <c r="T661" t="str">
        <f>_xlfn.XLOOKUP(B661,FactorInputs!$A$2:$A$888,FactorInputs!$B$2:$B$888,"")</f>
        <v>Rutovitz 2015</v>
      </c>
      <c r="U661" t="str">
        <f>_xlfn.XLOOKUP(B661,FactorInputs!$A$2:$A$888,FactorInputs!$T$2:$T$888,"")</f>
        <v>Rutovitz 2015</v>
      </c>
      <c r="V661">
        <f t="shared" si="65"/>
        <v>768.96627016069158</v>
      </c>
    </row>
    <row r="662" spans="1:23" x14ac:dyDescent="0.3">
      <c r="A662" t="str">
        <f t="shared" si="60"/>
        <v>PA|AccumulatedNewCapacity|RE1|PWRSOLRTP|2034</v>
      </c>
      <c r="B662" t="str">
        <f t="shared" si="61"/>
        <v>Rooftop solar PV|2034|O&amp;M|Direct</v>
      </c>
      <c r="C662" t="str">
        <f t="shared" si="62"/>
        <v>PWRSOLRTP|Rooftop solar PV</v>
      </c>
      <c r="D662" t="s">
        <v>44</v>
      </c>
      <c r="E662" t="s">
        <v>45</v>
      </c>
      <c r="F662" t="s">
        <v>19</v>
      </c>
      <c r="G662" t="s">
        <v>31</v>
      </c>
      <c r="H662">
        <v>2034</v>
      </c>
      <c r="I662" t="s">
        <v>18</v>
      </c>
      <c r="J662" t="s">
        <v>63</v>
      </c>
      <c r="K662" t="s">
        <v>64</v>
      </c>
      <c r="L662" t="s">
        <v>65</v>
      </c>
      <c r="M662">
        <f>SUMIFS(RawResultsLong!$P:$P,RawResultsLong!$A:$A,A662)</f>
        <v>107.0193214965124</v>
      </c>
      <c r="N662">
        <f t="shared" si="63"/>
        <v>3391.2376573792812</v>
      </c>
      <c r="O662" t="s">
        <v>71</v>
      </c>
      <c r="P662">
        <f>SUMIFS(TechnologyMapping!$D:$D,TechnologyMapping!$A:$A,C662)</f>
        <v>1</v>
      </c>
      <c r="Q662">
        <f t="shared" si="64"/>
        <v>3391.2376573792812</v>
      </c>
      <c r="R662">
        <f>SUMIFS(FactorInputs!$I:$I,FactorInputs!$A:$A,B662)</f>
        <v>0.24952941176499999</v>
      </c>
      <c r="S662" t="str">
        <f>_xlfn.XLOOKUP(B662,FactorInputs!$A$2:$A$888,FactorInputs!$F$2:$F$888,"")</f>
        <v>job/MW</v>
      </c>
      <c r="T662" t="str">
        <f>_xlfn.XLOOKUP(B662,FactorInputs!$A$2:$A$888,FactorInputs!$B$2:$B$888,"")</f>
        <v>JEDI-US</v>
      </c>
      <c r="U662" t="str">
        <f>_xlfn.XLOOKUP(B662,FactorInputs!$A$2:$A$888,FactorInputs!$T$2:$T$888,"")</f>
        <v>JEDI-US</v>
      </c>
      <c r="V662">
        <f t="shared" si="65"/>
        <v>846.21353780116863</v>
      </c>
    </row>
    <row r="663" spans="1:23" x14ac:dyDescent="0.3">
      <c r="A663" t="str">
        <f t="shared" si="60"/>
        <v>PA|AccumulatedNewCapacity|RE1|PWRSOLUGE|2034</v>
      </c>
      <c r="B663" t="str">
        <f t="shared" si="61"/>
        <v>Utility-scale solar PV|2034|O&amp;M|Direct</v>
      </c>
      <c r="C663" t="str">
        <f t="shared" si="62"/>
        <v>PWRSOLUGE|Utility-scale solar PV</v>
      </c>
      <c r="D663" t="s">
        <v>44</v>
      </c>
      <c r="E663" t="s">
        <v>45</v>
      </c>
      <c r="F663" t="s">
        <v>19</v>
      </c>
      <c r="G663" t="s">
        <v>33</v>
      </c>
      <c r="H663">
        <v>2034</v>
      </c>
      <c r="I663" t="s">
        <v>18</v>
      </c>
      <c r="J663" t="s">
        <v>63</v>
      </c>
      <c r="K663" t="s">
        <v>64</v>
      </c>
      <c r="L663" t="s">
        <v>65</v>
      </c>
      <c r="M663">
        <f>SUMIFS(RawResultsLong!$P:$P,RawResultsLong!$A:$A,A663)</f>
        <v>143.394192</v>
      </c>
      <c r="N663">
        <f t="shared" si="63"/>
        <v>4543.8877481177278</v>
      </c>
      <c r="O663" t="s">
        <v>66</v>
      </c>
      <c r="P663">
        <f>SUMIFS(TechnologyMapping!$D:$D,TechnologyMapping!$A:$A,C663)</f>
        <v>1</v>
      </c>
      <c r="Q663">
        <f t="shared" si="64"/>
        <v>4543.8877481177278</v>
      </c>
      <c r="R663">
        <f>SUMIFS(FactorInputs!$I:$I,FactorInputs!$A:$A,B663)</f>
        <v>7.9808108108100004E-2</v>
      </c>
      <c r="S663" t="str">
        <f>_xlfn.XLOOKUP(B663,FactorInputs!$A$2:$A$888,FactorInputs!$F$2:$F$888,"")</f>
        <v>job/MW</v>
      </c>
      <c r="T663" t="str">
        <f>_xlfn.XLOOKUP(B663,FactorInputs!$A$2:$A$888,FactorInputs!$B$2:$B$888,"")</f>
        <v>I-JEDI</v>
      </c>
      <c r="U663" t="str">
        <f>_xlfn.XLOOKUP(B663,FactorInputs!$A$2:$A$888,FactorInputs!$T$2:$T$888,"")</f>
        <v>I-JEDI</v>
      </c>
      <c r="V663">
        <f t="shared" si="65"/>
        <v>362.63908463285071</v>
      </c>
    </row>
    <row r="664" spans="1:23" x14ac:dyDescent="0.3">
      <c r="A664" t="str">
        <f t="shared" si="60"/>
        <v>PA|AccumulatedNewCapacity|RE1|PWRSOLUPE|2034</v>
      </c>
      <c r="B664" t="str">
        <f t="shared" si="61"/>
        <v>Utility-scale solar PV|2034|O&amp;M|Direct</v>
      </c>
      <c r="C664" t="str">
        <f t="shared" si="62"/>
        <v>PWRSOLUPE|Utility-scale solar PV</v>
      </c>
      <c r="D664" t="s">
        <v>44</v>
      </c>
      <c r="E664" t="s">
        <v>45</v>
      </c>
      <c r="F664" t="s">
        <v>19</v>
      </c>
      <c r="G664" t="s">
        <v>34</v>
      </c>
      <c r="H664">
        <v>2034</v>
      </c>
      <c r="I664" t="s">
        <v>18</v>
      </c>
      <c r="J664" t="s">
        <v>63</v>
      </c>
      <c r="K664" t="s">
        <v>64</v>
      </c>
      <c r="L664" t="s">
        <v>65</v>
      </c>
      <c r="M664">
        <f>SUMIFS(RawResultsLong!$P:$P,RawResultsLong!$A:$A,A664)</f>
        <v>12.14419823999993</v>
      </c>
      <c r="N664">
        <f t="shared" si="63"/>
        <v>384.82642026009364</v>
      </c>
      <c r="O664" t="s">
        <v>66</v>
      </c>
      <c r="P664">
        <f>SUMIFS(TechnologyMapping!$D:$D,TechnologyMapping!$A:$A,C664)</f>
        <v>1</v>
      </c>
      <c r="Q664">
        <f t="shared" si="64"/>
        <v>384.82642026009364</v>
      </c>
      <c r="R664">
        <f>SUMIFS(FactorInputs!$I:$I,FactorInputs!$A:$A,B664)</f>
        <v>7.9808108108100004E-2</v>
      </c>
      <c r="S664" t="str">
        <f>_xlfn.XLOOKUP(B664,FactorInputs!$A$2:$A$888,FactorInputs!$F$2:$F$888,"")</f>
        <v>job/MW</v>
      </c>
      <c r="T664" t="str">
        <f>_xlfn.XLOOKUP(B664,FactorInputs!$A$2:$A$888,FactorInputs!$B$2:$B$888,"")</f>
        <v>I-JEDI</v>
      </c>
      <c r="U664" t="str">
        <f>_xlfn.XLOOKUP(B664,FactorInputs!$A$2:$A$888,FactorInputs!$T$2:$T$888,"")</f>
        <v>I-JEDI</v>
      </c>
      <c r="V664">
        <f t="shared" si="65"/>
        <v>30.712268550970681</v>
      </c>
      <c r="W664" t="s">
        <v>67</v>
      </c>
    </row>
    <row r="665" spans="1:23" x14ac:dyDescent="0.3">
      <c r="A665" t="str">
        <f t="shared" si="60"/>
        <v>PA|AccumulatedNewCapacity|RE1|PWRWNDOFS_FIX|2034</v>
      </c>
      <c r="B665" t="str">
        <f t="shared" si="61"/>
        <v>Offshore wind (fixed)|2034|O&amp;M|Direct</v>
      </c>
      <c r="C665" t="str">
        <f t="shared" si="62"/>
        <v>PWRWNDOFS_FIX|Offshore wind (fixed)</v>
      </c>
      <c r="D665" t="s">
        <v>44</v>
      </c>
      <c r="E665" t="s">
        <v>45</v>
      </c>
      <c r="F665" t="s">
        <v>19</v>
      </c>
      <c r="G665" t="s">
        <v>42</v>
      </c>
      <c r="H665">
        <v>2034</v>
      </c>
      <c r="I665" t="s">
        <v>18</v>
      </c>
      <c r="J665" t="s">
        <v>63</v>
      </c>
      <c r="K665" t="s">
        <v>64</v>
      </c>
      <c r="L665" t="s">
        <v>65</v>
      </c>
      <c r="M665">
        <f>SUMIFS(RawResultsLong!$P:$P,RawResultsLong!$A:$A,A665)</f>
        <v>5.2560000000000002</v>
      </c>
      <c r="N665">
        <f t="shared" si="63"/>
        <v>166.55258955053617</v>
      </c>
      <c r="O665" t="s">
        <v>74</v>
      </c>
      <c r="P665">
        <f>SUMIFS(TechnologyMapping!$D:$D,TechnologyMapping!$A:$A,C665)</f>
        <v>1</v>
      </c>
      <c r="Q665">
        <f t="shared" si="64"/>
        <v>166.55258955053617</v>
      </c>
      <c r="R665">
        <f>SUMIFS(FactorInputs!$I:$I,FactorInputs!$A:$A,B665)</f>
        <v>7.4065990783399996E-2</v>
      </c>
      <c r="S665" t="str">
        <f>_xlfn.XLOOKUP(B665,FactorInputs!$A$2:$A$888,FactorInputs!$F$2:$F$888,"")</f>
        <v>job/MW</v>
      </c>
      <c r="T665" t="str">
        <f>_xlfn.XLOOKUP(B665,FactorInputs!$A$2:$A$888,FactorInputs!$B$2:$B$888,"")</f>
        <v>French QBIS 2023</v>
      </c>
      <c r="U665" t="str">
        <f>_xlfn.XLOOKUP(B665,FactorInputs!$A$2:$A$888,FactorInputs!$T$2:$T$888,"")</f>
        <v>French QBIS 2023</v>
      </c>
      <c r="V665">
        <f t="shared" si="65"/>
        <v>12.335882562601414</v>
      </c>
    </row>
    <row r="666" spans="1:23" x14ac:dyDescent="0.3">
      <c r="A666" t="str">
        <f t="shared" si="60"/>
        <v>PA|AccumulatedNewCapacity|RE1|PWRWNDONS|2034</v>
      </c>
      <c r="B666" t="str">
        <f t="shared" si="61"/>
        <v>Onshore wind|2034|O&amp;M|Direct</v>
      </c>
      <c r="C666" t="str">
        <f t="shared" si="62"/>
        <v>PWRWNDONS|Onshore wind</v>
      </c>
      <c r="D666" t="s">
        <v>44</v>
      </c>
      <c r="E666" t="s">
        <v>45</v>
      </c>
      <c r="F666" t="s">
        <v>19</v>
      </c>
      <c r="G666" t="s">
        <v>36</v>
      </c>
      <c r="H666">
        <v>2034</v>
      </c>
      <c r="I666" t="s">
        <v>18</v>
      </c>
      <c r="J666" t="s">
        <v>63</v>
      </c>
      <c r="K666" t="s">
        <v>64</v>
      </c>
      <c r="L666" t="s">
        <v>65</v>
      </c>
      <c r="M666">
        <f>SUMIFS(RawResultsLong!$P:$P,RawResultsLong!$A:$A,A666)</f>
        <v>64.536926395785827</v>
      </c>
      <c r="N666">
        <f t="shared" si="63"/>
        <v>2045.0517908771842</v>
      </c>
      <c r="O666" t="s">
        <v>68</v>
      </c>
      <c r="P666">
        <f>SUMIFS(TechnologyMapping!$D:$D,TechnologyMapping!$A:$A,C666)</f>
        <v>1</v>
      </c>
      <c r="Q666">
        <f t="shared" si="64"/>
        <v>2045.0517908771842</v>
      </c>
      <c r="R666">
        <f>SUMIFS(FactorInputs!$I:$I,FactorInputs!$A:$A,B666)</f>
        <v>2.8160583941599999E-2</v>
      </c>
      <c r="S666" t="str">
        <f>_xlfn.XLOOKUP(B666,FactorInputs!$A$2:$A$888,FactorInputs!$F$2:$F$888,"")</f>
        <v>job/MW</v>
      </c>
      <c r="T666" t="str">
        <f>_xlfn.XLOOKUP(B666,FactorInputs!$A$2:$A$888,FactorInputs!$B$2:$B$888,"")</f>
        <v>I-JEDI</v>
      </c>
      <c r="U666" t="str">
        <f>_xlfn.XLOOKUP(B666,FactorInputs!$A$2:$A$888,FactorInputs!$T$2:$T$888,"")</f>
        <v>I-JEDI</v>
      </c>
      <c r="V666">
        <f t="shared" si="65"/>
        <v>57.58985262191635</v>
      </c>
    </row>
    <row r="667" spans="1:23" x14ac:dyDescent="0.3">
      <c r="A667" t="str">
        <f t="shared" si="60"/>
        <v>PA|NewCapacity|RE1|PWRSOLRTP|2034</v>
      </c>
      <c r="B667" t="str">
        <f t="shared" si="61"/>
        <v>Rooftop solar PV|2034|Construction&amp;Manufacturing|Direct</v>
      </c>
      <c r="C667" t="str">
        <f t="shared" si="62"/>
        <v>PWRSOLRTP|Rooftop solar PV</v>
      </c>
      <c r="D667" t="s">
        <v>44</v>
      </c>
      <c r="E667" t="s">
        <v>45</v>
      </c>
      <c r="F667" t="s">
        <v>19</v>
      </c>
      <c r="G667" t="s">
        <v>31</v>
      </c>
      <c r="H667">
        <v>2034</v>
      </c>
      <c r="I667" t="s">
        <v>37</v>
      </c>
      <c r="J667" t="s">
        <v>69</v>
      </c>
      <c r="K667" t="s">
        <v>70</v>
      </c>
      <c r="L667" t="s">
        <v>65</v>
      </c>
      <c r="M667">
        <f>SUMIFS(RawResultsLong!$P:$P,RawResultsLong!$A:$A,A667)</f>
        <v>8.8776157260621442</v>
      </c>
      <c r="N667">
        <f t="shared" si="63"/>
        <v>281.31466670666157</v>
      </c>
      <c r="O667" t="s">
        <v>71</v>
      </c>
      <c r="P667">
        <f>SUMIFS(TechnologyMapping!$D:$D,TechnologyMapping!$A:$A,C667)</f>
        <v>1</v>
      </c>
      <c r="Q667">
        <f t="shared" si="64"/>
        <v>281.31466670666157</v>
      </c>
      <c r="R667">
        <f>SUMIFS(FactorInputs!$I:$I,FactorInputs!$A:$A,B667)</f>
        <v>6.0114882731600003</v>
      </c>
      <c r="S667" t="str">
        <f>_xlfn.XLOOKUP(B667,FactorInputs!$A$2:$A$888,FactorInputs!$F$2:$F$888,"")</f>
        <v>job-yr/MW</v>
      </c>
      <c r="T667" t="str">
        <f>_xlfn.XLOOKUP(B667,FactorInputs!$A$2:$A$888,FactorInputs!$B$2:$B$888,"")</f>
        <v>JEDI-US</v>
      </c>
      <c r="U667" t="str">
        <f>_xlfn.XLOOKUP(B667,FactorInputs!$A$2:$A$888,FactorInputs!$T$2:$T$888,"")</f>
        <v>JEDI-US</v>
      </c>
      <c r="V667">
        <f t="shared" si="65"/>
        <v>1691.1198199750099</v>
      </c>
    </row>
    <row r="668" spans="1:23" x14ac:dyDescent="0.3">
      <c r="A668" t="str">
        <f t="shared" si="60"/>
        <v>PA|NewCapacity|RE1|PWRWNDOFS_FIX|2034</v>
      </c>
      <c r="B668" t="str">
        <f t="shared" si="61"/>
        <v>Offshore wind (fixed)|2034|Construction&amp;Manufacturing|Direct</v>
      </c>
      <c r="C668" t="str">
        <f t="shared" si="62"/>
        <v>PWRWNDOFS_FIX|Offshore wind (fixed)</v>
      </c>
      <c r="D668" t="s">
        <v>44</v>
      </c>
      <c r="E668" t="s">
        <v>45</v>
      </c>
      <c r="F668" t="s">
        <v>19</v>
      </c>
      <c r="G668" t="s">
        <v>42</v>
      </c>
      <c r="H668">
        <v>2034</v>
      </c>
      <c r="I668" t="s">
        <v>37</v>
      </c>
      <c r="J668" t="s">
        <v>69</v>
      </c>
      <c r="K668" t="s">
        <v>70</v>
      </c>
      <c r="L668" t="s">
        <v>65</v>
      </c>
      <c r="M668">
        <f>SUMIFS(RawResultsLong!$P:$P,RawResultsLong!$A:$A,A668)</f>
        <v>1.752</v>
      </c>
      <c r="N668">
        <f t="shared" si="63"/>
        <v>55.517529850178718</v>
      </c>
      <c r="O668" t="s">
        <v>74</v>
      </c>
      <c r="P668">
        <f>SUMIFS(TechnologyMapping!$D:$D,TechnologyMapping!$A:$A,C668)</f>
        <v>1</v>
      </c>
      <c r="Q668">
        <f t="shared" si="64"/>
        <v>55.517529850178718</v>
      </c>
      <c r="R668">
        <f>SUMIFS(FactorInputs!$I:$I,FactorInputs!$A:$A,B668)</f>
        <v>4.4922904850499998</v>
      </c>
      <c r="S668" t="str">
        <f>_xlfn.XLOOKUP(B668,FactorInputs!$A$2:$A$888,FactorInputs!$F$2:$F$888,"")</f>
        <v>job-yr/MW</v>
      </c>
      <c r="T668" t="str">
        <f>_xlfn.XLOOKUP(B668,FactorInputs!$A$2:$A$888,FactorInputs!$B$2:$B$888,"")</f>
        <v>French QBIS 2023</v>
      </c>
      <c r="U668" t="str">
        <f>_xlfn.XLOOKUP(B668,FactorInputs!$A$2:$A$888,FactorInputs!$T$2:$T$888,"")</f>
        <v>French QBIS 2023</v>
      </c>
      <c r="V668">
        <f t="shared" si="65"/>
        <v>249.40087109943721</v>
      </c>
    </row>
    <row r="669" spans="1:23" x14ac:dyDescent="0.3">
      <c r="A669" t="str">
        <f t="shared" si="60"/>
        <v>PA|NewCapacity|RE1|PWRWNDONS|2034</v>
      </c>
      <c r="B669" t="str">
        <f t="shared" si="61"/>
        <v>Onshore wind|2034|Construction&amp;Manufacturing|Direct</v>
      </c>
      <c r="C669" t="str">
        <f t="shared" si="62"/>
        <v>PWRWNDONS|Onshore wind</v>
      </c>
      <c r="D669" t="s">
        <v>44</v>
      </c>
      <c r="E669" t="s">
        <v>45</v>
      </c>
      <c r="F669" t="s">
        <v>19</v>
      </c>
      <c r="G669" t="s">
        <v>36</v>
      </c>
      <c r="H669">
        <v>2034</v>
      </c>
      <c r="I669" t="s">
        <v>37</v>
      </c>
      <c r="J669" t="s">
        <v>69</v>
      </c>
      <c r="K669" t="s">
        <v>70</v>
      </c>
      <c r="L669" t="s">
        <v>65</v>
      </c>
      <c r="M669">
        <f>SUMIFS(RawResultsLong!$P:$P,RawResultsLong!$A:$A,A669)</f>
        <v>31.270503081500099</v>
      </c>
      <c r="N669">
        <f t="shared" si="63"/>
        <v>990.90244763543797</v>
      </c>
      <c r="O669" t="s">
        <v>68</v>
      </c>
      <c r="P669">
        <f>SUMIFS(TechnologyMapping!$D:$D,TechnologyMapping!$A:$A,C669)</f>
        <v>1</v>
      </c>
      <c r="Q669">
        <f t="shared" si="64"/>
        <v>990.90244763543797</v>
      </c>
      <c r="R669">
        <f>SUMIFS(FactorInputs!$I:$I,FactorInputs!$A:$A,B669)</f>
        <v>6.80462798778</v>
      </c>
      <c r="S669" t="str">
        <f>_xlfn.XLOOKUP(B669,FactorInputs!$A$2:$A$888,FactorInputs!$F$2:$F$888,"")</f>
        <v>job-yr/MW</v>
      </c>
      <c r="T669" t="str">
        <f>_xlfn.XLOOKUP(B669,FactorInputs!$A$2:$A$888,FactorInputs!$B$2:$B$888,"")</f>
        <v>I-JEDI</v>
      </c>
      <c r="U669" t="str">
        <f>_xlfn.XLOOKUP(B669,FactorInputs!$A$2:$A$888,FactorInputs!$T$2:$T$888,"")</f>
        <v>I-JEDI</v>
      </c>
      <c r="V669">
        <f t="shared" si="65"/>
        <v>6742.7225283398075</v>
      </c>
    </row>
    <row r="670" spans="1:23" x14ac:dyDescent="0.3">
      <c r="A670" t="str">
        <f t="shared" si="60"/>
        <v>PA|AccumulatedNewCapacity|RE1|PWRHYDDAM|2035</v>
      </c>
      <c r="B670" t="str">
        <f t="shared" si="61"/>
        <v>Hydro (large)|2035|O&amp;M|Direct</v>
      </c>
      <c r="C670" t="str">
        <f t="shared" si="62"/>
        <v>PWRHYDDAM|Hydro (large)</v>
      </c>
      <c r="D670" t="s">
        <v>44</v>
      </c>
      <c r="E670" t="s">
        <v>45</v>
      </c>
      <c r="F670" t="s">
        <v>19</v>
      </c>
      <c r="G670" t="s">
        <v>24</v>
      </c>
      <c r="H670">
        <v>2035</v>
      </c>
      <c r="I670" t="s">
        <v>18</v>
      </c>
      <c r="J670" t="s">
        <v>63</v>
      </c>
      <c r="K670" t="s">
        <v>64</v>
      </c>
      <c r="L670" t="s">
        <v>65</v>
      </c>
      <c r="M670">
        <f>SUMIFS(RawResultsLong!$P:$P,RawResultsLong!$A:$A,A670)</f>
        <v>37.840000000000003</v>
      </c>
      <c r="N670">
        <f t="shared" si="63"/>
        <v>1199.0772428828554</v>
      </c>
      <c r="O670" t="s">
        <v>72</v>
      </c>
      <c r="P670">
        <f>SUMIFS(TechnologyMapping!$D:$D,TechnologyMapping!$A:$A,C670)</f>
        <v>1</v>
      </c>
      <c r="Q670">
        <f t="shared" si="64"/>
        <v>1199.0772428828554</v>
      </c>
      <c r="R670">
        <f>SUMIFS(FactorInputs!$I:$I,FactorInputs!$A:$A,B670)</f>
        <v>0.64112295082000004</v>
      </c>
      <c r="S670" t="str">
        <f>_xlfn.XLOOKUP(B670,FactorInputs!$A$2:$A$888,FactorInputs!$F$2:$F$888,"")</f>
        <v>job/MW</v>
      </c>
      <c r="T670" t="str">
        <f>_xlfn.XLOOKUP(B670,FactorInputs!$A$2:$A$888,FactorInputs!$B$2:$B$888,"")</f>
        <v>Rutovitz 2015</v>
      </c>
      <c r="U670" t="str">
        <f>_xlfn.XLOOKUP(B670,FactorInputs!$A$2:$A$888,FactorInputs!$T$2:$T$888,"")</f>
        <v>Rutovitz 2015</v>
      </c>
      <c r="V670">
        <f t="shared" si="65"/>
        <v>768.75594021816619</v>
      </c>
    </row>
    <row r="671" spans="1:23" x14ac:dyDescent="0.3">
      <c r="A671" t="str">
        <f t="shared" si="60"/>
        <v>PA|AccumulatedNewCapacity|RE1|PWRSOLRTP|2035</v>
      </c>
      <c r="B671" t="str">
        <f t="shared" si="61"/>
        <v>Rooftop solar PV|2035|O&amp;M|Direct</v>
      </c>
      <c r="C671" t="str">
        <f t="shared" si="62"/>
        <v>PWRSOLRTP|Rooftop solar PV</v>
      </c>
      <c r="D671" t="s">
        <v>44</v>
      </c>
      <c r="E671" t="s">
        <v>45</v>
      </c>
      <c r="F671" t="s">
        <v>19</v>
      </c>
      <c r="G671" t="s">
        <v>31</v>
      </c>
      <c r="H671">
        <v>2035</v>
      </c>
      <c r="I671" t="s">
        <v>18</v>
      </c>
      <c r="J671" t="s">
        <v>63</v>
      </c>
      <c r="K671" t="s">
        <v>64</v>
      </c>
      <c r="L671" t="s">
        <v>65</v>
      </c>
      <c r="M671">
        <f>SUMIFS(RawResultsLong!$P:$P,RawResultsLong!$A:$A,A671)</f>
        <v>114.4701775523146</v>
      </c>
      <c r="N671">
        <f t="shared" si="63"/>
        <v>3627.3410383652304</v>
      </c>
      <c r="O671" t="s">
        <v>71</v>
      </c>
      <c r="P671">
        <f>SUMIFS(TechnologyMapping!$D:$D,TechnologyMapping!$A:$A,C671)</f>
        <v>1</v>
      </c>
      <c r="Q671">
        <f t="shared" si="64"/>
        <v>3627.3410383652304</v>
      </c>
      <c r="R671">
        <f>SUMIFS(FactorInputs!$I:$I,FactorInputs!$A:$A,B671)</f>
        <v>0.2475</v>
      </c>
      <c r="S671" t="str">
        <f>_xlfn.XLOOKUP(B671,FactorInputs!$A$2:$A$888,FactorInputs!$F$2:$F$888,"")</f>
        <v>job/MW</v>
      </c>
      <c r="T671" t="str">
        <f>_xlfn.XLOOKUP(B671,FactorInputs!$A$2:$A$888,FactorInputs!$B$2:$B$888,"")</f>
        <v>JEDI-US</v>
      </c>
      <c r="U671" t="str">
        <f>_xlfn.XLOOKUP(B671,FactorInputs!$A$2:$A$888,FactorInputs!$T$2:$T$888,"")</f>
        <v>JEDI-US</v>
      </c>
      <c r="V671">
        <f t="shared" si="65"/>
        <v>897.76690699539449</v>
      </c>
    </row>
    <row r="672" spans="1:23" x14ac:dyDescent="0.3">
      <c r="A672" t="str">
        <f t="shared" si="60"/>
        <v>PA|AccumulatedNewCapacity|RE1|PWRSOLUGE|2035</v>
      </c>
      <c r="B672" t="str">
        <f t="shared" si="61"/>
        <v>Utility-scale solar PV|2035|O&amp;M|Direct</v>
      </c>
      <c r="C672" t="str">
        <f t="shared" si="62"/>
        <v>PWRSOLUGE|Utility-scale solar PV</v>
      </c>
      <c r="D672" t="s">
        <v>44</v>
      </c>
      <c r="E672" t="s">
        <v>45</v>
      </c>
      <c r="F672" t="s">
        <v>19</v>
      </c>
      <c r="G672" t="s">
        <v>33</v>
      </c>
      <c r="H672">
        <v>2035</v>
      </c>
      <c r="I672" t="s">
        <v>18</v>
      </c>
      <c r="J672" t="s">
        <v>63</v>
      </c>
      <c r="K672" t="s">
        <v>64</v>
      </c>
      <c r="L672" t="s">
        <v>65</v>
      </c>
      <c r="M672">
        <f>SUMIFS(RawResultsLong!$P:$P,RawResultsLong!$A:$A,A672)</f>
        <v>143.394192</v>
      </c>
      <c r="N672">
        <f t="shared" si="63"/>
        <v>4543.8877481177278</v>
      </c>
      <c r="O672" t="s">
        <v>66</v>
      </c>
      <c r="P672">
        <f>SUMIFS(TechnologyMapping!$D:$D,TechnologyMapping!$A:$A,C672)</f>
        <v>1</v>
      </c>
      <c r="Q672">
        <f t="shared" si="64"/>
        <v>4543.8877481177278</v>
      </c>
      <c r="R672">
        <f>SUMIFS(FactorInputs!$I:$I,FactorInputs!$A:$A,B672)</f>
        <v>7.9221283783800001E-2</v>
      </c>
      <c r="S672" t="str">
        <f>_xlfn.XLOOKUP(B672,FactorInputs!$A$2:$A$888,FactorInputs!$F$2:$F$888,"")</f>
        <v>job/MW</v>
      </c>
      <c r="T672" t="str">
        <f>_xlfn.XLOOKUP(B672,FactorInputs!$A$2:$A$888,FactorInputs!$B$2:$B$888,"")</f>
        <v>I-JEDI</v>
      </c>
      <c r="U672" t="str">
        <f>_xlfn.XLOOKUP(B672,FactorInputs!$A$2:$A$888,FactorInputs!$T$2:$T$888,"")</f>
        <v>I-JEDI</v>
      </c>
      <c r="V672">
        <f t="shared" si="65"/>
        <v>359.97262077536647</v>
      </c>
    </row>
    <row r="673" spans="1:23" x14ac:dyDescent="0.3">
      <c r="A673" t="str">
        <f t="shared" si="60"/>
        <v>PA|AccumulatedNewCapacity|RE1|PWRSOLUPE|2035</v>
      </c>
      <c r="B673" t="str">
        <f t="shared" si="61"/>
        <v>Utility-scale solar PV|2035|O&amp;M|Direct</v>
      </c>
      <c r="C673" t="str">
        <f t="shared" si="62"/>
        <v>PWRSOLUPE|Utility-scale solar PV</v>
      </c>
      <c r="D673" t="s">
        <v>44</v>
      </c>
      <c r="E673" t="s">
        <v>45</v>
      </c>
      <c r="F673" t="s">
        <v>19</v>
      </c>
      <c r="G673" t="s">
        <v>34</v>
      </c>
      <c r="H673">
        <v>2035</v>
      </c>
      <c r="I673" t="s">
        <v>18</v>
      </c>
      <c r="J673" t="s">
        <v>63</v>
      </c>
      <c r="K673" t="s">
        <v>64</v>
      </c>
      <c r="L673" t="s">
        <v>65</v>
      </c>
      <c r="M673">
        <f>SUMIFS(RawResultsLong!$P:$P,RawResultsLong!$A:$A,A673)</f>
        <v>12.14419823999993</v>
      </c>
      <c r="N673">
        <f t="shared" si="63"/>
        <v>384.82642026009364</v>
      </c>
      <c r="O673" t="s">
        <v>66</v>
      </c>
      <c r="P673">
        <f>SUMIFS(TechnologyMapping!$D:$D,TechnologyMapping!$A:$A,C673)</f>
        <v>1</v>
      </c>
      <c r="Q673">
        <f t="shared" si="64"/>
        <v>384.82642026009364</v>
      </c>
      <c r="R673">
        <f>SUMIFS(FactorInputs!$I:$I,FactorInputs!$A:$A,B673)</f>
        <v>7.9221283783800001E-2</v>
      </c>
      <c r="S673" t="str">
        <f>_xlfn.XLOOKUP(B673,FactorInputs!$A$2:$A$888,FactorInputs!$F$2:$F$888,"")</f>
        <v>job/MW</v>
      </c>
      <c r="T673" t="str">
        <f>_xlfn.XLOOKUP(B673,FactorInputs!$A$2:$A$888,FactorInputs!$B$2:$B$888,"")</f>
        <v>I-JEDI</v>
      </c>
      <c r="U673" t="str">
        <f>_xlfn.XLOOKUP(B673,FactorInputs!$A$2:$A$888,FactorInputs!$T$2:$T$888,"")</f>
        <v>I-JEDI</v>
      </c>
      <c r="V673">
        <f t="shared" si="65"/>
        <v>30.486443046928759</v>
      </c>
      <c r="W673" t="s">
        <v>67</v>
      </c>
    </row>
    <row r="674" spans="1:23" x14ac:dyDescent="0.3">
      <c r="A674" t="str">
        <f t="shared" si="60"/>
        <v>PA|AccumulatedNewCapacity|RE1|PWRWNDOFS_FIX|2035</v>
      </c>
      <c r="B674" t="str">
        <f t="shared" si="61"/>
        <v>Offshore wind (fixed)|2035|O&amp;M|Direct</v>
      </c>
      <c r="C674" t="str">
        <f t="shared" si="62"/>
        <v>PWRWNDOFS_FIX|Offshore wind (fixed)</v>
      </c>
      <c r="D674" t="s">
        <v>44</v>
      </c>
      <c r="E674" t="s">
        <v>45</v>
      </c>
      <c r="F674" t="s">
        <v>19</v>
      </c>
      <c r="G674" t="s">
        <v>42</v>
      </c>
      <c r="H674">
        <v>2035</v>
      </c>
      <c r="I674" t="s">
        <v>18</v>
      </c>
      <c r="J674" t="s">
        <v>63</v>
      </c>
      <c r="K674" t="s">
        <v>64</v>
      </c>
      <c r="L674" t="s">
        <v>65</v>
      </c>
      <c r="M674">
        <f>SUMIFS(RawResultsLong!$P:$P,RawResultsLong!$A:$A,A674)</f>
        <v>7.008</v>
      </c>
      <c r="N674">
        <f t="shared" si="63"/>
        <v>222.07011940071487</v>
      </c>
      <c r="O674" t="s">
        <v>74</v>
      </c>
      <c r="P674">
        <f>SUMIFS(TechnologyMapping!$D:$D,TechnologyMapping!$A:$A,C674)</f>
        <v>1</v>
      </c>
      <c r="Q674">
        <f t="shared" si="64"/>
        <v>222.07011940071487</v>
      </c>
      <c r="R674">
        <f>SUMIFS(FactorInputs!$I:$I,FactorInputs!$A:$A,B674)</f>
        <v>7.2873732718900006E-2</v>
      </c>
      <c r="S674" t="str">
        <f>_xlfn.XLOOKUP(B674,FactorInputs!$A$2:$A$888,FactorInputs!$F$2:$F$888,"")</f>
        <v>job/MW</v>
      </c>
      <c r="T674" t="str">
        <f>_xlfn.XLOOKUP(B674,FactorInputs!$A$2:$A$888,FactorInputs!$B$2:$B$888,"")</f>
        <v>French QBIS 2023</v>
      </c>
      <c r="U674" t="str">
        <f>_xlfn.XLOOKUP(B674,FactorInputs!$A$2:$A$888,FactorInputs!$T$2:$T$888,"")</f>
        <v>French QBIS 2023</v>
      </c>
      <c r="V674">
        <f t="shared" si="65"/>
        <v>16.183078526061905</v>
      </c>
    </row>
    <row r="675" spans="1:23" x14ac:dyDescent="0.3">
      <c r="A675" t="str">
        <f t="shared" si="60"/>
        <v>PA|AccumulatedNewCapacity|RE1|PWRWNDONS|2035</v>
      </c>
      <c r="B675" t="str">
        <f t="shared" si="61"/>
        <v>Onshore wind|2035|O&amp;M|Direct</v>
      </c>
      <c r="C675" t="str">
        <f t="shared" si="62"/>
        <v>PWRWNDONS|Onshore wind</v>
      </c>
      <c r="D675" t="s">
        <v>44</v>
      </c>
      <c r="E675" t="s">
        <v>45</v>
      </c>
      <c r="F675" t="s">
        <v>19</v>
      </c>
      <c r="G675" t="s">
        <v>36</v>
      </c>
      <c r="H675">
        <v>2035</v>
      </c>
      <c r="I675" t="s">
        <v>18</v>
      </c>
      <c r="J675" t="s">
        <v>63</v>
      </c>
      <c r="K675" t="s">
        <v>64</v>
      </c>
      <c r="L675" t="s">
        <v>65</v>
      </c>
      <c r="M675">
        <f>SUMIFS(RawResultsLong!$P:$P,RawResultsLong!$A:$A,A675)</f>
        <v>111.8469263957858</v>
      </c>
      <c r="N675">
        <f t="shared" si="63"/>
        <v>3544.2152253588929</v>
      </c>
      <c r="O675" t="s">
        <v>68</v>
      </c>
      <c r="P675">
        <f>SUMIFS(TechnologyMapping!$D:$D,TechnologyMapping!$A:$A,C675)</f>
        <v>1</v>
      </c>
      <c r="Q675">
        <f t="shared" si="64"/>
        <v>3544.2152253588929</v>
      </c>
      <c r="R675">
        <f>SUMIFS(FactorInputs!$I:$I,FactorInputs!$A:$A,B675)</f>
        <v>2.8083941605800002E-2</v>
      </c>
      <c r="S675" t="str">
        <f>_xlfn.XLOOKUP(B675,FactorInputs!$A$2:$A$888,FactorInputs!$F$2:$F$888,"")</f>
        <v>job/MW</v>
      </c>
      <c r="T675" t="str">
        <f>_xlfn.XLOOKUP(B675,FactorInputs!$A$2:$A$888,FactorInputs!$B$2:$B$888,"")</f>
        <v>I-JEDI</v>
      </c>
      <c r="U675" t="str">
        <f>_xlfn.XLOOKUP(B675,FactorInputs!$A$2:$A$888,FactorInputs!$T$2:$T$888,"")</f>
        <v>I-JEDI</v>
      </c>
      <c r="V675">
        <f t="shared" si="65"/>
        <v>99.535533427366445</v>
      </c>
    </row>
    <row r="676" spans="1:23" x14ac:dyDescent="0.3">
      <c r="A676" t="str">
        <f t="shared" si="60"/>
        <v>PA|NewCapacity|RE1|PWRSOLRTP|2035</v>
      </c>
      <c r="B676" t="str">
        <f t="shared" si="61"/>
        <v>Rooftop solar PV|2035|Construction&amp;Manufacturing|Direct</v>
      </c>
      <c r="C676" t="str">
        <f t="shared" si="62"/>
        <v>PWRSOLRTP|Rooftop solar PV</v>
      </c>
      <c r="D676" t="s">
        <v>44</v>
      </c>
      <c r="E676" t="s">
        <v>45</v>
      </c>
      <c r="F676" t="s">
        <v>19</v>
      </c>
      <c r="G676" t="s">
        <v>31</v>
      </c>
      <c r="H676">
        <v>2035</v>
      </c>
      <c r="I676" t="s">
        <v>37</v>
      </c>
      <c r="J676" t="s">
        <v>69</v>
      </c>
      <c r="K676" t="s">
        <v>70</v>
      </c>
      <c r="L676" t="s">
        <v>65</v>
      </c>
      <c r="M676">
        <f>SUMIFS(RawResultsLong!$P:$P,RawResultsLong!$A:$A,A676)</f>
        <v>7.4508560558021566</v>
      </c>
      <c r="N676">
        <f t="shared" si="63"/>
        <v>236.10338098594812</v>
      </c>
      <c r="O676" t="s">
        <v>71</v>
      </c>
      <c r="P676">
        <f>SUMIFS(TechnologyMapping!$D:$D,TechnologyMapping!$A:$A,C676)</f>
        <v>1</v>
      </c>
      <c r="Q676">
        <f t="shared" si="64"/>
        <v>236.10338098594812</v>
      </c>
      <c r="R676">
        <f>SUMIFS(FactorInputs!$I:$I,FactorInputs!$A:$A,B676)</f>
        <v>5.90580532237</v>
      </c>
      <c r="S676" t="str">
        <f>_xlfn.XLOOKUP(B676,FactorInputs!$A$2:$A$888,FactorInputs!$F$2:$F$888,"")</f>
        <v>job-yr/MW</v>
      </c>
      <c r="T676" t="str">
        <f>_xlfn.XLOOKUP(B676,FactorInputs!$A$2:$A$888,FactorInputs!$B$2:$B$888,"")</f>
        <v>JEDI-US</v>
      </c>
      <c r="U676" t="str">
        <f>_xlfn.XLOOKUP(B676,FactorInputs!$A$2:$A$888,FactorInputs!$T$2:$T$888,"")</f>
        <v>JEDI-US</v>
      </c>
      <c r="V676">
        <f t="shared" si="65"/>
        <v>1394.3806040563643</v>
      </c>
    </row>
    <row r="677" spans="1:23" x14ac:dyDescent="0.3">
      <c r="A677" t="str">
        <f t="shared" si="60"/>
        <v>PA|NewCapacity|RE1|PWRWNDOFS_FIX|2035</v>
      </c>
      <c r="B677" t="str">
        <f t="shared" si="61"/>
        <v>Offshore wind (fixed)|2035|Construction&amp;Manufacturing|Direct</v>
      </c>
      <c r="C677" t="str">
        <f t="shared" si="62"/>
        <v>PWRWNDOFS_FIX|Offshore wind (fixed)</v>
      </c>
      <c r="D677" t="s">
        <v>44</v>
      </c>
      <c r="E677" t="s">
        <v>45</v>
      </c>
      <c r="F677" t="s">
        <v>19</v>
      </c>
      <c r="G677" t="s">
        <v>42</v>
      </c>
      <c r="H677">
        <v>2035</v>
      </c>
      <c r="I677" t="s">
        <v>37</v>
      </c>
      <c r="J677" t="s">
        <v>69</v>
      </c>
      <c r="K677" t="s">
        <v>70</v>
      </c>
      <c r="L677" t="s">
        <v>65</v>
      </c>
      <c r="M677">
        <f>SUMIFS(RawResultsLong!$P:$P,RawResultsLong!$A:$A,A677)</f>
        <v>1.752</v>
      </c>
      <c r="N677">
        <f t="shared" si="63"/>
        <v>55.517529850178718</v>
      </c>
      <c r="O677" t="s">
        <v>74</v>
      </c>
      <c r="P677">
        <f>SUMIFS(TechnologyMapping!$D:$D,TechnologyMapping!$A:$A,C677)</f>
        <v>1</v>
      </c>
      <c r="Q677">
        <f t="shared" si="64"/>
        <v>55.517529850178718</v>
      </c>
      <c r="R677">
        <f>SUMIFS(FactorInputs!$I:$I,FactorInputs!$A:$A,B677)</f>
        <v>4.4207435235599997</v>
      </c>
      <c r="S677" t="str">
        <f>_xlfn.XLOOKUP(B677,FactorInputs!$A$2:$A$888,FactorInputs!$F$2:$F$888,"")</f>
        <v>job-yr/MW</v>
      </c>
      <c r="T677" t="str">
        <f>_xlfn.XLOOKUP(B677,FactorInputs!$A$2:$A$888,FactorInputs!$B$2:$B$888,"")</f>
        <v>French QBIS 2023</v>
      </c>
      <c r="U677" t="str">
        <f>_xlfn.XLOOKUP(B677,FactorInputs!$A$2:$A$888,FactorInputs!$T$2:$T$888,"")</f>
        <v>French QBIS 2023</v>
      </c>
      <c r="V677">
        <f t="shared" si="65"/>
        <v>245.42876052922654</v>
      </c>
    </row>
    <row r="678" spans="1:23" x14ac:dyDescent="0.3">
      <c r="A678" t="str">
        <f t="shared" si="60"/>
        <v>PA|NewCapacity|RE1|PWRWNDONS|2035</v>
      </c>
      <c r="B678" t="str">
        <f t="shared" si="61"/>
        <v>Onshore wind|2035|Construction&amp;Manufacturing|Direct</v>
      </c>
      <c r="C678" t="str">
        <f t="shared" si="62"/>
        <v>PWRWNDONS|Onshore wind</v>
      </c>
      <c r="D678" t="s">
        <v>44</v>
      </c>
      <c r="E678" t="s">
        <v>45</v>
      </c>
      <c r="F678" t="s">
        <v>19</v>
      </c>
      <c r="G678" t="s">
        <v>36</v>
      </c>
      <c r="H678">
        <v>2035</v>
      </c>
      <c r="I678" t="s">
        <v>37</v>
      </c>
      <c r="J678" t="s">
        <v>69</v>
      </c>
      <c r="K678" t="s">
        <v>70</v>
      </c>
      <c r="L678" t="s">
        <v>65</v>
      </c>
      <c r="M678">
        <f>SUMIFS(RawResultsLong!$P:$P,RawResultsLong!$A:$A,A678)</f>
        <v>47.31</v>
      </c>
      <c r="N678">
        <f t="shared" si="63"/>
        <v>1499.1634344817096</v>
      </c>
      <c r="O678" t="s">
        <v>68</v>
      </c>
      <c r="P678">
        <f>SUMIFS(TechnologyMapping!$D:$D,TechnologyMapping!$A:$A,C678)</f>
        <v>1</v>
      </c>
      <c r="Q678">
        <f t="shared" si="64"/>
        <v>1499.1634344817096</v>
      </c>
      <c r="R678">
        <f>SUMIFS(FactorInputs!$I:$I,FactorInputs!$A:$A,B678)</f>
        <v>6.7863862395799996</v>
      </c>
      <c r="S678" t="str">
        <f>_xlfn.XLOOKUP(B678,FactorInputs!$A$2:$A$888,FactorInputs!$F$2:$F$888,"")</f>
        <v>job-yr/MW</v>
      </c>
      <c r="T678" t="str">
        <f>_xlfn.XLOOKUP(B678,FactorInputs!$A$2:$A$888,FactorInputs!$B$2:$B$888,"")</f>
        <v>I-JEDI</v>
      </c>
      <c r="U678" t="str">
        <f>_xlfn.XLOOKUP(B678,FactorInputs!$A$2:$A$888,FactorInputs!$T$2:$T$888,"")</f>
        <v>I-JEDI</v>
      </c>
      <c r="V678">
        <f t="shared" si="65"/>
        <v>10173.902102648166</v>
      </c>
    </row>
    <row r="679" spans="1:23" x14ac:dyDescent="0.3">
      <c r="A679" t="str">
        <f t="shared" si="60"/>
        <v>PA|AccumulatedNewCapacity|RE1|PWRHYDDAM|2036</v>
      </c>
      <c r="B679" t="str">
        <f t="shared" si="61"/>
        <v>Hydro (large)|2036|O&amp;M|Direct</v>
      </c>
      <c r="C679" t="str">
        <f t="shared" si="62"/>
        <v>PWRHYDDAM|Hydro (large)</v>
      </c>
      <c r="D679" t="s">
        <v>44</v>
      </c>
      <c r="E679" t="s">
        <v>45</v>
      </c>
      <c r="F679" t="s">
        <v>19</v>
      </c>
      <c r="G679" t="s">
        <v>24</v>
      </c>
      <c r="H679">
        <v>2036</v>
      </c>
      <c r="I679" t="s">
        <v>18</v>
      </c>
      <c r="J679" t="s">
        <v>63</v>
      </c>
      <c r="K679" t="s">
        <v>64</v>
      </c>
      <c r="L679" t="s">
        <v>65</v>
      </c>
      <c r="M679">
        <f>SUMIFS(RawResultsLong!$P:$P,RawResultsLong!$A:$A,A679)</f>
        <v>37.840000000000003</v>
      </c>
      <c r="N679">
        <f t="shared" si="63"/>
        <v>1199.0772428828554</v>
      </c>
      <c r="O679" t="s">
        <v>72</v>
      </c>
      <c r="P679">
        <f>SUMIFS(TechnologyMapping!$D:$D,TechnologyMapping!$A:$A,C679)</f>
        <v>1</v>
      </c>
      <c r="Q679">
        <f t="shared" si="64"/>
        <v>1199.0772428828554</v>
      </c>
      <c r="R679">
        <f>SUMIFS(FactorInputs!$I:$I,FactorInputs!$A:$A,B679)</f>
        <v>0.64094754098399997</v>
      </c>
      <c r="S679" t="str">
        <f>_xlfn.XLOOKUP(B679,FactorInputs!$A$2:$A$888,FactorInputs!$F$2:$F$888,"")</f>
        <v>job/MW</v>
      </c>
      <c r="T679" t="str">
        <f>_xlfn.XLOOKUP(B679,FactorInputs!$A$2:$A$888,FactorInputs!$B$2:$B$888,"")</f>
        <v>Rutovitz 2015</v>
      </c>
      <c r="U679" t="str">
        <f>_xlfn.XLOOKUP(B679,FactorInputs!$A$2:$A$888,FactorInputs!$T$2:$T$888,"")</f>
        <v>Rutovitz 2015</v>
      </c>
      <c r="V679">
        <f t="shared" si="65"/>
        <v>768.54561027564068</v>
      </c>
    </row>
    <row r="680" spans="1:23" x14ac:dyDescent="0.3">
      <c r="A680" t="str">
        <f t="shared" si="60"/>
        <v>PA|AccumulatedNewCapacity|RE1|PWRSOLRTP|2036</v>
      </c>
      <c r="B680" t="str">
        <f t="shared" si="61"/>
        <v>Rooftop solar PV|2036|O&amp;M|Direct</v>
      </c>
      <c r="C680" t="str">
        <f t="shared" si="62"/>
        <v>PWRSOLRTP|Rooftop solar PV</v>
      </c>
      <c r="D680" t="s">
        <v>44</v>
      </c>
      <c r="E680" t="s">
        <v>45</v>
      </c>
      <c r="F680" t="s">
        <v>19</v>
      </c>
      <c r="G680" t="s">
        <v>31</v>
      </c>
      <c r="H680">
        <v>2036</v>
      </c>
      <c r="I680" t="s">
        <v>18</v>
      </c>
      <c r="J680" t="s">
        <v>63</v>
      </c>
      <c r="K680" t="s">
        <v>64</v>
      </c>
      <c r="L680" t="s">
        <v>65</v>
      </c>
      <c r="M680">
        <f>SUMIFS(RawResultsLong!$P:$P,RawResultsLong!$A:$A,A680)</f>
        <v>120.6528027901078</v>
      </c>
      <c r="N680">
        <f t="shared" si="63"/>
        <v>3823.256609821653</v>
      </c>
      <c r="O680" t="s">
        <v>71</v>
      </c>
      <c r="P680">
        <f>SUMIFS(TechnologyMapping!$D:$D,TechnologyMapping!$A:$A,C680)</f>
        <v>1</v>
      </c>
      <c r="Q680">
        <f t="shared" si="64"/>
        <v>3823.256609821653</v>
      </c>
      <c r="R680">
        <f>SUMIFS(FactorInputs!$I:$I,FactorInputs!$A:$A,B680)</f>
        <v>0.24547058823500001</v>
      </c>
      <c r="S680" t="str">
        <f>_xlfn.XLOOKUP(B680,FactorInputs!$A$2:$A$888,FactorInputs!$F$2:$F$888,"")</f>
        <v>job/MW</v>
      </c>
      <c r="T680" t="str">
        <f>_xlfn.XLOOKUP(B680,FactorInputs!$A$2:$A$888,FactorInputs!$B$2:$B$888,"")</f>
        <v>JEDI-US</v>
      </c>
      <c r="U680" t="str">
        <f>_xlfn.XLOOKUP(B680,FactorInputs!$A$2:$A$888,FactorInputs!$T$2:$T$888,"")</f>
        <v>JEDI-US</v>
      </c>
      <c r="V680">
        <f t="shared" si="65"/>
        <v>938.49704898627306</v>
      </c>
    </row>
    <row r="681" spans="1:23" x14ac:dyDescent="0.3">
      <c r="A681" t="str">
        <f t="shared" si="60"/>
        <v>PA|AccumulatedNewCapacity|RE1|PWRSOLUGE|2036</v>
      </c>
      <c r="B681" t="str">
        <f t="shared" si="61"/>
        <v>Utility-scale solar PV|2036|O&amp;M|Direct</v>
      </c>
      <c r="C681" t="str">
        <f t="shared" si="62"/>
        <v>PWRSOLUGE|Utility-scale solar PV</v>
      </c>
      <c r="D681" t="s">
        <v>44</v>
      </c>
      <c r="E681" t="s">
        <v>45</v>
      </c>
      <c r="F681" t="s">
        <v>19</v>
      </c>
      <c r="G681" t="s">
        <v>33</v>
      </c>
      <c r="H681">
        <v>2036</v>
      </c>
      <c r="I681" t="s">
        <v>18</v>
      </c>
      <c r="J681" t="s">
        <v>63</v>
      </c>
      <c r="K681" t="s">
        <v>64</v>
      </c>
      <c r="L681" t="s">
        <v>65</v>
      </c>
      <c r="M681">
        <f>SUMIFS(RawResultsLong!$P:$P,RawResultsLong!$A:$A,A681)</f>
        <v>143.394192</v>
      </c>
      <c r="N681">
        <f t="shared" si="63"/>
        <v>4543.8877481177278</v>
      </c>
      <c r="O681" t="s">
        <v>66</v>
      </c>
      <c r="P681">
        <f>SUMIFS(TechnologyMapping!$D:$D,TechnologyMapping!$A:$A,C681)</f>
        <v>1</v>
      </c>
      <c r="Q681">
        <f t="shared" si="64"/>
        <v>4543.8877481177278</v>
      </c>
      <c r="R681">
        <f>SUMIFS(FactorInputs!$I:$I,FactorInputs!$A:$A,B681)</f>
        <v>7.8634459459499997E-2</v>
      </c>
      <c r="S681" t="str">
        <f>_xlfn.XLOOKUP(B681,FactorInputs!$A$2:$A$888,FactorInputs!$F$2:$F$888,"")</f>
        <v>job/MW</v>
      </c>
      <c r="T681" t="str">
        <f>_xlfn.XLOOKUP(B681,FactorInputs!$A$2:$A$888,FactorInputs!$B$2:$B$888,"")</f>
        <v>I-JEDI</v>
      </c>
      <c r="U681" t="str">
        <f>_xlfn.XLOOKUP(B681,FactorInputs!$A$2:$A$888,FactorInputs!$T$2:$T$888,"")</f>
        <v>I-JEDI</v>
      </c>
      <c r="V681">
        <f t="shared" si="65"/>
        <v>357.30615691788222</v>
      </c>
    </row>
    <row r="682" spans="1:23" x14ac:dyDescent="0.3">
      <c r="A682" t="str">
        <f t="shared" si="60"/>
        <v>PA|AccumulatedNewCapacity|RE1|PWRSOLUPE|2036</v>
      </c>
      <c r="B682" t="str">
        <f t="shared" si="61"/>
        <v>Utility-scale solar PV|2036|O&amp;M|Direct</v>
      </c>
      <c r="C682" t="str">
        <f t="shared" si="62"/>
        <v>PWRSOLUPE|Utility-scale solar PV</v>
      </c>
      <c r="D682" t="s">
        <v>44</v>
      </c>
      <c r="E682" t="s">
        <v>45</v>
      </c>
      <c r="F682" t="s">
        <v>19</v>
      </c>
      <c r="G682" t="s">
        <v>34</v>
      </c>
      <c r="H682">
        <v>2036</v>
      </c>
      <c r="I682" t="s">
        <v>18</v>
      </c>
      <c r="J682" t="s">
        <v>63</v>
      </c>
      <c r="K682" t="s">
        <v>64</v>
      </c>
      <c r="L682" t="s">
        <v>65</v>
      </c>
      <c r="M682">
        <f>SUMIFS(RawResultsLong!$P:$P,RawResultsLong!$A:$A,A682)</f>
        <v>12.14419823999993</v>
      </c>
      <c r="N682">
        <f t="shared" si="63"/>
        <v>384.82642026009364</v>
      </c>
      <c r="O682" t="s">
        <v>66</v>
      </c>
      <c r="P682">
        <f>SUMIFS(TechnologyMapping!$D:$D,TechnologyMapping!$A:$A,C682)</f>
        <v>1</v>
      </c>
      <c r="Q682">
        <f t="shared" si="64"/>
        <v>384.82642026009364</v>
      </c>
      <c r="R682">
        <f>SUMIFS(FactorInputs!$I:$I,FactorInputs!$A:$A,B682)</f>
        <v>7.8634459459499997E-2</v>
      </c>
      <c r="S682" t="str">
        <f>_xlfn.XLOOKUP(B682,FactorInputs!$A$2:$A$888,FactorInputs!$F$2:$F$888,"")</f>
        <v>job/MW</v>
      </c>
      <c r="T682" t="str">
        <f>_xlfn.XLOOKUP(B682,FactorInputs!$A$2:$A$888,FactorInputs!$B$2:$B$888,"")</f>
        <v>I-JEDI</v>
      </c>
      <c r="U682" t="str">
        <f>_xlfn.XLOOKUP(B682,FactorInputs!$A$2:$A$888,FactorInputs!$T$2:$T$888,"")</f>
        <v>I-JEDI</v>
      </c>
      <c r="V682">
        <f t="shared" si="65"/>
        <v>30.260617542886841</v>
      </c>
      <c r="W682" t="s">
        <v>67</v>
      </c>
    </row>
    <row r="683" spans="1:23" x14ac:dyDescent="0.3">
      <c r="A683" t="str">
        <f t="shared" si="60"/>
        <v>PA|AccumulatedNewCapacity|RE1|PWRWNDOFS_FIX|2036</v>
      </c>
      <c r="B683" t="str">
        <f t="shared" si="61"/>
        <v>Offshore wind (fixed)|2036|O&amp;M|Direct</v>
      </c>
      <c r="C683" t="str">
        <f t="shared" si="62"/>
        <v>PWRWNDOFS_FIX|Offshore wind (fixed)</v>
      </c>
      <c r="D683" t="s">
        <v>44</v>
      </c>
      <c r="E683" t="s">
        <v>45</v>
      </c>
      <c r="F683" t="s">
        <v>19</v>
      </c>
      <c r="G683" t="s">
        <v>42</v>
      </c>
      <c r="H683">
        <v>2036</v>
      </c>
      <c r="I683" t="s">
        <v>18</v>
      </c>
      <c r="J683" t="s">
        <v>63</v>
      </c>
      <c r="K683" t="s">
        <v>64</v>
      </c>
      <c r="L683" t="s">
        <v>65</v>
      </c>
      <c r="M683">
        <f>SUMIFS(RawResultsLong!$P:$P,RawResultsLong!$A:$A,A683)</f>
        <v>8.76</v>
      </c>
      <c r="N683">
        <f t="shared" si="63"/>
        <v>277.58764925089361</v>
      </c>
      <c r="O683" t="s">
        <v>74</v>
      </c>
      <c r="P683">
        <f>SUMIFS(TechnologyMapping!$D:$D,TechnologyMapping!$A:$A,C683)</f>
        <v>1</v>
      </c>
      <c r="Q683">
        <f t="shared" si="64"/>
        <v>277.58764925089361</v>
      </c>
      <c r="R683">
        <f>SUMIFS(FactorInputs!$I:$I,FactorInputs!$A:$A,B683)</f>
        <v>7.1681474654400001E-2</v>
      </c>
      <c r="S683" t="str">
        <f>_xlfn.XLOOKUP(B683,FactorInputs!$A$2:$A$888,FactorInputs!$F$2:$F$888,"")</f>
        <v>job/MW</v>
      </c>
      <c r="T683" t="str">
        <f>_xlfn.XLOOKUP(B683,FactorInputs!$A$2:$A$888,FactorInputs!$B$2:$B$888,"")</f>
        <v>French QBIS 2023</v>
      </c>
      <c r="U683" t="str">
        <f>_xlfn.XLOOKUP(B683,FactorInputs!$A$2:$A$888,FactorInputs!$T$2:$T$888,"")</f>
        <v>French QBIS 2023</v>
      </c>
      <c r="V683">
        <f t="shared" si="65"/>
        <v>19.897892044152407</v>
      </c>
    </row>
    <row r="684" spans="1:23" x14ac:dyDescent="0.3">
      <c r="A684" t="str">
        <f t="shared" si="60"/>
        <v>PA|AccumulatedNewCapacity|RE1|PWRWNDONS|2036</v>
      </c>
      <c r="B684" t="str">
        <f t="shared" si="61"/>
        <v>Onshore wind|2036|O&amp;M|Direct</v>
      </c>
      <c r="C684" t="str">
        <f t="shared" si="62"/>
        <v>PWRWNDONS|Onshore wind</v>
      </c>
      <c r="D684" t="s">
        <v>44</v>
      </c>
      <c r="E684" t="s">
        <v>45</v>
      </c>
      <c r="F684" t="s">
        <v>19</v>
      </c>
      <c r="G684" t="s">
        <v>36</v>
      </c>
      <c r="H684">
        <v>2036</v>
      </c>
      <c r="I684" t="s">
        <v>18</v>
      </c>
      <c r="J684" t="s">
        <v>63</v>
      </c>
      <c r="K684" t="s">
        <v>64</v>
      </c>
      <c r="L684" t="s">
        <v>65</v>
      </c>
      <c r="M684">
        <f>SUMIFS(RawResultsLong!$P:$P,RawResultsLong!$A:$A,A684)</f>
        <v>159.1569263957858</v>
      </c>
      <c r="N684">
        <f t="shared" si="63"/>
        <v>5043.3786598406023</v>
      </c>
      <c r="O684" t="s">
        <v>68</v>
      </c>
      <c r="P684">
        <f>SUMIFS(TechnologyMapping!$D:$D,TechnologyMapping!$A:$A,C684)</f>
        <v>1</v>
      </c>
      <c r="Q684">
        <f t="shared" si="64"/>
        <v>5043.3786598406023</v>
      </c>
      <c r="R684">
        <f>SUMIFS(FactorInputs!$I:$I,FactorInputs!$A:$A,B684)</f>
        <v>2.8007299270100001E-2</v>
      </c>
      <c r="S684" t="str">
        <f>_xlfn.XLOOKUP(B684,FactorInputs!$A$2:$A$888,FactorInputs!$F$2:$F$888,"")</f>
        <v>job/MW</v>
      </c>
      <c r="T684" t="str">
        <f>_xlfn.XLOOKUP(B684,FactorInputs!$A$2:$A$888,FactorInputs!$B$2:$B$888,"")</f>
        <v>I-JEDI</v>
      </c>
      <c r="U684" t="str">
        <f>_xlfn.XLOOKUP(B684,FactorInputs!$A$2:$A$888,FactorInputs!$T$2:$T$888,"")</f>
        <v>I-JEDI</v>
      </c>
      <c r="V684">
        <f t="shared" si="65"/>
        <v>141.25141545859162</v>
      </c>
    </row>
    <row r="685" spans="1:23" x14ac:dyDescent="0.3">
      <c r="A685" t="str">
        <f t="shared" si="60"/>
        <v>PA|NewCapacity|RE1|PWRSOLRTP|2036</v>
      </c>
      <c r="B685" t="str">
        <f t="shared" si="61"/>
        <v>Rooftop solar PV|2036|Construction&amp;Manufacturing|Direct</v>
      </c>
      <c r="C685" t="str">
        <f t="shared" si="62"/>
        <v>PWRSOLRTP|Rooftop solar PV</v>
      </c>
      <c r="D685" t="s">
        <v>44</v>
      </c>
      <c r="E685" t="s">
        <v>45</v>
      </c>
      <c r="F685" t="s">
        <v>19</v>
      </c>
      <c r="G685" t="s">
        <v>31</v>
      </c>
      <c r="H685">
        <v>2036</v>
      </c>
      <c r="I685" t="s">
        <v>37</v>
      </c>
      <c r="J685" t="s">
        <v>69</v>
      </c>
      <c r="K685" t="s">
        <v>70</v>
      </c>
      <c r="L685" t="s">
        <v>65</v>
      </c>
      <c r="M685">
        <f>SUMIFS(RawResultsLong!$P:$P,RawResultsLong!$A:$A,A685)</f>
        <v>6.1826252377932782</v>
      </c>
      <c r="N685">
        <f t="shared" si="63"/>
        <v>195.915571456425</v>
      </c>
      <c r="O685" t="s">
        <v>71</v>
      </c>
      <c r="P685">
        <f>SUMIFS(TechnologyMapping!$D:$D,TechnologyMapping!$A:$A,C685)</f>
        <v>1</v>
      </c>
      <c r="Q685">
        <f t="shared" si="64"/>
        <v>195.915571456425</v>
      </c>
      <c r="R685">
        <f>SUMIFS(FactorInputs!$I:$I,FactorInputs!$A:$A,B685)</f>
        <v>5.8001223715799997</v>
      </c>
      <c r="S685" t="str">
        <f>_xlfn.XLOOKUP(B685,FactorInputs!$A$2:$A$888,FactorInputs!$F$2:$F$888,"")</f>
        <v>job-yr/MW</v>
      </c>
      <c r="T685" t="str">
        <f>_xlfn.XLOOKUP(B685,FactorInputs!$A$2:$A$888,FactorInputs!$B$2:$B$888,"")</f>
        <v>JEDI-US</v>
      </c>
      <c r="U685" t="str">
        <f>_xlfn.XLOOKUP(B685,FactorInputs!$A$2:$A$888,FactorInputs!$T$2:$T$888,"")</f>
        <v>JEDI-US</v>
      </c>
      <c r="V685">
        <f t="shared" si="65"/>
        <v>1136.3342889452906</v>
      </c>
    </row>
    <row r="686" spans="1:23" x14ac:dyDescent="0.3">
      <c r="A686" t="str">
        <f t="shared" si="60"/>
        <v>PA|NewCapacity|RE1|PWRWNDOFS_FIX|2036</v>
      </c>
      <c r="B686" t="str">
        <f t="shared" si="61"/>
        <v>Offshore wind (fixed)|2036|Construction&amp;Manufacturing|Direct</v>
      </c>
      <c r="C686" t="str">
        <f t="shared" si="62"/>
        <v>PWRWNDOFS_FIX|Offshore wind (fixed)</v>
      </c>
      <c r="D686" t="s">
        <v>44</v>
      </c>
      <c r="E686" t="s">
        <v>45</v>
      </c>
      <c r="F686" t="s">
        <v>19</v>
      </c>
      <c r="G686" t="s">
        <v>42</v>
      </c>
      <c r="H686">
        <v>2036</v>
      </c>
      <c r="I686" t="s">
        <v>37</v>
      </c>
      <c r="J686" t="s">
        <v>69</v>
      </c>
      <c r="K686" t="s">
        <v>70</v>
      </c>
      <c r="L686" t="s">
        <v>65</v>
      </c>
      <c r="M686">
        <f>SUMIFS(RawResultsLong!$P:$P,RawResultsLong!$A:$A,A686)</f>
        <v>1.752</v>
      </c>
      <c r="N686">
        <f t="shared" si="63"/>
        <v>55.517529850178718</v>
      </c>
      <c r="O686" t="s">
        <v>74</v>
      </c>
      <c r="P686">
        <f>SUMIFS(TechnologyMapping!$D:$D,TechnologyMapping!$A:$A,C686)</f>
        <v>1</v>
      </c>
      <c r="Q686">
        <f t="shared" si="64"/>
        <v>55.517529850178718</v>
      </c>
      <c r="R686">
        <f>SUMIFS(FactorInputs!$I:$I,FactorInputs!$A:$A,B686)</f>
        <v>4.3491965620700004</v>
      </c>
      <c r="S686" t="str">
        <f>_xlfn.XLOOKUP(B686,FactorInputs!$A$2:$A$888,FactorInputs!$F$2:$F$888,"")</f>
        <v>job-yr/MW</v>
      </c>
      <c r="T686" t="str">
        <f>_xlfn.XLOOKUP(B686,FactorInputs!$A$2:$A$888,FactorInputs!$B$2:$B$888,"")</f>
        <v>French QBIS 2023</v>
      </c>
      <c r="U686" t="str">
        <f>_xlfn.XLOOKUP(B686,FactorInputs!$A$2:$A$888,FactorInputs!$T$2:$T$888,"")</f>
        <v>French QBIS 2023</v>
      </c>
      <c r="V686">
        <f t="shared" si="65"/>
        <v>241.45664995901589</v>
      </c>
    </row>
    <row r="687" spans="1:23" x14ac:dyDescent="0.3">
      <c r="A687" t="str">
        <f t="shared" si="60"/>
        <v>PA|NewCapacity|RE1|PWRWNDONS|2036</v>
      </c>
      <c r="B687" t="str">
        <f t="shared" si="61"/>
        <v>Onshore wind|2036|Construction&amp;Manufacturing|Direct</v>
      </c>
      <c r="C687" t="str">
        <f t="shared" si="62"/>
        <v>PWRWNDONS|Onshore wind</v>
      </c>
      <c r="D687" t="s">
        <v>44</v>
      </c>
      <c r="E687" t="s">
        <v>45</v>
      </c>
      <c r="F687" t="s">
        <v>19</v>
      </c>
      <c r="G687" t="s">
        <v>36</v>
      </c>
      <c r="H687">
        <v>2036</v>
      </c>
      <c r="I687" t="s">
        <v>37</v>
      </c>
      <c r="J687" t="s">
        <v>69</v>
      </c>
      <c r="K687" t="s">
        <v>70</v>
      </c>
      <c r="L687" t="s">
        <v>65</v>
      </c>
      <c r="M687">
        <f>SUMIFS(RawResultsLong!$P:$P,RawResultsLong!$A:$A,A687)</f>
        <v>47.31</v>
      </c>
      <c r="N687">
        <f t="shared" si="63"/>
        <v>1499.1634344817096</v>
      </c>
      <c r="O687" t="s">
        <v>68</v>
      </c>
      <c r="P687">
        <f>SUMIFS(TechnologyMapping!$D:$D,TechnologyMapping!$A:$A,C687)</f>
        <v>1</v>
      </c>
      <c r="Q687">
        <f t="shared" si="64"/>
        <v>1499.1634344817096</v>
      </c>
      <c r="R687">
        <f>SUMIFS(FactorInputs!$I:$I,FactorInputs!$A:$A,B687)</f>
        <v>6.7681444913800002</v>
      </c>
      <c r="S687" t="str">
        <f>_xlfn.XLOOKUP(B687,FactorInputs!$A$2:$A$888,FactorInputs!$F$2:$F$888,"")</f>
        <v>job-yr/MW</v>
      </c>
      <c r="T687" t="str">
        <f>_xlfn.XLOOKUP(B687,FactorInputs!$A$2:$A$888,FactorInputs!$B$2:$B$888,"")</f>
        <v>I-JEDI</v>
      </c>
      <c r="U687" t="str">
        <f>_xlfn.XLOOKUP(B687,FactorInputs!$A$2:$A$888,FactorInputs!$T$2:$T$888,"")</f>
        <v>I-JEDI</v>
      </c>
      <c r="V687">
        <f t="shared" si="65"/>
        <v>10146.554740765705</v>
      </c>
    </row>
    <row r="688" spans="1:23" x14ac:dyDescent="0.3">
      <c r="A688" t="str">
        <f t="shared" si="60"/>
        <v>PA|AccumulatedNewCapacity|RE1|PWRHYDDAM|2037</v>
      </c>
      <c r="B688" t="str">
        <f t="shared" si="61"/>
        <v>Hydro (large)|2037|O&amp;M|Direct</v>
      </c>
      <c r="C688" t="str">
        <f t="shared" si="62"/>
        <v>PWRHYDDAM|Hydro (large)</v>
      </c>
      <c r="D688" t="s">
        <v>44</v>
      </c>
      <c r="E688" t="s">
        <v>45</v>
      </c>
      <c r="F688" t="s">
        <v>19</v>
      </c>
      <c r="G688" t="s">
        <v>24</v>
      </c>
      <c r="H688">
        <v>2037</v>
      </c>
      <c r="I688" t="s">
        <v>18</v>
      </c>
      <c r="J688" t="s">
        <v>63</v>
      </c>
      <c r="K688" t="s">
        <v>64</v>
      </c>
      <c r="L688" t="s">
        <v>65</v>
      </c>
      <c r="M688">
        <f>SUMIFS(RawResultsLong!$P:$P,RawResultsLong!$A:$A,A688)</f>
        <v>37.840000000000003</v>
      </c>
      <c r="N688">
        <f t="shared" si="63"/>
        <v>1199.0772428828554</v>
      </c>
      <c r="O688" t="s">
        <v>72</v>
      </c>
      <c r="P688">
        <f>SUMIFS(TechnologyMapping!$D:$D,TechnologyMapping!$A:$A,C688)</f>
        <v>1</v>
      </c>
      <c r="Q688">
        <f t="shared" si="64"/>
        <v>1199.0772428828554</v>
      </c>
      <c r="R688">
        <f>SUMIFS(FactorInputs!$I:$I,FactorInputs!$A:$A,B688)</f>
        <v>0.64077213114800002</v>
      </c>
      <c r="S688" t="str">
        <f>_xlfn.XLOOKUP(B688,FactorInputs!$A$2:$A$888,FactorInputs!$F$2:$F$888,"")</f>
        <v>job/MW</v>
      </c>
      <c r="T688" t="str">
        <f>_xlfn.XLOOKUP(B688,FactorInputs!$A$2:$A$888,FactorInputs!$B$2:$B$888,"")</f>
        <v>Rutovitz 2015</v>
      </c>
      <c r="U688" t="str">
        <f>_xlfn.XLOOKUP(B688,FactorInputs!$A$2:$A$888,FactorInputs!$T$2:$T$888,"")</f>
        <v>Rutovitz 2015</v>
      </c>
      <c r="V688">
        <f t="shared" si="65"/>
        <v>768.33528033311529</v>
      </c>
    </row>
    <row r="689" spans="1:23" x14ac:dyDescent="0.3">
      <c r="A689" t="str">
        <f t="shared" si="60"/>
        <v>PA|AccumulatedNewCapacity|RE1|PWRSOLRTP|2037</v>
      </c>
      <c r="B689" t="str">
        <f t="shared" si="61"/>
        <v>Rooftop solar PV|2037|O&amp;M|Direct</v>
      </c>
      <c r="C689" t="str">
        <f t="shared" si="62"/>
        <v>PWRSOLRTP|Rooftop solar PV</v>
      </c>
      <c r="D689" t="s">
        <v>44</v>
      </c>
      <c r="E689" t="s">
        <v>45</v>
      </c>
      <c r="F689" t="s">
        <v>19</v>
      </c>
      <c r="G689" t="s">
        <v>31</v>
      </c>
      <c r="H689">
        <v>2037</v>
      </c>
      <c r="I689" t="s">
        <v>18</v>
      </c>
      <c r="J689" t="s">
        <v>63</v>
      </c>
      <c r="K689" t="s">
        <v>64</v>
      </c>
      <c r="L689" t="s">
        <v>65</v>
      </c>
      <c r="M689">
        <f>SUMIFS(RawResultsLong!$P:$P,RawResultsLong!$A:$A,A689)</f>
        <v>125.72572606214329</v>
      </c>
      <c r="N689">
        <f t="shared" si="63"/>
        <v>3984.0078479397448</v>
      </c>
      <c r="O689" t="s">
        <v>71</v>
      </c>
      <c r="P689">
        <f>SUMIFS(TechnologyMapping!$D:$D,TechnologyMapping!$A:$A,C689)</f>
        <v>1</v>
      </c>
      <c r="Q689">
        <f t="shared" si="64"/>
        <v>3984.0078479397448</v>
      </c>
      <c r="R689">
        <f>SUMIFS(FactorInputs!$I:$I,FactorInputs!$A:$A,B689)</f>
        <v>0.243441176471</v>
      </c>
      <c r="S689" t="str">
        <f>_xlfn.XLOOKUP(B689,FactorInputs!$A$2:$A$888,FactorInputs!$F$2:$F$888,"")</f>
        <v>job/MW</v>
      </c>
      <c r="T689" t="str">
        <f>_xlfn.XLOOKUP(B689,FactorInputs!$A$2:$A$888,FactorInputs!$B$2:$B$888,"")</f>
        <v>JEDI-US</v>
      </c>
      <c r="U689" t="str">
        <f>_xlfn.XLOOKUP(B689,FactorInputs!$A$2:$A$888,FactorInputs!$T$2:$T$888,"")</f>
        <v>JEDI-US</v>
      </c>
      <c r="V689">
        <f t="shared" si="65"/>
        <v>969.87155757214839</v>
      </c>
    </row>
    <row r="690" spans="1:23" x14ac:dyDescent="0.3">
      <c r="A690" t="str">
        <f t="shared" si="60"/>
        <v>PA|AccumulatedNewCapacity|RE1|PWRSOLUGE|2037</v>
      </c>
      <c r="B690" t="str">
        <f t="shared" si="61"/>
        <v>Utility-scale solar PV|2037|O&amp;M|Direct</v>
      </c>
      <c r="C690" t="str">
        <f t="shared" si="62"/>
        <v>PWRSOLUGE|Utility-scale solar PV</v>
      </c>
      <c r="D690" t="s">
        <v>44</v>
      </c>
      <c r="E690" t="s">
        <v>45</v>
      </c>
      <c r="F690" t="s">
        <v>19</v>
      </c>
      <c r="G690" t="s">
        <v>33</v>
      </c>
      <c r="H690">
        <v>2037</v>
      </c>
      <c r="I690" t="s">
        <v>18</v>
      </c>
      <c r="J690" t="s">
        <v>63</v>
      </c>
      <c r="K690" t="s">
        <v>64</v>
      </c>
      <c r="L690" t="s">
        <v>65</v>
      </c>
      <c r="M690">
        <f>SUMIFS(RawResultsLong!$P:$P,RawResultsLong!$A:$A,A690)</f>
        <v>143.394192</v>
      </c>
      <c r="N690">
        <f t="shared" si="63"/>
        <v>4543.8877481177278</v>
      </c>
      <c r="O690" t="s">
        <v>66</v>
      </c>
      <c r="P690">
        <f>SUMIFS(TechnologyMapping!$D:$D,TechnologyMapping!$A:$A,C690)</f>
        <v>1</v>
      </c>
      <c r="Q690">
        <f t="shared" si="64"/>
        <v>4543.8877481177278</v>
      </c>
      <c r="R690">
        <f>SUMIFS(FactorInputs!$I:$I,FactorInputs!$A:$A,B690)</f>
        <v>7.8047635135100005E-2</v>
      </c>
      <c r="S690" t="str">
        <f>_xlfn.XLOOKUP(B690,FactorInputs!$A$2:$A$888,FactorInputs!$F$2:$F$888,"")</f>
        <v>job/MW</v>
      </c>
      <c r="T690" t="str">
        <f>_xlfn.XLOOKUP(B690,FactorInputs!$A$2:$A$888,FactorInputs!$B$2:$B$888,"")</f>
        <v>I-JEDI</v>
      </c>
      <c r="U690" t="str">
        <f>_xlfn.XLOOKUP(B690,FactorInputs!$A$2:$A$888,FactorInputs!$T$2:$T$888,"")</f>
        <v>I-JEDI</v>
      </c>
      <c r="V690">
        <f t="shared" si="65"/>
        <v>354.63969305994362</v>
      </c>
    </row>
    <row r="691" spans="1:23" x14ac:dyDescent="0.3">
      <c r="A691" t="str">
        <f t="shared" si="60"/>
        <v>PA|AccumulatedNewCapacity|RE1|PWRSOLUPE|2037</v>
      </c>
      <c r="B691" t="str">
        <f t="shared" si="61"/>
        <v>Utility-scale solar PV|2037|O&amp;M|Direct</v>
      </c>
      <c r="C691" t="str">
        <f t="shared" si="62"/>
        <v>PWRSOLUPE|Utility-scale solar PV</v>
      </c>
      <c r="D691" t="s">
        <v>44</v>
      </c>
      <c r="E691" t="s">
        <v>45</v>
      </c>
      <c r="F691" t="s">
        <v>19</v>
      </c>
      <c r="G691" t="s">
        <v>34</v>
      </c>
      <c r="H691">
        <v>2037</v>
      </c>
      <c r="I691" t="s">
        <v>18</v>
      </c>
      <c r="J691" t="s">
        <v>63</v>
      </c>
      <c r="K691" t="s">
        <v>64</v>
      </c>
      <c r="L691" t="s">
        <v>65</v>
      </c>
      <c r="M691">
        <f>SUMIFS(RawResultsLong!$P:$P,RawResultsLong!$A:$A,A691)</f>
        <v>12.14419823999993</v>
      </c>
      <c r="N691">
        <f t="shared" si="63"/>
        <v>384.82642026009364</v>
      </c>
      <c r="O691" t="s">
        <v>66</v>
      </c>
      <c r="P691">
        <f>SUMIFS(TechnologyMapping!$D:$D,TechnologyMapping!$A:$A,C691)</f>
        <v>1</v>
      </c>
      <c r="Q691">
        <f t="shared" si="64"/>
        <v>384.82642026009364</v>
      </c>
      <c r="R691">
        <f>SUMIFS(FactorInputs!$I:$I,FactorInputs!$A:$A,B691)</f>
        <v>7.8047635135100005E-2</v>
      </c>
      <c r="S691" t="str">
        <f>_xlfn.XLOOKUP(B691,FactorInputs!$A$2:$A$888,FactorInputs!$F$2:$F$888,"")</f>
        <v>job/MW</v>
      </c>
      <c r="T691" t="str">
        <f>_xlfn.XLOOKUP(B691,FactorInputs!$A$2:$A$888,FactorInputs!$B$2:$B$888,"")</f>
        <v>I-JEDI</v>
      </c>
      <c r="U691" t="str">
        <f>_xlfn.XLOOKUP(B691,FactorInputs!$A$2:$A$888,FactorInputs!$T$2:$T$888,"")</f>
        <v>I-JEDI</v>
      </c>
      <c r="V691">
        <f t="shared" si="65"/>
        <v>30.034792038806444</v>
      </c>
      <c r="W691" t="s">
        <v>67</v>
      </c>
    </row>
    <row r="692" spans="1:23" x14ac:dyDescent="0.3">
      <c r="A692" t="str">
        <f t="shared" si="60"/>
        <v>PA|AccumulatedNewCapacity|RE1|PWRWNDOFS_FIX|2037</v>
      </c>
      <c r="B692" t="str">
        <f t="shared" si="61"/>
        <v>Offshore wind (fixed)|2037|O&amp;M|Direct</v>
      </c>
      <c r="C692" t="str">
        <f t="shared" si="62"/>
        <v>PWRWNDOFS_FIX|Offshore wind (fixed)</v>
      </c>
      <c r="D692" t="s">
        <v>44</v>
      </c>
      <c r="E692" t="s">
        <v>45</v>
      </c>
      <c r="F692" t="s">
        <v>19</v>
      </c>
      <c r="G692" t="s">
        <v>42</v>
      </c>
      <c r="H692">
        <v>2037</v>
      </c>
      <c r="I692" t="s">
        <v>18</v>
      </c>
      <c r="J692" t="s">
        <v>63</v>
      </c>
      <c r="K692" t="s">
        <v>64</v>
      </c>
      <c r="L692" t="s">
        <v>65</v>
      </c>
      <c r="M692">
        <f>SUMIFS(RawResultsLong!$P:$P,RawResultsLong!$A:$A,A692)</f>
        <v>10.512</v>
      </c>
      <c r="N692">
        <f t="shared" si="63"/>
        <v>333.10517910107234</v>
      </c>
      <c r="O692" t="s">
        <v>74</v>
      </c>
      <c r="P692">
        <f>SUMIFS(TechnologyMapping!$D:$D,TechnologyMapping!$A:$A,C692)</f>
        <v>1</v>
      </c>
      <c r="Q692">
        <f t="shared" si="64"/>
        <v>333.10517910107234</v>
      </c>
      <c r="R692">
        <f>SUMIFS(FactorInputs!$I:$I,FactorInputs!$A:$A,B692)</f>
        <v>7.0489216589899997E-2</v>
      </c>
      <c r="S692" t="str">
        <f>_xlfn.XLOOKUP(B692,FactorInputs!$A$2:$A$888,FactorInputs!$F$2:$F$888,"")</f>
        <v>job/MW</v>
      </c>
      <c r="T692" t="str">
        <f>_xlfn.XLOOKUP(B692,FactorInputs!$A$2:$A$888,FactorInputs!$B$2:$B$888,"")</f>
        <v>French QBIS 2023</v>
      </c>
      <c r="U692" t="str">
        <f>_xlfn.XLOOKUP(B692,FactorInputs!$A$2:$A$888,FactorInputs!$T$2:$T$888,"")</f>
        <v>French QBIS 2023</v>
      </c>
      <c r="V692">
        <f t="shared" si="65"/>
        <v>23.480323116872917</v>
      </c>
    </row>
    <row r="693" spans="1:23" x14ac:dyDescent="0.3">
      <c r="A693" t="str">
        <f t="shared" si="60"/>
        <v>PA|AccumulatedNewCapacity|RE1|PWRWNDONS|2037</v>
      </c>
      <c r="B693" t="str">
        <f t="shared" si="61"/>
        <v>Onshore wind|2037|O&amp;M|Direct</v>
      </c>
      <c r="C693" t="str">
        <f t="shared" si="62"/>
        <v>PWRWNDONS|Onshore wind</v>
      </c>
      <c r="D693" t="s">
        <v>44</v>
      </c>
      <c r="E693" t="s">
        <v>45</v>
      </c>
      <c r="F693" t="s">
        <v>19</v>
      </c>
      <c r="G693" t="s">
        <v>36</v>
      </c>
      <c r="H693">
        <v>2037</v>
      </c>
      <c r="I693" t="s">
        <v>18</v>
      </c>
      <c r="J693" t="s">
        <v>63</v>
      </c>
      <c r="K693" t="s">
        <v>64</v>
      </c>
      <c r="L693" t="s">
        <v>65</v>
      </c>
      <c r="M693">
        <f>SUMIFS(RawResultsLong!$P:$P,RawResultsLong!$A:$A,A693)</f>
        <v>160.58802851083539</v>
      </c>
      <c r="N693">
        <f t="shared" si="63"/>
        <v>5088.7275493331372</v>
      </c>
      <c r="O693" t="s">
        <v>68</v>
      </c>
      <c r="P693">
        <f>SUMIFS(TechnologyMapping!$D:$D,TechnologyMapping!$A:$A,C693)</f>
        <v>1</v>
      </c>
      <c r="Q693">
        <f t="shared" si="64"/>
        <v>5088.7275493331372</v>
      </c>
      <c r="R693">
        <f>SUMIFS(FactorInputs!$I:$I,FactorInputs!$A:$A,B693)</f>
        <v>2.79306569343E-2</v>
      </c>
      <c r="S693" t="str">
        <f>_xlfn.XLOOKUP(B693,FactorInputs!$A$2:$A$888,FactorInputs!$F$2:$F$888,"")</f>
        <v>job/MW</v>
      </c>
      <c r="T693" t="str">
        <f>_xlfn.XLOOKUP(B693,FactorInputs!$A$2:$A$888,FactorInputs!$B$2:$B$888,"")</f>
        <v>I-JEDI</v>
      </c>
      <c r="U693" t="str">
        <f>_xlfn.XLOOKUP(B693,FactorInputs!$A$2:$A$888,FactorInputs!$T$2:$T$888,"")</f>
        <v>I-JEDI</v>
      </c>
      <c r="V693">
        <f t="shared" si="65"/>
        <v>142.13150341254504</v>
      </c>
    </row>
    <row r="694" spans="1:23" x14ac:dyDescent="0.3">
      <c r="A694" t="str">
        <f t="shared" si="60"/>
        <v>PA|NewCapacity|RE1|PWRSOLRTP|2037</v>
      </c>
      <c r="B694" t="str">
        <f t="shared" si="61"/>
        <v>Rooftop solar PV|2037|Construction&amp;Manufacturing|Direct</v>
      </c>
      <c r="C694" t="str">
        <f t="shared" si="62"/>
        <v>PWRSOLRTP|Rooftop solar PV</v>
      </c>
      <c r="D694" t="s">
        <v>44</v>
      </c>
      <c r="E694" t="s">
        <v>45</v>
      </c>
      <c r="F694" t="s">
        <v>19</v>
      </c>
      <c r="G694" t="s">
        <v>31</v>
      </c>
      <c r="H694">
        <v>2037</v>
      </c>
      <c r="I694" t="s">
        <v>37</v>
      </c>
      <c r="J694" t="s">
        <v>69</v>
      </c>
      <c r="K694" t="s">
        <v>70</v>
      </c>
      <c r="L694" t="s">
        <v>65</v>
      </c>
      <c r="M694">
        <f>SUMIFS(RawResultsLong!$P:$P,RawResultsLong!$A:$A,A694)</f>
        <v>5.0729232720355109</v>
      </c>
      <c r="N694">
        <f t="shared" si="63"/>
        <v>160.75123811809235</v>
      </c>
      <c r="O694" t="s">
        <v>71</v>
      </c>
      <c r="P694">
        <f>SUMIFS(TechnologyMapping!$D:$D,TechnologyMapping!$A:$A,C694)</f>
        <v>1</v>
      </c>
      <c r="Q694">
        <f t="shared" si="64"/>
        <v>160.75123811809235</v>
      </c>
      <c r="R694">
        <f>SUMIFS(FactorInputs!$I:$I,FactorInputs!$A:$A,B694)</f>
        <v>5.6944394207900002</v>
      </c>
      <c r="S694" t="str">
        <f>_xlfn.XLOOKUP(B694,FactorInputs!$A$2:$A$888,FactorInputs!$F$2:$F$888,"")</f>
        <v>job-yr/MW</v>
      </c>
      <c r="T694" t="str">
        <f>_xlfn.XLOOKUP(B694,FactorInputs!$A$2:$A$888,FactorInputs!$B$2:$B$888,"")</f>
        <v>JEDI-US</v>
      </c>
      <c r="U694" t="str">
        <f>_xlfn.XLOOKUP(B694,FactorInputs!$A$2:$A$888,FactorInputs!$T$2:$T$888,"")</f>
        <v>JEDI-US</v>
      </c>
      <c r="V694">
        <f t="shared" si="65"/>
        <v>915.38818728046522</v>
      </c>
    </row>
    <row r="695" spans="1:23" x14ac:dyDescent="0.3">
      <c r="A695" t="str">
        <f t="shared" si="60"/>
        <v>PA|NewCapacity|RE1|PWRWNDOFS_FIX|2037</v>
      </c>
      <c r="B695" t="str">
        <f t="shared" si="61"/>
        <v>Offshore wind (fixed)|2037|Construction&amp;Manufacturing|Direct</v>
      </c>
      <c r="C695" t="str">
        <f t="shared" si="62"/>
        <v>PWRWNDOFS_FIX|Offshore wind (fixed)</v>
      </c>
      <c r="D695" t="s">
        <v>44</v>
      </c>
      <c r="E695" t="s">
        <v>45</v>
      </c>
      <c r="F695" t="s">
        <v>19</v>
      </c>
      <c r="G695" t="s">
        <v>42</v>
      </c>
      <c r="H695">
        <v>2037</v>
      </c>
      <c r="I695" t="s">
        <v>37</v>
      </c>
      <c r="J695" t="s">
        <v>69</v>
      </c>
      <c r="K695" t="s">
        <v>70</v>
      </c>
      <c r="L695" t="s">
        <v>65</v>
      </c>
      <c r="M695">
        <f>SUMIFS(RawResultsLong!$P:$P,RawResultsLong!$A:$A,A695)</f>
        <v>1.752</v>
      </c>
      <c r="N695">
        <f t="shared" si="63"/>
        <v>55.517529850178718</v>
      </c>
      <c r="O695" t="s">
        <v>74</v>
      </c>
      <c r="P695">
        <f>SUMIFS(TechnologyMapping!$D:$D,TechnologyMapping!$A:$A,C695)</f>
        <v>1</v>
      </c>
      <c r="Q695">
        <f t="shared" si="64"/>
        <v>55.517529850178718</v>
      </c>
      <c r="R695">
        <f>SUMIFS(FactorInputs!$I:$I,FactorInputs!$A:$A,B695)</f>
        <v>4.2776496005700002</v>
      </c>
      <c r="S695" t="str">
        <f>_xlfn.XLOOKUP(B695,FactorInputs!$A$2:$A$888,FactorInputs!$F$2:$F$888,"")</f>
        <v>job-yr/MW</v>
      </c>
      <c r="T695" t="str">
        <f>_xlfn.XLOOKUP(B695,FactorInputs!$A$2:$A$888,FactorInputs!$B$2:$B$888,"")</f>
        <v>French QBIS 2023</v>
      </c>
      <c r="U695" t="str">
        <f>_xlfn.XLOOKUP(B695,FactorInputs!$A$2:$A$888,FactorInputs!$T$2:$T$888,"")</f>
        <v>French QBIS 2023</v>
      </c>
      <c r="V695">
        <f t="shared" si="65"/>
        <v>237.48453938825006</v>
      </c>
    </row>
    <row r="696" spans="1:23" x14ac:dyDescent="0.3">
      <c r="A696" t="str">
        <f t="shared" si="60"/>
        <v>PA|NewCapacity|RE1|PWRWNDONS|2037</v>
      </c>
      <c r="B696" t="str">
        <f t="shared" si="61"/>
        <v>Onshore wind|2037|Construction&amp;Manufacturing|Direct</v>
      </c>
      <c r="C696" t="str">
        <f t="shared" si="62"/>
        <v>PWRWNDONS|Onshore wind</v>
      </c>
      <c r="D696" t="s">
        <v>44</v>
      </c>
      <c r="E696" t="s">
        <v>45</v>
      </c>
      <c r="F696" t="s">
        <v>19</v>
      </c>
      <c r="G696" t="s">
        <v>36</v>
      </c>
      <c r="H696">
        <v>2037</v>
      </c>
      <c r="I696" t="s">
        <v>37</v>
      </c>
      <c r="J696" t="s">
        <v>69</v>
      </c>
      <c r="K696" t="s">
        <v>70</v>
      </c>
      <c r="L696" t="s">
        <v>65</v>
      </c>
      <c r="M696">
        <f>SUMIFS(RawResultsLong!$P:$P,RawResultsLong!$A:$A,A696)</f>
        <v>1.431102115049619</v>
      </c>
      <c r="N696">
        <f t="shared" si="63"/>
        <v>45.348889492534887</v>
      </c>
      <c r="O696" t="s">
        <v>68</v>
      </c>
      <c r="P696">
        <f>SUMIFS(TechnologyMapping!$D:$D,TechnologyMapping!$A:$A,C696)</f>
        <v>1</v>
      </c>
      <c r="Q696">
        <f t="shared" si="64"/>
        <v>45.348889492534887</v>
      </c>
      <c r="R696">
        <f>SUMIFS(FactorInputs!$I:$I,FactorInputs!$A:$A,B696)</f>
        <v>6.7499027431799998</v>
      </c>
      <c r="S696" t="str">
        <f>_xlfn.XLOOKUP(B696,FactorInputs!$A$2:$A$888,FactorInputs!$F$2:$F$888,"")</f>
        <v>job-yr/MW</v>
      </c>
      <c r="T696" t="str">
        <f>_xlfn.XLOOKUP(B696,FactorInputs!$A$2:$A$888,FactorInputs!$B$2:$B$888,"")</f>
        <v>I-JEDI</v>
      </c>
      <c r="U696" t="str">
        <f>_xlfn.XLOOKUP(B696,FactorInputs!$A$2:$A$888,FactorInputs!$T$2:$T$888,"")</f>
        <v>I-JEDI</v>
      </c>
      <c r="V696">
        <f t="shared" si="65"/>
        <v>306.10059358582788</v>
      </c>
    </row>
    <row r="697" spans="1:23" x14ac:dyDescent="0.3">
      <c r="A697" t="str">
        <f t="shared" si="60"/>
        <v>PA|AccumulatedNewCapacity|RE1|PWRHYDDAM|2038</v>
      </c>
      <c r="B697" t="str">
        <f t="shared" si="61"/>
        <v>Hydro (large)|2038|O&amp;M|Direct</v>
      </c>
      <c r="C697" t="str">
        <f t="shared" si="62"/>
        <v>PWRHYDDAM|Hydro (large)</v>
      </c>
      <c r="D697" t="s">
        <v>44</v>
      </c>
      <c r="E697" t="s">
        <v>45</v>
      </c>
      <c r="F697" t="s">
        <v>19</v>
      </c>
      <c r="G697" t="s">
        <v>24</v>
      </c>
      <c r="H697">
        <v>2038</v>
      </c>
      <c r="I697" t="s">
        <v>18</v>
      </c>
      <c r="J697" t="s">
        <v>63</v>
      </c>
      <c r="K697" t="s">
        <v>64</v>
      </c>
      <c r="L697" t="s">
        <v>65</v>
      </c>
      <c r="M697">
        <f>SUMIFS(RawResultsLong!$P:$P,RawResultsLong!$A:$A,A697)</f>
        <v>37.840000000000003</v>
      </c>
      <c r="N697">
        <f t="shared" si="63"/>
        <v>1199.0772428828554</v>
      </c>
      <c r="O697" t="s">
        <v>72</v>
      </c>
      <c r="P697">
        <f>SUMIFS(TechnologyMapping!$D:$D,TechnologyMapping!$A:$A,C697)</f>
        <v>1</v>
      </c>
      <c r="Q697">
        <f t="shared" si="64"/>
        <v>1199.0772428828554</v>
      </c>
      <c r="R697">
        <f>SUMIFS(FactorInputs!$I:$I,FactorInputs!$A:$A,B697)</f>
        <v>0.64059672131099998</v>
      </c>
      <c r="S697" t="str">
        <f>_xlfn.XLOOKUP(B697,FactorInputs!$A$2:$A$888,FactorInputs!$F$2:$F$888,"")</f>
        <v>job/MW</v>
      </c>
      <c r="T697" t="str">
        <f>_xlfn.XLOOKUP(B697,FactorInputs!$A$2:$A$888,FactorInputs!$B$2:$B$888,"")</f>
        <v>Rutovitz 2015</v>
      </c>
      <c r="U697" t="str">
        <f>_xlfn.XLOOKUP(B697,FactorInputs!$A$2:$A$888,FactorInputs!$T$2:$T$888,"")</f>
        <v>Rutovitz 2015</v>
      </c>
      <c r="V697">
        <f t="shared" si="65"/>
        <v>768.12495038939073</v>
      </c>
    </row>
    <row r="698" spans="1:23" x14ac:dyDescent="0.3">
      <c r="A698" t="str">
        <f t="shared" si="60"/>
        <v>PA|AccumulatedNewCapacity|RE1|PWRNUC|2038</v>
      </c>
      <c r="B698" t="str">
        <f t="shared" si="61"/>
        <v>Nuclear|2038|O&amp;M|Direct</v>
      </c>
      <c r="C698" t="str">
        <f t="shared" si="62"/>
        <v>PWRNUC|Nuclear</v>
      </c>
      <c r="D698" t="s">
        <v>44</v>
      </c>
      <c r="E698" t="s">
        <v>45</v>
      </c>
      <c r="F698" t="s">
        <v>19</v>
      </c>
      <c r="G698" t="s">
        <v>47</v>
      </c>
      <c r="H698">
        <v>2038</v>
      </c>
      <c r="I698" t="s">
        <v>18</v>
      </c>
      <c r="J698" t="s">
        <v>63</v>
      </c>
      <c r="K698" t="s">
        <v>64</v>
      </c>
      <c r="L698" t="s">
        <v>65</v>
      </c>
      <c r="M698">
        <f>SUMIFS(RawResultsLong!$P:$P,RawResultsLong!$A:$A,A698)</f>
        <v>9.5120000000000005</v>
      </c>
      <c r="N698">
        <f t="shared" si="63"/>
        <v>301.41709128704338</v>
      </c>
      <c r="O698" t="s">
        <v>81</v>
      </c>
      <c r="P698">
        <f>SUMIFS(TechnologyMapping!$D:$D,TechnologyMapping!$A:$A,C698)</f>
        <v>1</v>
      </c>
      <c r="Q698">
        <f t="shared" si="64"/>
        <v>301.41709128704338</v>
      </c>
      <c r="R698">
        <f>SUMIFS(FactorInputs!$I:$I,FactorInputs!$A:$A,B698)</f>
        <v>1.12316666667</v>
      </c>
      <c r="S698" t="str">
        <f>_xlfn.XLOOKUP(B698,FactorInputs!$A$2:$A$888,FactorInputs!$F$2:$F$888,"")</f>
        <v>job/MW</v>
      </c>
      <c r="T698" t="str">
        <f>_xlfn.XLOOKUP(B698,FactorInputs!$A$2:$A$888,FactorInputs!$B$2:$B$888,"")</f>
        <v>Rutovitz 2015</v>
      </c>
      <c r="U698" t="str">
        <f>_xlfn.XLOOKUP(B698,FactorInputs!$A$2:$A$888,FactorInputs!$T$2:$T$888,"")</f>
        <v>Rutovitz 2015</v>
      </c>
      <c r="V698">
        <f t="shared" si="65"/>
        <v>338.54162969823562</v>
      </c>
    </row>
    <row r="699" spans="1:23" x14ac:dyDescent="0.3">
      <c r="A699" t="str">
        <f t="shared" si="60"/>
        <v>PA|AccumulatedNewCapacity|RE1|PWRSOLRTP|2038</v>
      </c>
      <c r="B699" t="str">
        <f t="shared" si="61"/>
        <v>Rooftop solar PV|2038|O&amp;M|Direct</v>
      </c>
      <c r="C699" t="str">
        <f t="shared" si="62"/>
        <v>PWRSOLRTP|Rooftop solar PV</v>
      </c>
      <c r="D699" t="s">
        <v>44</v>
      </c>
      <c r="E699" t="s">
        <v>45</v>
      </c>
      <c r="F699" t="s">
        <v>19</v>
      </c>
      <c r="G699" t="s">
        <v>31</v>
      </c>
      <c r="H699">
        <v>2038</v>
      </c>
      <c r="I699" t="s">
        <v>18</v>
      </c>
      <c r="J699" t="s">
        <v>63</v>
      </c>
      <c r="K699" t="s">
        <v>64</v>
      </c>
      <c r="L699" t="s">
        <v>65</v>
      </c>
      <c r="M699">
        <f>SUMIFS(RawResultsLong!$P:$P,RawResultsLong!$A:$A,A699)</f>
        <v>129.84747622067221</v>
      </c>
      <c r="N699">
        <f t="shared" si="63"/>
        <v>4114.6182289106964</v>
      </c>
      <c r="O699" t="s">
        <v>71</v>
      </c>
      <c r="P699">
        <f>SUMIFS(TechnologyMapping!$D:$D,TechnologyMapping!$A:$A,C699)</f>
        <v>1</v>
      </c>
      <c r="Q699">
        <f t="shared" si="64"/>
        <v>4114.6182289106964</v>
      </c>
      <c r="R699">
        <f>SUMIFS(FactorInputs!$I:$I,FactorInputs!$A:$A,B699)</f>
        <v>0.24141176470600001</v>
      </c>
      <c r="S699" t="str">
        <f>_xlfn.XLOOKUP(B699,FactorInputs!$A$2:$A$888,FactorInputs!$F$2:$F$888,"")</f>
        <v>job/MW</v>
      </c>
      <c r="T699" t="str">
        <f>_xlfn.XLOOKUP(B699,FactorInputs!$A$2:$A$888,FactorInputs!$B$2:$B$888,"")</f>
        <v>JEDI-US</v>
      </c>
      <c r="U699" t="str">
        <f>_xlfn.XLOOKUP(B699,FactorInputs!$A$2:$A$888,FactorInputs!$T$2:$T$888,"")</f>
        <v>JEDI-US</v>
      </c>
      <c r="V699">
        <f t="shared" si="65"/>
        <v>993.31724773280757</v>
      </c>
    </row>
    <row r="700" spans="1:23" x14ac:dyDescent="0.3">
      <c r="A700" t="str">
        <f t="shared" si="60"/>
        <v>PA|AccumulatedNewCapacity|RE1|PWRSOLUGE|2038</v>
      </c>
      <c r="B700" t="str">
        <f t="shared" si="61"/>
        <v>Utility-scale solar PV|2038|O&amp;M|Direct</v>
      </c>
      <c r="C700" t="str">
        <f t="shared" si="62"/>
        <v>PWRSOLUGE|Utility-scale solar PV</v>
      </c>
      <c r="D700" t="s">
        <v>44</v>
      </c>
      <c r="E700" t="s">
        <v>45</v>
      </c>
      <c r="F700" t="s">
        <v>19</v>
      </c>
      <c r="G700" t="s">
        <v>33</v>
      </c>
      <c r="H700">
        <v>2038</v>
      </c>
      <c r="I700" t="s">
        <v>18</v>
      </c>
      <c r="J700" t="s">
        <v>63</v>
      </c>
      <c r="K700" t="s">
        <v>64</v>
      </c>
      <c r="L700" t="s">
        <v>65</v>
      </c>
      <c r="M700">
        <f>SUMIFS(RawResultsLong!$P:$P,RawResultsLong!$A:$A,A700)</f>
        <v>143.394192</v>
      </c>
      <c r="N700">
        <f t="shared" si="63"/>
        <v>4543.8877481177278</v>
      </c>
      <c r="O700" t="s">
        <v>66</v>
      </c>
      <c r="P700">
        <f>SUMIFS(TechnologyMapping!$D:$D,TechnologyMapping!$A:$A,C700)</f>
        <v>1</v>
      </c>
      <c r="Q700">
        <f t="shared" si="64"/>
        <v>4543.8877481177278</v>
      </c>
      <c r="R700">
        <f>SUMIFS(FactorInputs!$I:$I,FactorInputs!$A:$A,B700)</f>
        <v>7.7460810810800002E-2</v>
      </c>
      <c r="S700" t="str">
        <f>_xlfn.XLOOKUP(B700,FactorInputs!$A$2:$A$888,FactorInputs!$F$2:$F$888,"")</f>
        <v>job/MW</v>
      </c>
      <c r="T700" t="str">
        <f>_xlfn.XLOOKUP(B700,FactorInputs!$A$2:$A$888,FactorInputs!$B$2:$B$888,"")</f>
        <v>I-JEDI</v>
      </c>
      <c r="U700" t="str">
        <f>_xlfn.XLOOKUP(B700,FactorInputs!$A$2:$A$888,FactorInputs!$T$2:$T$888,"")</f>
        <v>I-JEDI</v>
      </c>
      <c r="V700">
        <f t="shared" si="65"/>
        <v>351.97322920245938</v>
      </c>
    </row>
    <row r="701" spans="1:23" x14ac:dyDescent="0.3">
      <c r="A701" t="str">
        <f t="shared" si="60"/>
        <v>PA|AccumulatedNewCapacity|RE1|PWRSOLUPE|2038</v>
      </c>
      <c r="B701" t="str">
        <f t="shared" si="61"/>
        <v>Utility-scale solar PV|2038|O&amp;M|Direct</v>
      </c>
      <c r="C701" t="str">
        <f t="shared" si="62"/>
        <v>PWRSOLUPE|Utility-scale solar PV</v>
      </c>
      <c r="D701" t="s">
        <v>44</v>
      </c>
      <c r="E701" t="s">
        <v>45</v>
      </c>
      <c r="F701" t="s">
        <v>19</v>
      </c>
      <c r="G701" t="s">
        <v>34</v>
      </c>
      <c r="H701">
        <v>2038</v>
      </c>
      <c r="I701" t="s">
        <v>18</v>
      </c>
      <c r="J701" t="s">
        <v>63</v>
      </c>
      <c r="K701" t="s">
        <v>64</v>
      </c>
      <c r="L701" t="s">
        <v>65</v>
      </c>
      <c r="M701">
        <f>SUMIFS(RawResultsLong!$P:$P,RawResultsLong!$A:$A,A701)</f>
        <v>12.14419823999993</v>
      </c>
      <c r="N701">
        <f t="shared" si="63"/>
        <v>384.82642026009364</v>
      </c>
      <c r="O701" t="s">
        <v>66</v>
      </c>
      <c r="P701">
        <f>SUMIFS(TechnologyMapping!$D:$D,TechnologyMapping!$A:$A,C701)</f>
        <v>1</v>
      </c>
      <c r="Q701">
        <f t="shared" si="64"/>
        <v>384.82642026009364</v>
      </c>
      <c r="R701">
        <f>SUMIFS(FactorInputs!$I:$I,FactorInputs!$A:$A,B701)</f>
        <v>7.7460810810800002E-2</v>
      </c>
      <c r="S701" t="str">
        <f>_xlfn.XLOOKUP(B701,FactorInputs!$A$2:$A$888,FactorInputs!$F$2:$F$888,"")</f>
        <v>job/MW</v>
      </c>
      <c r="T701" t="str">
        <f>_xlfn.XLOOKUP(B701,FactorInputs!$A$2:$A$888,FactorInputs!$B$2:$B$888,"")</f>
        <v>I-JEDI</v>
      </c>
      <c r="U701" t="str">
        <f>_xlfn.XLOOKUP(B701,FactorInputs!$A$2:$A$888,FactorInputs!$T$2:$T$888,"")</f>
        <v>I-JEDI</v>
      </c>
      <c r="V701">
        <f t="shared" si="65"/>
        <v>29.808966534764526</v>
      </c>
      <c r="W701" t="s">
        <v>67</v>
      </c>
    </row>
    <row r="702" spans="1:23" x14ac:dyDescent="0.3">
      <c r="A702" t="str">
        <f t="shared" si="60"/>
        <v>PA|AccumulatedNewCapacity|RE1|PWRWNDOFS_FIX|2038</v>
      </c>
      <c r="B702" t="str">
        <f t="shared" si="61"/>
        <v>Offshore wind (fixed)|2038|O&amp;M|Direct</v>
      </c>
      <c r="C702" t="str">
        <f t="shared" si="62"/>
        <v>PWRWNDOFS_FIX|Offshore wind (fixed)</v>
      </c>
      <c r="D702" t="s">
        <v>44</v>
      </c>
      <c r="E702" t="s">
        <v>45</v>
      </c>
      <c r="F702" t="s">
        <v>19</v>
      </c>
      <c r="G702" t="s">
        <v>42</v>
      </c>
      <c r="H702">
        <v>2038</v>
      </c>
      <c r="I702" t="s">
        <v>18</v>
      </c>
      <c r="J702" t="s">
        <v>63</v>
      </c>
      <c r="K702" t="s">
        <v>64</v>
      </c>
      <c r="L702" t="s">
        <v>65</v>
      </c>
      <c r="M702">
        <f>SUMIFS(RawResultsLong!$P:$P,RawResultsLong!$A:$A,A702)</f>
        <v>12.263999999999999</v>
      </c>
      <c r="N702">
        <f t="shared" si="63"/>
        <v>388.62270895125101</v>
      </c>
      <c r="O702" t="s">
        <v>74</v>
      </c>
      <c r="P702">
        <f>SUMIFS(TechnologyMapping!$D:$D,TechnologyMapping!$A:$A,C702)</f>
        <v>1</v>
      </c>
      <c r="Q702">
        <f t="shared" si="64"/>
        <v>388.62270895125101</v>
      </c>
      <c r="R702">
        <f>SUMIFS(FactorInputs!$I:$I,FactorInputs!$A:$A,B702)</f>
        <v>6.9296958525300004E-2</v>
      </c>
      <c r="S702" t="str">
        <f>_xlfn.XLOOKUP(B702,FactorInputs!$A$2:$A$888,FactorInputs!$F$2:$F$888,"")</f>
        <v>job/MW</v>
      </c>
      <c r="T702" t="str">
        <f>_xlfn.XLOOKUP(B702,FactorInputs!$A$2:$A$888,FactorInputs!$B$2:$B$888,"")</f>
        <v>French QBIS 2023</v>
      </c>
      <c r="U702" t="str">
        <f>_xlfn.XLOOKUP(B702,FactorInputs!$A$2:$A$888,FactorInputs!$T$2:$T$888,"")</f>
        <v>French QBIS 2023</v>
      </c>
      <c r="V702">
        <f t="shared" si="65"/>
        <v>26.930371744184576</v>
      </c>
    </row>
    <row r="703" spans="1:23" x14ac:dyDescent="0.3">
      <c r="A703" t="str">
        <f t="shared" si="60"/>
        <v>PA|AccumulatedNewCapacity|RE1|PWRWNDONS|2038</v>
      </c>
      <c r="B703" t="str">
        <f t="shared" si="61"/>
        <v>Onshore wind|2038|O&amp;M|Direct</v>
      </c>
      <c r="C703" t="str">
        <f t="shared" si="62"/>
        <v>PWRWNDONS|Onshore wind</v>
      </c>
      <c r="D703" t="s">
        <v>44</v>
      </c>
      <c r="E703" t="s">
        <v>45</v>
      </c>
      <c r="F703" t="s">
        <v>19</v>
      </c>
      <c r="G703" t="s">
        <v>36</v>
      </c>
      <c r="H703">
        <v>2038</v>
      </c>
      <c r="I703" t="s">
        <v>18</v>
      </c>
      <c r="J703" t="s">
        <v>63</v>
      </c>
      <c r="K703" t="s">
        <v>64</v>
      </c>
      <c r="L703" t="s">
        <v>65</v>
      </c>
      <c r="M703">
        <f>SUMIFS(RawResultsLong!$P:$P,RawResultsLong!$A:$A,A703)</f>
        <v>160.58802851083539</v>
      </c>
      <c r="N703">
        <f t="shared" si="63"/>
        <v>5088.7275493331372</v>
      </c>
      <c r="O703" t="s">
        <v>68</v>
      </c>
      <c r="P703">
        <f>SUMIFS(TechnologyMapping!$D:$D,TechnologyMapping!$A:$A,C703)</f>
        <v>1</v>
      </c>
      <c r="Q703">
        <f t="shared" si="64"/>
        <v>5088.7275493331372</v>
      </c>
      <c r="R703">
        <f>SUMIFS(FactorInputs!$I:$I,FactorInputs!$A:$A,B703)</f>
        <v>2.7854014598499999E-2</v>
      </c>
      <c r="S703" t="str">
        <f>_xlfn.XLOOKUP(B703,FactorInputs!$A$2:$A$888,FactorInputs!$F$2:$F$888,"")</f>
        <v>job/MW</v>
      </c>
      <c r="T703" t="str">
        <f>_xlfn.XLOOKUP(B703,FactorInputs!$A$2:$A$888,FactorInputs!$B$2:$B$888,"")</f>
        <v>I-JEDI</v>
      </c>
      <c r="U703" t="str">
        <f>_xlfn.XLOOKUP(B703,FactorInputs!$A$2:$A$888,FactorInputs!$T$2:$T$888,"")</f>
        <v>I-JEDI</v>
      </c>
      <c r="V703">
        <f t="shared" si="65"/>
        <v>141.74149144691432</v>
      </c>
    </row>
    <row r="704" spans="1:23" x14ac:dyDescent="0.3">
      <c r="A704" t="str">
        <f t="shared" si="60"/>
        <v>PA|NewCapacity|RE1|PWRNUC|2038</v>
      </c>
      <c r="B704" t="str">
        <f t="shared" si="61"/>
        <v>Nuclear|2038|Construction&amp;Manufacturing|Direct</v>
      </c>
      <c r="C704" t="str">
        <f t="shared" si="62"/>
        <v>PWRNUC|Nuclear</v>
      </c>
      <c r="D704" t="s">
        <v>44</v>
      </c>
      <c r="E704" t="s">
        <v>45</v>
      </c>
      <c r="F704" t="s">
        <v>19</v>
      </c>
      <c r="G704" t="s">
        <v>47</v>
      </c>
      <c r="H704">
        <v>2038</v>
      </c>
      <c r="I704" t="s">
        <v>37</v>
      </c>
      <c r="J704" t="s">
        <v>69</v>
      </c>
      <c r="K704" t="s">
        <v>70</v>
      </c>
      <c r="L704" t="s">
        <v>65</v>
      </c>
      <c r="M704">
        <f>SUMIFS(RawResultsLong!$P:$P,RawResultsLong!$A:$A,A704)</f>
        <v>9.5120000000000005</v>
      </c>
      <c r="N704">
        <f t="shared" si="63"/>
        <v>301.41709128704338</v>
      </c>
      <c r="O704" t="s">
        <v>81</v>
      </c>
      <c r="P704">
        <f>SUMIFS(TechnologyMapping!$D:$D,TechnologyMapping!$A:$A,C704)</f>
        <v>1</v>
      </c>
      <c r="Q704">
        <f t="shared" si="64"/>
        <v>301.41709128704338</v>
      </c>
      <c r="R704">
        <f>SUMIFS(FactorInputs!$I:$I,FactorInputs!$A:$A,B704)</f>
        <v>19.735949367100002</v>
      </c>
      <c r="S704" t="str">
        <f>_xlfn.XLOOKUP(B704,FactorInputs!$A$2:$A$888,FactorInputs!$F$2:$F$888,"")</f>
        <v>job-yr/MW</v>
      </c>
      <c r="T704" t="str">
        <f>_xlfn.XLOOKUP(B704,FactorInputs!$A$2:$A$888,FactorInputs!$B$2:$B$888,"")</f>
        <v>Rutovitz 2015</v>
      </c>
      <c r="U704" t="str">
        <f>_xlfn.XLOOKUP(B704,FactorInputs!$A$2:$A$888,FactorInputs!$T$2:$T$888,"")</f>
        <v>Rutovitz 2015</v>
      </c>
      <c r="V704">
        <f t="shared" si="65"/>
        <v>5948.7524520196475</v>
      </c>
    </row>
    <row r="705" spans="1:23" x14ac:dyDescent="0.3">
      <c r="A705" t="str">
        <f t="shared" si="60"/>
        <v>PA|NewCapacity|RE1|PWRSOLRTP|2038</v>
      </c>
      <c r="B705" t="str">
        <f t="shared" si="61"/>
        <v>Rooftop solar PV|2038|Construction&amp;Manufacturing|Direct</v>
      </c>
      <c r="C705" t="str">
        <f t="shared" si="62"/>
        <v>PWRSOLRTP|Rooftop solar PV</v>
      </c>
      <c r="D705" t="s">
        <v>44</v>
      </c>
      <c r="E705" t="s">
        <v>45</v>
      </c>
      <c r="F705" t="s">
        <v>19</v>
      </c>
      <c r="G705" t="s">
        <v>31</v>
      </c>
      <c r="H705">
        <v>2038</v>
      </c>
      <c r="I705" t="s">
        <v>37</v>
      </c>
      <c r="J705" t="s">
        <v>69</v>
      </c>
      <c r="K705" t="s">
        <v>70</v>
      </c>
      <c r="L705" t="s">
        <v>65</v>
      </c>
      <c r="M705">
        <f>SUMIFS(RawResultsLong!$P:$P,RawResultsLong!$A:$A,A705)</f>
        <v>4.1217501585288527</v>
      </c>
      <c r="N705">
        <f t="shared" si="63"/>
        <v>130.61038097095002</v>
      </c>
      <c r="O705" t="s">
        <v>71</v>
      </c>
      <c r="P705">
        <f>SUMIFS(TechnologyMapping!$D:$D,TechnologyMapping!$A:$A,C705)</f>
        <v>1</v>
      </c>
      <c r="Q705">
        <f t="shared" si="64"/>
        <v>130.61038097095002</v>
      </c>
      <c r="R705">
        <f>SUMIFS(FactorInputs!$I:$I,FactorInputs!$A:$A,B705)</f>
        <v>5.5887564700099999</v>
      </c>
      <c r="S705" t="str">
        <f>_xlfn.XLOOKUP(B705,FactorInputs!$A$2:$A$888,FactorInputs!$F$2:$F$888,"")</f>
        <v>job-yr/MW</v>
      </c>
      <c r="T705" t="str">
        <f>_xlfn.XLOOKUP(B705,FactorInputs!$A$2:$A$888,FactorInputs!$B$2:$B$888,"")</f>
        <v>JEDI-US</v>
      </c>
      <c r="U705" t="str">
        <f>_xlfn.XLOOKUP(B705,FactorInputs!$A$2:$A$888,FactorInputs!$T$2:$T$888,"")</f>
        <v>JEDI-US</v>
      </c>
      <c r="V705">
        <f t="shared" si="65"/>
        <v>729.94961170186787</v>
      </c>
    </row>
    <row r="706" spans="1:23" x14ac:dyDescent="0.3">
      <c r="A706" t="str">
        <f t="shared" ref="A706:A769" si="66">D706&amp;"|"&amp;I706&amp;"|"&amp;F706&amp;"|"&amp;G706&amp;"|"&amp;H706</f>
        <v>PA|NewCapacity|RE1|PWRWNDOFS_FIX|2038</v>
      </c>
      <c r="B706" t="str">
        <f t="shared" ref="B706:B769" si="67">O706&amp;"|"&amp;H706&amp;"|"&amp;K706&amp;"|"&amp;L706</f>
        <v>Offshore wind (fixed)|2038|Construction&amp;Manufacturing|Direct</v>
      </c>
      <c r="C706" t="str">
        <f t="shared" ref="C706:C769" si="68">G706&amp;"|"&amp;O706</f>
        <v>PWRWNDOFS_FIX|Offshore wind (fixed)</v>
      </c>
      <c r="D706" t="s">
        <v>44</v>
      </c>
      <c r="E706" t="s">
        <v>45</v>
      </c>
      <c r="F706" t="s">
        <v>19</v>
      </c>
      <c r="G706" t="s">
        <v>42</v>
      </c>
      <c r="H706">
        <v>2038</v>
      </c>
      <c r="I706" t="s">
        <v>37</v>
      </c>
      <c r="J706" t="s">
        <v>69</v>
      </c>
      <c r="K706" t="s">
        <v>70</v>
      </c>
      <c r="L706" t="s">
        <v>65</v>
      </c>
      <c r="M706">
        <f>SUMIFS(RawResultsLong!$P:$P,RawResultsLong!$A:$A,A706)</f>
        <v>1.752</v>
      </c>
      <c r="N706">
        <f t="shared" ref="N706:N769" si="69">M706*1000/31.5576</f>
        <v>55.517529850178718</v>
      </c>
      <c r="O706" t="s">
        <v>74</v>
      </c>
      <c r="P706">
        <f>SUMIFS(TechnologyMapping!$D:$D,TechnologyMapping!$A:$A,C706)</f>
        <v>1</v>
      </c>
      <c r="Q706">
        <f t="shared" ref="Q706:Q769" si="70">N706*P706</f>
        <v>55.517529850178718</v>
      </c>
      <c r="R706">
        <f>SUMIFS(FactorInputs!$I:$I,FactorInputs!$A:$A,B706)</f>
        <v>4.20610263908</v>
      </c>
      <c r="S706" t="str">
        <f>_xlfn.XLOOKUP(B706,FactorInputs!$A$2:$A$888,FactorInputs!$F$2:$F$888,"")</f>
        <v>job-yr/MW</v>
      </c>
      <c r="T706" t="str">
        <f>_xlfn.XLOOKUP(B706,FactorInputs!$A$2:$A$888,FactorInputs!$B$2:$B$888,"")</f>
        <v>French QBIS 2023</v>
      </c>
      <c r="U706" t="str">
        <f>_xlfn.XLOOKUP(B706,FactorInputs!$A$2:$A$888,FactorInputs!$T$2:$T$888,"")</f>
        <v>French QBIS 2023</v>
      </c>
      <c r="V706">
        <f t="shared" ref="V706:V769" si="71">Q706*R706</f>
        <v>233.51242881803938</v>
      </c>
    </row>
    <row r="707" spans="1:23" x14ac:dyDescent="0.3">
      <c r="A707" t="str">
        <f t="shared" si="66"/>
        <v>PA|AccumulatedNewCapacity|RE1|PWRHYDDAM|2039</v>
      </c>
      <c r="B707" t="str">
        <f t="shared" si="67"/>
        <v>Hydro (large)|2039|O&amp;M|Direct</v>
      </c>
      <c r="C707" t="str">
        <f t="shared" si="68"/>
        <v>PWRHYDDAM|Hydro (large)</v>
      </c>
      <c r="D707" t="s">
        <v>44</v>
      </c>
      <c r="E707" t="s">
        <v>45</v>
      </c>
      <c r="F707" t="s">
        <v>19</v>
      </c>
      <c r="G707" t="s">
        <v>24</v>
      </c>
      <c r="H707">
        <v>2039</v>
      </c>
      <c r="I707" t="s">
        <v>18</v>
      </c>
      <c r="J707" t="s">
        <v>63</v>
      </c>
      <c r="K707" t="s">
        <v>64</v>
      </c>
      <c r="L707" t="s">
        <v>65</v>
      </c>
      <c r="M707">
        <f>SUMIFS(RawResultsLong!$P:$P,RawResultsLong!$A:$A,A707)</f>
        <v>37.840000000000003</v>
      </c>
      <c r="N707">
        <f t="shared" si="69"/>
        <v>1199.0772428828554</v>
      </c>
      <c r="O707" t="s">
        <v>72</v>
      </c>
      <c r="P707">
        <f>SUMIFS(TechnologyMapping!$D:$D,TechnologyMapping!$A:$A,C707)</f>
        <v>1</v>
      </c>
      <c r="Q707">
        <f t="shared" si="70"/>
        <v>1199.0772428828554</v>
      </c>
      <c r="R707">
        <f>SUMIFS(FactorInputs!$I:$I,FactorInputs!$A:$A,B707)</f>
        <v>0.64042131147500003</v>
      </c>
      <c r="S707" t="str">
        <f>_xlfn.XLOOKUP(B707,FactorInputs!$A$2:$A$888,FactorInputs!$F$2:$F$888,"")</f>
        <v>job/MW</v>
      </c>
      <c r="T707" t="str">
        <f>_xlfn.XLOOKUP(B707,FactorInputs!$A$2:$A$888,FactorInputs!$B$2:$B$888,"")</f>
        <v>Rutovitz 2015</v>
      </c>
      <c r="U707" t="str">
        <f>_xlfn.XLOOKUP(B707,FactorInputs!$A$2:$A$888,FactorInputs!$T$2:$T$888,"")</f>
        <v>Rutovitz 2015</v>
      </c>
      <c r="V707">
        <f t="shared" si="71"/>
        <v>767.91462044686546</v>
      </c>
    </row>
    <row r="708" spans="1:23" x14ac:dyDescent="0.3">
      <c r="A708" t="str">
        <f t="shared" si="66"/>
        <v>PA|AccumulatedNewCapacity|RE1|PWRNUC|2039</v>
      </c>
      <c r="B708" t="str">
        <f t="shared" si="67"/>
        <v>Nuclear|2039|O&amp;M|Direct</v>
      </c>
      <c r="C708" t="str">
        <f t="shared" si="68"/>
        <v>PWRNUC|Nuclear</v>
      </c>
      <c r="D708" t="s">
        <v>44</v>
      </c>
      <c r="E708" t="s">
        <v>45</v>
      </c>
      <c r="F708" t="s">
        <v>19</v>
      </c>
      <c r="G708" t="s">
        <v>47</v>
      </c>
      <c r="H708">
        <v>2039</v>
      </c>
      <c r="I708" t="s">
        <v>18</v>
      </c>
      <c r="J708" t="s">
        <v>63</v>
      </c>
      <c r="K708" t="s">
        <v>64</v>
      </c>
      <c r="L708" t="s">
        <v>65</v>
      </c>
      <c r="M708">
        <f>SUMIFS(RawResultsLong!$P:$P,RawResultsLong!$A:$A,A708)</f>
        <v>9.5120000000000005</v>
      </c>
      <c r="N708">
        <f t="shared" si="69"/>
        <v>301.41709128704338</v>
      </c>
      <c r="O708" t="s">
        <v>81</v>
      </c>
      <c r="P708">
        <f>SUMIFS(TechnologyMapping!$D:$D,TechnologyMapping!$A:$A,C708)</f>
        <v>1</v>
      </c>
      <c r="Q708">
        <f t="shared" si="70"/>
        <v>301.41709128704338</v>
      </c>
      <c r="R708">
        <f>SUMIFS(FactorInputs!$I:$I,FactorInputs!$A:$A,B708)</f>
        <v>1.1198125000000001</v>
      </c>
      <c r="S708" t="str">
        <f>_xlfn.XLOOKUP(B708,FactorInputs!$A$2:$A$888,FactorInputs!$F$2:$F$888,"")</f>
        <v>job/MW</v>
      </c>
      <c r="T708" t="str">
        <f>_xlfn.XLOOKUP(B708,FactorInputs!$A$2:$A$888,FactorInputs!$B$2:$B$888,"")</f>
        <v>Rutovitz 2015</v>
      </c>
      <c r="U708" t="str">
        <f>_xlfn.XLOOKUP(B708,FactorInputs!$A$2:$A$888,FactorInputs!$T$2:$T$888,"")</f>
        <v>Rutovitz 2015</v>
      </c>
      <c r="V708">
        <f t="shared" si="71"/>
        <v>337.53062653687232</v>
      </c>
    </row>
    <row r="709" spans="1:23" x14ac:dyDescent="0.3">
      <c r="A709" t="str">
        <f t="shared" si="66"/>
        <v>PA|AccumulatedNewCapacity|RE1|PWRSOLRTP|2039</v>
      </c>
      <c r="B709" t="str">
        <f t="shared" si="67"/>
        <v>Rooftop solar PV|2039|O&amp;M|Direct</v>
      </c>
      <c r="C709" t="str">
        <f t="shared" si="68"/>
        <v>PWRSOLRTP|Rooftop solar PV</v>
      </c>
      <c r="D709" t="s">
        <v>44</v>
      </c>
      <c r="E709" t="s">
        <v>45</v>
      </c>
      <c r="F709" t="s">
        <v>19</v>
      </c>
      <c r="G709" t="s">
        <v>31</v>
      </c>
      <c r="H709">
        <v>2039</v>
      </c>
      <c r="I709" t="s">
        <v>18</v>
      </c>
      <c r="J709" t="s">
        <v>63</v>
      </c>
      <c r="K709" t="s">
        <v>64</v>
      </c>
      <c r="L709" t="s">
        <v>65</v>
      </c>
      <c r="M709">
        <f>SUMIFS(RawResultsLong!$P:$P,RawResultsLong!$A:$A,A709)</f>
        <v>133.33511097019661</v>
      </c>
      <c r="N709">
        <f t="shared" si="69"/>
        <v>4225.134705116885</v>
      </c>
      <c r="O709" t="s">
        <v>71</v>
      </c>
      <c r="P709">
        <f>SUMIFS(TechnologyMapping!$D:$D,TechnologyMapping!$A:$A,C709)</f>
        <v>1</v>
      </c>
      <c r="Q709">
        <f t="shared" si="70"/>
        <v>4225.134705116885</v>
      </c>
      <c r="R709">
        <f>SUMIFS(FactorInputs!$I:$I,FactorInputs!$A:$A,B709)</f>
        <v>0.23938235294099999</v>
      </c>
      <c r="S709" t="str">
        <f>_xlfn.XLOOKUP(B709,FactorInputs!$A$2:$A$888,FactorInputs!$F$2:$F$888,"")</f>
        <v>job/MW</v>
      </c>
      <c r="T709" t="str">
        <f>_xlfn.XLOOKUP(B709,FactorInputs!$A$2:$A$888,FactorInputs!$B$2:$B$888,"")</f>
        <v>JEDI-US</v>
      </c>
      <c r="U709" t="str">
        <f>_xlfn.XLOOKUP(B709,FactorInputs!$A$2:$A$888,FactorInputs!$T$2:$T$888,"")</f>
        <v>JEDI-US</v>
      </c>
      <c r="V709">
        <f t="shared" si="71"/>
        <v>1011.4226872035581</v>
      </c>
    </row>
    <row r="710" spans="1:23" x14ac:dyDescent="0.3">
      <c r="A710" t="str">
        <f t="shared" si="66"/>
        <v>PA|AccumulatedNewCapacity|RE1|PWRSOLUGE|2039</v>
      </c>
      <c r="B710" t="str">
        <f t="shared" si="67"/>
        <v>Utility-scale solar PV|2039|O&amp;M|Direct</v>
      </c>
      <c r="C710" t="str">
        <f t="shared" si="68"/>
        <v>PWRSOLUGE|Utility-scale solar PV</v>
      </c>
      <c r="D710" t="s">
        <v>44</v>
      </c>
      <c r="E710" t="s">
        <v>45</v>
      </c>
      <c r="F710" t="s">
        <v>19</v>
      </c>
      <c r="G710" t="s">
        <v>33</v>
      </c>
      <c r="H710">
        <v>2039</v>
      </c>
      <c r="I710" t="s">
        <v>18</v>
      </c>
      <c r="J710" t="s">
        <v>63</v>
      </c>
      <c r="K710" t="s">
        <v>64</v>
      </c>
      <c r="L710" t="s">
        <v>65</v>
      </c>
      <c r="M710">
        <f>SUMIFS(RawResultsLong!$P:$P,RawResultsLong!$A:$A,A710)</f>
        <v>143.394192</v>
      </c>
      <c r="N710">
        <f t="shared" si="69"/>
        <v>4543.8877481177278</v>
      </c>
      <c r="O710" t="s">
        <v>66</v>
      </c>
      <c r="P710">
        <f>SUMIFS(TechnologyMapping!$D:$D,TechnologyMapping!$A:$A,C710)</f>
        <v>1</v>
      </c>
      <c r="Q710">
        <f t="shared" si="70"/>
        <v>4543.8877481177278</v>
      </c>
      <c r="R710">
        <f>SUMIFS(FactorInputs!$I:$I,FactorInputs!$A:$A,B710)</f>
        <v>7.6873986486499998E-2</v>
      </c>
      <c r="S710" t="str">
        <f>_xlfn.XLOOKUP(B710,FactorInputs!$A$2:$A$888,FactorInputs!$F$2:$F$888,"")</f>
        <v>job/MW</v>
      </c>
      <c r="T710" t="str">
        <f>_xlfn.XLOOKUP(B710,FactorInputs!$A$2:$A$888,FactorInputs!$B$2:$B$888,"")</f>
        <v>I-JEDI</v>
      </c>
      <c r="U710" t="str">
        <f>_xlfn.XLOOKUP(B710,FactorInputs!$A$2:$A$888,FactorInputs!$T$2:$T$888,"")</f>
        <v>I-JEDI</v>
      </c>
      <c r="V710">
        <f t="shared" si="71"/>
        <v>349.30676534497513</v>
      </c>
    </row>
    <row r="711" spans="1:23" x14ac:dyDescent="0.3">
      <c r="A711" t="str">
        <f t="shared" si="66"/>
        <v>PA|AccumulatedNewCapacity|RE1|PWRSOLUPE|2039</v>
      </c>
      <c r="B711" t="str">
        <f t="shared" si="67"/>
        <v>Utility-scale solar PV|2039|O&amp;M|Direct</v>
      </c>
      <c r="C711" t="str">
        <f t="shared" si="68"/>
        <v>PWRSOLUPE|Utility-scale solar PV</v>
      </c>
      <c r="D711" t="s">
        <v>44</v>
      </c>
      <c r="E711" t="s">
        <v>45</v>
      </c>
      <c r="F711" t="s">
        <v>19</v>
      </c>
      <c r="G711" t="s">
        <v>34</v>
      </c>
      <c r="H711">
        <v>2039</v>
      </c>
      <c r="I711" t="s">
        <v>18</v>
      </c>
      <c r="J711" t="s">
        <v>63</v>
      </c>
      <c r="K711" t="s">
        <v>64</v>
      </c>
      <c r="L711" t="s">
        <v>65</v>
      </c>
      <c r="M711">
        <f>SUMIFS(RawResultsLong!$P:$P,RawResultsLong!$A:$A,A711)</f>
        <v>12.14419823999993</v>
      </c>
      <c r="N711">
        <f t="shared" si="69"/>
        <v>384.82642026009364</v>
      </c>
      <c r="O711" t="s">
        <v>66</v>
      </c>
      <c r="P711">
        <f>SUMIFS(TechnologyMapping!$D:$D,TechnologyMapping!$A:$A,C711)</f>
        <v>1</v>
      </c>
      <c r="Q711">
        <f t="shared" si="70"/>
        <v>384.82642026009364</v>
      </c>
      <c r="R711">
        <f>SUMIFS(FactorInputs!$I:$I,FactorInputs!$A:$A,B711)</f>
        <v>7.6873986486499998E-2</v>
      </c>
      <c r="S711" t="str">
        <f>_xlfn.XLOOKUP(B711,FactorInputs!$A$2:$A$888,FactorInputs!$F$2:$F$888,"")</f>
        <v>job/MW</v>
      </c>
      <c r="T711" t="str">
        <f>_xlfn.XLOOKUP(B711,FactorInputs!$A$2:$A$888,FactorInputs!$B$2:$B$888,"")</f>
        <v>I-JEDI</v>
      </c>
      <c r="U711" t="str">
        <f>_xlfn.XLOOKUP(B711,FactorInputs!$A$2:$A$888,FactorInputs!$T$2:$T$888,"")</f>
        <v>I-JEDI</v>
      </c>
      <c r="V711">
        <f t="shared" si="71"/>
        <v>29.583141030722608</v>
      </c>
      <c r="W711" t="s">
        <v>67</v>
      </c>
    </row>
    <row r="712" spans="1:23" x14ac:dyDescent="0.3">
      <c r="A712" t="str">
        <f t="shared" si="66"/>
        <v>PA|AccumulatedNewCapacity|RE1|PWRWNDOFS_FIX|2039</v>
      </c>
      <c r="B712" t="str">
        <f t="shared" si="67"/>
        <v>Offshore wind (fixed)|2039|O&amp;M|Direct</v>
      </c>
      <c r="C712" t="str">
        <f t="shared" si="68"/>
        <v>PWRWNDOFS_FIX|Offshore wind (fixed)</v>
      </c>
      <c r="D712" t="s">
        <v>44</v>
      </c>
      <c r="E712" t="s">
        <v>45</v>
      </c>
      <c r="F712" t="s">
        <v>19</v>
      </c>
      <c r="G712" t="s">
        <v>42</v>
      </c>
      <c r="H712">
        <v>2039</v>
      </c>
      <c r="I712" t="s">
        <v>18</v>
      </c>
      <c r="J712" t="s">
        <v>63</v>
      </c>
      <c r="K712" t="s">
        <v>64</v>
      </c>
      <c r="L712" t="s">
        <v>65</v>
      </c>
      <c r="M712">
        <f>SUMIFS(RawResultsLong!$P:$P,RawResultsLong!$A:$A,A712)</f>
        <v>14.016</v>
      </c>
      <c r="N712">
        <f t="shared" si="69"/>
        <v>444.14023880142975</v>
      </c>
      <c r="O712" t="s">
        <v>74</v>
      </c>
      <c r="P712">
        <f>SUMIFS(TechnologyMapping!$D:$D,TechnologyMapping!$A:$A,C712)</f>
        <v>1</v>
      </c>
      <c r="Q712">
        <f t="shared" si="70"/>
        <v>444.14023880142975</v>
      </c>
      <c r="R712">
        <f>SUMIFS(FactorInputs!$I:$I,FactorInputs!$A:$A,B712)</f>
        <v>6.81047004608E-2</v>
      </c>
      <c r="S712" t="str">
        <f>_xlfn.XLOOKUP(B712,FactorInputs!$A$2:$A$888,FactorInputs!$F$2:$F$888,"")</f>
        <v>job/MW</v>
      </c>
      <c r="T712" t="str">
        <f>_xlfn.XLOOKUP(B712,FactorInputs!$A$2:$A$888,FactorInputs!$B$2:$B$888,"")</f>
        <v>French QBIS 2023</v>
      </c>
      <c r="U712" t="str">
        <f>_xlfn.XLOOKUP(B712,FactorInputs!$A$2:$A$888,FactorInputs!$T$2:$T$888,"")</f>
        <v>French QBIS 2023</v>
      </c>
      <c r="V712">
        <f t="shared" si="71"/>
        <v>30.248037926159554</v>
      </c>
    </row>
    <row r="713" spans="1:23" x14ac:dyDescent="0.3">
      <c r="A713" t="str">
        <f t="shared" si="66"/>
        <v>PA|AccumulatedNewCapacity|RE1|PWRWNDONS|2039</v>
      </c>
      <c r="B713" t="str">
        <f t="shared" si="67"/>
        <v>Onshore wind|2039|O&amp;M|Direct</v>
      </c>
      <c r="C713" t="str">
        <f t="shared" si="68"/>
        <v>PWRWNDONS|Onshore wind</v>
      </c>
      <c r="D713" t="s">
        <v>44</v>
      </c>
      <c r="E713" t="s">
        <v>45</v>
      </c>
      <c r="F713" t="s">
        <v>19</v>
      </c>
      <c r="G713" t="s">
        <v>36</v>
      </c>
      <c r="H713">
        <v>2039</v>
      </c>
      <c r="I713" t="s">
        <v>18</v>
      </c>
      <c r="J713" t="s">
        <v>63</v>
      </c>
      <c r="K713" t="s">
        <v>64</v>
      </c>
      <c r="L713" t="s">
        <v>65</v>
      </c>
      <c r="M713">
        <f>SUMIFS(RawResultsLong!$P:$P,RawResultsLong!$A:$A,A713)</f>
        <v>186.28626433862959</v>
      </c>
      <c r="N713">
        <f t="shared" si="69"/>
        <v>5903.0555029099041</v>
      </c>
      <c r="O713" t="s">
        <v>68</v>
      </c>
      <c r="P713">
        <f>SUMIFS(TechnologyMapping!$D:$D,TechnologyMapping!$A:$A,C713)</f>
        <v>1</v>
      </c>
      <c r="Q713">
        <f t="shared" si="70"/>
        <v>5903.0555029099041</v>
      </c>
      <c r="R713">
        <f>SUMIFS(FactorInputs!$I:$I,FactorInputs!$A:$A,B713)</f>
        <v>2.7777372262799999E-2</v>
      </c>
      <c r="S713" t="str">
        <f>_xlfn.XLOOKUP(B713,FactorInputs!$A$2:$A$888,FactorInputs!$F$2:$F$888,"")</f>
        <v>job/MW</v>
      </c>
      <c r="T713" t="str">
        <f>_xlfn.XLOOKUP(B713,FactorInputs!$A$2:$A$888,FactorInputs!$B$2:$B$888,"")</f>
        <v>I-JEDI</v>
      </c>
      <c r="U713" t="str">
        <f>_xlfn.XLOOKUP(B713,FactorInputs!$A$2:$A$888,FactorInputs!$T$2:$T$888,"")</f>
        <v>I-JEDI</v>
      </c>
      <c r="V713">
        <f t="shared" si="71"/>
        <v>163.97137019229848</v>
      </c>
    </row>
    <row r="714" spans="1:23" x14ac:dyDescent="0.3">
      <c r="A714" t="str">
        <f t="shared" si="66"/>
        <v>PA|NewCapacity|RE1|PWRSOLRTP|2039</v>
      </c>
      <c r="B714" t="str">
        <f t="shared" si="67"/>
        <v>Rooftop solar PV|2039|Construction&amp;Manufacturing|Direct</v>
      </c>
      <c r="C714" t="str">
        <f t="shared" si="68"/>
        <v>PWRSOLRTP|Rooftop solar PV</v>
      </c>
      <c r="D714" t="s">
        <v>44</v>
      </c>
      <c r="E714" t="s">
        <v>45</v>
      </c>
      <c r="F714" t="s">
        <v>19</v>
      </c>
      <c r="G714" t="s">
        <v>31</v>
      </c>
      <c r="H714">
        <v>2039</v>
      </c>
      <c r="I714" t="s">
        <v>37</v>
      </c>
      <c r="J714" t="s">
        <v>69</v>
      </c>
      <c r="K714" t="s">
        <v>70</v>
      </c>
      <c r="L714" t="s">
        <v>65</v>
      </c>
      <c r="M714">
        <f>SUMIFS(RawResultsLong!$P:$P,RawResultsLong!$A:$A,A714)</f>
        <v>3.487634749524414</v>
      </c>
      <c r="N714">
        <f t="shared" si="69"/>
        <v>110.51647620618849</v>
      </c>
      <c r="O714" t="s">
        <v>71</v>
      </c>
      <c r="P714">
        <f>SUMIFS(TechnologyMapping!$D:$D,TechnologyMapping!$A:$A,C714)</f>
        <v>1</v>
      </c>
      <c r="Q714">
        <f t="shared" si="70"/>
        <v>110.51647620618849</v>
      </c>
      <c r="R714">
        <f>SUMIFS(FactorInputs!$I:$I,FactorInputs!$A:$A,B714)</f>
        <v>5.4830735192200004</v>
      </c>
      <c r="S714" t="str">
        <f>_xlfn.XLOOKUP(B714,FactorInputs!$A$2:$A$888,FactorInputs!$F$2:$F$888,"")</f>
        <v>job-yr/MW</v>
      </c>
      <c r="T714" t="str">
        <f>_xlfn.XLOOKUP(B714,FactorInputs!$A$2:$A$888,FactorInputs!$B$2:$B$888,"")</f>
        <v>JEDI-US</v>
      </c>
      <c r="U714" t="str">
        <f>_xlfn.XLOOKUP(B714,FactorInputs!$A$2:$A$888,FactorInputs!$T$2:$T$888,"")</f>
        <v>JEDI-US</v>
      </c>
      <c r="V714">
        <f t="shared" si="71"/>
        <v>605.96996412365934</v>
      </c>
    </row>
    <row r="715" spans="1:23" x14ac:dyDescent="0.3">
      <c r="A715" t="str">
        <f t="shared" si="66"/>
        <v>PA|NewCapacity|RE1|PWRWNDOFS_FIX|2039</v>
      </c>
      <c r="B715" t="str">
        <f t="shared" si="67"/>
        <v>Offshore wind (fixed)|2039|Construction&amp;Manufacturing|Direct</v>
      </c>
      <c r="C715" t="str">
        <f t="shared" si="68"/>
        <v>PWRWNDOFS_FIX|Offshore wind (fixed)</v>
      </c>
      <c r="D715" t="s">
        <v>44</v>
      </c>
      <c r="E715" t="s">
        <v>45</v>
      </c>
      <c r="F715" t="s">
        <v>19</v>
      </c>
      <c r="G715" t="s">
        <v>42</v>
      </c>
      <c r="H715">
        <v>2039</v>
      </c>
      <c r="I715" t="s">
        <v>37</v>
      </c>
      <c r="J715" t="s">
        <v>69</v>
      </c>
      <c r="K715" t="s">
        <v>70</v>
      </c>
      <c r="L715" t="s">
        <v>65</v>
      </c>
      <c r="M715">
        <f>SUMIFS(RawResultsLong!$P:$P,RawResultsLong!$A:$A,A715)</f>
        <v>1.752</v>
      </c>
      <c r="N715">
        <f t="shared" si="69"/>
        <v>55.517529850178718</v>
      </c>
      <c r="O715" t="s">
        <v>74</v>
      </c>
      <c r="P715">
        <f>SUMIFS(TechnologyMapping!$D:$D,TechnologyMapping!$A:$A,C715)</f>
        <v>1</v>
      </c>
      <c r="Q715">
        <f t="shared" si="70"/>
        <v>55.517529850178718</v>
      </c>
      <c r="R715">
        <f>SUMIFS(FactorInputs!$I:$I,FactorInputs!$A:$A,B715)</f>
        <v>4.1345556775899999</v>
      </c>
      <c r="S715" t="str">
        <f>_xlfn.XLOOKUP(B715,FactorInputs!$A$2:$A$888,FactorInputs!$F$2:$F$888,"")</f>
        <v>job-yr/MW</v>
      </c>
      <c r="T715" t="str">
        <f>_xlfn.XLOOKUP(B715,FactorInputs!$A$2:$A$888,FactorInputs!$B$2:$B$888,"")</f>
        <v>French QBIS 2023</v>
      </c>
      <c r="U715" t="str">
        <f>_xlfn.XLOOKUP(B715,FactorInputs!$A$2:$A$888,FactorInputs!$T$2:$T$888,"")</f>
        <v>French QBIS 2023</v>
      </c>
      <c r="V715">
        <f t="shared" si="71"/>
        <v>229.54031824782871</v>
      </c>
    </row>
    <row r="716" spans="1:23" x14ac:dyDescent="0.3">
      <c r="A716" t="str">
        <f t="shared" si="66"/>
        <v>PA|NewCapacity|RE1|PWRWNDONS|2039</v>
      </c>
      <c r="B716" t="str">
        <f t="shared" si="67"/>
        <v>Onshore wind|2039|Construction&amp;Manufacturing|Direct</v>
      </c>
      <c r="C716" t="str">
        <f t="shared" si="68"/>
        <v>PWRWNDONS|Onshore wind</v>
      </c>
      <c r="D716" t="s">
        <v>44</v>
      </c>
      <c r="E716" t="s">
        <v>45</v>
      </c>
      <c r="F716" t="s">
        <v>19</v>
      </c>
      <c r="G716" t="s">
        <v>36</v>
      </c>
      <c r="H716">
        <v>2039</v>
      </c>
      <c r="I716" t="s">
        <v>37</v>
      </c>
      <c r="J716" t="s">
        <v>69</v>
      </c>
      <c r="K716" t="s">
        <v>70</v>
      </c>
      <c r="L716" t="s">
        <v>65</v>
      </c>
      <c r="M716">
        <f>SUMIFS(RawResultsLong!$P:$P,RawResultsLong!$A:$A,A716)</f>
        <v>25.69823582779421</v>
      </c>
      <c r="N716">
        <f t="shared" si="69"/>
        <v>814.32795357676787</v>
      </c>
      <c r="O716" t="s">
        <v>68</v>
      </c>
      <c r="P716">
        <f>SUMIFS(TechnologyMapping!$D:$D,TechnologyMapping!$A:$A,C716)</f>
        <v>1</v>
      </c>
      <c r="Q716">
        <f t="shared" si="70"/>
        <v>814.32795357676787</v>
      </c>
      <c r="R716">
        <f>SUMIFS(FactorInputs!$I:$I,FactorInputs!$A:$A,B716)</f>
        <v>6.71341924678</v>
      </c>
      <c r="S716" t="str">
        <f>_xlfn.XLOOKUP(B716,FactorInputs!$A$2:$A$888,FactorInputs!$F$2:$F$888,"")</f>
        <v>job-yr/MW</v>
      </c>
      <c r="T716" t="str">
        <f>_xlfn.XLOOKUP(B716,FactorInputs!$A$2:$A$888,FactorInputs!$B$2:$B$888,"")</f>
        <v>I-JEDI</v>
      </c>
      <c r="U716" t="str">
        <f>_xlfn.XLOOKUP(B716,FactorInputs!$A$2:$A$888,FactorInputs!$T$2:$T$888,"")</f>
        <v>I-JEDI</v>
      </c>
      <c r="V716">
        <f t="shared" si="71"/>
        <v>5466.9249567332436</v>
      </c>
    </row>
    <row r="717" spans="1:23" x14ac:dyDescent="0.3">
      <c r="A717" t="str">
        <f t="shared" si="66"/>
        <v>PA|AccumulatedNewCapacity|RE1|PWRGEO|2040</v>
      </c>
      <c r="B717" t="str">
        <f t="shared" si="67"/>
        <v>Geothermal|2040|O&amp;M|Direct</v>
      </c>
      <c r="C717" t="str">
        <f t="shared" si="68"/>
        <v>PWRGEO|Geothermal</v>
      </c>
      <c r="D717" t="s">
        <v>44</v>
      </c>
      <c r="E717" t="s">
        <v>45</v>
      </c>
      <c r="F717" t="s">
        <v>19</v>
      </c>
      <c r="G717" t="s">
        <v>46</v>
      </c>
      <c r="H717">
        <v>2040</v>
      </c>
      <c r="I717" t="s">
        <v>18</v>
      </c>
      <c r="J717" t="s">
        <v>63</v>
      </c>
      <c r="K717" t="s">
        <v>64</v>
      </c>
      <c r="L717" t="s">
        <v>65</v>
      </c>
      <c r="M717">
        <f>SUMIFS(RawResultsLong!$P:$P,RawResultsLong!$A:$A,A717)</f>
        <v>3.1539999999999999</v>
      </c>
      <c r="N717">
        <f t="shared" si="69"/>
        <v>99.944228965447309</v>
      </c>
      <c r="O717" t="s">
        <v>82</v>
      </c>
      <c r="P717">
        <f>SUMIFS(TechnologyMapping!$D:$D,TechnologyMapping!$A:$A,C717)</f>
        <v>1</v>
      </c>
      <c r="Q717">
        <f t="shared" si="70"/>
        <v>99.944228965447309</v>
      </c>
      <c r="R717">
        <f>SUMIFS(FactorInputs!$I:$I,FactorInputs!$A:$A,B717)</f>
        <v>7.2472160356299997E-3</v>
      </c>
      <c r="S717" t="str">
        <f>_xlfn.XLOOKUP(B717,FactorInputs!$A$2:$A$888,FactorInputs!$F$2:$F$888,"")</f>
        <v>job/MW</v>
      </c>
      <c r="T717" t="str">
        <f>_xlfn.XLOOKUP(B717,FactorInputs!$A$2:$A$888,FactorInputs!$B$2:$B$888,"")</f>
        <v>I-JEDI</v>
      </c>
      <c r="U717" t="str">
        <f>_xlfn.XLOOKUP(B717,FactorInputs!$A$2:$A$888,FactorInputs!$T$2:$T$888,"")</f>
        <v>I-JEDI</v>
      </c>
      <c r="V717">
        <f t="shared" si="71"/>
        <v>0.72431741882706602</v>
      </c>
    </row>
    <row r="718" spans="1:23" x14ac:dyDescent="0.3">
      <c r="A718" t="str">
        <f t="shared" si="66"/>
        <v>PA|AccumulatedNewCapacity|RE1|PWRHYDDAM|2040</v>
      </c>
      <c r="B718" t="str">
        <f t="shared" si="67"/>
        <v>Hydro (large)|2040|O&amp;M|Direct</v>
      </c>
      <c r="C718" t="str">
        <f t="shared" si="68"/>
        <v>PWRHYDDAM|Hydro (large)</v>
      </c>
      <c r="D718" t="s">
        <v>44</v>
      </c>
      <c r="E718" t="s">
        <v>45</v>
      </c>
      <c r="F718" t="s">
        <v>19</v>
      </c>
      <c r="G718" t="s">
        <v>24</v>
      </c>
      <c r="H718">
        <v>2040</v>
      </c>
      <c r="I718" t="s">
        <v>18</v>
      </c>
      <c r="J718" t="s">
        <v>63</v>
      </c>
      <c r="K718" t="s">
        <v>64</v>
      </c>
      <c r="L718" t="s">
        <v>65</v>
      </c>
      <c r="M718">
        <f>SUMIFS(RawResultsLong!$P:$P,RawResultsLong!$A:$A,A718)</f>
        <v>37.840000000000003</v>
      </c>
      <c r="N718">
        <f t="shared" si="69"/>
        <v>1199.0772428828554</v>
      </c>
      <c r="O718" t="s">
        <v>72</v>
      </c>
      <c r="P718">
        <f>SUMIFS(TechnologyMapping!$D:$D,TechnologyMapping!$A:$A,C718)</f>
        <v>1</v>
      </c>
      <c r="Q718">
        <f t="shared" si="70"/>
        <v>1199.0772428828554</v>
      </c>
      <c r="R718">
        <f>SUMIFS(FactorInputs!$I:$I,FactorInputs!$A:$A,B718)</f>
        <v>0.64024590163899997</v>
      </c>
      <c r="S718" t="str">
        <f>_xlfn.XLOOKUP(B718,FactorInputs!$A$2:$A$888,FactorInputs!$F$2:$F$888,"")</f>
        <v>job/MW</v>
      </c>
      <c r="T718" t="str">
        <f>_xlfn.XLOOKUP(B718,FactorInputs!$A$2:$A$888,FactorInputs!$B$2:$B$888,"")</f>
        <v>Rutovitz 2015</v>
      </c>
      <c r="U718" t="str">
        <f>_xlfn.XLOOKUP(B718,FactorInputs!$A$2:$A$888,FactorInputs!$T$2:$T$888,"")</f>
        <v>Rutovitz 2015</v>
      </c>
      <c r="V718">
        <f t="shared" si="71"/>
        <v>767.70429050433995</v>
      </c>
    </row>
    <row r="719" spans="1:23" x14ac:dyDescent="0.3">
      <c r="A719" t="str">
        <f t="shared" si="66"/>
        <v>PA|AccumulatedNewCapacity|RE1|PWRNUC|2040</v>
      </c>
      <c r="B719" t="str">
        <f t="shared" si="67"/>
        <v>Nuclear|2040|O&amp;M|Direct</v>
      </c>
      <c r="C719" t="str">
        <f t="shared" si="68"/>
        <v>PWRNUC|Nuclear</v>
      </c>
      <c r="D719" t="s">
        <v>44</v>
      </c>
      <c r="E719" t="s">
        <v>45</v>
      </c>
      <c r="F719" t="s">
        <v>19</v>
      </c>
      <c r="G719" t="s">
        <v>47</v>
      </c>
      <c r="H719">
        <v>2040</v>
      </c>
      <c r="I719" t="s">
        <v>18</v>
      </c>
      <c r="J719" t="s">
        <v>63</v>
      </c>
      <c r="K719" t="s">
        <v>64</v>
      </c>
      <c r="L719" t="s">
        <v>65</v>
      </c>
      <c r="M719">
        <f>SUMIFS(RawResultsLong!$P:$P,RawResultsLong!$A:$A,A719)</f>
        <v>9.5120000000000005</v>
      </c>
      <c r="N719">
        <f t="shared" si="69"/>
        <v>301.41709128704338</v>
      </c>
      <c r="O719" t="s">
        <v>81</v>
      </c>
      <c r="P719">
        <f>SUMIFS(TechnologyMapping!$D:$D,TechnologyMapping!$A:$A,C719)</f>
        <v>1</v>
      </c>
      <c r="Q719">
        <f t="shared" si="70"/>
        <v>301.41709128704338</v>
      </c>
      <c r="R719">
        <f>SUMIFS(FactorInputs!$I:$I,FactorInputs!$A:$A,B719)</f>
        <v>1.11645833333</v>
      </c>
      <c r="S719" t="str">
        <f>_xlfn.XLOOKUP(B719,FactorInputs!$A$2:$A$888,FactorInputs!$F$2:$F$888,"")</f>
        <v>job/MW</v>
      </c>
      <c r="T719" t="str">
        <f>_xlfn.XLOOKUP(B719,FactorInputs!$A$2:$A$888,FactorInputs!$B$2:$B$888,"")</f>
        <v>Rutovitz 2015</v>
      </c>
      <c r="U719" t="str">
        <f>_xlfn.XLOOKUP(B719,FactorInputs!$A$2:$A$888,FactorInputs!$T$2:$T$888,"")</f>
        <v>Rutovitz 2015</v>
      </c>
      <c r="V719">
        <f t="shared" si="71"/>
        <v>336.5196233755089</v>
      </c>
    </row>
    <row r="720" spans="1:23" x14ac:dyDescent="0.3">
      <c r="A720" t="str">
        <f t="shared" si="66"/>
        <v>PA|AccumulatedNewCapacity|RE1|PWRSOLRTP|2040</v>
      </c>
      <c r="B720" t="str">
        <f t="shared" si="67"/>
        <v>Rooftop solar PV|2040|O&amp;M|Direct</v>
      </c>
      <c r="C720" t="str">
        <f t="shared" si="68"/>
        <v>PWRSOLRTP|Rooftop solar PV</v>
      </c>
      <c r="D720" t="s">
        <v>44</v>
      </c>
      <c r="E720" t="s">
        <v>45</v>
      </c>
      <c r="F720" t="s">
        <v>19</v>
      </c>
      <c r="G720" t="s">
        <v>31</v>
      </c>
      <c r="H720">
        <v>2040</v>
      </c>
      <c r="I720" t="s">
        <v>18</v>
      </c>
      <c r="J720" t="s">
        <v>63</v>
      </c>
      <c r="K720" t="s">
        <v>64</v>
      </c>
      <c r="L720" t="s">
        <v>65</v>
      </c>
      <c r="M720">
        <f>SUMIFS(RawResultsLong!$P:$P,RawResultsLong!$A:$A,A720)</f>
        <v>136.3471591629677</v>
      </c>
      <c r="N720">
        <f t="shared" si="69"/>
        <v>4320.5807527495026</v>
      </c>
      <c r="O720" t="s">
        <v>71</v>
      </c>
      <c r="P720">
        <f>SUMIFS(TechnologyMapping!$D:$D,TechnologyMapping!$A:$A,C720)</f>
        <v>1</v>
      </c>
      <c r="Q720">
        <f t="shared" si="70"/>
        <v>4320.5807527495026</v>
      </c>
      <c r="R720">
        <f>SUMIFS(FactorInputs!$I:$I,FactorInputs!$A:$A,B720)</f>
        <v>0.237352941176</v>
      </c>
      <c r="S720" t="str">
        <f>_xlfn.XLOOKUP(B720,FactorInputs!$A$2:$A$888,FactorInputs!$F$2:$F$888,"")</f>
        <v>job/MW</v>
      </c>
      <c r="T720" t="str">
        <f>_xlfn.XLOOKUP(B720,FactorInputs!$A$2:$A$888,FactorInputs!$B$2:$B$888,"")</f>
        <v>JEDI-US</v>
      </c>
      <c r="U720" t="str">
        <f>_xlfn.XLOOKUP(B720,FactorInputs!$A$2:$A$888,FactorInputs!$T$2:$T$888,"")</f>
        <v>JEDI-US</v>
      </c>
      <c r="V720">
        <f t="shared" si="71"/>
        <v>1025.5025492535106</v>
      </c>
    </row>
    <row r="721" spans="1:23" x14ac:dyDescent="0.3">
      <c r="A721" t="str">
        <f t="shared" si="66"/>
        <v>PA|AccumulatedNewCapacity|RE1|PWRSOLUGE|2040</v>
      </c>
      <c r="B721" t="str">
        <f t="shared" si="67"/>
        <v>Utility-scale solar PV|2040|O&amp;M|Direct</v>
      </c>
      <c r="C721" t="str">
        <f t="shared" si="68"/>
        <v>PWRSOLUGE|Utility-scale solar PV</v>
      </c>
      <c r="D721" t="s">
        <v>44</v>
      </c>
      <c r="E721" t="s">
        <v>45</v>
      </c>
      <c r="F721" t="s">
        <v>19</v>
      </c>
      <c r="G721" t="s">
        <v>33</v>
      </c>
      <c r="H721">
        <v>2040</v>
      </c>
      <c r="I721" t="s">
        <v>18</v>
      </c>
      <c r="J721" t="s">
        <v>63</v>
      </c>
      <c r="K721" t="s">
        <v>64</v>
      </c>
      <c r="L721" t="s">
        <v>65</v>
      </c>
      <c r="M721">
        <f>SUMIFS(RawResultsLong!$P:$P,RawResultsLong!$A:$A,A721)</f>
        <v>143.394192</v>
      </c>
      <c r="N721">
        <f t="shared" si="69"/>
        <v>4543.8877481177278</v>
      </c>
      <c r="O721" t="s">
        <v>66</v>
      </c>
      <c r="P721">
        <f>SUMIFS(TechnologyMapping!$D:$D,TechnologyMapping!$A:$A,C721)</f>
        <v>1</v>
      </c>
      <c r="Q721">
        <f t="shared" si="70"/>
        <v>4543.8877481177278</v>
      </c>
      <c r="R721">
        <f>SUMIFS(FactorInputs!$I:$I,FactorInputs!$A:$A,B721)</f>
        <v>7.6287162162199995E-2</v>
      </c>
      <c r="S721" t="str">
        <f>_xlfn.XLOOKUP(B721,FactorInputs!$A$2:$A$888,FactorInputs!$F$2:$F$888,"")</f>
        <v>job/MW</v>
      </c>
      <c r="T721" t="str">
        <f>_xlfn.XLOOKUP(B721,FactorInputs!$A$2:$A$888,FactorInputs!$B$2:$B$888,"")</f>
        <v>I-JEDI</v>
      </c>
      <c r="U721" t="str">
        <f>_xlfn.XLOOKUP(B721,FactorInputs!$A$2:$A$888,FactorInputs!$T$2:$T$888,"")</f>
        <v>I-JEDI</v>
      </c>
      <c r="V721">
        <f t="shared" si="71"/>
        <v>346.64030148749089</v>
      </c>
    </row>
    <row r="722" spans="1:23" x14ac:dyDescent="0.3">
      <c r="A722" t="str">
        <f t="shared" si="66"/>
        <v>PA|AccumulatedNewCapacity|RE1|PWRSOLUPE|2040</v>
      </c>
      <c r="B722" t="str">
        <f t="shared" si="67"/>
        <v>Utility-scale solar PV|2040|O&amp;M|Direct</v>
      </c>
      <c r="C722" t="str">
        <f t="shared" si="68"/>
        <v>PWRSOLUPE|Utility-scale solar PV</v>
      </c>
      <c r="D722" t="s">
        <v>44</v>
      </c>
      <c r="E722" t="s">
        <v>45</v>
      </c>
      <c r="F722" t="s">
        <v>19</v>
      </c>
      <c r="G722" t="s">
        <v>34</v>
      </c>
      <c r="H722">
        <v>2040</v>
      </c>
      <c r="I722" t="s">
        <v>18</v>
      </c>
      <c r="J722" t="s">
        <v>63</v>
      </c>
      <c r="K722" t="s">
        <v>64</v>
      </c>
      <c r="L722" t="s">
        <v>65</v>
      </c>
      <c r="M722">
        <f>SUMIFS(RawResultsLong!$P:$P,RawResultsLong!$A:$A,A722)</f>
        <v>12.14419823999993</v>
      </c>
      <c r="N722">
        <f t="shared" si="69"/>
        <v>384.82642026009364</v>
      </c>
      <c r="O722" t="s">
        <v>66</v>
      </c>
      <c r="P722">
        <f>SUMIFS(TechnologyMapping!$D:$D,TechnologyMapping!$A:$A,C722)</f>
        <v>1</v>
      </c>
      <c r="Q722">
        <f t="shared" si="70"/>
        <v>384.82642026009364</v>
      </c>
      <c r="R722">
        <f>SUMIFS(FactorInputs!$I:$I,FactorInputs!$A:$A,B722)</f>
        <v>7.6287162162199995E-2</v>
      </c>
      <c r="S722" t="str">
        <f>_xlfn.XLOOKUP(B722,FactorInputs!$A$2:$A$888,FactorInputs!$F$2:$F$888,"")</f>
        <v>job/MW</v>
      </c>
      <c r="T722" t="str">
        <f>_xlfn.XLOOKUP(B722,FactorInputs!$A$2:$A$888,FactorInputs!$B$2:$B$888,"")</f>
        <v>I-JEDI</v>
      </c>
      <c r="U722" t="str">
        <f>_xlfn.XLOOKUP(B722,FactorInputs!$A$2:$A$888,FactorInputs!$T$2:$T$888,"")</f>
        <v>I-JEDI</v>
      </c>
      <c r="V722">
        <f t="shared" si="71"/>
        <v>29.35731552668069</v>
      </c>
      <c r="W722" t="s">
        <v>67</v>
      </c>
    </row>
    <row r="723" spans="1:23" x14ac:dyDescent="0.3">
      <c r="A723" t="str">
        <f t="shared" si="66"/>
        <v>PA|AccumulatedNewCapacity|RE1|PWRWNDOFS_FIX|2040</v>
      </c>
      <c r="B723" t="str">
        <f t="shared" si="67"/>
        <v>Offshore wind (fixed)|2040|O&amp;M|Direct</v>
      </c>
      <c r="C723" t="str">
        <f t="shared" si="68"/>
        <v>PWRWNDOFS_FIX|Offshore wind (fixed)</v>
      </c>
      <c r="D723" t="s">
        <v>44</v>
      </c>
      <c r="E723" t="s">
        <v>45</v>
      </c>
      <c r="F723" t="s">
        <v>19</v>
      </c>
      <c r="G723" t="s">
        <v>42</v>
      </c>
      <c r="H723">
        <v>2040</v>
      </c>
      <c r="I723" t="s">
        <v>18</v>
      </c>
      <c r="J723" t="s">
        <v>63</v>
      </c>
      <c r="K723" t="s">
        <v>64</v>
      </c>
      <c r="L723" t="s">
        <v>65</v>
      </c>
      <c r="M723">
        <f>SUMIFS(RawResultsLong!$P:$P,RawResultsLong!$A:$A,A723)</f>
        <v>15.768000000000001</v>
      </c>
      <c r="N723">
        <f t="shared" si="69"/>
        <v>499.65776865160848</v>
      </c>
      <c r="O723" t="s">
        <v>74</v>
      </c>
      <c r="P723">
        <f>SUMIFS(TechnologyMapping!$D:$D,TechnologyMapping!$A:$A,C723)</f>
        <v>1</v>
      </c>
      <c r="Q723">
        <f t="shared" si="70"/>
        <v>499.65776865160848</v>
      </c>
      <c r="R723">
        <f>SUMIFS(FactorInputs!$I:$I,FactorInputs!$A:$A,B723)</f>
        <v>6.6912442396299995E-2</v>
      </c>
      <c r="S723" t="str">
        <f>_xlfn.XLOOKUP(B723,FactorInputs!$A$2:$A$888,FactorInputs!$F$2:$F$888,"")</f>
        <v>job/MW</v>
      </c>
      <c r="T723" t="str">
        <f>_xlfn.XLOOKUP(B723,FactorInputs!$A$2:$A$888,FactorInputs!$B$2:$B$888,"")</f>
        <v>French QBIS 2023</v>
      </c>
      <c r="U723" t="str">
        <f>_xlfn.XLOOKUP(B723,FactorInputs!$A$2:$A$888,FactorInputs!$T$2:$T$888,"")</f>
        <v>French QBIS 2023</v>
      </c>
      <c r="V723">
        <f t="shared" si="71"/>
        <v>33.433321662764541</v>
      </c>
    </row>
    <row r="724" spans="1:23" x14ac:dyDescent="0.3">
      <c r="A724" t="str">
        <f t="shared" si="66"/>
        <v>PA|AccumulatedNewCapacity|RE1|PWRWNDONS|2040</v>
      </c>
      <c r="B724" t="str">
        <f t="shared" si="67"/>
        <v>Onshore wind|2040|O&amp;M|Direct</v>
      </c>
      <c r="C724" t="str">
        <f t="shared" si="68"/>
        <v>PWRWNDONS|Onshore wind</v>
      </c>
      <c r="D724" t="s">
        <v>44</v>
      </c>
      <c r="E724" t="s">
        <v>45</v>
      </c>
      <c r="F724" t="s">
        <v>19</v>
      </c>
      <c r="G724" t="s">
        <v>36</v>
      </c>
      <c r="H724">
        <v>2040</v>
      </c>
      <c r="I724" t="s">
        <v>18</v>
      </c>
      <c r="J724" t="s">
        <v>63</v>
      </c>
      <c r="K724" t="s">
        <v>64</v>
      </c>
      <c r="L724" t="s">
        <v>65</v>
      </c>
      <c r="M724">
        <f>SUMIFS(RawResultsLong!$P:$P,RawResultsLong!$A:$A,A724)</f>
        <v>233.59626433862971</v>
      </c>
      <c r="N724">
        <f t="shared" si="69"/>
        <v>7402.2189373916171</v>
      </c>
      <c r="O724" t="s">
        <v>68</v>
      </c>
      <c r="P724">
        <f>SUMIFS(TechnologyMapping!$D:$D,TechnologyMapping!$A:$A,C724)</f>
        <v>1</v>
      </c>
      <c r="Q724">
        <f t="shared" si="70"/>
        <v>7402.2189373916171</v>
      </c>
      <c r="R724">
        <f>SUMIFS(FactorInputs!$I:$I,FactorInputs!$A:$A,B724)</f>
        <v>2.7700729927000001E-2</v>
      </c>
      <c r="S724" t="str">
        <f>_xlfn.XLOOKUP(B724,FactorInputs!$A$2:$A$888,FactorInputs!$F$2:$F$888,"")</f>
        <v>job/MW</v>
      </c>
      <c r="T724" t="str">
        <f>_xlfn.XLOOKUP(B724,FactorInputs!$A$2:$A$888,FactorInputs!$B$2:$B$888,"")</f>
        <v>I-JEDI</v>
      </c>
      <c r="U724" t="str">
        <f>_xlfn.XLOOKUP(B724,FactorInputs!$A$2:$A$888,FactorInputs!$T$2:$T$888,"")</f>
        <v>I-JEDI</v>
      </c>
      <c r="V724">
        <f t="shared" si="71"/>
        <v>205.04686764521011</v>
      </c>
    </row>
    <row r="725" spans="1:23" x14ac:dyDescent="0.3">
      <c r="A725" t="str">
        <f t="shared" si="66"/>
        <v>PA|NewCapacity|RE1|PWRGEO|2040</v>
      </c>
      <c r="B725" t="str">
        <f t="shared" si="67"/>
        <v>Geothermal|2040|Construction&amp;Manufacturing|Direct</v>
      </c>
      <c r="C725" t="str">
        <f t="shared" si="68"/>
        <v>PWRGEO|Geothermal</v>
      </c>
      <c r="D725" t="s">
        <v>44</v>
      </c>
      <c r="E725" t="s">
        <v>45</v>
      </c>
      <c r="F725" t="s">
        <v>19</v>
      </c>
      <c r="G725" t="s">
        <v>46</v>
      </c>
      <c r="H725">
        <v>2040</v>
      </c>
      <c r="I725" t="s">
        <v>37</v>
      </c>
      <c r="J725" t="s">
        <v>69</v>
      </c>
      <c r="K725" t="s">
        <v>70</v>
      </c>
      <c r="L725" t="s">
        <v>65</v>
      </c>
      <c r="M725">
        <f>SUMIFS(RawResultsLong!$P:$P,RawResultsLong!$A:$A,A725)</f>
        <v>3.1539999999999999</v>
      </c>
      <c r="N725">
        <f t="shared" si="69"/>
        <v>99.944228965447309</v>
      </c>
      <c r="O725" t="s">
        <v>82</v>
      </c>
      <c r="P725">
        <f>SUMIFS(TechnologyMapping!$D:$D,TechnologyMapping!$A:$A,C725)</f>
        <v>1</v>
      </c>
      <c r="Q725">
        <f t="shared" si="70"/>
        <v>99.944228965447309</v>
      </c>
      <c r="R725">
        <f>SUMIFS(FactorInputs!$I:$I,FactorInputs!$A:$A,B725)</f>
        <v>4.6071987464399999</v>
      </c>
      <c r="S725" t="str">
        <f>_xlfn.XLOOKUP(B725,FactorInputs!$A$2:$A$888,FactorInputs!$F$2:$F$888,"")</f>
        <v>job-yr/MW</v>
      </c>
      <c r="T725" t="str">
        <f>_xlfn.XLOOKUP(B725,FactorInputs!$A$2:$A$888,FactorInputs!$B$2:$B$888,"")</f>
        <v>I-JEDI</v>
      </c>
      <c r="U725" t="str">
        <f>_xlfn.XLOOKUP(B725,FactorInputs!$A$2:$A$888,FactorInputs!$T$2:$T$888,"")</f>
        <v>I-JEDI</v>
      </c>
      <c r="V725">
        <f t="shared" si="71"/>
        <v>460.46292640352118</v>
      </c>
    </row>
    <row r="726" spans="1:23" x14ac:dyDescent="0.3">
      <c r="A726" t="str">
        <f t="shared" si="66"/>
        <v>PA|NewCapacity|RE1|PWRSOLRTP|2040</v>
      </c>
      <c r="B726" t="str">
        <f t="shared" si="67"/>
        <v>Rooftop solar PV|2040|Construction&amp;Manufacturing|Direct</v>
      </c>
      <c r="C726" t="str">
        <f t="shared" si="68"/>
        <v>PWRSOLRTP|Rooftop solar PV</v>
      </c>
      <c r="D726" t="s">
        <v>44</v>
      </c>
      <c r="E726" t="s">
        <v>45</v>
      </c>
      <c r="F726" t="s">
        <v>19</v>
      </c>
      <c r="G726" t="s">
        <v>31</v>
      </c>
      <c r="H726">
        <v>2040</v>
      </c>
      <c r="I726" t="s">
        <v>37</v>
      </c>
      <c r="J726" t="s">
        <v>69</v>
      </c>
      <c r="K726" t="s">
        <v>70</v>
      </c>
      <c r="L726" t="s">
        <v>65</v>
      </c>
      <c r="M726">
        <f>SUMIFS(RawResultsLong!$P:$P,RawResultsLong!$A:$A,A726)</f>
        <v>3.012048192771084</v>
      </c>
      <c r="N726">
        <f t="shared" si="69"/>
        <v>95.446047632617308</v>
      </c>
      <c r="O726" t="s">
        <v>71</v>
      </c>
      <c r="P726">
        <f>SUMIFS(TechnologyMapping!$D:$D,TechnologyMapping!$A:$A,C726)</f>
        <v>1</v>
      </c>
      <c r="Q726">
        <f t="shared" si="70"/>
        <v>95.446047632617308</v>
      </c>
      <c r="R726">
        <f>SUMIFS(FactorInputs!$I:$I,FactorInputs!$A:$A,B726)</f>
        <v>5.3773905684300001</v>
      </c>
      <c r="S726" t="str">
        <f>_xlfn.XLOOKUP(B726,FactorInputs!$A$2:$A$888,FactorInputs!$F$2:$F$888,"")</f>
        <v>job-yr/MW</v>
      </c>
      <c r="T726" t="str">
        <f>_xlfn.XLOOKUP(B726,FactorInputs!$A$2:$A$888,FactorInputs!$B$2:$B$888,"")</f>
        <v>JEDI-US</v>
      </c>
      <c r="U726" t="str">
        <f>_xlfn.XLOOKUP(B726,FactorInputs!$A$2:$A$888,FactorInputs!$T$2:$T$888,"")</f>
        <v>JEDI-US</v>
      </c>
      <c r="V726">
        <f t="shared" si="71"/>
        <v>513.25067633355684</v>
      </c>
    </row>
    <row r="727" spans="1:23" x14ac:dyDescent="0.3">
      <c r="A727" t="str">
        <f t="shared" si="66"/>
        <v>PA|NewCapacity|RE1|PWRWNDOFS_FIX|2040</v>
      </c>
      <c r="B727" t="str">
        <f t="shared" si="67"/>
        <v>Offshore wind (fixed)|2040|Construction&amp;Manufacturing|Direct</v>
      </c>
      <c r="C727" t="str">
        <f t="shared" si="68"/>
        <v>PWRWNDOFS_FIX|Offshore wind (fixed)</v>
      </c>
      <c r="D727" t="s">
        <v>44</v>
      </c>
      <c r="E727" t="s">
        <v>45</v>
      </c>
      <c r="F727" t="s">
        <v>19</v>
      </c>
      <c r="G727" t="s">
        <v>42</v>
      </c>
      <c r="H727">
        <v>2040</v>
      </c>
      <c r="I727" t="s">
        <v>37</v>
      </c>
      <c r="J727" t="s">
        <v>69</v>
      </c>
      <c r="K727" t="s">
        <v>70</v>
      </c>
      <c r="L727" t="s">
        <v>65</v>
      </c>
      <c r="M727">
        <f>SUMIFS(RawResultsLong!$P:$P,RawResultsLong!$A:$A,A727)</f>
        <v>1.752</v>
      </c>
      <c r="N727">
        <f t="shared" si="69"/>
        <v>55.517529850178718</v>
      </c>
      <c r="O727" t="s">
        <v>74</v>
      </c>
      <c r="P727">
        <f>SUMIFS(TechnologyMapping!$D:$D,TechnologyMapping!$A:$A,C727)</f>
        <v>1</v>
      </c>
      <c r="Q727">
        <f t="shared" si="70"/>
        <v>55.517529850178718</v>
      </c>
      <c r="R727">
        <f>SUMIFS(FactorInputs!$I:$I,FactorInputs!$A:$A,B727)</f>
        <v>4.0630087160999997</v>
      </c>
      <c r="S727" t="str">
        <f>_xlfn.XLOOKUP(B727,FactorInputs!$A$2:$A$888,FactorInputs!$F$2:$F$888,"")</f>
        <v>job-yr/MW</v>
      </c>
      <c r="T727" t="str">
        <f>_xlfn.XLOOKUP(B727,FactorInputs!$A$2:$A$888,FactorInputs!$B$2:$B$888,"")</f>
        <v>French QBIS 2023</v>
      </c>
      <c r="U727" t="str">
        <f>_xlfn.XLOOKUP(B727,FactorInputs!$A$2:$A$888,FactorInputs!$T$2:$T$888,"")</f>
        <v>French QBIS 2023</v>
      </c>
      <c r="V727">
        <f t="shared" si="71"/>
        <v>225.56820767761803</v>
      </c>
    </row>
    <row r="728" spans="1:23" x14ac:dyDescent="0.3">
      <c r="A728" t="str">
        <f t="shared" si="66"/>
        <v>PA|NewCapacity|RE1|PWRWNDONS|2040</v>
      </c>
      <c r="B728" t="str">
        <f t="shared" si="67"/>
        <v>Onshore wind|2040|Construction&amp;Manufacturing|Direct</v>
      </c>
      <c r="C728" t="str">
        <f t="shared" si="68"/>
        <v>PWRWNDONS|Onshore wind</v>
      </c>
      <c r="D728" t="s">
        <v>44</v>
      </c>
      <c r="E728" t="s">
        <v>45</v>
      </c>
      <c r="F728" t="s">
        <v>19</v>
      </c>
      <c r="G728" t="s">
        <v>36</v>
      </c>
      <c r="H728">
        <v>2040</v>
      </c>
      <c r="I728" t="s">
        <v>37</v>
      </c>
      <c r="J728" t="s">
        <v>69</v>
      </c>
      <c r="K728" t="s">
        <v>70</v>
      </c>
      <c r="L728" t="s">
        <v>65</v>
      </c>
      <c r="M728">
        <f>SUMIFS(RawResultsLong!$P:$P,RawResultsLong!$A:$A,A728)</f>
        <v>47.31</v>
      </c>
      <c r="N728">
        <f t="shared" si="69"/>
        <v>1499.1634344817096</v>
      </c>
      <c r="O728" t="s">
        <v>68</v>
      </c>
      <c r="P728">
        <f>SUMIFS(TechnologyMapping!$D:$D,TechnologyMapping!$A:$A,C728)</f>
        <v>1</v>
      </c>
      <c r="Q728">
        <f t="shared" si="70"/>
        <v>1499.1634344817096</v>
      </c>
      <c r="R728">
        <f>SUMIFS(FactorInputs!$I:$I,FactorInputs!$A:$A,B728)</f>
        <v>6.6951774985799997</v>
      </c>
      <c r="S728" t="str">
        <f>_xlfn.XLOOKUP(B728,FactorInputs!$A$2:$A$888,FactorInputs!$F$2:$F$888,"")</f>
        <v>job-yr/MW</v>
      </c>
      <c r="T728" t="str">
        <f>_xlfn.XLOOKUP(B728,FactorInputs!$A$2:$A$888,FactorInputs!$B$2:$B$888,"")</f>
        <v>I-JEDI</v>
      </c>
      <c r="U728" t="str">
        <f>_xlfn.XLOOKUP(B728,FactorInputs!$A$2:$A$888,FactorInputs!$T$2:$T$888,"")</f>
        <v>I-JEDI</v>
      </c>
      <c r="V728">
        <f t="shared" si="71"/>
        <v>10037.165293235854</v>
      </c>
    </row>
    <row r="729" spans="1:23" x14ac:dyDescent="0.3">
      <c r="A729" t="str">
        <f t="shared" si="66"/>
        <v>PA|AccumulatedNewCapacity|RE1|PWRGEO|2041</v>
      </c>
      <c r="B729" t="str">
        <f t="shared" si="67"/>
        <v>Geothermal|2041|O&amp;M|Direct</v>
      </c>
      <c r="C729" t="str">
        <f t="shared" si="68"/>
        <v>PWRGEO|Geothermal</v>
      </c>
      <c r="D729" t="s">
        <v>44</v>
      </c>
      <c r="E729" t="s">
        <v>45</v>
      </c>
      <c r="F729" t="s">
        <v>19</v>
      </c>
      <c r="G729" t="s">
        <v>46</v>
      </c>
      <c r="H729">
        <v>2041</v>
      </c>
      <c r="I729" t="s">
        <v>18</v>
      </c>
      <c r="J729" t="s">
        <v>63</v>
      </c>
      <c r="K729" t="s">
        <v>64</v>
      </c>
      <c r="L729" t="s">
        <v>65</v>
      </c>
      <c r="M729">
        <f>SUMIFS(RawResultsLong!$P:$P,RawResultsLong!$A:$A,A729)</f>
        <v>6.3079999999999998</v>
      </c>
      <c r="N729">
        <f t="shared" si="69"/>
        <v>199.88845793089462</v>
      </c>
      <c r="O729" t="s">
        <v>82</v>
      </c>
      <c r="P729">
        <f>SUMIFS(TechnologyMapping!$D:$D,TechnologyMapping!$A:$A,C729)</f>
        <v>1</v>
      </c>
      <c r="Q729">
        <f t="shared" si="70"/>
        <v>199.88845793089462</v>
      </c>
      <c r="R729">
        <f>SUMIFS(FactorInputs!$I:$I,FactorInputs!$A:$A,B729)</f>
        <v>7.2182628062399997E-3</v>
      </c>
      <c r="S729" t="str">
        <f>_xlfn.XLOOKUP(B729,FactorInputs!$A$2:$A$888,FactorInputs!$F$2:$F$888,"")</f>
        <v>job/MW</v>
      </c>
      <c r="T729" t="str">
        <f>_xlfn.XLOOKUP(B729,FactorInputs!$A$2:$A$888,FactorInputs!$B$2:$B$888,"")</f>
        <v>I-JEDI</v>
      </c>
      <c r="U729" t="str">
        <f>_xlfn.XLOOKUP(B729,FactorInputs!$A$2:$A$888,FactorInputs!$T$2:$T$888,"")</f>
        <v>I-JEDI</v>
      </c>
      <c r="V729">
        <f t="shared" si="71"/>
        <v>1.4428474212792455</v>
      </c>
    </row>
    <row r="730" spans="1:23" x14ac:dyDescent="0.3">
      <c r="A730" t="str">
        <f t="shared" si="66"/>
        <v>PA|AccumulatedNewCapacity|RE1|PWRHYDDAM|2041</v>
      </c>
      <c r="B730" t="str">
        <f t="shared" si="67"/>
        <v>Hydro (large)|2041|O&amp;M|Direct</v>
      </c>
      <c r="C730" t="str">
        <f t="shared" si="68"/>
        <v>PWRHYDDAM|Hydro (large)</v>
      </c>
      <c r="D730" t="s">
        <v>44</v>
      </c>
      <c r="E730" t="s">
        <v>45</v>
      </c>
      <c r="F730" t="s">
        <v>19</v>
      </c>
      <c r="G730" t="s">
        <v>24</v>
      </c>
      <c r="H730">
        <v>2041</v>
      </c>
      <c r="I730" t="s">
        <v>18</v>
      </c>
      <c r="J730" t="s">
        <v>63</v>
      </c>
      <c r="K730" t="s">
        <v>64</v>
      </c>
      <c r="L730" t="s">
        <v>65</v>
      </c>
      <c r="M730">
        <f>SUMIFS(RawResultsLong!$P:$P,RawResultsLong!$A:$A,A730)</f>
        <v>37.840000000000003</v>
      </c>
      <c r="N730">
        <f t="shared" si="69"/>
        <v>1199.0772428828554</v>
      </c>
      <c r="O730" t="s">
        <v>72</v>
      </c>
      <c r="P730">
        <f>SUMIFS(TechnologyMapping!$D:$D,TechnologyMapping!$A:$A,C730)</f>
        <v>1</v>
      </c>
      <c r="Q730">
        <f t="shared" si="70"/>
        <v>1199.0772428828554</v>
      </c>
      <c r="R730">
        <f>SUMIFS(FactorInputs!$I:$I,FactorInputs!$A:$A,B730)</f>
        <v>0.64007049180300002</v>
      </c>
      <c r="S730" t="str">
        <f>_xlfn.XLOOKUP(B730,FactorInputs!$A$2:$A$888,FactorInputs!$F$2:$F$888,"")</f>
        <v>job/MW</v>
      </c>
      <c r="T730" t="str">
        <f>_xlfn.XLOOKUP(B730,FactorInputs!$A$2:$A$888,FactorInputs!$B$2:$B$888,"")</f>
        <v>Rutovitz 2015</v>
      </c>
      <c r="U730" t="str">
        <f>_xlfn.XLOOKUP(B730,FactorInputs!$A$2:$A$888,FactorInputs!$T$2:$T$888,"")</f>
        <v>Rutovitz 2015</v>
      </c>
      <c r="V730">
        <f t="shared" si="71"/>
        <v>767.49396056181456</v>
      </c>
    </row>
    <row r="731" spans="1:23" x14ac:dyDescent="0.3">
      <c r="A731" t="str">
        <f t="shared" si="66"/>
        <v>PA|AccumulatedNewCapacity|RE1|PWRNUC|2041</v>
      </c>
      <c r="B731" t="str">
        <f t="shared" si="67"/>
        <v>Nuclear|2041|O&amp;M|Direct</v>
      </c>
      <c r="C731" t="str">
        <f t="shared" si="68"/>
        <v>PWRNUC|Nuclear</v>
      </c>
      <c r="D731" t="s">
        <v>44</v>
      </c>
      <c r="E731" t="s">
        <v>45</v>
      </c>
      <c r="F731" t="s">
        <v>19</v>
      </c>
      <c r="G731" t="s">
        <v>47</v>
      </c>
      <c r="H731">
        <v>2041</v>
      </c>
      <c r="I731" t="s">
        <v>18</v>
      </c>
      <c r="J731" t="s">
        <v>63</v>
      </c>
      <c r="K731" t="s">
        <v>64</v>
      </c>
      <c r="L731" t="s">
        <v>65</v>
      </c>
      <c r="M731">
        <f>SUMIFS(RawResultsLong!$P:$P,RawResultsLong!$A:$A,A731)</f>
        <v>9.5120000000000005</v>
      </c>
      <c r="N731">
        <f t="shared" si="69"/>
        <v>301.41709128704338</v>
      </c>
      <c r="O731" t="s">
        <v>81</v>
      </c>
      <c r="P731">
        <f>SUMIFS(TechnologyMapping!$D:$D,TechnologyMapping!$A:$A,C731)</f>
        <v>1</v>
      </c>
      <c r="Q731">
        <f t="shared" si="70"/>
        <v>301.41709128704338</v>
      </c>
      <c r="R731">
        <f>SUMIFS(FactorInputs!$I:$I,FactorInputs!$A:$A,B731)</f>
        <v>1.1131041666699999</v>
      </c>
      <c r="S731" t="str">
        <f>_xlfn.XLOOKUP(B731,FactorInputs!$A$2:$A$888,FactorInputs!$F$2:$F$888,"")</f>
        <v>job/MW</v>
      </c>
      <c r="T731" t="str">
        <f>_xlfn.XLOOKUP(B731,FactorInputs!$A$2:$A$888,FactorInputs!$B$2:$B$888,"")</f>
        <v>Rutovitz 2015</v>
      </c>
      <c r="U731" t="str">
        <f>_xlfn.XLOOKUP(B731,FactorInputs!$A$2:$A$888,FactorInputs!$T$2:$T$888,"")</f>
        <v>Rutovitz 2015</v>
      </c>
      <c r="V731">
        <f t="shared" si="71"/>
        <v>335.50862021715972</v>
      </c>
    </row>
    <row r="732" spans="1:23" x14ac:dyDescent="0.3">
      <c r="A732" t="str">
        <f t="shared" si="66"/>
        <v>PA|AccumulatedNewCapacity|RE1|PWRSOLRTP|2041</v>
      </c>
      <c r="B732" t="str">
        <f t="shared" si="67"/>
        <v>Rooftop solar PV|2041|O&amp;M|Direct</v>
      </c>
      <c r="C732" t="str">
        <f t="shared" si="68"/>
        <v>PWRSOLRTP|Rooftop solar PV</v>
      </c>
      <c r="D732" t="s">
        <v>44</v>
      </c>
      <c r="E732" t="s">
        <v>45</v>
      </c>
      <c r="F732" t="s">
        <v>19</v>
      </c>
      <c r="G732" t="s">
        <v>31</v>
      </c>
      <c r="H732">
        <v>2041</v>
      </c>
      <c r="I732" t="s">
        <v>18</v>
      </c>
      <c r="J732" t="s">
        <v>63</v>
      </c>
      <c r="K732" t="s">
        <v>64</v>
      </c>
      <c r="L732" t="s">
        <v>65</v>
      </c>
      <c r="M732">
        <f>SUMIFS(RawResultsLong!$P:$P,RawResultsLong!$A:$A,A732)</f>
        <v>138.94703233988591</v>
      </c>
      <c r="N732">
        <f t="shared" si="69"/>
        <v>4402.9657622850254</v>
      </c>
      <c r="O732" t="s">
        <v>71</v>
      </c>
      <c r="P732">
        <f>SUMIFS(TechnologyMapping!$D:$D,TechnologyMapping!$A:$A,C732)</f>
        <v>1</v>
      </c>
      <c r="Q732">
        <f t="shared" si="70"/>
        <v>4402.9657622850254</v>
      </c>
      <c r="R732">
        <f>SUMIFS(FactorInputs!$I:$I,FactorInputs!$A:$A,B732)</f>
        <v>0.23532352941199999</v>
      </c>
      <c r="S732" t="str">
        <f>_xlfn.XLOOKUP(B732,FactorInputs!$A$2:$A$888,FactorInputs!$F$2:$F$888,"")</f>
        <v>job/MW</v>
      </c>
      <c r="T732" t="str">
        <f>_xlfn.XLOOKUP(B732,FactorInputs!$A$2:$A$888,FactorInputs!$B$2:$B$888,"")</f>
        <v>JEDI-US</v>
      </c>
      <c r="U732" t="str">
        <f>_xlfn.XLOOKUP(B732,FactorInputs!$A$2:$A$888,FactorInputs!$T$2:$T$888,"")</f>
        <v>JEDI-US</v>
      </c>
      <c r="V732">
        <f t="shared" si="71"/>
        <v>1036.1214430611092</v>
      </c>
    </row>
    <row r="733" spans="1:23" x14ac:dyDescent="0.3">
      <c r="A733" t="str">
        <f t="shared" si="66"/>
        <v>PA|AccumulatedNewCapacity|RE1|PWRSOLUGE|2041</v>
      </c>
      <c r="B733" t="str">
        <f t="shared" si="67"/>
        <v>Utility-scale solar PV|2041|O&amp;M|Direct</v>
      </c>
      <c r="C733" t="str">
        <f t="shared" si="68"/>
        <v>PWRSOLUGE|Utility-scale solar PV</v>
      </c>
      <c r="D733" t="s">
        <v>44</v>
      </c>
      <c r="E733" t="s">
        <v>45</v>
      </c>
      <c r="F733" t="s">
        <v>19</v>
      </c>
      <c r="G733" t="s">
        <v>33</v>
      </c>
      <c r="H733">
        <v>2041</v>
      </c>
      <c r="I733" t="s">
        <v>18</v>
      </c>
      <c r="J733" t="s">
        <v>63</v>
      </c>
      <c r="K733" t="s">
        <v>64</v>
      </c>
      <c r="L733" t="s">
        <v>65</v>
      </c>
      <c r="M733">
        <f>SUMIFS(RawResultsLong!$P:$P,RawResultsLong!$A:$A,A733)</f>
        <v>143.394192</v>
      </c>
      <c r="N733">
        <f t="shared" si="69"/>
        <v>4543.8877481177278</v>
      </c>
      <c r="O733" t="s">
        <v>66</v>
      </c>
      <c r="P733">
        <f>SUMIFS(TechnologyMapping!$D:$D,TechnologyMapping!$A:$A,C733)</f>
        <v>1</v>
      </c>
      <c r="Q733">
        <f t="shared" si="70"/>
        <v>4543.8877481177278</v>
      </c>
      <c r="R733">
        <f>SUMIFS(FactorInputs!$I:$I,FactorInputs!$A:$A,B733)</f>
        <v>7.5700337837800002E-2</v>
      </c>
      <c r="S733" t="str">
        <f>_xlfn.XLOOKUP(B733,FactorInputs!$A$2:$A$888,FactorInputs!$F$2:$F$888,"")</f>
        <v>job/MW</v>
      </c>
      <c r="T733" t="str">
        <f>_xlfn.XLOOKUP(B733,FactorInputs!$A$2:$A$888,FactorInputs!$B$2:$B$888,"")</f>
        <v>I-JEDI</v>
      </c>
      <c r="U733" t="str">
        <f>_xlfn.XLOOKUP(B733,FactorInputs!$A$2:$A$888,FactorInputs!$T$2:$T$888,"")</f>
        <v>I-JEDI</v>
      </c>
      <c r="V733">
        <f t="shared" si="71"/>
        <v>343.97383762955229</v>
      </c>
    </row>
    <row r="734" spans="1:23" x14ac:dyDescent="0.3">
      <c r="A734" t="str">
        <f t="shared" si="66"/>
        <v>PA|AccumulatedNewCapacity|RE1|PWRSOLUPE|2041</v>
      </c>
      <c r="B734" t="str">
        <f t="shared" si="67"/>
        <v>Utility-scale solar PV|2041|O&amp;M|Direct</v>
      </c>
      <c r="C734" t="str">
        <f t="shared" si="68"/>
        <v>PWRSOLUPE|Utility-scale solar PV</v>
      </c>
      <c r="D734" t="s">
        <v>44</v>
      </c>
      <c r="E734" t="s">
        <v>45</v>
      </c>
      <c r="F734" t="s">
        <v>19</v>
      </c>
      <c r="G734" t="s">
        <v>34</v>
      </c>
      <c r="H734">
        <v>2041</v>
      </c>
      <c r="I734" t="s">
        <v>18</v>
      </c>
      <c r="J734" t="s">
        <v>63</v>
      </c>
      <c r="K734" t="s">
        <v>64</v>
      </c>
      <c r="L734" t="s">
        <v>65</v>
      </c>
      <c r="M734">
        <f>SUMIFS(RawResultsLong!$P:$P,RawResultsLong!$A:$A,A734)</f>
        <v>12.14419823999993</v>
      </c>
      <c r="N734">
        <f t="shared" si="69"/>
        <v>384.82642026009364</v>
      </c>
      <c r="O734" t="s">
        <v>66</v>
      </c>
      <c r="P734">
        <f>SUMIFS(TechnologyMapping!$D:$D,TechnologyMapping!$A:$A,C734)</f>
        <v>1</v>
      </c>
      <c r="Q734">
        <f t="shared" si="70"/>
        <v>384.82642026009364</v>
      </c>
      <c r="R734">
        <f>SUMIFS(FactorInputs!$I:$I,FactorInputs!$A:$A,B734)</f>
        <v>7.5700337837800002E-2</v>
      </c>
      <c r="S734" t="str">
        <f>_xlfn.XLOOKUP(B734,FactorInputs!$A$2:$A$888,FactorInputs!$F$2:$F$888,"")</f>
        <v>job/MW</v>
      </c>
      <c r="T734" t="str">
        <f>_xlfn.XLOOKUP(B734,FactorInputs!$A$2:$A$888,FactorInputs!$B$2:$B$888,"")</f>
        <v>I-JEDI</v>
      </c>
      <c r="U734" t="str">
        <f>_xlfn.XLOOKUP(B734,FactorInputs!$A$2:$A$888,FactorInputs!$T$2:$T$888,"")</f>
        <v>I-JEDI</v>
      </c>
      <c r="V734">
        <f t="shared" si="71"/>
        <v>29.131490022600293</v>
      </c>
      <c r="W734" t="s">
        <v>67</v>
      </c>
    </row>
    <row r="735" spans="1:23" x14ac:dyDescent="0.3">
      <c r="A735" t="str">
        <f t="shared" si="66"/>
        <v>PA|AccumulatedNewCapacity|RE1|PWRWNDOFS_FIX|2041</v>
      </c>
      <c r="B735" t="str">
        <f t="shared" si="67"/>
        <v>Offshore wind (fixed)|2041|O&amp;M|Direct</v>
      </c>
      <c r="C735" t="str">
        <f t="shared" si="68"/>
        <v>PWRWNDOFS_FIX|Offshore wind (fixed)</v>
      </c>
      <c r="D735" t="s">
        <v>44</v>
      </c>
      <c r="E735" t="s">
        <v>45</v>
      </c>
      <c r="F735" t="s">
        <v>19</v>
      </c>
      <c r="G735" t="s">
        <v>42</v>
      </c>
      <c r="H735">
        <v>2041</v>
      </c>
      <c r="I735" t="s">
        <v>18</v>
      </c>
      <c r="J735" t="s">
        <v>63</v>
      </c>
      <c r="K735" t="s">
        <v>64</v>
      </c>
      <c r="L735" t="s">
        <v>65</v>
      </c>
      <c r="M735">
        <f>SUMIFS(RawResultsLong!$P:$P,RawResultsLong!$A:$A,A735)</f>
        <v>18.921600000000002</v>
      </c>
      <c r="N735">
        <f t="shared" si="69"/>
        <v>599.58932238193029</v>
      </c>
      <c r="O735" t="s">
        <v>74</v>
      </c>
      <c r="P735">
        <f>SUMIFS(TechnologyMapping!$D:$D,TechnologyMapping!$A:$A,C735)</f>
        <v>1</v>
      </c>
      <c r="Q735">
        <f t="shared" si="70"/>
        <v>599.58932238193029</v>
      </c>
      <c r="R735">
        <f>SUMIFS(FactorInputs!$I:$I,FactorInputs!$A:$A,B735)</f>
        <v>6.5720184331800005E-2</v>
      </c>
      <c r="S735" t="str">
        <f>_xlfn.XLOOKUP(B735,FactorInputs!$A$2:$A$888,FactorInputs!$F$2:$F$888,"")</f>
        <v>job/MW</v>
      </c>
      <c r="T735" t="str">
        <f>_xlfn.XLOOKUP(B735,FactorInputs!$A$2:$A$888,FactorInputs!$B$2:$B$888,"")</f>
        <v>French QBIS 2023</v>
      </c>
      <c r="U735" t="str">
        <f>_xlfn.XLOOKUP(B735,FactorInputs!$A$2:$A$888,FactorInputs!$T$2:$T$888,"")</f>
        <v>French QBIS 2023</v>
      </c>
      <c r="V735">
        <f t="shared" si="71"/>
        <v>39.405120790319515</v>
      </c>
    </row>
    <row r="736" spans="1:23" x14ac:dyDescent="0.3">
      <c r="A736" t="str">
        <f t="shared" si="66"/>
        <v>PA|AccumulatedNewCapacity|RE1|PWRWNDONS|2041</v>
      </c>
      <c r="B736" t="str">
        <f t="shared" si="67"/>
        <v>Onshore wind|2041|O&amp;M|Direct</v>
      </c>
      <c r="C736" t="str">
        <f t="shared" si="68"/>
        <v>PWRWNDONS|Onshore wind</v>
      </c>
      <c r="D736" t="s">
        <v>44</v>
      </c>
      <c r="E736" t="s">
        <v>45</v>
      </c>
      <c r="F736" t="s">
        <v>19</v>
      </c>
      <c r="G736" t="s">
        <v>36</v>
      </c>
      <c r="H736">
        <v>2041</v>
      </c>
      <c r="I736" t="s">
        <v>18</v>
      </c>
      <c r="J736" t="s">
        <v>63</v>
      </c>
      <c r="K736" t="s">
        <v>64</v>
      </c>
      <c r="L736" t="s">
        <v>65</v>
      </c>
      <c r="M736">
        <f>SUMIFS(RawResultsLong!$P:$P,RawResultsLong!$A:$A,A736)</f>
        <v>280.90626433862963</v>
      </c>
      <c r="N736">
        <f t="shared" si="69"/>
        <v>8901.3823718733238</v>
      </c>
      <c r="O736" t="s">
        <v>68</v>
      </c>
      <c r="P736">
        <f>SUMIFS(TechnologyMapping!$D:$D,TechnologyMapping!$A:$A,C736)</f>
        <v>1</v>
      </c>
      <c r="Q736">
        <f t="shared" si="70"/>
        <v>8901.3823718733238</v>
      </c>
      <c r="R736">
        <f>SUMIFS(FactorInputs!$I:$I,FactorInputs!$A:$A,B736)</f>
        <v>2.7624087591200001E-2</v>
      </c>
      <c r="S736" t="str">
        <f>_xlfn.XLOOKUP(B736,FactorInputs!$A$2:$A$888,FactorInputs!$F$2:$F$888,"")</f>
        <v>job/MW</v>
      </c>
      <c r="T736" t="str">
        <f>_xlfn.XLOOKUP(B736,FactorInputs!$A$2:$A$888,FactorInputs!$B$2:$B$888,"")</f>
        <v>I-JEDI</v>
      </c>
      <c r="U736" t="str">
        <f>_xlfn.XLOOKUP(B736,FactorInputs!$A$2:$A$888,FactorInputs!$T$2:$T$888,"")</f>
        <v>I-JEDI</v>
      </c>
      <c r="V736">
        <f t="shared" si="71"/>
        <v>245.89256632339232</v>
      </c>
    </row>
    <row r="737" spans="1:23" x14ac:dyDescent="0.3">
      <c r="A737" t="str">
        <f t="shared" si="66"/>
        <v>PA|NewCapacity|RE1|PWRGEO|2041</v>
      </c>
      <c r="B737" t="str">
        <f t="shared" si="67"/>
        <v>Geothermal|2041|Construction&amp;Manufacturing|Direct</v>
      </c>
      <c r="C737" t="str">
        <f t="shared" si="68"/>
        <v>PWRGEO|Geothermal</v>
      </c>
      <c r="D737" t="s">
        <v>44</v>
      </c>
      <c r="E737" t="s">
        <v>45</v>
      </c>
      <c r="F737" t="s">
        <v>19</v>
      </c>
      <c r="G737" t="s">
        <v>46</v>
      </c>
      <c r="H737">
        <v>2041</v>
      </c>
      <c r="I737" t="s">
        <v>37</v>
      </c>
      <c r="J737" t="s">
        <v>69</v>
      </c>
      <c r="K737" t="s">
        <v>70</v>
      </c>
      <c r="L737" t="s">
        <v>65</v>
      </c>
      <c r="M737">
        <f>SUMIFS(RawResultsLong!$P:$P,RawResultsLong!$A:$A,A737)</f>
        <v>3.1539999999999999</v>
      </c>
      <c r="N737">
        <f t="shared" si="69"/>
        <v>99.944228965447309</v>
      </c>
      <c r="O737" t="s">
        <v>82</v>
      </c>
      <c r="P737">
        <f>SUMIFS(TechnologyMapping!$D:$D,TechnologyMapping!$A:$A,C737)</f>
        <v>1</v>
      </c>
      <c r="Q737">
        <f t="shared" si="70"/>
        <v>99.944228965447309</v>
      </c>
      <c r="R737">
        <f>SUMIFS(FactorInputs!$I:$I,FactorInputs!$A:$A,B737)</f>
        <v>4.5887320217500003</v>
      </c>
      <c r="S737" t="str">
        <f>_xlfn.XLOOKUP(B737,FactorInputs!$A$2:$A$888,FactorInputs!$F$2:$F$888,"")</f>
        <v>job-yr/MW</v>
      </c>
      <c r="T737" t="str">
        <f>_xlfn.XLOOKUP(B737,FactorInputs!$A$2:$A$888,FactorInputs!$B$2:$B$888,"")</f>
        <v>I-JEDI</v>
      </c>
      <c r="U737" t="str">
        <f>_xlfn.XLOOKUP(B737,FactorInputs!$A$2:$A$888,FactorInputs!$T$2:$T$888,"")</f>
        <v>I-JEDI</v>
      </c>
      <c r="V737">
        <f t="shared" si="71"/>
        <v>458.61728384286198</v>
      </c>
    </row>
    <row r="738" spans="1:23" x14ac:dyDescent="0.3">
      <c r="A738" t="str">
        <f t="shared" si="66"/>
        <v>PA|NewCapacity|RE1|PWRSOLRTP|2041</v>
      </c>
      <c r="B738" t="str">
        <f t="shared" si="67"/>
        <v>Rooftop solar PV|2041|Construction&amp;Manufacturing|Direct</v>
      </c>
      <c r="C738" t="str">
        <f t="shared" si="68"/>
        <v>PWRSOLRTP|Rooftop solar PV</v>
      </c>
      <c r="D738" t="s">
        <v>44</v>
      </c>
      <c r="E738" t="s">
        <v>45</v>
      </c>
      <c r="F738" t="s">
        <v>19</v>
      </c>
      <c r="G738" t="s">
        <v>31</v>
      </c>
      <c r="H738">
        <v>2041</v>
      </c>
      <c r="I738" t="s">
        <v>37</v>
      </c>
      <c r="J738" t="s">
        <v>69</v>
      </c>
      <c r="K738" t="s">
        <v>70</v>
      </c>
      <c r="L738" t="s">
        <v>65</v>
      </c>
      <c r="M738">
        <f>SUMIFS(RawResultsLong!$P:$P,RawResultsLong!$A:$A,A738)</f>
        <v>2.5998731769181989</v>
      </c>
      <c r="N738">
        <f t="shared" si="69"/>
        <v>82.385009535522315</v>
      </c>
      <c r="O738" t="s">
        <v>71</v>
      </c>
      <c r="P738">
        <f>SUMIFS(TechnologyMapping!$D:$D,TechnologyMapping!$A:$A,C738)</f>
        <v>1</v>
      </c>
      <c r="Q738">
        <f t="shared" si="70"/>
        <v>82.385009535522315</v>
      </c>
      <c r="R738">
        <f>SUMIFS(FactorInputs!$I:$I,FactorInputs!$A:$A,B738)</f>
        <v>5.2717076176399997</v>
      </c>
      <c r="S738" t="str">
        <f>_xlfn.XLOOKUP(B738,FactorInputs!$A$2:$A$888,FactorInputs!$F$2:$F$888,"")</f>
        <v>job-yr/MW</v>
      </c>
      <c r="T738" t="str">
        <f>_xlfn.XLOOKUP(B738,FactorInputs!$A$2:$A$888,FactorInputs!$B$2:$B$888,"")</f>
        <v>JEDI-US</v>
      </c>
      <c r="U738" t="str">
        <f>_xlfn.XLOOKUP(B738,FactorInputs!$A$2:$A$888,FactorInputs!$T$2:$T$888,"")</f>
        <v>JEDI-US</v>
      </c>
      <c r="V738">
        <f t="shared" si="71"/>
        <v>434.30968234775702</v>
      </c>
    </row>
    <row r="739" spans="1:23" x14ac:dyDescent="0.3">
      <c r="A739" t="str">
        <f t="shared" si="66"/>
        <v>PA|NewCapacity|RE1|PWRWNDOFS_FIX|2041</v>
      </c>
      <c r="B739" t="str">
        <f t="shared" si="67"/>
        <v>Offshore wind (fixed)|2041|Construction&amp;Manufacturing|Direct</v>
      </c>
      <c r="C739" t="str">
        <f t="shared" si="68"/>
        <v>PWRWNDOFS_FIX|Offshore wind (fixed)</v>
      </c>
      <c r="D739" t="s">
        <v>44</v>
      </c>
      <c r="E739" t="s">
        <v>45</v>
      </c>
      <c r="F739" t="s">
        <v>19</v>
      </c>
      <c r="G739" t="s">
        <v>42</v>
      </c>
      <c r="H739">
        <v>2041</v>
      </c>
      <c r="I739" t="s">
        <v>37</v>
      </c>
      <c r="J739" t="s">
        <v>69</v>
      </c>
      <c r="K739" t="s">
        <v>70</v>
      </c>
      <c r="L739" t="s">
        <v>65</v>
      </c>
      <c r="M739">
        <f>SUMIFS(RawResultsLong!$P:$P,RawResultsLong!$A:$A,A739)</f>
        <v>3.1536</v>
      </c>
      <c r="N739">
        <f t="shared" si="69"/>
        <v>99.931553730321696</v>
      </c>
      <c r="O739" t="s">
        <v>74</v>
      </c>
      <c r="P739">
        <f>SUMIFS(TechnologyMapping!$D:$D,TechnologyMapping!$A:$A,C739)</f>
        <v>1</v>
      </c>
      <c r="Q739">
        <f t="shared" si="70"/>
        <v>99.931553730321696</v>
      </c>
      <c r="R739">
        <f>SUMIFS(FactorInputs!$I:$I,FactorInputs!$A:$A,B739)</f>
        <v>3.99146175461</v>
      </c>
      <c r="S739" t="str">
        <f>_xlfn.XLOOKUP(B739,FactorInputs!$A$2:$A$888,FactorInputs!$F$2:$F$888,"")</f>
        <v>job-yr/MW</v>
      </c>
      <c r="T739" t="str">
        <f>_xlfn.XLOOKUP(B739,FactorInputs!$A$2:$A$888,FactorInputs!$B$2:$B$888,"")</f>
        <v>French QBIS 2023</v>
      </c>
      <c r="U739" t="str">
        <f>_xlfn.XLOOKUP(B739,FactorInputs!$A$2:$A$888,FactorInputs!$T$2:$T$888,"")</f>
        <v>French QBIS 2023</v>
      </c>
      <c r="V739">
        <f t="shared" si="71"/>
        <v>398.8729747933333</v>
      </c>
    </row>
    <row r="740" spans="1:23" x14ac:dyDescent="0.3">
      <c r="A740" t="str">
        <f t="shared" si="66"/>
        <v>PA|NewCapacity|RE1|PWRWNDONS|2041</v>
      </c>
      <c r="B740" t="str">
        <f t="shared" si="67"/>
        <v>Onshore wind|2041|Construction&amp;Manufacturing|Direct</v>
      </c>
      <c r="C740" t="str">
        <f t="shared" si="68"/>
        <v>PWRWNDONS|Onshore wind</v>
      </c>
      <c r="D740" t="s">
        <v>44</v>
      </c>
      <c r="E740" t="s">
        <v>45</v>
      </c>
      <c r="F740" t="s">
        <v>19</v>
      </c>
      <c r="G740" t="s">
        <v>36</v>
      </c>
      <c r="H740">
        <v>2041</v>
      </c>
      <c r="I740" t="s">
        <v>37</v>
      </c>
      <c r="J740" t="s">
        <v>69</v>
      </c>
      <c r="K740" t="s">
        <v>70</v>
      </c>
      <c r="L740" t="s">
        <v>65</v>
      </c>
      <c r="M740">
        <f>SUMIFS(RawResultsLong!$P:$P,RawResultsLong!$A:$A,A740)</f>
        <v>47.31</v>
      </c>
      <c r="N740">
        <f t="shared" si="69"/>
        <v>1499.1634344817096</v>
      </c>
      <c r="O740" t="s">
        <v>68</v>
      </c>
      <c r="P740">
        <f>SUMIFS(TechnologyMapping!$D:$D,TechnologyMapping!$A:$A,C740)</f>
        <v>1</v>
      </c>
      <c r="Q740">
        <f t="shared" si="70"/>
        <v>1499.1634344817096</v>
      </c>
      <c r="R740">
        <f>SUMIFS(FactorInputs!$I:$I,FactorInputs!$A:$A,B740)</f>
        <v>6.6769357503800002</v>
      </c>
      <c r="S740" t="str">
        <f>_xlfn.XLOOKUP(B740,FactorInputs!$A$2:$A$888,FactorInputs!$F$2:$F$888,"")</f>
        <v>job-yr/MW</v>
      </c>
      <c r="T740" t="str">
        <f>_xlfn.XLOOKUP(B740,FactorInputs!$A$2:$A$888,FactorInputs!$B$2:$B$888,"")</f>
        <v>I-JEDI</v>
      </c>
      <c r="U740" t="str">
        <f>_xlfn.XLOOKUP(B740,FactorInputs!$A$2:$A$888,FactorInputs!$T$2:$T$888,"")</f>
        <v>I-JEDI</v>
      </c>
      <c r="V740">
        <f t="shared" si="71"/>
        <v>10009.817931353393</v>
      </c>
    </row>
    <row r="741" spans="1:23" x14ac:dyDescent="0.3">
      <c r="A741" t="str">
        <f t="shared" si="66"/>
        <v>PA|AccumulatedNewCapacity|RE1|PWRGEO|2042</v>
      </c>
      <c r="B741" t="str">
        <f t="shared" si="67"/>
        <v>Geothermal|2042|O&amp;M|Direct</v>
      </c>
      <c r="C741" t="str">
        <f t="shared" si="68"/>
        <v>PWRGEO|Geothermal</v>
      </c>
      <c r="D741" t="s">
        <v>44</v>
      </c>
      <c r="E741" t="s">
        <v>45</v>
      </c>
      <c r="F741" t="s">
        <v>19</v>
      </c>
      <c r="G741" t="s">
        <v>46</v>
      </c>
      <c r="H741">
        <v>2042</v>
      </c>
      <c r="I741" t="s">
        <v>18</v>
      </c>
      <c r="J741" t="s">
        <v>63</v>
      </c>
      <c r="K741" t="s">
        <v>64</v>
      </c>
      <c r="L741" t="s">
        <v>65</v>
      </c>
      <c r="M741">
        <f>SUMIFS(RawResultsLong!$P:$P,RawResultsLong!$A:$A,A741)</f>
        <v>9.4619999999999997</v>
      </c>
      <c r="N741">
        <f t="shared" si="69"/>
        <v>299.8326868963419</v>
      </c>
      <c r="O741" t="s">
        <v>82</v>
      </c>
      <c r="P741">
        <f>SUMIFS(TechnologyMapping!$D:$D,TechnologyMapping!$A:$A,C741)</f>
        <v>1</v>
      </c>
      <c r="Q741">
        <f t="shared" si="70"/>
        <v>299.8326868963419</v>
      </c>
      <c r="R741">
        <f>SUMIFS(FactorInputs!$I:$I,FactorInputs!$A:$A,B741)</f>
        <v>7.1893095768399999E-3</v>
      </c>
      <c r="S741" t="str">
        <f>_xlfn.XLOOKUP(B741,FactorInputs!$A$2:$A$888,FactorInputs!$F$2:$F$888,"")</f>
        <v>job/MW</v>
      </c>
      <c r="T741" t="str">
        <f>_xlfn.XLOOKUP(B741,FactorInputs!$A$2:$A$888,FactorInputs!$B$2:$B$888,"")</f>
        <v>I-JEDI</v>
      </c>
      <c r="U741" t="str">
        <f>_xlfn.XLOOKUP(B741,FactorInputs!$A$2:$A$888,FactorInputs!$T$2:$T$888,"")</f>
        <v>I-JEDI</v>
      </c>
      <c r="V741">
        <f t="shared" si="71"/>
        <v>2.1555900073535401</v>
      </c>
    </row>
    <row r="742" spans="1:23" x14ac:dyDescent="0.3">
      <c r="A742" t="str">
        <f t="shared" si="66"/>
        <v>PA|AccumulatedNewCapacity|RE1|PWRHYDDAM|2042</v>
      </c>
      <c r="B742" t="str">
        <f t="shared" si="67"/>
        <v>Hydro (large)|2042|O&amp;M|Direct</v>
      </c>
      <c r="C742" t="str">
        <f t="shared" si="68"/>
        <v>PWRHYDDAM|Hydro (large)</v>
      </c>
      <c r="D742" t="s">
        <v>44</v>
      </c>
      <c r="E742" t="s">
        <v>45</v>
      </c>
      <c r="F742" t="s">
        <v>19</v>
      </c>
      <c r="G742" t="s">
        <v>24</v>
      </c>
      <c r="H742">
        <v>2042</v>
      </c>
      <c r="I742" t="s">
        <v>18</v>
      </c>
      <c r="J742" t="s">
        <v>63</v>
      </c>
      <c r="K742" t="s">
        <v>64</v>
      </c>
      <c r="L742" t="s">
        <v>65</v>
      </c>
      <c r="M742">
        <f>SUMIFS(RawResultsLong!$P:$P,RawResultsLong!$A:$A,A742)</f>
        <v>37.840000000000003</v>
      </c>
      <c r="N742">
        <f t="shared" si="69"/>
        <v>1199.0772428828554</v>
      </c>
      <c r="O742" t="s">
        <v>72</v>
      </c>
      <c r="P742">
        <f>SUMIFS(TechnologyMapping!$D:$D,TechnologyMapping!$A:$A,C742)</f>
        <v>1</v>
      </c>
      <c r="Q742">
        <f t="shared" si="70"/>
        <v>1199.0772428828554</v>
      </c>
      <c r="R742">
        <f>SUMIFS(FactorInputs!$I:$I,FactorInputs!$A:$A,B742)</f>
        <v>0.63989508196699996</v>
      </c>
      <c r="S742" t="str">
        <f>_xlfn.XLOOKUP(B742,FactorInputs!$A$2:$A$888,FactorInputs!$F$2:$F$888,"")</f>
        <v>job/MW</v>
      </c>
      <c r="T742" t="str">
        <f>_xlfn.XLOOKUP(B742,FactorInputs!$A$2:$A$888,FactorInputs!$B$2:$B$888,"")</f>
        <v>Rutovitz 2015</v>
      </c>
      <c r="U742" t="str">
        <f>_xlfn.XLOOKUP(B742,FactorInputs!$A$2:$A$888,FactorInputs!$T$2:$T$888,"")</f>
        <v>Rutovitz 2015</v>
      </c>
      <c r="V742">
        <f t="shared" si="71"/>
        <v>767.28363061928906</v>
      </c>
    </row>
    <row r="743" spans="1:23" x14ac:dyDescent="0.3">
      <c r="A743" t="str">
        <f t="shared" si="66"/>
        <v>PA|AccumulatedNewCapacity|RE1|PWRNUC|2042</v>
      </c>
      <c r="B743" t="str">
        <f t="shared" si="67"/>
        <v>Nuclear|2042|O&amp;M|Direct</v>
      </c>
      <c r="C743" t="str">
        <f t="shared" si="68"/>
        <v>PWRNUC|Nuclear</v>
      </c>
      <c r="D743" t="s">
        <v>44</v>
      </c>
      <c r="E743" t="s">
        <v>45</v>
      </c>
      <c r="F743" t="s">
        <v>19</v>
      </c>
      <c r="G743" t="s">
        <v>47</v>
      </c>
      <c r="H743">
        <v>2042</v>
      </c>
      <c r="I743" t="s">
        <v>18</v>
      </c>
      <c r="J743" t="s">
        <v>63</v>
      </c>
      <c r="K743" t="s">
        <v>64</v>
      </c>
      <c r="L743" t="s">
        <v>65</v>
      </c>
      <c r="M743">
        <f>SUMIFS(RawResultsLong!$P:$P,RawResultsLong!$A:$A,A743)</f>
        <v>9.5120000000000005</v>
      </c>
      <c r="N743">
        <f t="shared" si="69"/>
        <v>301.41709128704338</v>
      </c>
      <c r="O743" t="s">
        <v>81</v>
      </c>
      <c r="P743">
        <f>SUMIFS(TechnologyMapping!$D:$D,TechnologyMapping!$A:$A,C743)</f>
        <v>1</v>
      </c>
      <c r="Q743">
        <f t="shared" si="70"/>
        <v>301.41709128704338</v>
      </c>
      <c r="R743">
        <f>SUMIFS(FactorInputs!$I:$I,FactorInputs!$A:$A,B743)</f>
        <v>1.10975</v>
      </c>
      <c r="S743" t="str">
        <f>_xlfn.XLOOKUP(B743,FactorInputs!$A$2:$A$888,FactorInputs!$F$2:$F$888,"")</f>
        <v>job/MW</v>
      </c>
      <c r="T743" t="str">
        <f>_xlfn.XLOOKUP(B743,FactorInputs!$A$2:$A$888,FactorInputs!$B$2:$B$888,"")</f>
        <v>Rutovitz 2015</v>
      </c>
      <c r="U743" t="str">
        <f>_xlfn.XLOOKUP(B743,FactorInputs!$A$2:$A$888,FactorInputs!$T$2:$T$888,"")</f>
        <v>Rutovitz 2015</v>
      </c>
      <c r="V743">
        <f t="shared" si="71"/>
        <v>334.49761705579641</v>
      </c>
    </row>
    <row r="744" spans="1:23" x14ac:dyDescent="0.3">
      <c r="A744" t="str">
        <f t="shared" si="66"/>
        <v>PA|AccumulatedNewCapacity|RE1|PWRSOLRTP|2042</v>
      </c>
      <c r="B744" t="str">
        <f t="shared" si="67"/>
        <v>Rooftop solar PV|2042|O&amp;M|Direct</v>
      </c>
      <c r="C744" t="str">
        <f t="shared" si="68"/>
        <v>PWRSOLRTP|Rooftop solar PV</v>
      </c>
      <c r="D744" t="s">
        <v>44</v>
      </c>
      <c r="E744" t="s">
        <v>45</v>
      </c>
      <c r="F744" t="s">
        <v>19</v>
      </c>
      <c r="G744" t="s">
        <v>31</v>
      </c>
      <c r="H744">
        <v>2042</v>
      </c>
      <c r="I744" t="s">
        <v>18</v>
      </c>
      <c r="J744" t="s">
        <v>63</v>
      </c>
      <c r="K744" t="s">
        <v>64</v>
      </c>
      <c r="L744" t="s">
        <v>65</v>
      </c>
      <c r="M744">
        <f>SUMIFS(RawResultsLong!$P:$P,RawResultsLong!$A:$A,A744)</f>
        <v>141.2298478123019</v>
      </c>
      <c r="N744">
        <f t="shared" si="69"/>
        <v>4475.3038194381661</v>
      </c>
      <c r="O744" t="s">
        <v>71</v>
      </c>
      <c r="P744">
        <f>SUMIFS(TechnologyMapping!$D:$D,TechnologyMapping!$A:$A,C744)</f>
        <v>1</v>
      </c>
      <c r="Q744">
        <f t="shared" si="70"/>
        <v>4475.3038194381661</v>
      </c>
      <c r="R744">
        <f>SUMIFS(FactorInputs!$I:$I,FactorInputs!$A:$A,B744)</f>
        <v>0.233294117647</v>
      </c>
      <c r="S744" t="str">
        <f>_xlfn.XLOOKUP(B744,FactorInputs!$A$2:$A$888,FactorInputs!$F$2:$F$888,"")</f>
        <v>job/MW</v>
      </c>
      <c r="T744" t="str">
        <f>_xlfn.XLOOKUP(B744,FactorInputs!$A$2:$A$888,FactorInputs!$B$2:$B$888,"")</f>
        <v>JEDI-US</v>
      </c>
      <c r="U744" t="str">
        <f>_xlfn.XLOOKUP(B744,FactorInputs!$A$2:$A$888,FactorInputs!$T$2:$T$888,"")</f>
        <v>JEDI-US</v>
      </c>
      <c r="V744">
        <f t="shared" si="71"/>
        <v>1044.062055758076</v>
      </c>
    </row>
    <row r="745" spans="1:23" x14ac:dyDescent="0.3">
      <c r="A745" t="str">
        <f t="shared" si="66"/>
        <v>PA|AccumulatedNewCapacity|RE1|PWRSOLUGE|2042</v>
      </c>
      <c r="B745" t="str">
        <f t="shared" si="67"/>
        <v>Utility-scale solar PV|2042|O&amp;M|Direct</v>
      </c>
      <c r="C745" t="str">
        <f t="shared" si="68"/>
        <v>PWRSOLUGE|Utility-scale solar PV</v>
      </c>
      <c r="D745" t="s">
        <v>44</v>
      </c>
      <c r="E745" t="s">
        <v>45</v>
      </c>
      <c r="F745" t="s">
        <v>19</v>
      </c>
      <c r="G745" t="s">
        <v>33</v>
      </c>
      <c r="H745">
        <v>2042</v>
      </c>
      <c r="I745" t="s">
        <v>18</v>
      </c>
      <c r="J745" t="s">
        <v>63</v>
      </c>
      <c r="K745" t="s">
        <v>64</v>
      </c>
      <c r="L745" t="s">
        <v>65</v>
      </c>
      <c r="M745">
        <f>SUMIFS(RawResultsLong!$P:$P,RawResultsLong!$A:$A,A745)</f>
        <v>143.394192</v>
      </c>
      <c r="N745">
        <f t="shared" si="69"/>
        <v>4543.8877481177278</v>
      </c>
      <c r="O745" t="s">
        <v>66</v>
      </c>
      <c r="P745">
        <f>SUMIFS(TechnologyMapping!$D:$D,TechnologyMapping!$A:$A,C745)</f>
        <v>1</v>
      </c>
      <c r="Q745">
        <f t="shared" si="70"/>
        <v>4543.8877481177278</v>
      </c>
      <c r="R745">
        <f>SUMIFS(FactorInputs!$I:$I,FactorInputs!$A:$A,B745)</f>
        <v>7.5113513513499999E-2</v>
      </c>
      <c r="S745" t="str">
        <f>_xlfn.XLOOKUP(B745,FactorInputs!$A$2:$A$888,FactorInputs!$F$2:$F$888,"")</f>
        <v>job/MW</v>
      </c>
      <c r="T745" t="str">
        <f>_xlfn.XLOOKUP(B745,FactorInputs!$A$2:$A$888,FactorInputs!$B$2:$B$888,"")</f>
        <v>I-JEDI</v>
      </c>
      <c r="U745" t="str">
        <f>_xlfn.XLOOKUP(B745,FactorInputs!$A$2:$A$888,FactorInputs!$T$2:$T$888,"")</f>
        <v>I-JEDI</v>
      </c>
      <c r="V745">
        <f t="shared" si="71"/>
        <v>341.30737377206805</v>
      </c>
    </row>
    <row r="746" spans="1:23" x14ac:dyDescent="0.3">
      <c r="A746" t="str">
        <f t="shared" si="66"/>
        <v>PA|AccumulatedNewCapacity|RE1|PWRSOLUPE|2042</v>
      </c>
      <c r="B746" t="str">
        <f t="shared" si="67"/>
        <v>Utility-scale solar PV|2042|O&amp;M|Direct</v>
      </c>
      <c r="C746" t="str">
        <f t="shared" si="68"/>
        <v>PWRSOLUPE|Utility-scale solar PV</v>
      </c>
      <c r="D746" t="s">
        <v>44</v>
      </c>
      <c r="E746" t="s">
        <v>45</v>
      </c>
      <c r="F746" t="s">
        <v>19</v>
      </c>
      <c r="G746" t="s">
        <v>34</v>
      </c>
      <c r="H746">
        <v>2042</v>
      </c>
      <c r="I746" t="s">
        <v>18</v>
      </c>
      <c r="J746" t="s">
        <v>63</v>
      </c>
      <c r="K746" t="s">
        <v>64</v>
      </c>
      <c r="L746" t="s">
        <v>65</v>
      </c>
      <c r="M746">
        <f>SUMIFS(RawResultsLong!$P:$P,RawResultsLong!$A:$A,A746)</f>
        <v>12.14419823999993</v>
      </c>
      <c r="N746">
        <f t="shared" si="69"/>
        <v>384.82642026009364</v>
      </c>
      <c r="O746" t="s">
        <v>66</v>
      </c>
      <c r="P746">
        <f>SUMIFS(TechnologyMapping!$D:$D,TechnologyMapping!$A:$A,C746)</f>
        <v>1</v>
      </c>
      <c r="Q746">
        <f t="shared" si="70"/>
        <v>384.82642026009364</v>
      </c>
      <c r="R746">
        <f>SUMIFS(FactorInputs!$I:$I,FactorInputs!$A:$A,B746)</f>
        <v>7.5113513513499999E-2</v>
      </c>
      <c r="S746" t="str">
        <f>_xlfn.XLOOKUP(B746,FactorInputs!$A$2:$A$888,FactorInputs!$F$2:$F$888,"")</f>
        <v>job/MW</v>
      </c>
      <c r="T746" t="str">
        <f>_xlfn.XLOOKUP(B746,FactorInputs!$A$2:$A$888,FactorInputs!$B$2:$B$888,"")</f>
        <v>I-JEDI</v>
      </c>
      <c r="U746" t="str">
        <f>_xlfn.XLOOKUP(B746,FactorInputs!$A$2:$A$888,FactorInputs!$T$2:$T$888,"")</f>
        <v>I-JEDI</v>
      </c>
      <c r="V746">
        <f t="shared" si="71"/>
        <v>28.905664518558375</v>
      </c>
      <c r="W746" t="s">
        <v>67</v>
      </c>
    </row>
    <row r="747" spans="1:23" x14ac:dyDescent="0.3">
      <c r="A747" t="str">
        <f t="shared" si="66"/>
        <v>PA|AccumulatedNewCapacity|RE1|PWRWNDOFS_FIX|2042</v>
      </c>
      <c r="B747" t="str">
        <f t="shared" si="67"/>
        <v>Offshore wind (fixed)|2042|O&amp;M|Direct</v>
      </c>
      <c r="C747" t="str">
        <f t="shared" si="68"/>
        <v>PWRWNDOFS_FIX|Offshore wind (fixed)</v>
      </c>
      <c r="D747" t="s">
        <v>44</v>
      </c>
      <c r="E747" t="s">
        <v>45</v>
      </c>
      <c r="F747" t="s">
        <v>19</v>
      </c>
      <c r="G747" t="s">
        <v>42</v>
      </c>
      <c r="H747">
        <v>2042</v>
      </c>
      <c r="I747" t="s">
        <v>18</v>
      </c>
      <c r="J747" t="s">
        <v>63</v>
      </c>
      <c r="K747" t="s">
        <v>64</v>
      </c>
      <c r="L747" t="s">
        <v>65</v>
      </c>
      <c r="M747">
        <f>SUMIFS(RawResultsLong!$P:$P,RawResultsLong!$A:$A,A747)</f>
        <v>22.075199999999999</v>
      </c>
      <c r="N747">
        <f t="shared" si="69"/>
        <v>699.52087611225181</v>
      </c>
      <c r="O747" t="s">
        <v>74</v>
      </c>
      <c r="P747">
        <f>SUMIFS(TechnologyMapping!$D:$D,TechnologyMapping!$A:$A,C747)</f>
        <v>1</v>
      </c>
      <c r="Q747">
        <f t="shared" si="70"/>
        <v>699.52087611225181</v>
      </c>
      <c r="R747">
        <f>SUMIFS(FactorInputs!$I:$I,FactorInputs!$A:$A,B747)</f>
        <v>6.4527926267300001E-2</v>
      </c>
      <c r="S747" t="str">
        <f>_xlfn.XLOOKUP(B747,FactorInputs!$A$2:$A$888,FactorInputs!$F$2:$F$888,"")</f>
        <v>job/MW</v>
      </c>
      <c r="T747" t="str">
        <f>_xlfn.XLOOKUP(B747,FactorInputs!$A$2:$A$888,FactorInputs!$B$2:$B$888,"")</f>
        <v>French QBIS 2023</v>
      </c>
      <c r="U747" t="str">
        <f>_xlfn.XLOOKUP(B747,FactorInputs!$A$2:$A$888,FactorInputs!$T$2:$T$888,"")</f>
        <v>French QBIS 2023</v>
      </c>
      <c r="V747">
        <f t="shared" si="71"/>
        <v>45.138631516208484</v>
      </c>
    </row>
    <row r="748" spans="1:23" x14ac:dyDescent="0.3">
      <c r="A748" t="str">
        <f t="shared" si="66"/>
        <v>PA|AccumulatedNewCapacity|RE1|PWRWNDONS|2042</v>
      </c>
      <c r="B748" t="str">
        <f t="shared" si="67"/>
        <v>Onshore wind|2042|O&amp;M|Direct</v>
      </c>
      <c r="C748" t="str">
        <f t="shared" si="68"/>
        <v>PWRWNDONS|Onshore wind</v>
      </c>
      <c r="D748" t="s">
        <v>44</v>
      </c>
      <c r="E748" t="s">
        <v>45</v>
      </c>
      <c r="F748" t="s">
        <v>19</v>
      </c>
      <c r="G748" t="s">
        <v>36</v>
      </c>
      <c r="H748">
        <v>2042</v>
      </c>
      <c r="I748" t="s">
        <v>18</v>
      </c>
      <c r="J748" t="s">
        <v>63</v>
      </c>
      <c r="K748" t="s">
        <v>64</v>
      </c>
      <c r="L748" t="s">
        <v>65</v>
      </c>
      <c r="M748">
        <f>SUMIFS(RawResultsLong!$P:$P,RawResultsLong!$A:$A,A748)</f>
        <v>328.21626433862963</v>
      </c>
      <c r="N748">
        <f t="shared" si="69"/>
        <v>10400.545806355034</v>
      </c>
      <c r="O748" t="s">
        <v>68</v>
      </c>
      <c r="P748">
        <f>SUMIFS(TechnologyMapping!$D:$D,TechnologyMapping!$A:$A,C748)</f>
        <v>1</v>
      </c>
      <c r="Q748">
        <f t="shared" si="70"/>
        <v>10400.545806355034</v>
      </c>
      <c r="R748">
        <f>SUMIFS(FactorInputs!$I:$I,FactorInputs!$A:$A,B748)</f>
        <v>2.75474452555E-2</v>
      </c>
      <c r="S748" t="str">
        <f>_xlfn.XLOOKUP(B748,FactorInputs!$A$2:$A$888,FactorInputs!$F$2:$F$888,"")</f>
        <v>job/MW</v>
      </c>
      <c r="T748" t="str">
        <f>_xlfn.XLOOKUP(B748,FactorInputs!$A$2:$A$888,FactorInputs!$B$2:$B$888,"")</f>
        <v>I-JEDI</v>
      </c>
      <c r="U748" t="str">
        <f>_xlfn.XLOOKUP(B748,FactorInputs!$A$2:$A$888,FactorInputs!$T$2:$T$888,"")</f>
        <v>I-JEDI</v>
      </c>
      <c r="V748">
        <f t="shared" si="71"/>
        <v>286.50846622788538</v>
      </c>
    </row>
    <row r="749" spans="1:23" x14ac:dyDescent="0.3">
      <c r="A749" t="str">
        <f t="shared" si="66"/>
        <v>PA|NewCapacity|RE1|PWRGEO|2042</v>
      </c>
      <c r="B749" t="str">
        <f t="shared" si="67"/>
        <v>Geothermal|2042|Construction&amp;Manufacturing|Direct</v>
      </c>
      <c r="C749" t="str">
        <f t="shared" si="68"/>
        <v>PWRGEO|Geothermal</v>
      </c>
      <c r="D749" t="s">
        <v>44</v>
      </c>
      <c r="E749" t="s">
        <v>45</v>
      </c>
      <c r="F749" t="s">
        <v>19</v>
      </c>
      <c r="G749" t="s">
        <v>46</v>
      </c>
      <c r="H749">
        <v>2042</v>
      </c>
      <c r="I749" t="s">
        <v>37</v>
      </c>
      <c r="J749" t="s">
        <v>69</v>
      </c>
      <c r="K749" t="s">
        <v>70</v>
      </c>
      <c r="L749" t="s">
        <v>65</v>
      </c>
      <c r="M749">
        <f>SUMIFS(RawResultsLong!$P:$P,RawResultsLong!$A:$A,A749)</f>
        <v>3.1539999999999999</v>
      </c>
      <c r="N749">
        <f t="shared" si="69"/>
        <v>99.944228965447309</v>
      </c>
      <c r="O749" t="s">
        <v>82</v>
      </c>
      <c r="P749">
        <f>SUMIFS(TechnologyMapping!$D:$D,TechnologyMapping!$A:$A,C749)</f>
        <v>1</v>
      </c>
      <c r="Q749">
        <f t="shared" si="70"/>
        <v>99.944228965447309</v>
      </c>
      <c r="R749">
        <f>SUMIFS(FactorInputs!$I:$I,FactorInputs!$A:$A,B749)</f>
        <v>4.5702652970599997</v>
      </c>
      <c r="S749" t="str">
        <f>_xlfn.XLOOKUP(B749,FactorInputs!$A$2:$A$888,FactorInputs!$F$2:$F$888,"")</f>
        <v>job-yr/MW</v>
      </c>
      <c r="T749" t="str">
        <f>_xlfn.XLOOKUP(B749,FactorInputs!$A$2:$A$888,FactorInputs!$B$2:$B$888,"")</f>
        <v>I-JEDI</v>
      </c>
      <c r="U749" t="str">
        <f>_xlfn.XLOOKUP(B749,FactorInputs!$A$2:$A$888,FactorInputs!$T$2:$T$888,"")</f>
        <v>I-JEDI</v>
      </c>
      <c r="V749">
        <f t="shared" si="71"/>
        <v>456.77164128220267</v>
      </c>
    </row>
    <row r="750" spans="1:23" x14ac:dyDescent="0.3">
      <c r="A750" t="str">
        <f t="shared" si="66"/>
        <v>PA|NewCapacity|RE1|PWRSOLRTP|2042</v>
      </c>
      <c r="B750" t="str">
        <f t="shared" si="67"/>
        <v>Rooftop solar PV|2042|Construction&amp;Manufacturing|Direct</v>
      </c>
      <c r="C750" t="str">
        <f t="shared" si="68"/>
        <v>PWRSOLRTP|Rooftop solar PV</v>
      </c>
      <c r="D750" t="s">
        <v>44</v>
      </c>
      <c r="E750" t="s">
        <v>45</v>
      </c>
      <c r="F750" t="s">
        <v>19</v>
      </c>
      <c r="G750" t="s">
        <v>31</v>
      </c>
      <c r="H750">
        <v>2042</v>
      </c>
      <c r="I750" t="s">
        <v>37</v>
      </c>
      <c r="J750" t="s">
        <v>69</v>
      </c>
      <c r="K750" t="s">
        <v>70</v>
      </c>
      <c r="L750" t="s">
        <v>65</v>
      </c>
      <c r="M750">
        <f>SUMIFS(RawResultsLong!$P:$P,RawResultsLong!$A:$A,A750)</f>
        <v>2.2828154724159799</v>
      </c>
      <c r="N750">
        <f t="shared" si="69"/>
        <v>72.338057153141548</v>
      </c>
      <c r="O750" t="s">
        <v>71</v>
      </c>
      <c r="P750">
        <f>SUMIFS(TechnologyMapping!$D:$D,TechnologyMapping!$A:$A,C750)</f>
        <v>1</v>
      </c>
      <c r="Q750">
        <f t="shared" si="70"/>
        <v>72.338057153141548</v>
      </c>
      <c r="R750">
        <f>SUMIFS(FactorInputs!$I:$I,FactorInputs!$A:$A,B750)</f>
        <v>5.1660246668500003</v>
      </c>
      <c r="S750" t="str">
        <f>_xlfn.XLOOKUP(B750,FactorInputs!$A$2:$A$888,FactorInputs!$F$2:$F$888,"")</f>
        <v>job-yr/MW</v>
      </c>
      <c r="T750" t="str">
        <f>_xlfn.XLOOKUP(B750,FactorInputs!$A$2:$A$888,FactorInputs!$B$2:$B$888,"")</f>
        <v>JEDI-US</v>
      </c>
      <c r="U750" t="str">
        <f>_xlfn.XLOOKUP(B750,FactorInputs!$A$2:$A$888,FactorInputs!$T$2:$T$888,"")</f>
        <v>JEDI-US</v>
      </c>
      <c r="V750">
        <f t="shared" si="71"/>
        <v>373.70018760513437</v>
      </c>
    </row>
    <row r="751" spans="1:23" x14ac:dyDescent="0.3">
      <c r="A751" t="str">
        <f t="shared" si="66"/>
        <v>PA|NewCapacity|RE1|PWRWNDOFS_FIX|2042</v>
      </c>
      <c r="B751" t="str">
        <f t="shared" si="67"/>
        <v>Offshore wind (fixed)|2042|Construction&amp;Manufacturing|Direct</v>
      </c>
      <c r="C751" t="str">
        <f t="shared" si="68"/>
        <v>PWRWNDOFS_FIX|Offshore wind (fixed)</v>
      </c>
      <c r="D751" t="s">
        <v>44</v>
      </c>
      <c r="E751" t="s">
        <v>45</v>
      </c>
      <c r="F751" t="s">
        <v>19</v>
      </c>
      <c r="G751" t="s">
        <v>42</v>
      </c>
      <c r="H751">
        <v>2042</v>
      </c>
      <c r="I751" t="s">
        <v>37</v>
      </c>
      <c r="J751" t="s">
        <v>69</v>
      </c>
      <c r="K751" t="s">
        <v>70</v>
      </c>
      <c r="L751" t="s">
        <v>65</v>
      </c>
      <c r="M751">
        <f>SUMIFS(RawResultsLong!$P:$P,RawResultsLong!$A:$A,A751)</f>
        <v>3.1536</v>
      </c>
      <c r="N751">
        <f t="shared" si="69"/>
        <v>99.931553730321696</v>
      </c>
      <c r="O751" t="s">
        <v>74</v>
      </c>
      <c r="P751">
        <f>SUMIFS(TechnologyMapping!$D:$D,TechnologyMapping!$A:$A,C751)</f>
        <v>1</v>
      </c>
      <c r="Q751">
        <f t="shared" si="70"/>
        <v>99.931553730321696</v>
      </c>
      <c r="R751">
        <f>SUMIFS(FactorInputs!$I:$I,FactorInputs!$A:$A,B751)</f>
        <v>3.9199147931199998</v>
      </c>
      <c r="S751" t="str">
        <f>_xlfn.XLOOKUP(B751,FactorInputs!$A$2:$A$888,FactorInputs!$F$2:$F$888,"")</f>
        <v>job-yr/MW</v>
      </c>
      <c r="T751" t="str">
        <f>_xlfn.XLOOKUP(B751,FactorInputs!$A$2:$A$888,FactorInputs!$B$2:$B$888,"")</f>
        <v>French QBIS 2023</v>
      </c>
      <c r="U751" t="str">
        <f>_xlfn.XLOOKUP(B751,FactorInputs!$A$2:$A$888,FactorInputs!$T$2:$T$888,"")</f>
        <v>French QBIS 2023</v>
      </c>
      <c r="V751">
        <f t="shared" si="71"/>
        <v>391.72317576695411</v>
      </c>
    </row>
    <row r="752" spans="1:23" x14ac:dyDescent="0.3">
      <c r="A752" t="str">
        <f t="shared" si="66"/>
        <v>PA|NewCapacity|RE1|PWRWNDONS|2042</v>
      </c>
      <c r="B752" t="str">
        <f t="shared" si="67"/>
        <v>Onshore wind|2042|Construction&amp;Manufacturing|Direct</v>
      </c>
      <c r="C752" t="str">
        <f t="shared" si="68"/>
        <v>PWRWNDONS|Onshore wind</v>
      </c>
      <c r="D752" t="s">
        <v>44</v>
      </c>
      <c r="E752" t="s">
        <v>45</v>
      </c>
      <c r="F752" t="s">
        <v>19</v>
      </c>
      <c r="G752" t="s">
        <v>36</v>
      </c>
      <c r="H752">
        <v>2042</v>
      </c>
      <c r="I752" t="s">
        <v>37</v>
      </c>
      <c r="J752" t="s">
        <v>69</v>
      </c>
      <c r="K752" t="s">
        <v>70</v>
      </c>
      <c r="L752" t="s">
        <v>65</v>
      </c>
      <c r="M752">
        <f>SUMIFS(RawResultsLong!$P:$P,RawResultsLong!$A:$A,A752)</f>
        <v>47.31</v>
      </c>
      <c r="N752">
        <f t="shared" si="69"/>
        <v>1499.1634344817096</v>
      </c>
      <c r="O752" t="s">
        <v>68</v>
      </c>
      <c r="P752">
        <f>SUMIFS(TechnologyMapping!$D:$D,TechnologyMapping!$A:$A,C752)</f>
        <v>1</v>
      </c>
      <c r="Q752">
        <f t="shared" si="70"/>
        <v>1499.1634344817096</v>
      </c>
      <c r="R752">
        <f>SUMIFS(FactorInputs!$I:$I,FactorInputs!$A:$A,B752)</f>
        <v>6.6586940021799998</v>
      </c>
      <c r="S752" t="str">
        <f>_xlfn.XLOOKUP(B752,FactorInputs!$A$2:$A$888,FactorInputs!$F$2:$F$888,"")</f>
        <v>job-yr/MW</v>
      </c>
      <c r="T752" t="str">
        <f>_xlfn.XLOOKUP(B752,FactorInputs!$A$2:$A$888,FactorInputs!$B$2:$B$888,"")</f>
        <v>I-JEDI</v>
      </c>
      <c r="U752" t="str">
        <f>_xlfn.XLOOKUP(B752,FactorInputs!$A$2:$A$888,FactorInputs!$T$2:$T$888,"")</f>
        <v>I-JEDI</v>
      </c>
      <c r="V752">
        <f t="shared" si="71"/>
        <v>9982.4705694709282</v>
      </c>
    </row>
    <row r="753" spans="1:23" x14ac:dyDescent="0.3">
      <c r="A753" t="str">
        <f t="shared" si="66"/>
        <v>PA|AccumulatedNewCapacity|RE1|PWRGEO|2043</v>
      </c>
      <c r="B753" t="str">
        <f t="shared" si="67"/>
        <v>Geothermal|2043|O&amp;M|Direct</v>
      </c>
      <c r="C753" t="str">
        <f t="shared" si="68"/>
        <v>PWRGEO|Geothermal</v>
      </c>
      <c r="D753" t="s">
        <v>44</v>
      </c>
      <c r="E753" t="s">
        <v>45</v>
      </c>
      <c r="F753" t="s">
        <v>19</v>
      </c>
      <c r="G753" t="s">
        <v>46</v>
      </c>
      <c r="H753">
        <v>2043</v>
      </c>
      <c r="I753" t="s">
        <v>18</v>
      </c>
      <c r="J753" t="s">
        <v>63</v>
      </c>
      <c r="K753" t="s">
        <v>64</v>
      </c>
      <c r="L753" t="s">
        <v>65</v>
      </c>
      <c r="M753">
        <f>SUMIFS(RawResultsLong!$P:$P,RawResultsLong!$A:$A,A753)</f>
        <v>12.616</v>
      </c>
      <c r="N753">
        <f t="shared" si="69"/>
        <v>399.77691586178923</v>
      </c>
      <c r="O753" t="s">
        <v>82</v>
      </c>
      <c r="P753">
        <f>SUMIFS(TechnologyMapping!$D:$D,TechnologyMapping!$A:$A,C753)</f>
        <v>1</v>
      </c>
      <c r="Q753">
        <f t="shared" si="70"/>
        <v>399.77691586178923</v>
      </c>
      <c r="R753">
        <f>SUMIFS(FactorInputs!$I:$I,FactorInputs!$A:$A,B753)</f>
        <v>7.16035634744E-3</v>
      </c>
      <c r="S753" t="str">
        <f>_xlfn.XLOOKUP(B753,FactorInputs!$A$2:$A$888,FactorInputs!$F$2:$F$888,"")</f>
        <v>job/MW</v>
      </c>
      <c r="T753" t="str">
        <f>_xlfn.XLOOKUP(B753,FactorInputs!$A$2:$A$888,FactorInputs!$B$2:$B$888,"")</f>
        <v>I-JEDI</v>
      </c>
      <c r="U753" t="str">
        <f>_xlfn.XLOOKUP(B753,FactorInputs!$A$2:$A$888,FactorInputs!$T$2:$T$888,"")</f>
        <v>I-JEDI</v>
      </c>
      <c r="V753">
        <f t="shared" si="71"/>
        <v>2.8625451770509494</v>
      </c>
    </row>
    <row r="754" spans="1:23" x14ac:dyDescent="0.3">
      <c r="A754" t="str">
        <f t="shared" si="66"/>
        <v>PA|AccumulatedNewCapacity|RE1|PWRHYDDAM|2043</v>
      </c>
      <c r="B754" t="str">
        <f t="shared" si="67"/>
        <v>Hydro (large)|2043|O&amp;M|Direct</v>
      </c>
      <c r="C754" t="str">
        <f t="shared" si="68"/>
        <v>PWRHYDDAM|Hydro (large)</v>
      </c>
      <c r="D754" t="s">
        <v>44</v>
      </c>
      <c r="E754" t="s">
        <v>45</v>
      </c>
      <c r="F754" t="s">
        <v>19</v>
      </c>
      <c r="G754" t="s">
        <v>24</v>
      </c>
      <c r="H754">
        <v>2043</v>
      </c>
      <c r="I754" t="s">
        <v>18</v>
      </c>
      <c r="J754" t="s">
        <v>63</v>
      </c>
      <c r="K754" t="s">
        <v>64</v>
      </c>
      <c r="L754" t="s">
        <v>65</v>
      </c>
      <c r="M754">
        <f>SUMIFS(RawResultsLong!$P:$P,RawResultsLong!$A:$A,A754)</f>
        <v>37.840000000000003</v>
      </c>
      <c r="N754">
        <f t="shared" si="69"/>
        <v>1199.0772428828554</v>
      </c>
      <c r="O754" t="s">
        <v>72</v>
      </c>
      <c r="P754">
        <f>SUMIFS(TechnologyMapping!$D:$D,TechnologyMapping!$A:$A,C754)</f>
        <v>1</v>
      </c>
      <c r="Q754">
        <f t="shared" si="70"/>
        <v>1199.0772428828554</v>
      </c>
      <c r="R754">
        <f>SUMIFS(FactorInputs!$I:$I,FactorInputs!$A:$A,B754)</f>
        <v>0.63971967213100001</v>
      </c>
      <c r="S754" t="str">
        <f>_xlfn.XLOOKUP(B754,FactorInputs!$A$2:$A$888,FactorInputs!$F$2:$F$888,"")</f>
        <v>job/MW</v>
      </c>
      <c r="T754" t="str">
        <f>_xlfn.XLOOKUP(B754,FactorInputs!$A$2:$A$888,FactorInputs!$B$2:$B$888,"")</f>
        <v>Rutovitz 2015</v>
      </c>
      <c r="U754" t="str">
        <f>_xlfn.XLOOKUP(B754,FactorInputs!$A$2:$A$888,FactorInputs!$T$2:$T$888,"")</f>
        <v>Rutovitz 2015</v>
      </c>
      <c r="V754">
        <f t="shared" si="71"/>
        <v>767.07330067676378</v>
      </c>
    </row>
    <row r="755" spans="1:23" x14ac:dyDescent="0.3">
      <c r="A755" t="str">
        <f t="shared" si="66"/>
        <v>PA|AccumulatedNewCapacity|RE1|PWRNUC|2043</v>
      </c>
      <c r="B755" t="str">
        <f t="shared" si="67"/>
        <v>Nuclear|2043|O&amp;M|Direct</v>
      </c>
      <c r="C755" t="str">
        <f t="shared" si="68"/>
        <v>PWRNUC|Nuclear</v>
      </c>
      <c r="D755" t="s">
        <v>44</v>
      </c>
      <c r="E755" t="s">
        <v>45</v>
      </c>
      <c r="F755" t="s">
        <v>19</v>
      </c>
      <c r="G755" t="s">
        <v>47</v>
      </c>
      <c r="H755">
        <v>2043</v>
      </c>
      <c r="I755" t="s">
        <v>18</v>
      </c>
      <c r="J755" t="s">
        <v>63</v>
      </c>
      <c r="K755" t="s">
        <v>64</v>
      </c>
      <c r="L755" t="s">
        <v>65</v>
      </c>
      <c r="M755">
        <f>SUMIFS(RawResultsLong!$P:$P,RawResultsLong!$A:$A,A755)</f>
        <v>9.5120000000000005</v>
      </c>
      <c r="N755">
        <f t="shared" si="69"/>
        <v>301.41709128704338</v>
      </c>
      <c r="O755" t="s">
        <v>81</v>
      </c>
      <c r="P755">
        <f>SUMIFS(TechnologyMapping!$D:$D,TechnologyMapping!$A:$A,C755)</f>
        <v>1</v>
      </c>
      <c r="Q755">
        <f t="shared" si="70"/>
        <v>301.41709128704338</v>
      </c>
      <c r="R755">
        <f>SUMIFS(FactorInputs!$I:$I,FactorInputs!$A:$A,B755)</f>
        <v>1.1063958333299999</v>
      </c>
      <c r="S755" t="str">
        <f>_xlfn.XLOOKUP(B755,FactorInputs!$A$2:$A$888,FactorInputs!$F$2:$F$888,"")</f>
        <v>job/MW</v>
      </c>
      <c r="T755" t="str">
        <f>_xlfn.XLOOKUP(B755,FactorInputs!$A$2:$A$888,FactorInputs!$B$2:$B$888,"")</f>
        <v>Rutovitz 2015</v>
      </c>
      <c r="U755" t="str">
        <f>_xlfn.XLOOKUP(B755,FactorInputs!$A$2:$A$888,FactorInputs!$T$2:$T$888,"")</f>
        <v>Rutovitz 2015</v>
      </c>
      <c r="V755">
        <f t="shared" si="71"/>
        <v>333.48661389443299</v>
      </c>
    </row>
    <row r="756" spans="1:23" x14ac:dyDescent="0.3">
      <c r="A756" t="str">
        <f t="shared" si="66"/>
        <v>PA|AccumulatedNewCapacity|RE1|PWRSOLRTP|2043</v>
      </c>
      <c r="B756" t="str">
        <f t="shared" si="67"/>
        <v>Rooftop solar PV|2043|O&amp;M|Direct</v>
      </c>
      <c r="C756" t="str">
        <f t="shared" si="68"/>
        <v>PWRSOLRTP|Rooftop solar PV</v>
      </c>
      <c r="D756" t="s">
        <v>44</v>
      </c>
      <c r="E756" t="s">
        <v>45</v>
      </c>
      <c r="F756" t="s">
        <v>19</v>
      </c>
      <c r="G756" t="s">
        <v>31</v>
      </c>
      <c r="H756">
        <v>2043</v>
      </c>
      <c r="I756" t="s">
        <v>18</v>
      </c>
      <c r="J756" t="s">
        <v>63</v>
      </c>
      <c r="K756" t="s">
        <v>64</v>
      </c>
      <c r="L756" t="s">
        <v>65</v>
      </c>
      <c r="M756">
        <f>SUMIFS(RawResultsLong!$P:$P,RawResultsLong!$A:$A,A756)</f>
        <v>143.32242866201651</v>
      </c>
      <c r="N756">
        <f t="shared" si="69"/>
        <v>4541.613705161878</v>
      </c>
      <c r="O756" t="s">
        <v>71</v>
      </c>
      <c r="P756">
        <f>SUMIFS(TechnologyMapping!$D:$D,TechnologyMapping!$A:$A,C756)</f>
        <v>1</v>
      </c>
      <c r="Q756">
        <f t="shared" si="70"/>
        <v>4541.613705161878</v>
      </c>
      <c r="R756">
        <f>SUMIFS(FactorInputs!$I:$I,FactorInputs!$A:$A,B756)</f>
        <v>0.23126470588199999</v>
      </c>
      <c r="S756" t="str">
        <f>_xlfn.XLOOKUP(B756,FactorInputs!$A$2:$A$888,FactorInputs!$F$2:$F$888,"")</f>
        <v>job/MW</v>
      </c>
      <c r="T756" t="str">
        <f>_xlfn.XLOOKUP(B756,FactorInputs!$A$2:$A$888,FactorInputs!$B$2:$B$888,"")</f>
        <v>JEDI-US</v>
      </c>
      <c r="U756" t="str">
        <f>_xlfn.XLOOKUP(B756,FactorInputs!$A$2:$A$888,FactorInputs!$T$2:$T$888,"")</f>
        <v>JEDI-US</v>
      </c>
      <c r="V756">
        <f t="shared" si="71"/>
        <v>1050.3149577539218</v>
      </c>
    </row>
    <row r="757" spans="1:23" x14ac:dyDescent="0.3">
      <c r="A757" t="str">
        <f t="shared" si="66"/>
        <v>PA|AccumulatedNewCapacity|RE1|PWRSOLUGE|2043</v>
      </c>
      <c r="B757" t="str">
        <f t="shared" si="67"/>
        <v>Utility-scale solar PV|2043|O&amp;M|Direct</v>
      </c>
      <c r="C757" t="str">
        <f t="shared" si="68"/>
        <v>PWRSOLUGE|Utility-scale solar PV</v>
      </c>
      <c r="D757" t="s">
        <v>44</v>
      </c>
      <c r="E757" t="s">
        <v>45</v>
      </c>
      <c r="F757" t="s">
        <v>19</v>
      </c>
      <c r="G757" t="s">
        <v>33</v>
      </c>
      <c r="H757">
        <v>2043</v>
      </c>
      <c r="I757" t="s">
        <v>18</v>
      </c>
      <c r="J757" t="s">
        <v>63</v>
      </c>
      <c r="K757" t="s">
        <v>64</v>
      </c>
      <c r="L757" t="s">
        <v>65</v>
      </c>
      <c r="M757">
        <f>SUMIFS(RawResultsLong!$P:$P,RawResultsLong!$A:$A,A757)</f>
        <v>143.394192</v>
      </c>
      <c r="N757">
        <f t="shared" si="69"/>
        <v>4543.8877481177278</v>
      </c>
      <c r="O757" t="s">
        <v>66</v>
      </c>
      <c r="P757">
        <f>SUMIFS(TechnologyMapping!$D:$D,TechnologyMapping!$A:$A,C757)</f>
        <v>1</v>
      </c>
      <c r="Q757">
        <f t="shared" si="70"/>
        <v>4543.8877481177278</v>
      </c>
      <c r="R757">
        <f>SUMIFS(FactorInputs!$I:$I,FactorInputs!$A:$A,B757)</f>
        <v>7.4526689189199996E-2</v>
      </c>
      <c r="S757" t="str">
        <f>_xlfn.XLOOKUP(B757,FactorInputs!$A$2:$A$888,FactorInputs!$F$2:$F$888,"")</f>
        <v>job/MW</v>
      </c>
      <c r="T757" t="str">
        <f>_xlfn.XLOOKUP(B757,FactorInputs!$A$2:$A$888,FactorInputs!$B$2:$B$888,"")</f>
        <v>I-JEDI</v>
      </c>
      <c r="U757" t="str">
        <f>_xlfn.XLOOKUP(B757,FactorInputs!$A$2:$A$888,FactorInputs!$T$2:$T$888,"")</f>
        <v>I-JEDI</v>
      </c>
      <c r="V757">
        <f t="shared" si="71"/>
        <v>338.6409099145838</v>
      </c>
    </row>
    <row r="758" spans="1:23" x14ac:dyDescent="0.3">
      <c r="A758" t="str">
        <f t="shared" si="66"/>
        <v>PA|AccumulatedNewCapacity|RE1|PWRSOLUPE|2043</v>
      </c>
      <c r="B758" t="str">
        <f t="shared" si="67"/>
        <v>Utility-scale solar PV|2043|O&amp;M|Direct</v>
      </c>
      <c r="C758" t="str">
        <f t="shared" si="68"/>
        <v>PWRSOLUPE|Utility-scale solar PV</v>
      </c>
      <c r="D758" t="s">
        <v>44</v>
      </c>
      <c r="E758" t="s">
        <v>45</v>
      </c>
      <c r="F758" t="s">
        <v>19</v>
      </c>
      <c r="G758" t="s">
        <v>34</v>
      </c>
      <c r="H758">
        <v>2043</v>
      </c>
      <c r="I758" t="s">
        <v>18</v>
      </c>
      <c r="J758" t="s">
        <v>63</v>
      </c>
      <c r="K758" t="s">
        <v>64</v>
      </c>
      <c r="L758" t="s">
        <v>65</v>
      </c>
      <c r="M758">
        <f>SUMIFS(RawResultsLong!$P:$P,RawResultsLong!$A:$A,A758)</f>
        <v>12.14419823999993</v>
      </c>
      <c r="N758">
        <f t="shared" si="69"/>
        <v>384.82642026009364</v>
      </c>
      <c r="O758" t="s">
        <v>66</v>
      </c>
      <c r="P758">
        <f>SUMIFS(TechnologyMapping!$D:$D,TechnologyMapping!$A:$A,C758)</f>
        <v>1</v>
      </c>
      <c r="Q758">
        <f t="shared" si="70"/>
        <v>384.82642026009364</v>
      </c>
      <c r="R758">
        <f>SUMIFS(FactorInputs!$I:$I,FactorInputs!$A:$A,B758)</f>
        <v>7.4526689189199996E-2</v>
      </c>
      <c r="S758" t="str">
        <f>_xlfn.XLOOKUP(B758,FactorInputs!$A$2:$A$888,FactorInputs!$F$2:$F$888,"")</f>
        <v>job/MW</v>
      </c>
      <c r="T758" t="str">
        <f>_xlfn.XLOOKUP(B758,FactorInputs!$A$2:$A$888,FactorInputs!$B$2:$B$888,"")</f>
        <v>I-JEDI</v>
      </c>
      <c r="U758" t="str">
        <f>_xlfn.XLOOKUP(B758,FactorInputs!$A$2:$A$888,FactorInputs!$T$2:$T$888,"")</f>
        <v>I-JEDI</v>
      </c>
      <c r="V758">
        <f t="shared" si="71"/>
        <v>28.679839014516457</v>
      </c>
      <c r="W758" t="s">
        <v>67</v>
      </c>
    </row>
    <row r="759" spans="1:23" x14ac:dyDescent="0.3">
      <c r="A759" t="str">
        <f t="shared" si="66"/>
        <v>PA|AccumulatedNewCapacity|RE1|PWRWNDOFS_FIX|2043</v>
      </c>
      <c r="B759" t="str">
        <f t="shared" si="67"/>
        <v>Offshore wind (fixed)|2043|O&amp;M|Direct</v>
      </c>
      <c r="C759" t="str">
        <f t="shared" si="68"/>
        <v>PWRWNDOFS_FIX|Offshore wind (fixed)</v>
      </c>
      <c r="D759" t="s">
        <v>44</v>
      </c>
      <c r="E759" t="s">
        <v>45</v>
      </c>
      <c r="F759" t="s">
        <v>19</v>
      </c>
      <c r="G759" t="s">
        <v>42</v>
      </c>
      <c r="H759">
        <v>2043</v>
      </c>
      <c r="I759" t="s">
        <v>18</v>
      </c>
      <c r="J759" t="s">
        <v>63</v>
      </c>
      <c r="K759" t="s">
        <v>64</v>
      </c>
      <c r="L759" t="s">
        <v>65</v>
      </c>
      <c r="M759">
        <f>SUMIFS(RawResultsLong!$P:$P,RawResultsLong!$A:$A,A759)</f>
        <v>25.2288</v>
      </c>
      <c r="N759">
        <f t="shared" si="69"/>
        <v>799.45242984257357</v>
      </c>
      <c r="O759" t="s">
        <v>74</v>
      </c>
      <c r="P759">
        <f>SUMIFS(TechnologyMapping!$D:$D,TechnologyMapping!$A:$A,C759)</f>
        <v>1</v>
      </c>
      <c r="Q759">
        <f t="shared" si="70"/>
        <v>799.45242984257357</v>
      </c>
      <c r="R759">
        <f>SUMIFS(FactorInputs!$I:$I,FactorInputs!$A:$A,B759)</f>
        <v>6.3335668202799997E-2</v>
      </c>
      <c r="S759" t="str">
        <f>_xlfn.XLOOKUP(B759,FactorInputs!$A$2:$A$888,FactorInputs!$F$2:$F$888,"")</f>
        <v>job/MW</v>
      </c>
      <c r="T759" t="str">
        <f>_xlfn.XLOOKUP(B759,FactorInputs!$A$2:$A$888,FactorInputs!$B$2:$B$888,"")</f>
        <v>French QBIS 2023</v>
      </c>
      <c r="U759" t="str">
        <f>_xlfn.XLOOKUP(B759,FactorInputs!$A$2:$A$888,FactorInputs!$T$2:$T$888,"")</f>
        <v>French QBIS 2023</v>
      </c>
      <c r="V759">
        <f t="shared" si="71"/>
        <v>50.633853840431485</v>
      </c>
    </row>
    <row r="760" spans="1:23" x14ac:dyDescent="0.3">
      <c r="A760" t="str">
        <f t="shared" si="66"/>
        <v>PA|AccumulatedNewCapacity|RE1|PWRWNDONS|2043</v>
      </c>
      <c r="B760" t="str">
        <f t="shared" si="67"/>
        <v>Onshore wind|2043|O&amp;M|Direct</v>
      </c>
      <c r="C760" t="str">
        <f t="shared" si="68"/>
        <v>PWRWNDONS|Onshore wind</v>
      </c>
      <c r="D760" t="s">
        <v>44</v>
      </c>
      <c r="E760" t="s">
        <v>45</v>
      </c>
      <c r="F760" t="s">
        <v>19</v>
      </c>
      <c r="G760" t="s">
        <v>36</v>
      </c>
      <c r="H760">
        <v>2043</v>
      </c>
      <c r="I760" t="s">
        <v>18</v>
      </c>
      <c r="J760" t="s">
        <v>63</v>
      </c>
      <c r="K760" t="s">
        <v>64</v>
      </c>
      <c r="L760" t="s">
        <v>65</v>
      </c>
      <c r="M760">
        <f>SUMIFS(RawResultsLong!$P:$P,RawResultsLong!$A:$A,A760)</f>
        <v>354.37275468939481</v>
      </c>
      <c r="N760">
        <f t="shared" si="69"/>
        <v>11229.394969496881</v>
      </c>
      <c r="O760" t="s">
        <v>68</v>
      </c>
      <c r="P760">
        <f>SUMIFS(TechnologyMapping!$D:$D,TechnologyMapping!$A:$A,C760)</f>
        <v>1</v>
      </c>
      <c r="Q760">
        <f t="shared" si="70"/>
        <v>11229.394969496881</v>
      </c>
      <c r="R760">
        <f>SUMIFS(FactorInputs!$I:$I,FactorInputs!$A:$A,B760)</f>
        <v>2.7470802919699999E-2</v>
      </c>
      <c r="S760" t="str">
        <f>_xlfn.XLOOKUP(B760,FactorInputs!$A$2:$A$888,FactorInputs!$F$2:$F$888,"")</f>
        <v>job/MW</v>
      </c>
      <c r="T760" t="str">
        <f>_xlfn.XLOOKUP(B760,FactorInputs!$A$2:$A$888,FactorInputs!$B$2:$B$888,"")</f>
        <v>I-JEDI</v>
      </c>
      <c r="U760" t="str">
        <f>_xlfn.XLOOKUP(B760,FactorInputs!$A$2:$A$888,FactorInputs!$T$2:$T$888,"")</f>
        <v>I-JEDI</v>
      </c>
      <c r="V760">
        <f t="shared" si="71"/>
        <v>308.48049611451944</v>
      </c>
    </row>
    <row r="761" spans="1:23" x14ac:dyDescent="0.3">
      <c r="A761" t="str">
        <f t="shared" si="66"/>
        <v>PA|NewCapacity|RE1|PWRGEO|2043</v>
      </c>
      <c r="B761" t="str">
        <f t="shared" si="67"/>
        <v>Geothermal|2043|Construction&amp;Manufacturing|Direct</v>
      </c>
      <c r="C761" t="str">
        <f t="shared" si="68"/>
        <v>PWRGEO|Geothermal</v>
      </c>
      <c r="D761" t="s">
        <v>44</v>
      </c>
      <c r="E761" t="s">
        <v>45</v>
      </c>
      <c r="F761" t="s">
        <v>19</v>
      </c>
      <c r="G761" t="s">
        <v>46</v>
      </c>
      <c r="H761">
        <v>2043</v>
      </c>
      <c r="I761" t="s">
        <v>37</v>
      </c>
      <c r="J761" t="s">
        <v>69</v>
      </c>
      <c r="K761" t="s">
        <v>70</v>
      </c>
      <c r="L761" t="s">
        <v>65</v>
      </c>
      <c r="M761">
        <f>SUMIFS(RawResultsLong!$P:$P,RawResultsLong!$A:$A,A761)</f>
        <v>3.1539999999999999</v>
      </c>
      <c r="N761">
        <f t="shared" si="69"/>
        <v>99.944228965447309</v>
      </c>
      <c r="O761" t="s">
        <v>82</v>
      </c>
      <c r="P761">
        <f>SUMIFS(TechnologyMapping!$D:$D,TechnologyMapping!$A:$A,C761)</f>
        <v>1</v>
      </c>
      <c r="Q761">
        <f t="shared" si="70"/>
        <v>99.944228965447309</v>
      </c>
      <c r="R761">
        <f>SUMIFS(FactorInputs!$I:$I,FactorInputs!$A:$A,B761)</f>
        <v>4.5517985723700001</v>
      </c>
      <c r="S761" t="str">
        <f>_xlfn.XLOOKUP(B761,FactorInputs!$A$2:$A$888,FactorInputs!$F$2:$F$888,"")</f>
        <v>job-yr/MW</v>
      </c>
      <c r="T761" t="str">
        <f>_xlfn.XLOOKUP(B761,FactorInputs!$A$2:$A$888,FactorInputs!$B$2:$B$888,"")</f>
        <v>I-JEDI</v>
      </c>
      <c r="U761" t="str">
        <f>_xlfn.XLOOKUP(B761,FactorInputs!$A$2:$A$888,FactorInputs!$T$2:$T$888,"")</f>
        <v>I-JEDI</v>
      </c>
      <c r="V761">
        <f t="shared" si="71"/>
        <v>454.92599872154346</v>
      </c>
    </row>
    <row r="762" spans="1:23" x14ac:dyDescent="0.3">
      <c r="A762" t="str">
        <f t="shared" si="66"/>
        <v>PA|NewCapacity|RE1|PWRSOLRTP|2043</v>
      </c>
      <c r="B762" t="str">
        <f t="shared" si="67"/>
        <v>Rooftop solar PV|2043|Construction&amp;Manufacturing|Direct</v>
      </c>
      <c r="C762" t="str">
        <f t="shared" si="68"/>
        <v>PWRSOLRTP|Rooftop solar PV</v>
      </c>
      <c r="D762" t="s">
        <v>44</v>
      </c>
      <c r="E762" t="s">
        <v>45</v>
      </c>
      <c r="F762" t="s">
        <v>19</v>
      </c>
      <c r="G762" t="s">
        <v>31</v>
      </c>
      <c r="H762">
        <v>2043</v>
      </c>
      <c r="I762" t="s">
        <v>37</v>
      </c>
      <c r="J762" t="s">
        <v>69</v>
      </c>
      <c r="K762" t="s">
        <v>70</v>
      </c>
      <c r="L762" t="s">
        <v>65</v>
      </c>
      <c r="M762">
        <f>SUMIFS(RawResultsLong!$P:$P,RawResultsLong!$A:$A,A762)</f>
        <v>2.0925808497146479</v>
      </c>
      <c r="N762">
        <f t="shared" si="69"/>
        <v>66.309885723713066</v>
      </c>
      <c r="O762" t="s">
        <v>71</v>
      </c>
      <c r="P762">
        <f>SUMIFS(TechnologyMapping!$D:$D,TechnologyMapping!$A:$A,C762)</f>
        <v>1</v>
      </c>
      <c r="Q762">
        <f t="shared" si="70"/>
        <v>66.309885723713066</v>
      </c>
      <c r="R762">
        <f>SUMIFS(FactorInputs!$I:$I,FactorInputs!$A:$A,B762)</f>
        <v>5.0603417160599999</v>
      </c>
      <c r="S762" t="str">
        <f>_xlfn.XLOOKUP(B762,FactorInputs!$A$2:$A$888,FactorInputs!$F$2:$F$888,"")</f>
        <v>job-yr/MW</v>
      </c>
      <c r="T762" t="str">
        <f>_xlfn.XLOOKUP(B762,FactorInputs!$A$2:$A$888,FactorInputs!$B$2:$B$888,"")</f>
        <v>JEDI-US</v>
      </c>
      <c r="U762" t="str">
        <f>_xlfn.XLOOKUP(B762,FactorInputs!$A$2:$A$888,FactorInputs!$T$2:$T$888,"")</f>
        <v>JEDI-US</v>
      </c>
      <c r="V762">
        <f t="shared" si="71"/>
        <v>335.55068091487669</v>
      </c>
    </row>
    <row r="763" spans="1:23" x14ac:dyDescent="0.3">
      <c r="A763" t="str">
        <f t="shared" si="66"/>
        <v>PA|NewCapacity|RE1|PWRWNDOFS_FIX|2043</v>
      </c>
      <c r="B763" t="str">
        <f t="shared" si="67"/>
        <v>Offshore wind (fixed)|2043|Construction&amp;Manufacturing|Direct</v>
      </c>
      <c r="C763" t="str">
        <f t="shared" si="68"/>
        <v>PWRWNDOFS_FIX|Offshore wind (fixed)</v>
      </c>
      <c r="D763" t="s">
        <v>44</v>
      </c>
      <c r="E763" t="s">
        <v>45</v>
      </c>
      <c r="F763" t="s">
        <v>19</v>
      </c>
      <c r="G763" t="s">
        <v>42</v>
      </c>
      <c r="H763">
        <v>2043</v>
      </c>
      <c r="I763" t="s">
        <v>37</v>
      </c>
      <c r="J763" t="s">
        <v>69</v>
      </c>
      <c r="K763" t="s">
        <v>70</v>
      </c>
      <c r="L763" t="s">
        <v>65</v>
      </c>
      <c r="M763">
        <f>SUMIFS(RawResultsLong!$P:$P,RawResultsLong!$A:$A,A763)</f>
        <v>3.1536</v>
      </c>
      <c r="N763">
        <f t="shared" si="69"/>
        <v>99.931553730321696</v>
      </c>
      <c r="O763" t="s">
        <v>74</v>
      </c>
      <c r="P763">
        <f>SUMIFS(TechnologyMapping!$D:$D,TechnologyMapping!$A:$A,C763)</f>
        <v>1</v>
      </c>
      <c r="Q763">
        <f t="shared" si="70"/>
        <v>99.931553730321696</v>
      </c>
      <c r="R763">
        <f>SUMIFS(FactorInputs!$I:$I,FactorInputs!$A:$A,B763)</f>
        <v>3.8483678316200001</v>
      </c>
      <c r="S763" t="str">
        <f>_xlfn.XLOOKUP(B763,FactorInputs!$A$2:$A$888,FactorInputs!$F$2:$F$888,"")</f>
        <v>job-yr/MW</v>
      </c>
      <c r="T763" t="str">
        <f>_xlfn.XLOOKUP(B763,FactorInputs!$A$2:$A$888,FactorInputs!$B$2:$B$888,"")</f>
        <v>French QBIS 2023</v>
      </c>
      <c r="U763" t="str">
        <f>_xlfn.XLOOKUP(B763,FactorInputs!$A$2:$A$888,FactorInputs!$T$2:$T$888,"")</f>
        <v>French QBIS 2023</v>
      </c>
      <c r="V763">
        <f t="shared" si="71"/>
        <v>384.57337673957562</v>
      </c>
    </row>
    <row r="764" spans="1:23" x14ac:dyDescent="0.3">
      <c r="A764" t="str">
        <f t="shared" si="66"/>
        <v>PA|NewCapacity|RE1|PWRWNDONS|2043</v>
      </c>
      <c r="B764" t="str">
        <f t="shared" si="67"/>
        <v>Onshore wind|2043|Construction&amp;Manufacturing|Direct</v>
      </c>
      <c r="C764" t="str">
        <f t="shared" si="68"/>
        <v>PWRWNDONS|Onshore wind</v>
      </c>
      <c r="D764" t="s">
        <v>44</v>
      </c>
      <c r="E764" t="s">
        <v>45</v>
      </c>
      <c r="F764" t="s">
        <v>19</v>
      </c>
      <c r="G764" t="s">
        <v>36</v>
      </c>
      <c r="H764">
        <v>2043</v>
      </c>
      <c r="I764" t="s">
        <v>37</v>
      </c>
      <c r="J764" t="s">
        <v>69</v>
      </c>
      <c r="K764" t="s">
        <v>70</v>
      </c>
      <c r="L764" t="s">
        <v>65</v>
      </c>
      <c r="M764">
        <f>SUMIFS(RawResultsLong!$P:$P,RawResultsLong!$A:$A,A764)</f>
        <v>26.15649035076515</v>
      </c>
      <c r="N764">
        <f t="shared" si="69"/>
        <v>828.84916314184693</v>
      </c>
      <c r="O764" t="s">
        <v>68</v>
      </c>
      <c r="P764">
        <f>SUMIFS(TechnologyMapping!$D:$D,TechnologyMapping!$A:$A,C764)</f>
        <v>1</v>
      </c>
      <c r="Q764">
        <f t="shared" si="70"/>
        <v>828.84916314184693</v>
      </c>
      <c r="R764">
        <f>SUMIFS(FactorInputs!$I:$I,FactorInputs!$A:$A,B764)</f>
        <v>6.6404522539800004</v>
      </c>
      <c r="S764" t="str">
        <f>_xlfn.XLOOKUP(B764,FactorInputs!$A$2:$A$888,FactorInputs!$F$2:$F$888,"")</f>
        <v>job-yr/MW</v>
      </c>
      <c r="T764" t="str">
        <f>_xlfn.XLOOKUP(B764,FactorInputs!$A$2:$A$888,FactorInputs!$B$2:$B$888,"")</f>
        <v>I-JEDI</v>
      </c>
      <c r="U764" t="str">
        <f>_xlfn.XLOOKUP(B764,FactorInputs!$A$2:$A$888,FactorInputs!$T$2:$T$888,"")</f>
        <v>I-JEDI</v>
      </c>
      <c r="V764">
        <f t="shared" si="71"/>
        <v>5503.9332935947141</v>
      </c>
    </row>
    <row r="765" spans="1:23" x14ac:dyDescent="0.3">
      <c r="A765" t="str">
        <f t="shared" si="66"/>
        <v>PA|AccumulatedNewCapacity|RE1|PWRGEO|2044</v>
      </c>
      <c r="B765" t="str">
        <f t="shared" si="67"/>
        <v>Geothermal|2044|O&amp;M|Direct</v>
      </c>
      <c r="C765" t="str">
        <f t="shared" si="68"/>
        <v>PWRGEO|Geothermal</v>
      </c>
      <c r="D765" t="s">
        <v>44</v>
      </c>
      <c r="E765" t="s">
        <v>45</v>
      </c>
      <c r="F765" t="s">
        <v>19</v>
      </c>
      <c r="G765" t="s">
        <v>46</v>
      </c>
      <c r="H765">
        <v>2044</v>
      </c>
      <c r="I765" t="s">
        <v>18</v>
      </c>
      <c r="J765" t="s">
        <v>63</v>
      </c>
      <c r="K765" t="s">
        <v>64</v>
      </c>
      <c r="L765" t="s">
        <v>65</v>
      </c>
      <c r="M765">
        <f>SUMIFS(RawResultsLong!$P:$P,RawResultsLong!$A:$A,A765)</f>
        <v>15.77</v>
      </c>
      <c r="N765">
        <f t="shared" si="69"/>
        <v>499.72114482723651</v>
      </c>
      <c r="O765" t="s">
        <v>82</v>
      </c>
      <c r="P765">
        <f>SUMIFS(TechnologyMapping!$D:$D,TechnologyMapping!$A:$A,C765)</f>
        <v>1</v>
      </c>
      <c r="Q765">
        <f t="shared" si="70"/>
        <v>499.72114482723651</v>
      </c>
      <c r="R765">
        <f>SUMIFS(FactorInputs!$I:$I,FactorInputs!$A:$A,B765)</f>
        <v>7.1314031180400002E-3</v>
      </c>
      <c r="S765" t="str">
        <f>_xlfn.XLOOKUP(B765,FactorInputs!$A$2:$A$888,FactorInputs!$F$2:$F$888,"")</f>
        <v>job/MW</v>
      </c>
      <c r="T765" t="str">
        <f>_xlfn.XLOOKUP(B765,FactorInputs!$A$2:$A$888,FactorInputs!$B$2:$B$888,"")</f>
        <v>I-JEDI</v>
      </c>
      <c r="U765" t="str">
        <f>_xlfn.XLOOKUP(B765,FactorInputs!$A$2:$A$888,FactorInputs!$T$2:$T$888,"")</f>
        <v>I-JEDI</v>
      </c>
      <c r="V765">
        <f t="shared" si="71"/>
        <v>3.563712930371473</v>
      </c>
    </row>
    <row r="766" spans="1:23" x14ac:dyDescent="0.3">
      <c r="A766" t="str">
        <f t="shared" si="66"/>
        <v>PA|AccumulatedNewCapacity|RE1|PWRHYDDAM|2044</v>
      </c>
      <c r="B766" t="str">
        <f t="shared" si="67"/>
        <v>Hydro (large)|2044|O&amp;M|Direct</v>
      </c>
      <c r="C766" t="str">
        <f t="shared" si="68"/>
        <v>PWRHYDDAM|Hydro (large)</v>
      </c>
      <c r="D766" t="s">
        <v>44</v>
      </c>
      <c r="E766" t="s">
        <v>45</v>
      </c>
      <c r="F766" t="s">
        <v>19</v>
      </c>
      <c r="G766" t="s">
        <v>24</v>
      </c>
      <c r="H766">
        <v>2044</v>
      </c>
      <c r="I766" t="s">
        <v>18</v>
      </c>
      <c r="J766" t="s">
        <v>63</v>
      </c>
      <c r="K766" t="s">
        <v>64</v>
      </c>
      <c r="L766" t="s">
        <v>65</v>
      </c>
      <c r="M766">
        <f>SUMIFS(RawResultsLong!$P:$P,RawResultsLong!$A:$A,A766)</f>
        <v>37.840000000000003</v>
      </c>
      <c r="N766">
        <f t="shared" si="69"/>
        <v>1199.0772428828554</v>
      </c>
      <c r="O766" t="s">
        <v>72</v>
      </c>
      <c r="P766">
        <f>SUMIFS(TechnologyMapping!$D:$D,TechnologyMapping!$A:$A,C766)</f>
        <v>1</v>
      </c>
      <c r="Q766">
        <f t="shared" si="70"/>
        <v>1199.0772428828554</v>
      </c>
      <c r="R766">
        <f>SUMIFS(FactorInputs!$I:$I,FactorInputs!$A:$A,B766)</f>
        <v>0.63954426229500005</v>
      </c>
      <c r="S766" t="str">
        <f>_xlfn.XLOOKUP(B766,FactorInputs!$A$2:$A$888,FactorInputs!$F$2:$F$888,"")</f>
        <v>job/MW</v>
      </c>
      <c r="T766" t="str">
        <f>_xlfn.XLOOKUP(B766,FactorInputs!$A$2:$A$888,FactorInputs!$B$2:$B$888,"")</f>
        <v>Rutovitz 2015</v>
      </c>
      <c r="U766" t="str">
        <f>_xlfn.XLOOKUP(B766,FactorInputs!$A$2:$A$888,FactorInputs!$T$2:$T$888,"")</f>
        <v>Rutovitz 2015</v>
      </c>
      <c r="V766">
        <f t="shared" si="71"/>
        <v>766.86297073423839</v>
      </c>
    </row>
    <row r="767" spans="1:23" x14ac:dyDescent="0.3">
      <c r="A767" t="str">
        <f t="shared" si="66"/>
        <v>PA|AccumulatedNewCapacity|RE1|PWRNUC|2044</v>
      </c>
      <c r="B767" t="str">
        <f t="shared" si="67"/>
        <v>Nuclear|2044|O&amp;M|Direct</v>
      </c>
      <c r="C767" t="str">
        <f t="shared" si="68"/>
        <v>PWRNUC|Nuclear</v>
      </c>
      <c r="D767" t="s">
        <v>44</v>
      </c>
      <c r="E767" t="s">
        <v>45</v>
      </c>
      <c r="F767" t="s">
        <v>19</v>
      </c>
      <c r="G767" t="s">
        <v>47</v>
      </c>
      <c r="H767">
        <v>2044</v>
      </c>
      <c r="I767" t="s">
        <v>18</v>
      </c>
      <c r="J767" t="s">
        <v>63</v>
      </c>
      <c r="K767" t="s">
        <v>64</v>
      </c>
      <c r="L767" t="s">
        <v>65</v>
      </c>
      <c r="M767">
        <f>SUMIFS(RawResultsLong!$P:$P,RawResultsLong!$A:$A,A767)</f>
        <v>9.5120000000000005</v>
      </c>
      <c r="N767">
        <f t="shared" si="69"/>
        <v>301.41709128704338</v>
      </c>
      <c r="O767" t="s">
        <v>81</v>
      </c>
      <c r="P767">
        <f>SUMIFS(TechnologyMapping!$D:$D,TechnologyMapping!$A:$A,C767)</f>
        <v>1</v>
      </c>
      <c r="Q767">
        <f t="shared" si="70"/>
        <v>301.41709128704338</v>
      </c>
      <c r="R767">
        <f>SUMIFS(FactorInputs!$I:$I,FactorInputs!$A:$A,B767)</f>
        <v>1.10304166667</v>
      </c>
      <c r="S767" t="str">
        <f>_xlfn.XLOOKUP(B767,FactorInputs!$A$2:$A$888,FactorInputs!$F$2:$F$888,"")</f>
        <v>job/MW</v>
      </c>
      <c r="T767" t="str">
        <f>_xlfn.XLOOKUP(B767,FactorInputs!$A$2:$A$888,FactorInputs!$B$2:$B$888,"")</f>
        <v>Rutovitz 2015</v>
      </c>
      <c r="U767" t="str">
        <f>_xlfn.XLOOKUP(B767,FactorInputs!$A$2:$A$888,FactorInputs!$T$2:$T$888,"")</f>
        <v>Rutovitz 2015</v>
      </c>
      <c r="V767">
        <f t="shared" si="71"/>
        <v>332.47561073608387</v>
      </c>
    </row>
    <row r="768" spans="1:23" x14ac:dyDescent="0.3">
      <c r="A768" t="str">
        <f t="shared" si="66"/>
        <v>PA|AccumulatedNewCapacity|RE1|PWRSOLRTP|2044</v>
      </c>
      <c r="B768" t="str">
        <f t="shared" si="67"/>
        <v>Rooftop solar PV|2044|O&amp;M|Direct</v>
      </c>
      <c r="C768" t="str">
        <f t="shared" si="68"/>
        <v>PWRSOLRTP|Rooftop solar PV</v>
      </c>
      <c r="D768" t="s">
        <v>44</v>
      </c>
      <c r="E768" t="s">
        <v>45</v>
      </c>
      <c r="F768" t="s">
        <v>19</v>
      </c>
      <c r="G768" t="s">
        <v>31</v>
      </c>
      <c r="H768">
        <v>2044</v>
      </c>
      <c r="I768" t="s">
        <v>18</v>
      </c>
      <c r="J768" t="s">
        <v>63</v>
      </c>
      <c r="K768" t="s">
        <v>64</v>
      </c>
      <c r="L768" t="s">
        <v>65</v>
      </c>
      <c r="M768">
        <f>SUMIFS(RawResultsLong!$P:$P,RawResultsLong!$A:$A,A768)</f>
        <v>145.28818642993031</v>
      </c>
      <c r="N768">
        <f t="shared" si="69"/>
        <v>4603.9048099326401</v>
      </c>
      <c r="O768" t="s">
        <v>71</v>
      </c>
      <c r="P768">
        <f>SUMIFS(TechnologyMapping!$D:$D,TechnologyMapping!$A:$A,C768)</f>
        <v>1</v>
      </c>
      <c r="Q768">
        <f t="shared" si="70"/>
        <v>4603.9048099326401</v>
      </c>
      <c r="R768">
        <f>SUMIFS(FactorInputs!$I:$I,FactorInputs!$A:$A,B768)</f>
        <v>0.229235294118</v>
      </c>
      <c r="S768" t="str">
        <f>_xlfn.XLOOKUP(B768,FactorInputs!$A$2:$A$888,FactorInputs!$F$2:$F$888,"")</f>
        <v>job/MW</v>
      </c>
      <c r="T768" t="str">
        <f>_xlfn.XLOOKUP(B768,FactorInputs!$A$2:$A$888,FactorInputs!$B$2:$B$888,"")</f>
        <v>JEDI-US</v>
      </c>
      <c r="U768" t="str">
        <f>_xlfn.XLOOKUP(B768,FactorInputs!$A$2:$A$888,FactorInputs!$T$2:$T$888,"")</f>
        <v>JEDI-US</v>
      </c>
      <c r="V768">
        <f t="shared" si="71"/>
        <v>1055.3774731961837</v>
      </c>
    </row>
    <row r="769" spans="1:23" x14ac:dyDescent="0.3">
      <c r="A769" t="str">
        <f t="shared" si="66"/>
        <v>PA|AccumulatedNewCapacity|RE1|PWRSOLUGE|2044</v>
      </c>
      <c r="B769" t="str">
        <f t="shared" si="67"/>
        <v>Utility-scale solar PV|2044|O&amp;M|Direct</v>
      </c>
      <c r="C769" t="str">
        <f t="shared" si="68"/>
        <v>PWRSOLUGE|Utility-scale solar PV</v>
      </c>
      <c r="D769" t="s">
        <v>44</v>
      </c>
      <c r="E769" t="s">
        <v>45</v>
      </c>
      <c r="F769" t="s">
        <v>19</v>
      </c>
      <c r="G769" t="s">
        <v>33</v>
      </c>
      <c r="H769">
        <v>2044</v>
      </c>
      <c r="I769" t="s">
        <v>18</v>
      </c>
      <c r="J769" t="s">
        <v>63</v>
      </c>
      <c r="K769" t="s">
        <v>64</v>
      </c>
      <c r="L769" t="s">
        <v>65</v>
      </c>
      <c r="M769">
        <f>SUMIFS(RawResultsLong!$P:$P,RawResultsLong!$A:$A,A769)</f>
        <v>143.394192</v>
      </c>
      <c r="N769">
        <f t="shared" si="69"/>
        <v>4543.8877481177278</v>
      </c>
      <c r="O769" t="s">
        <v>66</v>
      </c>
      <c r="P769">
        <f>SUMIFS(TechnologyMapping!$D:$D,TechnologyMapping!$A:$A,C769)</f>
        <v>1</v>
      </c>
      <c r="Q769">
        <f t="shared" si="70"/>
        <v>4543.8877481177278</v>
      </c>
      <c r="R769">
        <f>SUMIFS(FactorInputs!$I:$I,FactorInputs!$A:$A,B769)</f>
        <v>7.3939864864900007E-2</v>
      </c>
      <c r="S769" t="str">
        <f>_xlfn.XLOOKUP(B769,FactorInputs!$A$2:$A$888,FactorInputs!$F$2:$F$888,"")</f>
        <v>job/MW</v>
      </c>
      <c r="T769" t="str">
        <f>_xlfn.XLOOKUP(B769,FactorInputs!$A$2:$A$888,FactorInputs!$B$2:$B$888,"")</f>
        <v>I-JEDI</v>
      </c>
      <c r="U769" t="str">
        <f>_xlfn.XLOOKUP(B769,FactorInputs!$A$2:$A$888,FactorInputs!$T$2:$T$888,"")</f>
        <v>I-JEDI</v>
      </c>
      <c r="V769">
        <f t="shared" si="71"/>
        <v>335.97444605709961</v>
      </c>
    </row>
    <row r="770" spans="1:23" x14ac:dyDescent="0.3">
      <c r="A770" t="str">
        <f t="shared" ref="A770:A833" si="72">D770&amp;"|"&amp;I770&amp;"|"&amp;F770&amp;"|"&amp;G770&amp;"|"&amp;H770</f>
        <v>PA|AccumulatedNewCapacity|RE1|PWRSOLUPE|2044</v>
      </c>
      <c r="B770" t="str">
        <f t="shared" ref="B770:B833" si="73">O770&amp;"|"&amp;H770&amp;"|"&amp;K770&amp;"|"&amp;L770</f>
        <v>Utility-scale solar PV|2044|O&amp;M|Direct</v>
      </c>
      <c r="C770" t="str">
        <f t="shared" ref="C770:C833" si="74">G770&amp;"|"&amp;O770</f>
        <v>PWRSOLUPE|Utility-scale solar PV</v>
      </c>
      <c r="D770" t="s">
        <v>44</v>
      </c>
      <c r="E770" t="s">
        <v>45</v>
      </c>
      <c r="F770" t="s">
        <v>19</v>
      </c>
      <c r="G770" t="s">
        <v>34</v>
      </c>
      <c r="H770">
        <v>2044</v>
      </c>
      <c r="I770" t="s">
        <v>18</v>
      </c>
      <c r="J770" t="s">
        <v>63</v>
      </c>
      <c r="K770" t="s">
        <v>64</v>
      </c>
      <c r="L770" t="s">
        <v>65</v>
      </c>
      <c r="M770">
        <f>SUMIFS(RawResultsLong!$P:$P,RawResultsLong!$A:$A,A770)</f>
        <v>12.14419823999993</v>
      </c>
      <c r="N770">
        <f t="shared" ref="N770:N833" si="75">M770*1000/31.5576</f>
        <v>384.82642026009364</v>
      </c>
      <c r="O770" t="s">
        <v>66</v>
      </c>
      <c r="P770">
        <f>SUMIFS(TechnologyMapping!$D:$D,TechnologyMapping!$A:$A,C770)</f>
        <v>1</v>
      </c>
      <c r="Q770">
        <f t="shared" ref="Q770:Q833" si="76">N770*P770</f>
        <v>384.82642026009364</v>
      </c>
      <c r="R770">
        <f>SUMIFS(FactorInputs!$I:$I,FactorInputs!$A:$A,B770)</f>
        <v>7.3939864864900007E-2</v>
      </c>
      <c r="S770" t="str">
        <f>_xlfn.XLOOKUP(B770,FactorInputs!$A$2:$A$888,FactorInputs!$F$2:$F$888,"")</f>
        <v>job/MW</v>
      </c>
      <c r="T770" t="str">
        <f>_xlfn.XLOOKUP(B770,FactorInputs!$A$2:$A$888,FactorInputs!$B$2:$B$888,"")</f>
        <v>I-JEDI</v>
      </c>
      <c r="U770" t="str">
        <f>_xlfn.XLOOKUP(B770,FactorInputs!$A$2:$A$888,FactorInputs!$T$2:$T$888,"")</f>
        <v>I-JEDI</v>
      </c>
      <c r="V770">
        <f t="shared" ref="V770:V833" si="77">Q770*R770</f>
        <v>28.454013510474542</v>
      </c>
      <c r="W770" t="s">
        <v>67</v>
      </c>
    </row>
    <row r="771" spans="1:23" x14ac:dyDescent="0.3">
      <c r="A771" t="str">
        <f t="shared" si="72"/>
        <v>PA|AccumulatedNewCapacity|RE1|PWRWNDOFS_FIX|2044</v>
      </c>
      <c r="B771" t="str">
        <f t="shared" si="73"/>
        <v>Offshore wind (fixed)|2044|O&amp;M|Direct</v>
      </c>
      <c r="C771" t="str">
        <f t="shared" si="74"/>
        <v>PWRWNDOFS_FIX|Offshore wind (fixed)</v>
      </c>
      <c r="D771" t="s">
        <v>44</v>
      </c>
      <c r="E771" t="s">
        <v>45</v>
      </c>
      <c r="F771" t="s">
        <v>19</v>
      </c>
      <c r="G771" t="s">
        <v>42</v>
      </c>
      <c r="H771">
        <v>2044</v>
      </c>
      <c r="I771" t="s">
        <v>18</v>
      </c>
      <c r="J771" t="s">
        <v>63</v>
      </c>
      <c r="K771" t="s">
        <v>64</v>
      </c>
      <c r="L771" t="s">
        <v>65</v>
      </c>
      <c r="M771">
        <f>SUMIFS(RawResultsLong!$P:$P,RawResultsLong!$A:$A,A771)</f>
        <v>28.382400000000001</v>
      </c>
      <c r="N771">
        <f t="shared" si="75"/>
        <v>899.38398357289532</v>
      </c>
      <c r="O771" t="s">
        <v>74</v>
      </c>
      <c r="P771">
        <f>SUMIFS(TechnologyMapping!$D:$D,TechnologyMapping!$A:$A,C771)</f>
        <v>1</v>
      </c>
      <c r="Q771">
        <f t="shared" si="76"/>
        <v>899.38398357289532</v>
      </c>
      <c r="R771">
        <f>SUMIFS(FactorInputs!$I:$I,FactorInputs!$A:$A,B771)</f>
        <v>6.2143410138200003E-2</v>
      </c>
      <c r="S771" t="str">
        <f>_xlfn.XLOOKUP(B771,FactorInputs!$A$2:$A$888,FactorInputs!$F$2:$F$888,"")</f>
        <v>job/MW</v>
      </c>
      <c r="T771" t="str">
        <f>_xlfn.XLOOKUP(B771,FactorInputs!$A$2:$A$888,FactorInputs!$B$2:$B$888,"")</f>
        <v>French QBIS 2023</v>
      </c>
      <c r="U771" t="str">
        <f>_xlfn.XLOOKUP(B771,FactorInputs!$A$2:$A$888,FactorInputs!$T$2:$T$888,"")</f>
        <v>French QBIS 2023</v>
      </c>
      <c r="V771">
        <f t="shared" si="77"/>
        <v>55.890787762898569</v>
      </c>
    </row>
    <row r="772" spans="1:23" x14ac:dyDescent="0.3">
      <c r="A772" t="str">
        <f t="shared" si="72"/>
        <v>PA|AccumulatedNewCapacity|RE1|PWRWNDONS|2044</v>
      </c>
      <c r="B772" t="str">
        <f t="shared" si="73"/>
        <v>Onshore wind|2044|O&amp;M|Direct</v>
      </c>
      <c r="C772" t="str">
        <f t="shared" si="74"/>
        <v>PWRWNDONS|Onshore wind</v>
      </c>
      <c r="D772" t="s">
        <v>44</v>
      </c>
      <c r="E772" t="s">
        <v>45</v>
      </c>
      <c r="F772" t="s">
        <v>19</v>
      </c>
      <c r="G772" t="s">
        <v>36</v>
      </c>
      <c r="H772">
        <v>2044</v>
      </c>
      <c r="I772" t="s">
        <v>18</v>
      </c>
      <c r="J772" t="s">
        <v>63</v>
      </c>
      <c r="K772" t="s">
        <v>64</v>
      </c>
      <c r="L772" t="s">
        <v>65</v>
      </c>
      <c r="M772">
        <f>SUMIFS(RawResultsLong!$P:$P,RawResultsLong!$A:$A,A772)</f>
        <v>354.37275468939481</v>
      </c>
      <c r="N772">
        <f t="shared" si="75"/>
        <v>11229.394969496881</v>
      </c>
      <c r="O772" t="s">
        <v>68</v>
      </c>
      <c r="P772">
        <f>SUMIFS(TechnologyMapping!$D:$D,TechnologyMapping!$A:$A,C772)</f>
        <v>1</v>
      </c>
      <c r="Q772">
        <f t="shared" si="76"/>
        <v>11229.394969496881</v>
      </c>
      <c r="R772">
        <f>SUMIFS(FactorInputs!$I:$I,FactorInputs!$A:$A,B772)</f>
        <v>2.7394160583899999E-2</v>
      </c>
      <c r="S772" t="str">
        <f>_xlfn.XLOOKUP(B772,FactorInputs!$A$2:$A$888,FactorInputs!$F$2:$F$888,"")</f>
        <v>job/MW</v>
      </c>
      <c r="T772" t="str">
        <f>_xlfn.XLOOKUP(B772,FactorInputs!$A$2:$A$888,FactorInputs!$B$2:$B$888,"")</f>
        <v>I-JEDI</v>
      </c>
      <c r="U772" t="str">
        <f>_xlfn.XLOOKUP(B772,FactorInputs!$A$2:$A$888,FactorInputs!$T$2:$T$888,"")</f>
        <v>I-JEDI</v>
      </c>
      <c r="V772">
        <f t="shared" si="77"/>
        <v>307.61984905443637</v>
      </c>
    </row>
    <row r="773" spans="1:23" x14ac:dyDescent="0.3">
      <c r="A773" t="str">
        <f t="shared" si="72"/>
        <v>PA|NewCapacity|RE1|PWRGEO|2044</v>
      </c>
      <c r="B773" t="str">
        <f t="shared" si="73"/>
        <v>Geothermal|2044|Construction&amp;Manufacturing|Direct</v>
      </c>
      <c r="C773" t="str">
        <f t="shared" si="74"/>
        <v>PWRGEO|Geothermal</v>
      </c>
      <c r="D773" t="s">
        <v>44</v>
      </c>
      <c r="E773" t="s">
        <v>45</v>
      </c>
      <c r="F773" t="s">
        <v>19</v>
      </c>
      <c r="G773" t="s">
        <v>46</v>
      </c>
      <c r="H773">
        <v>2044</v>
      </c>
      <c r="I773" t="s">
        <v>37</v>
      </c>
      <c r="J773" t="s">
        <v>69</v>
      </c>
      <c r="K773" t="s">
        <v>70</v>
      </c>
      <c r="L773" t="s">
        <v>65</v>
      </c>
      <c r="M773">
        <f>SUMIFS(RawResultsLong!$P:$P,RawResultsLong!$A:$A,A773)</f>
        <v>3.1539999999999999</v>
      </c>
      <c r="N773">
        <f t="shared" si="75"/>
        <v>99.944228965447309</v>
      </c>
      <c r="O773" t="s">
        <v>82</v>
      </c>
      <c r="P773">
        <f>SUMIFS(TechnologyMapping!$D:$D,TechnologyMapping!$A:$A,C773)</f>
        <v>1</v>
      </c>
      <c r="Q773">
        <f t="shared" si="76"/>
        <v>99.944228965447309</v>
      </c>
      <c r="R773">
        <f>SUMIFS(FactorInputs!$I:$I,FactorInputs!$A:$A,B773)</f>
        <v>4.5333318476800004</v>
      </c>
      <c r="S773" t="str">
        <f>_xlfn.XLOOKUP(B773,FactorInputs!$A$2:$A$888,FactorInputs!$F$2:$F$888,"")</f>
        <v>job-yr/MW</v>
      </c>
      <c r="T773" t="str">
        <f>_xlfn.XLOOKUP(B773,FactorInputs!$A$2:$A$888,FactorInputs!$B$2:$B$888,"")</f>
        <v>I-JEDI</v>
      </c>
      <c r="U773" t="str">
        <f>_xlfn.XLOOKUP(B773,FactorInputs!$A$2:$A$888,FactorInputs!$T$2:$T$888,"")</f>
        <v>I-JEDI</v>
      </c>
      <c r="V773">
        <f t="shared" si="77"/>
        <v>453.08035616088426</v>
      </c>
    </row>
    <row r="774" spans="1:23" x14ac:dyDescent="0.3">
      <c r="A774" t="str">
        <f t="shared" si="72"/>
        <v>PA|NewCapacity|RE1|PWRSOLRTP|2044</v>
      </c>
      <c r="B774" t="str">
        <f t="shared" si="73"/>
        <v>Rooftop solar PV|2044|Construction&amp;Manufacturing|Direct</v>
      </c>
      <c r="C774" t="str">
        <f t="shared" si="74"/>
        <v>PWRSOLRTP|Rooftop solar PV</v>
      </c>
      <c r="D774" t="s">
        <v>44</v>
      </c>
      <c r="E774" t="s">
        <v>45</v>
      </c>
      <c r="F774" t="s">
        <v>19</v>
      </c>
      <c r="G774" t="s">
        <v>31</v>
      </c>
      <c r="H774">
        <v>2044</v>
      </c>
      <c r="I774" t="s">
        <v>37</v>
      </c>
      <c r="J774" t="s">
        <v>69</v>
      </c>
      <c r="K774" t="s">
        <v>70</v>
      </c>
      <c r="L774" t="s">
        <v>65</v>
      </c>
      <c r="M774">
        <f>SUMIFS(RawResultsLong!$P:$P,RawResultsLong!$A:$A,A774)</f>
        <v>1.9657577679137599</v>
      </c>
      <c r="N774">
        <f t="shared" si="75"/>
        <v>62.291104770760761</v>
      </c>
      <c r="O774" t="s">
        <v>71</v>
      </c>
      <c r="P774">
        <f>SUMIFS(TechnologyMapping!$D:$D,TechnologyMapping!$A:$A,C774)</f>
        <v>1</v>
      </c>
      <c r="Q774">
        <f t="shared" si="76"/>
        <v>62.291104770760761</v>
      </c>
      <c r="R774">
        <f>SUMIFS(FactorInputs!$I:$I,FactorInputs!$A:$A,B774)</f>
        <v>4.9546587652799996</v>
      </c>
      <c r="S774" t="str">
        <f>_xlfn.XLOOKUP(B774,FactorInputs!$A$2:$A$888,FactorInputs!$F$2:$F$888,"")</f>
        <v>job-yr/MW</v>
      </c>
      <c r="T774" t="str">
        <f>_xlfn.XLOOKUP(B774,FactorInputs!$A$2:$A$888,FactorInputs!$B$2:$B$888,"")</f>
        <v>JEDI-US</v>
      </c>
      <c r="U774" t="str">
        <f>_xlfn.XLOOKUP(B774,FactorInputs!$A$2:$A$888,FactorInputs!$T$2:$T$888,"")</f>
        <v>JEDI-US</v>
      </c>
      <c r="V774">
        <f t="shared" si="77"/>
        <v>308.63116825142458</v>
      </c>
    </row>
    <row r="775" spans="1:23" x14ac:dyDescent="0.3">
      <c r="A775" t="str">
        <f t="shared" si="72"/>
        <v>PA|NewCapacity|RE1|PWRWNDOFS_FIX|2044</v>
      </c>
      <c r="B775" t="str">
        <f t="shared" si="73"/>
        <v>Offshore wind (fixed)|2044|Construction&amp;Manufacturing|Direct</v>
      </c>
      <c r="C775" t="str">
        <f t="shared" si="74"/>
        <v>PWRWNDOFS_FIX|Offshore wind (fixed)</v>
      </c>
      <c r="D775" t="s">
        <v>44</v>
      </c>
      <c r="E775" t="s">
        <v>45</v>
      </c>
      <c r="F775" t="s">
        <v>19</v>
      </c>
      <c r="G775" t="s">
        <v>42</v>
      </c>
      <c r="H775">
        <v>2044</v>
      </c>
      <c r="I775" t="s">
        <v>37</v>
      </c>
      <c r="J775" t="s">
        <v>69</v>
      </c>
      <c r="K775" t="s">
        <v>70</v>
      </c>
      <c r="L775" t="s">
        <v>65</v>
      </c>
      <c r="M775">
        <f>SUMIFS(RawResultsLong!$P:$P,RawResultsLong!$A:$A,A775)</f>
        <v>3.1536</v>
      </c>
      <c r="N775">
        <f t="shared" si="75"/>
        <v>99.931553730321696</v>
      </c>
      <c r="O775" t="s">
        <v>74</v>
      </c>
      <c r="P775">
        <f>SUMIFS(TechnologyMapping!$D:$D,TechnologyMapping!$A:$A,C775)</f>
        <v>1</v>
      </c>
      <c r="Q775">
        <f t="shared" si="76"/>
        <v>99.931553730321696</v>
      </c>
      <c r="R775">
        <f>SUMIFS(FactorInputs!$I:$I,FactorInputs!$A:$A,B775)</f>
        <v>3.7768208701299999</v>
      </c>
      <c r="S775" t="str">
        <f>_xlfn.XLOOKUP(B775,FactorInputs!$A$2:$A$888,FactorInputs!$F$2:$F$888,"")</f>
        <v>job-yr/MW</v>
      </c>
      <c r="T775" t="str">
        <f>_xlfn.XLOOKUP(B775,FactorInputs!$A$2:$A$888,FactorInputs!$B$2:$B$888,"")</f>
        <v>French QBIS 2023</v>
      </c>
      <c r="U775" t="str">
        <f>_xlfn.XLOOKUP(B775,FactorInputs!$A$2:$A$888,FactorInputs!$T$2:$T$888,"")</f>
        <v>French QBIS 2023</v>
      </c>
      <c r="V775">
        <f t="shared" si="77"/>
        <v>377.42357771319644</v>
      </c>
    </row>
    <row r="776" spans="1:23" x14ac:dyDescent="0.3">
      <c r="A776" t="str">
        <f t="shared" si="72"/>
        <v>PA|AccumulatedNewCapacity|RE1|PWRGEO|2045</v>
      </c>
      <c r="B776" t="str">
        <f t="shared" si="73"/>
        <v>Geothermal|2045|O&amp;M|Direct</v>
      </c>
      <c r="C776" t="str">
        <f t="shared" si="74"/>
        <v>PWRGEO|Geothermal</v>
      </c>
      <c r="D776" t="s">
        <v>44</v>
      </c>
      <c r="E776" t="s">
        <v>45</v>
      </c>
      <c r="F776" t="s">
        <v>19</v>
      </c>
      <c r="G776" t="s">
        <v>46</v>
      </c>
      <c r="H776">
        <v>2045</v>
      </c>
      <c r="I776" t="s">
        <v>18</v>
      </c>
      <c r="J776" t="s">
        <v>63</v>
      </c>
      <c r="K776" t="s">
        <v>64</v>
      </c>
      <c r="L776" t="s">
        <v>65</v>
      </c>
      <c r="M776">
        <f>SUMIFS(RawResultsLong!$P:$P,RawResultsLong!$A:$A,A776)</f>
        <v>18.923999999999999</v>
      </c>
      <c r="N776">
        <f t="shared" si="75"/>
        <v>599.66537379268379</v>
      </c>
      <c r="O776" t="s">
        <v>82</v>
      </c>
      <c r="P776">
        <f>SUMIFS(TechnologyMapping!$D:$D,TechnologyMapping!$A:$A,C776)</f>
        <v>1</v>
      </c>
      <c r="Q776">
        <f t="shared" si="76"/>
        <v>599.66537379268379</v>
      </c>
      <c r="R776">
        <f>SUMIFS(FactorInputs!$I:$I,FactorInputs!$A:$A,B776)</f>
        <v>7.1024498886400004E-3</v>
      </c>
      <c r="S776" t="str">
        <f>_xlfn.XLOOKUP(B776,FactorInputs!$A$2:$A$888,FactorInputs!$F$2:$F$888,"")</f>
        <v>job/MW</v>
      </c>
      <c r="T776" t="str">
        <f>_xlfn.XLOOKUP(B776,FactorInputs!$A$2:$A$888,FactorInputs!$B$2:$B$888,"")</f>
        <v>I-JEDI</v>
      </c>
      <c r="U776" t="str">
        <f>_xlfn.XLOOKUP(B776,FactorInputs!$A$2:$A$888,FactorInputs!$T$2:$T$888,"")</f>
        <v>I-JEDI</v>
      </c>
      <c r="V776">
        <f t="shared" si="77"/>
        <v>4.2590932673151114</v>
      </c>
    </row>
    <row r="777" spans="1:23" x14ac:dyDescent="0.3">
      <c r="A777" t="str">
        <f t="shared" si="72"/>
        <v>PA|AccumulatedNewCapacity|RE1|PWRHYDDAM|2045</v>
      </c>
      <c r="B777" t="str">
        <f t="shared" si="73"/>
        <v>Hydro (large)|2045|O&amp;M|Direct</v>
      </c>
      <c r="C777" t="str">
        <f t="shared" si="74"/>
        <v>PWRHYDDAM|Hydro (large)</v>
      </c>
      <c r="D777" t="s">
        <v>44</v>
      </c>
      <c r="E777" t="s">
        <v>45</v>
      </c>
      <c r="F777" t="s">
        <v>19</v>
      </c>
      <c r="G777" t="s">
        <v>24</v>
      </c>
      <c r="H777">
        <v>2045</v>
      </c>
      <c r="I777" t="s">
        <v>18</v>
      </c>
      <c r="J777" t="s">
        <v>63</v>
      </c>
      <c r="K777" t="s">
        <v>64</v>
      </c>
      <c r="L777" t="s">
        <v>65</v>
      </c>
      <c r="M777">
        <f>SUMIFS(RawResultsLong!$P:$P,RawResultsLong!$A:$A,A777)</f>
        <v>37.840000000000003</v>
      </c>
      <c r="N777">
        <f t="shared" si="75"/>
        <v>1199.0772428828554</v>
      </c>
      <c r="O777" t="s">
        <v>72</v>
      </c>
      <c r="P777">
        <f>SUMIFS(TechnologyMapping!$D:$D,TechnologyMapping!$A:$A,C777)</f>
        <v>1</v>
      </c>
      <c r="Q777">
        <f t="shared" si="76"/>
        <v>1199.0772428828554</v>
      </c>
      <c r="R777">
        <f>SUMIFS(FactorInputs!$I:$I,FactorInputs!$A:$A,B777)</f>
        <v>0.63936885245899999</v>
      </c>
      <c r="S777" t="str">
        <f>_xlfn.XLOOKUP(B777,FactorInputs!$A$2:$A$888,FactorInputs!$F$2:$F$888,"")</f>
        <v>job/MW</v>
      </c>
      <c r="T777" t="str">
        <f>_xlfn.XLOOKUP(B777,FactorInputs!$A$2:$A$888,FactorInputs!$B$2:$B$888,"")</f>
        <v>Rutovitz 2015</v>
      </c>
      <c r="U777" t="str">
        <f>_xlfn.XLOOKUP(B777,FactorInputs!$A$2:$A$888,FactorInputs!$T$2:$T$888,"")</f>
        <v>Rutovitz 2015</v>
      </c>
      <c r="V777">
        <f t="shared" si="77"/>
        <v>766.65264079171288</v>
      </c>
    </row>
    <row r="778" spans="1:23" x14ac:dyDescent="0.3">
      <c r="A778" t="str">
        <f t="shared" si="72"/>
        <v>PA|AccumulatedNewCapacity|RE1|PWRNUC|2045</v>
      </c>
      <c r="B778" t="str">
        <f t="shared" si="73"/>
        <v>Nuclear|2045|O&amp;M|Direct</v>
      </c>
      <c r="C778" t="str">
        <f t="shared" si="74"/>
        <v>PWRNUC|Nuclear</v>
      </c>
      <c r="D778" t="s">
        <v>44</v>
      </c>
      <c r="E778" t="s">
        <v>45</v>
      </c>
      <c r="F778" t="s">
        <v>19</v>
      </c>
      <c r="G778" t="s">
        <v>47</v>
      </c>
      <c r="H778">
        <v>2045</v>
      </c>
      <c r="I778" t="s">
        <v>18</v>
      </c>
      <c r="J778" t="s">
        <v>63</v>
      </c>
      <c r="K778" t="s">
        <v>64</v>
      </c>
      <c r="L778" t="s">
        <v>65</v>
      </c>
      <c r="M778">
        <f>SUMIFS(RawResultsLong!$P:$P,RawResultsLong!$A:$A,A778)</f>
        <v>9.5120000000000005</v>
      </c>
      <c r="N778">
        <f t="shared" si="75"/>
        <v>301.41709128704338</v>
      </c>
      <c r="O778" t="s">
        <v>81</v>
      </c>
      <c r="P778">
        <f>SUMIFS(TechnologyMapping!$D:$D,TechnologyMapping!$A:$A,C778)</f>
        <v>1</v>
      </c>
      <c r="Q778">
        <f t="shared" si="76"/>
        <v>301.41709128704338</v>
      </c>
      <c r="R778">
        <f>SUMIFS(FactorInputs!$I:$I,FactorInputs!$A:$A,B778)</f>
        <v>1.0996874999999999</v>
      </c>
      <c r="S778" t="str">
        <f>_xlfn.XLOOKUP(B778,FactorInputs!$A$2:$A$888,FactorInputs!$F$2:$F$888,"")</f>
        <v>job/MW</v>
      </c>
      <c r="T778" t="str">
        <f>_xlfn.XLOOKUP(B778,FactorInputs!$A$2:$A$888,FactorInputs!$B$2:$B$888,"")</f>
        <v>Rutovitz 2015</v>
      </c>
      <c r="U778" t="str">
        <f>_xlfn.XLOOKUP(B778,FactorInputs!$A$2:$A$888,FactorInputs!$T$2:$T$888,"")</f>
        <v>Rutovitz 2015</v>
      </c>
      <c r="V778">
        <f t="shared" si="77"/>
        <v>331.4646075747205</v>
      </c>
    </row>
    <row r="779" spans="1:23" x14ac:dyDescent="0.3">
      <c r="A779" t="str">
        <f t="shared" si="72"/>
        <v>PA|AccumulatedNewCapacity|RE1|PWRSOLRTP|2045</v>
      </c>
      <c r="B779" t="str">
        <f t="shared" si="73"/>
        <v>Rooftop solar PV|2045|O&amp;M|Direct</v>
      </c>
      <c r="C779" t="str">
        <f t="shared" si="74"/>
        <v>PWRSOLRTP|Rooftop solar PV</v>
      </c>
      <c r="D779" t="s">
        <v>44</v>
      </c>
      <c r="E779" t="s">
        <v>45</v>
      </c>
      <c r="F779" t="s">
        <v>19</v>
      </c>
      <c r="G779" t="s">
        <v>31</v>
      </c>
      <c r="H779">
        <v>2045</v>
      </c>
      <c r="I779" t="s">
        <v>18</v>
      </c>
      <c r="J779" t="s">
        <v>63</v>
      </c>
      <c r="K779" t="s">
        <v>64</v>
      </c>
      <c r="L779" t="s">
        <v>65</v>
      </c>
      <c r="M779">
        <f>SUMIFS(RawResultsLong!$P:$P,RawResultsLong!$A:$A,A779)</f>
        <v>147.19053265694359</v>
      </c>
      <c r="N779">
        <f t="shared" si="75"/>
        <v>4664.186524226925</v>
      </c>
      <c r="O779" t="s">
        <v>71</v>
      </c>
      <c r="P779">
        <f>SUMIFS(TechnologyMapping!$D:$D,TechnologyMapping!$A:$A,C779)</f>
        <v>1</v>
      </c>
      <c r="Q779">
        <f t="shared" si="76"/>
        <v>4664.186524226925</v>
      </c>
      <c r="R779">
        <f>SUMIFS(FactorInputs!$I:$I,FactorInputs!$A:$A,B779)</f>
        <v>0.22720588235299999</v>
      </c>
      <c r="S779" t="str">
        <f>_xlfn.XLOOKUP(B779,FactorInputs!$A$2:$A$888,FactorInputs!$F$2:$F$888,"")</f>
        <v>job/MW</v>
      </c>
      <c r="T779" t="str">
        <f>_xlfn.XLOOKUP(B779,FactorInputs!$A$2:$A$888,FactorInputs!$B$2:$B$888,"")</f>
        <v>JEDI-US</v>
      </c>
      <c r="U779" t="str">
        <f>_xlfn.XLOOKUP(B779,FactorInputs!$A$2:$A$888,FactorInputs!$T$2:$T$888,"")</f>
        <v>JEDI-US</v>
      </c>
      <c r="V779">
        <f t="shared" si="77"/>
        <v>1059.7306146959506</v>
      </c>
    </row>
    <row r="780" spans="1:23" x14ac:dyDescent="0.3">
      <c r="A780" t="str">
        <f t="shared" si="72"/>
        <v>PA|AccumulatedNewCapacity|RE1|PWRSOLUGE|2045</v>
      </c>
      <c r="B780" t="str">
        <f t="shared" si="73"/>
        <v>Utility-scale solar PV|2045|O&amp;M|Direct</v>
      </c>
      <c r="C780" t="str">
        <f t="shared" si="74"/>
        <v>PWRSOLUGE|Utility-scale solar PV</v>
      </c>
      <c r="D780" t="s">
        <v>44</v>
      </c>
      <c r="E780" t="s">
        <v>45</v>
      </c>
      <c r="F780" t="s">
        <v>19</v>
      </c>
      <c r="G780" t="s">
        <v>33</v>
      </c>
      <c r="H780">
        <v>2045</v>
      </c>
      <c r="I780" t="s">
        <v>18</v>
      </c>
      <c r="J780" t="s">
        <v>63</v>
      </c>
      <c r="K780" t="s">
        <v>64</v>
      </c>
      <c r="L780" t="s">
        <v>65</v>
      </c>
      <c r="M780">
        <f>SUMIFS(RawResultsLong!$P:$P,RawResultsLong!$A:$A,A780)</f>
        <v>143.394192</v>
      </c>
      <c r="N780">
        <f t="shared" si="75"/>
        <v>4543.8877481177278</v>
      </c>
      <c r="O780" t="s">
        <v>66</v>
      </c>
      <c r="P780">
        <f>SUMIFS(TechnologyMapping!$D:$D,TechnologyMapping!$A:$A,C780)</f>
        <v>1</v>
      </c>
      <c r="Q780">
        <f t="shared" si="76"/>
        <v>4543.8877481177278</v>
      </c>
      <c r="R780">
        <f>SUMIFS(FactorInputs!$I:$I,FactorInputs!$A:$A,B780)</f>
        <v>7.33530405405E-2</v>
      </c>
      <c r="S780" t="str">
        <f>_xlfn.XLOOKUP(B780,FactorInputs!$A$2:$A$888,FactorInputs!$F$2:$F$888,"")</f>
        <v>job/MW</v>
      </c>
      <c r="T780" t="str">
        <f>_xlfn.XLOOKUP(B780,FactorInputs!$A$2:$A$888,FactorInputs!$B$2:$B$888,"")</f>
        <v>I-JEDI</v>
      </c>
      <c r="U780" t="str">
        <f>_xlfn.XLOOKUP(B780,FactorInputs!$A$2:$A$888,FactorInputs!$T$2:$T$888,"")</f>
        <v>I-JEDI</v>
      </c>
      <c r="V780">
        <f t="shared" si="77"/>
        <v>333.30798219916096</v>
      </c>
    </row>
    <row r="781" spans="1:23" x14ac:dyDescent="0.3">
      <c r="A781" t="str">
        <f t="shared" si="72"/>
        <v>PA|AccumulatedNewCapacity|RE1|PWRSOLUPE|2045</v>
      </c>
      <c r="B781" t="str">
        <f t="shared" si="73"/>
        <v>Utility-scale solar PV|2045|O&amp;M|Direct</v>
      </c>
      <c r="C781" t="str">
        <f t="shared" si="74"/>
        <v>PWRSOLUPE|Utility-scale solar PV</v>
      </c>
      <c r="D781" t="s">
        <v>44</v>
      </c>
      <c r="E781" t="s">
        <v>45</v>
      </c>
      <c r="F781" t="s">
        <v>19</v>
      </c>
      <c r="G781" t="s">
        <v>34</v>
      </c>
      <c r="H781">
        <v>2045</v>
      </c>
      <c r="I781" t="s">
        <v>18</v>
      </c>
      <c r="J781" t="s">
        <v>63</v>
      </c>
      <c r="K781" t="s">
        <v>64</v>
      </c>
      <c r="L781" t="s">
        <v>65</v>
      </c>
      <c r="M781">
        <f>SUMIFS(RawResultsLong!$P:$P,RawResultsLong!$A:$A,A781)</f>
        <v>12.14419823999993</v>
      </c>
      <c r="N781">
        <f t="shared" si="75"/>
        <v>384.82642026009364</v>
      </c>
      <c r="O781" t="s">
        <v>66</v>
      </c>
      <c r="P781">
        <f>SUMIFS(TechnologyMapping!$D:$D,TechnologyMapping!$A:$A,C781)</f>
        <v>1</v>
      </c>
      <c r="Q781">
        <f t="shared" si="76"/>
        <v>384.82642026009364</v>
      </c>
      <c r="R781">
        <f>SUMIFS(FactorInputs!$I:$I,FactorInputs!$A:$A,B781)</f>
        <v>7.33530405405E-2</v>
      </c>
      <c r="S781" t="str">
        <f>_xlfn.XLOOKUP(B781,FactorInputs!$A$2:$A$888,FactorInputs!$F$2:$F$888,"")</f>
        <v>job/MW</v>
      </c>
      <c r="T781" t="str">
        <f>_xlfn.XLOOKUP(B781,FactorInputs!$A$2:$A$888,FactorInputs!$B$2:$B$888,"")</f>
        <v>I-JEDI</v>
      </c>
      <c r="U781" t="str">
        <f>_xlfn.XLOOKUP(B781,FactorInputs!$A$2:$A$888,FactorInputs!$T$2:$T$888,"")</f>
        <v>I-JEDI</v>
      </c>
      <c r="V781">
        <f t="shared" si="77"/>
        <v>28.228188006394138</v>
      </c>
      <c r="W781" t="s">
        <v>67</v>
      </c>
    </row>
    <row r="782" spans="1:23" x14ac:dyDescent="0.3">
      <c r="A782" t="str">
        <f t="shared" si="72"/>
        <v>PA|AccumulatedNewCapacity|RE1|PWRWNDOFS_FIX|2045</v>
      </c>
      <c r="B782" t="str">
        <f t="shared" si="73"/>
        <v>Offshore wind (fixed)|2045|O&amp;M|Direct</v>
      </c>
      <c r="C782" t="str">
        <f t="shared" si="74"/>
        <v>PWRWNDOFS_FIX|Offshore wind (fixed)</v>
      </c>
      <c r="D782" t="s">
        <v>44</v>
      </c>
      <c r="E782" t="s">
        <v>45</v>
      </c>
      <c r="F782" t="s">
        <v>19</v>
      </c>
      <c r="G782" t="s">
        <v>42</v>
      </c>
      <c r="H782">
        <v>2045</v>
      </c>
      <c r="I782" t="s">
        <v>18</v>
      </c>
      <c r="J782" t="s">
        <v>63</v>
      </c>
      <c r="K782" t="s">
        <v>64</v>
      </c>
      <c r="L782" t="s">
        <v>65</v>
      </c>
      <c r="M782">
        <f>SUMIFS(RawResultsLong!$P:$P,RawResultsLong!$A:$A,A782)</f>
        <v>31.536000000000001</v>
      </c>
      <c r="N782">
        <f t="shared" si="75"/>
        <v>999.31553730321696</v>
      </c>
      <c r="O782" t="s">
        <v>74</v>
      </c>
      <c r="P782">
        <f>SUMIFS(TechnologyMapping!$D:$D,TechnologyMapping!$A:$A,C782)</f>
        <v>1</v>
      </c>
      <c r="Q782">
        <f t="shared" si="76"/>
        <v>999.31553730321696</v>
      </c>
      <c r="R782">
        <f>SUMIFS(FactorInputs!$I:$I,FactorInputs!$A:$A,B782)</f>
        <v>6.0951152073699999E-2</v>
      </c>
      <c r="S782" t="str">
        <f>_xlfn.XLOOKUP(B782,FactorInputs!$A$2:$A$888,FactorInputs!$F$2:$F$888,"")</f>
        <v>job/MW</v>
      </c>
      <c r="T782" t="str">
        <f>_xlfn.XLOOKUP(B782,FactorInputs!$A$2:$A$888,FactorInputs!$B$2:$B$888,"")</f>
        <v>French QBIS 2023</v>
      </c>
      <c r="U782" t="str">
        <f>_xlfn.XLOOKUP(B782,FactorInputs!$A$2:$A$888,FactorInputs!$T$2:$T$888,"")</f>
        <v>French QBIS 2023</v>
      </c>
      <c r="V782">
        <f t="shared" si="77"/>
        <v>60.909433283779599</v>
      </c>
    </row>
    <row r="783" spans="1:23" x14ac:dyDescent="0.3">
      <c r="A783" t="str">
        <f t="shared" si="72"/>
        <v>PA|AccumulatedNewCapacity|RE1|PWRWNDONS|2045</v>
      </c>
      <c r="B783" t="str">
        <f t="shared" si="73"/>
        <v>Onshore wind|2045|O&amp;M|Direct</v>
      </c>
      <c r="C783" t="str">
        <f t="shared" si="74"/>
        <v>PWRWNDONS|Onshore wind</v>
      </c>
      <c r="D783" t="s">
        <v>44</v>
      </c>
      <c r="E783" t="s">
        <v>45</v>
      </c>
      <c r="F783" t="s">
        <v>19</v>
      </c>
      <c r="G783" t="s">
        <v>36</v>
      </c>
      <c r="H783">
        <v>2045</v>
      </c>
      <c r="I783" t="s">
        <v>18</v>
      </c>
      <c r="J783" t="s">
        <v>63</v>
      </c>
      <c r="K783" t="s">
        <v>64</v>
      </c>
      <c r="L783" t="s">
        <v>65</v>
      </c>
      <c r="M783">
        <f>SUMIFS(RawResultsLong!$P:$P,RawResultsLong!$A:$A,A783)</f>
        <v>354.37275468939481</v>
      </c>
      <c r="N783">
        <f t="shared" si="75"/>
        <v>11229.394969496881</v>
      </c>
      <c r="O783" t="s">
        <v>68</v>
      </c>
      <c r="P783">
        <f>SUMIFS(TechnologyMapping!$D:$D,TechnologyMapping!$A:$A,C783)</f>
        <v>1</v>
      </c>
      <c r="Q783">
        <f t="shared" si="76"/>
        <v>11229.394969496881</v>
      </c>
      <c r="R783">
        <f>SUMIFS(FactorInputs!$I:$I,FactorInputs!$A:$A,B783)</f>
        <v>2.7317518248200001E-2</v>
      </c>
      <c r="S783" t="str">
        <f>_xlfn.XLOOKUP(B783,FactorInputs!$A$2:$A$888,FactorInputs!$F$2:$F$888,"")</f>
        <v>job/MW</v>
      </c>
      <c r="T783" t="str">
        <f>_xlfn.XLOOKUP(B783,FactorInputs!$A$2:$A$888,FactorInputs!$B$2:$B$888,"")</f>
        <v>I-JEDI</v>
      </c>
      <c r="U783" t="str">
        <f>_xlfn.XLOOKUP(B783,FactorInputs!$A$2:$A$888,FactorInputs!$T$2:$T$888,"")</f>
        <v>I-JEDI</v>
      </c>
      <c r="V783">
        <f t="shared" si="77"/>
        <v>306.75920199547636</v>
      </c>
    </row>
    <row r="784" spans="1:23" x14ac:dyDescent="0.3">
      <c r="A784" t="str">
        <f t="shared" si="72"/>
        <v>PA|NewCapacity|RE1|PWRGEO|2045</v>
      </c>
      <c r="B784" t="str">
        <f t="shared" si="73"/>
        <v>Geothermal|2045|Construction&amp;Manufacturing|Direct</v>
      </c>
      <c r="C784" t="str">
        <f t="shared" si="74"/>
        <v>PWRGEO|Geothermal</v>
      </c>
      <c r="D784" t="s">
        <v>44</v>
      </c>
      <c r="E784" t="s">
        <v>45</v>
      </c>
      <c r="F784" t="s">
        <v>19</v>
      </c>
      <c r="G784" t="s">
        <v>46</v>
      </c>
      <c r="H784">
        <v>2045</v>
      </c>
      <c r="I784" t="s">
        <v>37</v>
      </c>
      <c r="J784" t="s">
        <v>69</v>
      </c>
      <c r="K784" t="s">
        <v>70</v>
      </c>
      <c r="L784" t="s">
        <v>65</v>
      </c>
      <c r="M784">
        <f>SUMIFS(RawResultsLong!$P:$P,RawResultsLong!$A:$A,A784)</f>
        <v>3.1539999999999999</v>
      </c>
      <c r="N784">
        <f t="shared" si="75"/>
        <v>99.944228965447309</v>
      </c>
      <c r="O784" t="s">
        <v>82</v>
      </c>
      <c r="P784">
        <f>SUMIFS(TechnologyMapping!$D:$D,TechnologyMapping!$A:$A,C784)</f>
        <v>1</v>
      </c>
      <c r="Q784">
        <f t="shared" si="76"/>
        <v>99.944228965447309</v>
      </c>
      <c r="R784">
        <f>SUMIFS(FactorInputs!$I:$I,FactorInputs!$A:$A,B784)</f>
        <v>4.5148651229899999</v>
      </c>
      <c r="S784" t="str">
        <f>_xlfn.XLOOKUP(B784,FactorInputs!$A$2:$A$888,FactorInputs!$F$2:$F$888,"")</f>
        <v>job-yr/MW</v>
      </c>
      <c r="T784" t="str">
        <f>_xlfn.XLOOKUP(B784,FactorInputs!$A$2:$A$888,FactorInputs!$B$2:$B$888,"")</f>
        <v>I-JEDI</v>
      </c>
      <c r="U784" t="str">
        <f>_xlfn.XLOOKUP(B784,FactorInputs!$A$2:$A$888,FactorInputs!$T$2:$T$888,"")</f>
        <v>I-JEDI</v>
      </c>
      <c r="V784">
        <f t="shared" si="77"/>
        <v>451.23471360022495</v>
      </c>
    </row>
    <row r="785" spans="1:23" x14ac:dyDescent="0.3">
      <c r="A785" t="str">
        <f t="shared" si="72"/>
        <v>PA|NewCapacity|RE1|PWRSOLRTP|2045</v>
      </c>
      <c r="B785" t="str">
        <f t="shared" si="73"/>
        <v>Rooftop solar PV|2045|Construction&amp;Manufacturing|Direct</v>
      </c>
      <c r="C785" t="str">
        <f t="shared" si="74"/>
        <v>PWRSOLRTP|Rooftop solar PV</v>
      </c>
      <c r="D785" t="s">
        <v>44</v>
      </c>
      <c r="E785" t="s">
        <v>45</v>
      </c>
      <c r="F785" t="s">
        <v>19</v>
      </c>
      <c r="G785" t="s">
        <v>31</v>
      </c>
      <c r="H785">
        <v>2045</v>
      </c>
      <c r="I785" t="s">
        <v>37</v>
      </c>
      <c r="J785" t="s">
        <v>69</v>
      </c>
      <c r="K785" t="s">
        <v>70</v>
      </c>
      <c r="L785" t="s">
        <v>65</v>
      </c>
      <c r="M785">
        <f>SUMIFS(RawResultsLong!$P:$P,RawResultsLong!$A:$A,A785)</f>
        <v>1.902346227013316</v>
      </c>
      <c r="N785">
        <f t="shared" si="75"/>
        <v>60.281714294284605</v>
      </c>
      <c r="O785" t="s">
        <v>71</v>
      </c>
      <c r="P785">
        <f>SUMIFS(TechnologyMapping!$D:$D,TechnologyMapping!$A:$A,C785)</f>
        <v>1</v>
      </c>
      <c r="Q785">
        <f t="shared" si="76"/>
        <v>60.281714294284605</v>
      </c>
      <c r="R785">
        <f>SUMIFS(FactorInputs!$I:$I,FactorInputs!$A:$A,B785)</f>
        <v>4.8489758144900001</v>
      </c>
      <c r="S785" t="str">
        <f>_xlfn.XLOOKUP(B785,FactorInputs!$A$2:$A$888,FactorInputs!$F$2:$F$888,"")</f>
        <v>job-yr/MW</v>
      </c>
      <c r="T785" t="str">
        <f>_xlfn.XLOOKUP(B785,FactorInputs!$A$2:$A$888,FactorInputs!$B$2:$B$888,"")</f>
        <v>JEDI-US</v>
      </c>
      <c r="U785" t="str">
        <f>_xlfn.XLOOKUP(B785,FactorInputs!$A$2:$A$888,FactorInputs!$T$2:$T$888,"")</f>
        <v>JEDI-US</v>
      </c>
      <c r="V785">
        <f t="shared" si="77"/>
        <v>292.30457466898218</v>
      </c>
    </row>
    <row r="786" spans="1:23" x14ac:dyDescent="0.3">
      <c r="A786" t="str">
        <f t="shared" si="72"/>
        <v>PA|NewCapacity|RE1|PWRWNDOFS_FIX|2045</v>
      </c>
      <c r="B786" t="str">
        <f t="shared" si="73"/>
        <v>Offshore wind (fixed)|2045|Construction&amp;Manufacturing|Direct</v>
      </c>
      <c r="C786" t="str">
        <f t="shared" si="74"/>
        <v>PWRWNDOFS_FIX|Offshore wind (fixed)</v>
      </c>
      <c r="D786" t="s">
        <v>44</v>
      </c>
      <c r="E786" t="s">
        <v>45</v>
      </c>
      <c r="F786" t="s">
        <v>19</v>
      </c>
      <c r="G786" t="s">
        <v>42</v>
      </c>
      <c r="H786">
        <v>2045</v>
      </c>
      <c r="I786" t="s">
        <v>37</v>
      </c>
      <c r="J786" t="s">
        <v>69</v>
      </c>
      <c r="K786" t="s">
        <v>70</v>
      </c>
      <c r="L786" t="s">
        <v>65</v>
      </c>
      <c r="M786">
        <f>SUMIFS(RawResultsLong!$P:$P,RawResultsLong!$A:$A,A786)</f>
        <v>3.1536</v>
      </c>
      <c r="N786">
        <f t="shared" si="75"/>
        <v>99.931553730321696</v>
      </c>
      <c r="O786" t="s">
        <v>74</v>
      </c>
      <c r="P786">
        <f>SUMIFS(TechnologyMapping!$D:$D,TechnologyMapping!$A:$A,C786)</f>
        <v>1</v>
      </c>
      <c r="Q786">
        <f t="shared" si="76"/>
        <v>99.931553730321696</v>
      </c>
      <c r="R786">
        <f>SUMIFS(FactorInputs!$I:$I,FactorInputs!$A:$A,B786)</f>
        <v>3.7052739086400002</v>
      </c>
      <c r="S786" t="str">
        <f>_xlfn.XLOOKUP(B786,FactorInputs!$A$2:$A$888,FactorInputs!$F$2:$F$888,"")</f>
        <v>job-yr/MW</v>
      </c>
      <c r="T786" t="str">
        <f>_xlfn.XLOOKUP(B786,FactorInputs!$A$2:$A$888,FactorInputs!$B$2:$B$888,"")</f>
        <v>French QBIS 2023</v>
      </c>
      <c r="U786" t="str">
        <f>_xlfn.XLOOKUP(B786,FactorInputs!$A$2:$A$888,FactorInputs!$T$2:$T$888,"")</f>
        <v>French QBIS 2023</v>
      </c>
      <c r="V786">
        <f t="shared" si="77"/>
        <v>370.27377868681725</v>
      </c>
    </row>
    <row r="787" spans="1:23" x14ac:dyDescent="0.3">
      <c r="A787" t="str">
        <f t="shared" si="72"/>
        <v>PA|AccumulatedNewCapacity|RE1|PWRGEO|2046</v>
      </c>
      <c r="B787" t="str">
        <f t="shared" si="73"/>
        <v>Geothermal|2046|O&amp;M|Direct</v>
      </c>
      <c r="C787" t="str">
        <f t="shared" si="74"/>
        <v>PWRGEO|Geothermal</v>
      </c>
      <c r="D787" t="s">
        <v>44</v>
      </c>
      <c r="E787" t="s">
        <v>45</v>
      </c>
      <c r="F787" t="s">
        <v>19</v>
      </c>
      <c r="G787" t="s">
        <v>46</v>
      </c>
      <c r="H787">
        <v>2046</v>
      </c>
      <c r="I787" t="s">
        <v>18</v>
      </c>
      <c r="J787" t="s">
        <v>63</v>
      </c>
      <c r="K787" t="s">
        <v>64</v>
      </c>
      <c r="L787" t="s">
        <v>65</v>
      </c>
      <c r="M787">
        <f>SUMIFS(RawResultsLong!$P:$P,RawResultsLong!$A:$A,A787)</f>
        <v>22.077999999999999</v>
      </c>
      <c r="N787">
        <f t="shared" si="75"/>
        <v>699.60960275813113</v>
      </c>
      <c r="O787" t="s">
        <v>82</v>
      </c>
      <c r="P787">
        <f>SUMIFS(TechnologyMapping!$D:$D,TechnologyMapping!$A:$A,C787)</f>
        <v>1</v>
      </c>
      <c r="Q787">
        <f t="shared" si="76"/>
        <v>699.60960275813113</v>
      </c>
      <c r="R787">
        <f>SUMIFS(FactorInputs!$I:$I,FactorInputs!$A:$A,B787)</f>
        <v>7.0734966592399997E-3</v>
      </c>
      <c r="S787" t="str">
        <f>_xlfn.XLOOKUP(B787,FactorInputs!$A$2:$A$888,FactorInputs!$F$2:$F$888,"")</f>
        <v>job/MW</v>
      </c>
      <c r="T787" t="str">
        <f>_xlfn.XLOOKUP(B787,FactorInputs!$A$2:$A$888,FactorInputs!$B$2:$B$888,"")</f>
        <v>I-JEDI</v>
      </c>
      <c r="U787" t="str">
        <f>_xlfn.XLOOKUP(B787,FactorInputs!$A$2:$A$888,FactorInputs!$T$2:$T$888,"")</f>
        <v>I-JEDI</v>
      </c>
      <c r="V787">
        <f t="shared" si="77"/>
        <v>4.9486861878818642</v>
      </c>
    </row>
    <row r="788" spans="1:23" x14ac:dyDescent="0.3">
      <c r="A788" t="str">
        <f t="shared" si="72"/>
        <v>PA|AccumulatedNewCapacity|RE1|PWRHYDDAM|2046</v>
      </c>
      <c r="B788" t="str">
        <f t="shared" si="73"/>
        <v>Hydro (large)|2046|O&amp;M|Direct</v>
      </c>
      <c r="C788" t="str">
        <f t="shared" si="74"/>
        <v>PWRHYDDAM|Hydro (large)</v>
      </c>
      <c r="D788" t="s">
        <v>44</v>
      </c>
      <c r="E788" t="s">
        <v>45</v>
      </c>
      <c r="F788" t="s">
        <v>19</v>
      </c>
      <c r="G788" t="s">
        <v>24</v>
      </c>
      <c r="H788">
        <v>2046</v>
      </c>
      <c r="I788" t="s">
        <v>18</v>
      </c>
      <c r="J788" t="s">
        <v>63</v>
      </c>
      <c r="K788" t="s">
        <v>64</v>
      </c>
      <c r="L788" t="s">
        <v>65</v>
      </c>
      <c r="M788">
        <f>SUMIFS(RawResultsLong!$P:$P,RawResultsLong!$A:$A,A788)</f>
        <v>37.840000000000003</v>
      </c>
      <c r="N788">
        <f t="shared" si="75"/>
        <v>1199.0772428828554</v>
      </c>
      <c r="O788" t="s">
        <v>72</v>
      </c>
      <c r="P788">
        <f>SUMIFS(TechnologyMapping!$D:$D,TechnologyMapping!$A:$A,C788)</f>
        <v>1</v>
      </c>
      <c r="Q788">
        <f t="shared" si="76"/>
        <v>1199.0772428828554</v>
      </c>
      <c r="R788">
        <f>SUMIFS(FactorInputs!$I:$I,FactorInputs!$A:$A,B788)</f>
        <v>0.63919344262300004</v>
      </c>
      <c r="S788" t="str">
        <f>_xlfn.XLOOKUP(B788,FactorInputs!$A$2:$A$888,FactorInputs!$F$2:$F$888,"")</f>
        <v>job/MW</v>
      </c>
      <c r="T788" t="str">
        <f>_xlfn.XLOOKUP(B788,FactorInputs!$A$2:$A$888,FactorInputs!$B$2:$B$888,"")</f>
        <v>Rutovitz 2015</v>
      </c>
      <c r="U788" t="str">
        <f>_xlfn.XLOOKUP(B788,FactorInputs!$A$2:$A$888,FactorInputs!$T$2:$T$888,"")</f>
        <v>Rutovitz 2015</v>
      </c>
      <c r="V788">
        <f t="shared" si="77"/>
        <v>766.44231084918749</v>
      </c>
    </row>
    <row r="789" spans="1:23" x14ac:dyDescent="0.3">
      <c r="A789" t="str">
        <f t="shared" si="72"/>
        <v>PA|AccumulatedNewCapacity|RE1|PWRNUC|2046</v>
      </c>
      <c r="B789" t="str">
        <f t="shared" si="73"/>
        <v>Nuclear|2046|O&amp;M|Direct</v>
      </c>
      <c r="C789" t="str">
        <f t="shared" si="74"/>
        <v>PWRNUC|Nuclear</v>
      </c>
      <c r="D789" t="s">
        <v>44</v>
      </c>
      <c r="E789" t="s">
        <v>45</v>
      </c>
      <c r="F789" t="s">
        <v>19</v>
      </c>
      <c r="G789" t="s">
        <v>47</v>
      </c>
      <c r="H789">
        <v>2046</v>
      </c>
      <c r="I789" t="s">
        <v>18</v>
      </c>
      <c r="J789" t="s">
        <v>63</v>
      </c>
      <c r="K789" t="s">
        <v>64</v>
      </c>
      <c r="L789" t="s">
        <v>65</v>
      </c>
      <c r="M789">
        <f>SUMIFS(RawResultsLong!$P:$P,RawResultsLong!$A:$A,A789)</f>
        <v>9.5120000000000005</v>
      </c>
      <c r="N789">
        <f t="shared" si="75"/>
        <v>301.41709128704338</v>
      </c>
      <c r="O789" t="s">
        <v>81</v>
      </c>
      <c r="P789">
        <f>SUMIFS(TechnologyMapping!$D:$D,TechnologyMapping!$A:$A,C789)</f>
        <v>1</v>
      </c>
      <c r="Q789">
        <f t="shared" si="76"/>
        <v>301.41709128704338</v>
      </c>
      <c r="R789">
        <f>SUMIFS(FactorInputs!$I:$I,FactorInputs!$A:$A,B789)</f>
        <v>1.09633333333</v>
      </c>
      <c r="S789" t="str">
        <f>_xlfn.XLOOKUP(B789,FactorInputs!$A$2:$A$888,FactorInputs!$F$2:$F$888,"")</f>
        <v>job/MW</v>
      </c>
      <c r="T789" t="str">
        <f>_xlfn.XLOOKUP(B789,FactorInputs!$A$2:$A$888,FactorInputs!$B$2:$B$888,"")</f>
        <v>Rutovitz 2015</v>
      </c>
      <c r="U789" t="str">
        <f>_xlfn.XLOOKUP(B789,FactorInputs!$A$2:$A$888,FactorInputs!$T$2:$T$888,"")</f>
        <v>Rutovitz 2015</v>
      </c>
      <c r="V789">
        <f t="shared" si="77"/>
        <v>330.4536044133572</v>
      </c>
    </row>
    <row r="790" spans="1:23" x14ac:dyDescent="0.3">
      <c r="A790" t="str">
        <f t="shared" si="72"/>
        <v>PA|AccumulatedNewCapacity|RE1|PWRSOLRTP|2046</v>
      </c>
      <c r="B790" t="str">
        <f t="shared" si="73"/>
        <v>Rooftop solar PV|2046|O&amp;M|Direct</v>
      </c>
      <c r="C790" t="str">
        <f t="shared" si="74"/>
        <v>PWRSOLRTP|Rooftop solar PV</v>
      </c>
      <c r="D790" t="s">
        <v>44</v>
      </c>
      <c r="E790" t="s">
        <v>45</v>
      </c>
      <c r="F790" t="s">
        <v>19</v>
      </c>
      <c r="G790" t="s">
        <v>31</v>
      </c>
      <c r="H790">
        <v>2046</v>
      </c>
      <c r="I790" t="s">
        <v>18</v>
      </c>
      <c r="J790" t="s">
        <v>63</v>
      </c>
      <c r="K790" t="s">
        <v>64</v>
      </c>
      <c r="L790" t="s">
        <v>65</v>
      </c>
      <c r="M790">
        <f>SUMIFS(RawResultsLong!$P:$P,RawResultsLong!$A:$A,A790)</f>
        <v>149.0928788839569</v>
      </c>
      <c r="N790">
        <f t="shared" si="75"/>
        <v>4724.4682385212091</v>
      </c>
      <c r="O790" t="s">
        <v>71</v>
      </c>
      <c r="P790">
        <f>SUMIFS(TechnologyMapping!$D:$D,TechnologyMapping!$A:$A,C790)</f>
        <v>1</v>
      </c>
      <c r="Q790">
        <f t="shared" si="76"/>
        <v>4724.4682385212091</v>
      </c>
      <c r="R790">
        <f>SUMIFS(FactorInputs!$I:$I,FactorInputs!$A:$A,B790)</f>
        <v>0.225176470588</v>
      </c>
      <c r="S790" t="str">
        <f>_xlfn.XLOOKUP(B790,FactorInputs!$A$2:$A$888,FactorInputs!$F$2:$F$888,"")</f>
        <v>job/MW</v>
      </c>
      <c r="T790" t="str">
        <f>_xlfn.XLOOKUP(B790,FactorInputs!$A$2:$A$888,FactorInputs!$B$2:$B$888,"")</f>
        <v>JEDI-US</v>
      </c>
      <c r="U790" t="str">
        <f>_xlfn.XLOOKUP(B790,FactorInputs!$A$2:$A$888,FactorInputs!$T$2:$T$888,"")</f>
        <v>JEDI-US</v>
      </c>
      <c r="V790">
        <f t="shared" si="77"/>
        <v>1063.8390833553112</v>
      </c>
    </row>
    <row r="791" spans="1:23" x14ac:dyDescent="0.3">
      <c r="A791" t="str">
        <f t="shared" si="72"/>
        <v>PA|AccumulatedNewCapacity|RE1|PWRSOLUGE|2046</v>
      </c>
      <c r="B791" t="str">
        <f t="shared" si="73"/>
        <v>Utility-scale solar PV|2046|O&amp;M|Direct</v>
      </c>
      <c r="C791" t="str">
        <f t="shared" si="74"/>
        <v>PWRSOLUGE|Utility-scale solar PV</v>
      </c>
      <c r="D791" t="s">
        <v>44</v>
      </c>
      <c r="E791" t="s">
        <v>45</v>
      </c>
      <c r="F791" t="s">
        <v>19</v>
      </c>
      <c r="G791" t="s">
        <v>33</v>
      </c>
      <c r="H791">
        <v>2046</v>
      </c>
      <c r="I791" t="s">
        <v>18</v>
      </c>
      <c r="J791" t="s">
        <v>63</v>
      </c>
      <c r="K791" t="s">
        <v>64</v>
      </c>
      <c r="L791" t="s">
        <v>65</v>
      </c>
      <c r="M791">
        <f>SUMIFS(RawResultsLong!$P:$P,RawResultsLong!$A:$A,A791)</f>
        <v>143.394192</v>
      </c>
      <c r="N791">
        <f t="shared" si="75"/>
        <v>4543.8877481177278</v>
      </c>
      <c r="O791" t="s">
        <v>66</v>
      </c>
      <c r="P791">
        <f>SUMIFS(TechnologyMapping!$D:$D,TechnologyMapping!$A:$A,C791)</f>
        <v>1</v>
      </c>
      <c r="Q791">
        <f t="shared" si="76"/>
        <v>4543.8877481177278</v>
      </c>
      <c r="R791">
        <f>SUMIFS(FactorInputs!$I:$I,FactorInputs!$A:$A,B791)</f>
        <v>7.2766216216199997E-2</v>
      </c>
      <c r="S791" t="str">
        <f>_xlfn.XLOOKUP(B791,FactorInputs!$A$2:$A$888,FactorInputs!$F$2:$F$888,"")</f>
        <v>job/MW</v>
      </c>
      <c r="T791" t="str">
        <f>_xlfn.XLOOKUP(B791,FactorInputs!$A$2:$A$888,FactorInputs!$B$2:$B$888,"")</f>
        <v>I-JEDI</v>
      </c>
      <c r="U791" t="str">
        <f>_xlfn.XLOOKUP(B791,FactorInputs!$A$2:$A$888,FactorInputs!$T$2:$T$888,"")</f>
        <v>I-JEDI</v>
      </c>
      <c r="V791">
        <f t="shared" si="77"/>
        <v>330.64151834167671</v>
      </c>
    </row>
    <row r="792" spans="1:23" x14ac:dyDescent="0.3">
      <c r="A792" t="str">
        <f t="shared" si="72"/>
        <v>PA|AccumulatedNewCapacity|RE1|PWRSOLUPE|2046</v>
      </c>
      <c r="B792" t="str">
        <f t="shared" si="73"/>
        <v>Utility-scale solar PV|2046|O&amp;M|Direct</v>
      </c>
      <c r="C792" t="str">
        <f t="shared" si="74"/>
        <v>PWRSOLUPE|Utility-scale solar PV</v>
      </c>
      <c r="D792" t="s">
        <v>44</v>
      </c>
      <c r="E792" t="s">
        <v>45</v>
      </c>
      <c r="F792" t="s">
        <v>19</v>
      </c>
      <c r="G792" t="s">
        <v>34</v>
      </c>
      <c r="H792">
        <v>2046</v>
      </c>
      <c r="I792" t="s">
        <v>18</v>
      </c>
      <c r="J792" t="s">
        <v>63</v>
      </c>
      <c r="K792" t="s">
        <v>64</v>
      </c>
      <c r="L792" t="s">
        <v>65</v>
      </c>
      <c r="M792">
        <f>SUMIFS(RawResultsLong!$P:$P,RawResultsLong!$A:$A,A792)</f>
        <v>12.14419823999993</v>
      </c>
      <c r="N792">
        <f t="shared" si="75"/>
        <v>384.82642026009364</v>
      </c>
      <c r="O792" t="s">
        <v>66</v>
      </c>
      <c r="P792">
        <f>SUMIFS(TechnologyMapping!$D:$D,TechnologyMapping!$A:$A,C792)</f>
        <v>1</v>
      </c>
      <c r="Q792">
        <f t="shared" si="76"/>
        <v>384.82642026009364</v>
      </c>
      <c r="R792">
        <f>SUMIFS(FactorInputs!$I:$I,FactorInputs!$A:$A,B792)</f>
        <v>7.2766216216199997E-2</v>
      </c>
      <c r="S792" t="str">
        <f>_xlfn.XLOOKUP(B792,FactorInputs!$A$2:$A$888,FactorInputs!$F$2:$F$888,"")</f>
        <v>job/MW</v>
      </c>
      <c r="T792" t="str">
        <f>_xlfn.XLOOKUP(B792,FactorInputs!$A$2:$A$888,FactorInputs!$B$2:$B$888,"")</f>
        <v>I-JEDI</v>
      </c>
      <c r="U792" t="str">
        <f>_xlfn.XLOOKUP(B792,FactorInputs!$A$2:$A$888,FactorInputs!$T$2:$T$888,"")</f>
        <v>I-JEDI</v>
      </c>
      <c r="V792">
        <f t="shared" si="77"/>
        <v>28.00236250235222</v>
      </c>
      <c r="W792" t="s">
        <v>67</v>
      </c>
    </row>
    <row r="793" spans="1:23" x14ac:dyDescent="0.3">
      <c r="A793" t="str">
        <f t="shared" si="72"/>
        <v>PA|AccumulatedNewCapacity|RE1|PWRWNDOFS_FIX|2046</v>
      </c>
      <c r="B793" t="str">
        <f t="shared" si="73"/>
        <v>Offshore wind (fixed)|2046|O&amp;M|Direct</v>
      </c>
      <c r="C793" t="str">
        <f t="shared" si="74"/>
        <v>PWRWNDOFS_FIX|Offshore wind (fixed)</v>
      </c>
      <c r="D793" t="s">
        <v>44</v>
      </c>
      <c r="E793" t="s">
        <v>45</v>
      </c>
      <c r="F793" t="s">
        <v>19</v>
      </c>
      <c r="G793" t="s">
        <v>42</v>
      </c>
      <c r="H793">
        <v>2046</v>
      </c>
      <c r="I793" t="s">
        <v>18</v>
      </c>
      <c r="J793" t="s">
        <v>63</v>
      </c>
      <c r="K793" t="s">
        <v>64</v>
      </c>
      <c r="L793" t="s">
        <v>65</v>
      </c>
      <c r="M793">
        <f>SUMIFS(RawResultsLong!$P:$P,RawResultsLong!$A:$A,A793)</f>
        <v>34.689600000000013</v>
      </c>
      <c r="N793">
        <f t="shared" si="75"/>
        <v>1099.2470910335392</v>
      </c>
      <c r="O793" t="s">
        <v>74</v>
      </c>
      <c r="P793">
        <f>SUMIFS(TechnologyMapping!$D:$D,TechnologyMapping!$A:$A,C793)</f>
        <v>1</v>
      </c>
      <c r="Q793">
        <f t="shared" si="76"/>
        <v>1099.2470910335392</v>
      </c>
      <c r="R793">
        <f>SUMIFS(FactorInputs!$I:$I,FactorInputs!$A:$A,B793)</f>
        <v>5.9758894009200002E-2</v>
      </c>
      <c r="S793" t="str">
        <f>_xlfn.XLOOKUP(B793,FactorInputs!$A$2:$A$888,FactorInputs!$F$2:$F$888,"")</f>
        <v>job/MW</v>
      </c>
      <c r="T793" t="str">
        <f>_xlfn.XLOOKUP(B793,FactorInputs!$A$2:$A$888,FactorInputs!$B$2:$B$888,"")</f>
        <v>French QBIS 2023</v>
      </c>
      <c r="U793" t="str">
        <f>_xlfn.XLOOKUP(B793,FactorInputs!$A$2:$A$888,FactorInputs!$T$2:$T$888,"")</f>
        <v>French QBIS 2023</v>
      </c>
      <c r="V793">
        <f t="shared" si="77"/>
        <v>65.689790402994689</v>
      </c>
    </row>
    <row r="794" spans="1:23" x14ac:dyDescent="0.3">
      <c r="A794" t="str">
        <f t="shared" si="72"/>
        <v>PA|AccumulatedNewCapacity|RE1|PWRWNDONS|2046</v>
      </c>
      <c r="B794" t="str">
        <f t="shared" si="73"/>
        <v>Onshore wind|2046|O&amp;M|Direct</v>
      </c>
      <c r="C794" t="str">
        <f t="shared" si="74"/>
        <v>PWRWNDONS|Onshore wind</v>
      </c>
      <c r="D794" t="s">
        <v>44</v>
      </c>
      <c r="E794" t="s">
        <v>45</v>
      </c>
      <c r="F794" t="s">
        <v>19</v>
      </c>
      <c r="G794" t="s">
        <v>36</v>
      </c>
      <c r="H794">
        <v>2046</v>
      </c>
      <c r="I794" t="s">
        <v>18</v>
      </c>
      <c r="J794" t="s">
        <v>63</v>
      </c>
      <c r="K794" t="s">
        <v>64</v>
      </c>
      <c r="L794" t="s">
        <v>65</v>
      </c>
      <c r="M794">
        <f>SUMIFS(RawResultsLong!$P:$P,RawResultsLong!$A:$A,A794)</f>
        <v>401.68275468939481</v>
      </c>
      <c r="N794">
        <f t="shared" si="75"/>
        <v>12728.55840397859</v>
      </c>
      <c r="O794" t="s">
        <v>68</v>
      </c>
      <c r="P794">
        <f>SUMIFS(TechnologyMapping!$D:$D,TechnologyMapping!$A:$A,C794)</f>
        <v>1</v>
      </c>
      <c r="Q794">
        <f t="shared" si="76"/>
        <v>12728.55840397859</v>
      </c>
      <c r="R794">
        <f>SUMIFS(FactorInputs!$I:$I,FactorInputs!$A:$A,B794)</f>
        <v>2.7240875912400001E-2</v>
      </c>
      <c r="S794" t="str">
        <f>_xlfn.XLOOKUP(B794,FactorInputs!$A$2:$A$888,FactorInputs!$F$2:$F$888,"")</f>
        <v>job/MW</v>
      </c>
      <c r="T794" t="str">
        <f>_xlfn.XLOOKUP(B794,FactorInputs!$A$2:$A$888,FactorInputs!$B$2:$B$888,"")</f>
        <v>I-JEDI</v>
      </c>
      <c r="U794" t="str">
        <f>_xlfn.XLOOKUP(B794,FactorInputs!$A$2:$A$888,FactorInputs!$T$2:$T$888,"")</f>
        <v>I-JEDI</v>
      </c>
      <c r="V794">
        <f t="shared" si="77"/>
        <v>346.73708002651699</v>
      </c>
    </row>
    <row r="795" spans="1:23" x14ac:dyDescent="0.3">
      <c r="A795" t="str">
        <f t="shared" si="72"/>
        <v>PA|NewCapacity|RE1|PWRGEO|2046</v>
      </c>
      <c r="B795" t="str">
        <f t="shared" si="73"/>
        <v>Geothermal|2046|Construction&amp;Manufacturing|Direct</v>
      </c>
      <c r="C795" t="str">
        <f t="shared" si="74"/>
        <v>PWRGEO|Geothermal</v>
      </c>
      <c r="D795" t="s">
        <v>44</v>
      </c>
      <c r="E795" t="s">
        <v>45</v>
      </c>
      <c r="F795" t="s">
        <v>19</v>
      </c>
      <c r="G795" t="s">
        <v>46</v>
      </c>
      <c r="H795">
        <v>2046</v>
      </c>
      <c r="I795" t="s">
        <v>37</v>
      </c>
      <c r="J795" t="s">
        <v>69</v>
      </c>
      <c r="K795" t="s">
        <v>70</v>
      </c>
      <c r="L795" t="s">
        <v>65</v>
      </c>
      <c r="M795">
        <f>SUMIFS(RawResultsLong!$P:$P,RawResultsLong!$A:$A,A795)</f>
        <v>3.1539999999999999</v>
      </c>
      <c r="N795">
        <f t="shared" si="75"/>
        <v>99.944228965447309</v>
      </c>
      <c r="O795" t="s">
        <v>82</v>
      </c>
      <c r="P795">
        <f>SUMIFS(TechnologyMapping!$D:$D,TechnologyMapping!$A:$A,C795)</f>
        <v>1</v>
      </c>
      <c r="Q795">
        <f t="shared" si="76"/>
        <v>99.944228965447309</v>
      </c>
      <c r="R795">
        <f>SUMIFS(FactorInputs!$I:$I,FactorInputs!$A:$A,B795)</f>
        <v>4.4963983983000002</v>
      </c>
      <c r="S795" t="str">
        <f>_xlfn.XLOOKUP(B795,FactorInputs!$A$2:$A$888,FactorInputs!$F$2:$F$888,"")</f>
        <v>job-yr/MW</v>
      </c>
      <c r="T795" t="str">
        <f>_xlfn.XLOOKUP(B795,FactorInputs!$A$2:$A$888,FactorInputs!$B$2:$B$888,"")</f>
        <v>I-JEDI</v>
      </c>
      <c r="U795" t="str">
        <f>_xlfn.XLOOKUP(B795,FactorInputs!$A$2:$A$888,FactorInputs!$T$2:$T$888,"")</f>
        <v>I-JEDI</v>
      </c>
      <c r="V795">
        <f t="shared" si="77"/>
        <v>449.38907103956575</v>
      </c>
    </row>
    <row r="796" spans="1:23" x14ac:dyDescent="0.3">
      <c r="A796" t="str">
        <f t="shared" si="72"/>
        <v>PA|NewCapacity|RE1|PWRSOLRTP|2046</v>
      </c>
      <c r="B796" t="str">
        <f t="shared" si="73"/>
        <v>Rooftop solar PV|2046|Construction&amp;Manufacturing|Direct</v>
      </c>
      <c r="C796" t="str">
        <f t="shared" si="74"/>
        <v>PWRSOLRTP|Rooftop solar PV</v>
      </c>
      <c r="D796" t="s">
        <v>44</v>
      </c>
      <c r="E796" t="s">
        <v>45</v>
      </c>
      <c r="F796" t="s">
        <v>19</v>
      </c>
      <c r="G796" t="s">
        <v>31</v>
      </c>
      <c r="H796">
        <v>2046</v>
      </c>
      <c r="I796" t="s">
        <v>37</v>
      </c>
      <c r="J796" t="s">
        <v>69</v>
      </c>
      <c r="K796" t="s">
        <v>70</v>
      </c>
      <c r="L796" t="s">
        <v>65</v>
      </c>
      <c r="M796">
        <f>SUMIFS(RawResultsLong!$P:$P,RawResultsLong!$A:$A,A796)</f>
        <v>1.902346227013316</v>
      </c>
      <c r="N796">
        <f t="shared" si="75"/>
        <v>60.281714294284605</v>
      </c>
      <c r="O796" t="s">
        <v>71</v>
      </c>
      <c r="P796">
        <f>SUMIFS(TechnologyMapping!$D:$D,TechnologyMapping!$A:$A,C796)</f>
        <v>1</v>
      </c>
      <c r="Q796">
        <f t="shared" si="76"/>
        <v>60.281714294284605</v>
      </c>
      <c r="R796">
        <f>SUMIFS(FactorInputs!$I:$I,FactorInputs!$A:$A,B796)</f>
        <v>4.7432928636999998</v>
      </c>
      <c r="S796" t="str">
        <f>_xlfn.XLOOKUP(B796,FactorInputs!$A$2:$A$888,FactorInputs!$F$2:$F$888,"")</f>
        <v>job-yr/MW</v>
      </c>
      <c r="T796" t="str">
        <f>_xlfn.XLOOKUP(B796,FactorInputs!$A$2:$A$888,FactorInputs!$B$2:$B$888,"")</f>
        <v>JEDI-US</v>
      </c>
      <c r="U796" t="str">
        <f>_xlfn.XLOOKUP(B796,FactorInputs!$A$2:$A$888,FactorInputs!$T$2:$T$888,"")</f>
        <v>JEDI-US</v>
      </c>
      <c r="V796">
        <f t="shared" si="77"/>
        <v>285.93382522368245</v>
      </c>
    </row>
    <row r="797" spans="1:23" x14ac:dyDescent="0.3">
      <c r="A797" t="str">
        <f t="shared" si="72"/>
        <v>PA|NewCapacity|RE1|PWRWNDOFS_FIX|2046</v>
      </c>
      <c r="B797" t="str">
        <f t="shared" si="73"/>
        <v>Offshore wind (fixed)|2046|Construction&amp;Manufacturing|Direct</v>
      </c>
      <c r="C797" t="str">
        <f t="shared" si="74"/>
        <v>PWRWNDOFS_FIX|Offshore wind (fixed)</v>
      </c>
      <c r="D797" t="s">
        <v>44</v>
      </c>
      <c r="E797" t="s">
        <v>45</v>
      </c>
      <c r="F797" t="s">
        <v>19</v>
      </c>
      <c r="G797" t="s">
        <v>42</v>
      </c>
      <c r="H797">
        <v>2046</v>
      </c>
      <c r="I797" t="s">
        <v>37</v>
      </c>
      <c r="J797" t="s">
        <v>69</v>
      </c>
      <c r="K797" t="s">
        <v>70</v>
      </c>
      <c r="L797" t="s">
        <v>65</v>
      </c>
      <c r="M797">
        <f>SUMIFS(RawResultsLong!$P:$P,RawResultsLong!$A:$A,A797)</f>
        <v>3.1536</v>
      </c>
      <c r="N797">
        <f t="shared" si="75"/>
        <v>99.931553730321696</v>
      </c>
      <c r="O797" t="s">
        <v>74</v>
      </c>
      <c r="P797">
        <f>SUMIFS(TechnologyMapping!$D:$D,TechnologyMapping!$A:$A,C797)</f>
        <v>1</v>
      </c>
      <c r="Q797">
        <f t="shared" si="76"/>
        <v>99.931553730321696</v>
      </c>
      <c r="R797">
        <f>SUMIFS(FactorInputs!$I:$I,FactorInputs!$A:$A,B797)</f>
        <v>3.63372694715</v>
      </c>
      <c r="S797" t="str">
        <f>_xlfn.XLOOKUP(B797,FactorInputs!$A$2:$A$888,FactorInputs!$F$2:$F$888,"")</f>
        <v>job-yr/MW</v>
      </c>
      <c r="T797" t="str">
        <f>_xlfn.XLOOKUP(B797,FactorInputs!$A$2:$A$888,FactorInputs!$B$2:$B$888,"")</f>
        <v>French QBIS 2023</v>
      </c>
      <c r="U797" t="str">
        <f>_xlfn.XLOOKUP(B797,FactorInputs!$A$2:$A$888,FactorInputs!$T$2:$T$888,"")</f>
        <v>French QBIS 2023</v>
      </c>
      <c r="V797">
        <f t="shared" si="77"/>
        <v>363.12397966043807</v>
      </c>
    </row>
    <row r="798" spans="1:23" x14ac:dyDescent="0.3">
      <c r="A798" t="str">
        <f t="shared" si="72"/>
        <v>PA|NewCapacity|RE1|PWRWNDONS|2046</v>
      </c>
      <c r="B798" t="str">
        <f t="shared" si="73"/>
        <v>Onshore wind|2046|Construction&amp;Manufacturing|Direct</v>
      </c>
      <c r="C798" t="str">
        <f t="shared" si="74"/>
        <v>PWRWNDONS|Onshore wind</v>
      </c>
      <c r="D798" t="s">
        <v>44</v>
      </c>
      <c r="E798" t="s">
        <v>45</v>
      </c>
      <c r="F798" t="s">
        <v>19</v>
      </c>
      <c r="G798" t="s">
        <v>36</v>
      </c>
      <c r="H798">
        <v>2046</v>
      </c>
      <c r="I798" t="s">
        <v>37</v>
      </c>
      <c r="J798" t="s">
        <v>69</v>
      </c>
      <c r="K798" t="s">
        <v>70</v>
      </c>
      <c r="L798" t="s">
        <v>65</v>
      </c>
      <c r="M798">
        <f>SUMIFS(RawResultsLong!$P:$P,RawResultsLong!$A:$A,A798)</f>
        <v>47.31</v>
      </c>
      <c r="N798">
        <f t="shared" si="75"/>
        <v>1499.1634344817096</v>
      </c>
      <c r="O798" t="s">
        <v>68</v>
      </c>
      <c r="P798">
        <f>SUMIFS(TechnologyMapping!$D:$D,TechnologyMapping!$A:$A,C798)</f>
        <v>1</v>
      </c>
      <c r="Q798">
        <f t="shared" si="76"/>
        <v>1499.1634344817096</v>
      </c>
      <c r="R798">
        <f>SUMIFS(FactorInputs!$I:$I,FactorInputs!$A:$A,B798)</f>
        <v>6.5857270093800002</v>
      </c>
      <c r="S798" t="str">
        <f>_xlfn.XLOOKUP(B798,FactorInputs!$A$2:$A$888,FactorInputs!$F$2:$F$888,"")</f>
        <v>job-yr/MW</v>
      </c>
      <c r="T798" t="str">
        <f>_xlfn.XLOOKUP(B798,FactorInputs!$A$2:$A$888,FactorInputs!$B$2:$B$888,"")</f>
        <v>I-JEDI</v>
      </c>
      <c r="U798" t="str">
        <f>_xlfn.XLOOKUP(B798,FactorInputs!$A$2:$A$888,FactorInputs!$T$2:$T$888,"")</f>
        <v>I-JEDI</v>
      </c>
      <c r="V798">
        <f t="shared" si="77"/>
        <v>9873.0811219410789</v>
      </c>
    </row>
    <row r="799" spans="1:23" x14ac:dyDescent="0.3">
      <c r="A799" t="str">
        <f t="shared" si="72"/>
        <v>PA|AccumulatedNewCapacity|RE1|PWRGEO|2047</v>
      </c>
      <c r="B799" t="str">
        <f t="shared" si="73"/>
        <v>Geothermal|2047|O&amp;M|Direct</v>
      </c>
      <c r="C799" t="str">
        <f t="shared" si="74"/>
        <v>PWRGEO|Geothermal</v>
      </c>
      <c r="D799" t="s">
        <v>44</v>
      </c>
      <c r="E799" t="s">
        <v>45</v>
      </c>
      <c r="F799" t="s">
        <v>19</v>
      </c>
      <c r="G799" t="s">
        <v>46</v>
      </c>
      <c r="H799">
        <v>2047</v>
      </c>
      <c r="I799" t="s">
        <v>18</v>
      </c>
      <c r="J799" t="s">
        <v>63</v>
      </c>
      <c r="K799" t="s">
        <v>64</v>
      </c>
      <c r="L799" t="s">
        <v>65</v>
      </c>
      <c r="M799">
        <f>SUMIFS(RawResultsLong!$P:$P,RawResultsLong!$A:$A,A799)</f>
        <v>25.231999999999999</v>
      </c>
      <c r="N799">
        <f t="shared" si="75"/>
        <v>799.55383172357847</v>
      </c>
      <c r="O799" t="s">
        <v>82</v>
      </c>
      <c r="P799">
        <f>SUMIFS(TechnologyMapping!$D:$D,TechnologyMapping!$A:$A,C799)</f>
        <v>1</v>
      </c>
      <c r="Q799">
        <f t="shared" si="76"/>
        <v>799.55383172357847</v>
      </c>
      <c r="R799">
        <f>SUMIFS(FactorInputs!$I:$I,FactorInputs!$A:$A,B799)</f>
        <v>7.0445434298399999E-3</v>
      </c>
      <c r="S799" t="str">
        <f>_xlfn.XLOOKUP(B799,FactorInputs!$A$2:$A$888,FactorInputs!$F$2:$F$888,"")</f>
        <v>job/MW</v>
      </c>
      <c r="T799" t="str">
        <f>_xlfn.XLOOKUP(B799,FactorInputs!$A$2:$A$888,FactorInputs!$B$2:$B$888,"")</f>
        <v>I-JEDI</v>
      </c>
      <c r="U799" t="str">
        <f>_xlfn.XLOOKUP(B799,FactorInputs!$A$2:$A$888,FactorInputs!$T$2:$T$888,"")</f>
        <v>I-JEDI</v>
      </c>
      <c r="V799">
        <f t="shared" si="77"/>
        <v>5.6324916920717314</v>
      </c>
    </row>
    <row r="800" spans="1:23" x14ac:dyDescent="0.3">
      <c r="A800" t="str">
        <f t="shared" si="72"/>
        <v>PA|AccumulatedNewCapacity|RE1|PWRHYDDAM|2047</v>
      </c>
      <c r="B800" t="str">
        <f t="shared" si="73"/>
        <v>Hydro (large)|2047|O&amp;M|Direct</v>
      </c>
      <c r="C800" t="str">
        <f t="shared" si="74"/>
        <v>PWRHYDDAM|Hydro (large)</v>
      </c>
      <c r="D800" t="s">
        <v>44</v>
      </c>
      <c r="E800" t="s">
        <v>45</v>
      </c>
      <c r="F800" t="s">
        <v>19</v>
      </c>
      <c r="G800" t="s">
        <v>24</v>
      </c>
      <c r="H800">
        <v>2047</v>
      </c>
      <c r="I800" t="s">
        <v>18</v>
      </c>
      <c r="J800" t="s">
        <v>63</v>
      </c>
      <c r="K800" t="s">
        <v>64</v>
      </c>
      <c r="L800" t="s">
        <v>65</v>
      </c>
      <c r="M800">
        <f>SUMIFS(RawResultsLong!$P:$P,RawResultsLong!$A:$A,A800)</f>
        <v>37.840000000000003</v>
      </c>
      <c r="N800">
        <f t="shared" si="75"/>
        <v>1199.0772428828554</v>
      </c>
      <c r="O800" t="s">
        <v>72</v>
      </c>
      <c r="P800">
        <f>SUMIFS(TechnologyMapping!$D:$D,TechnologyMapping!$A:$A,C800)</f>
        <v>1</v>
      </c>
      <c r="Q800">
        <f t="shared" si="76"/>
        <v>1199.0772428828554</v>
      </c>
      <c r="R800">
        <f>SUMIFS(FactorInputs!$I:$I,FactorInputs!$A:$A,B800)</f>
        <v>0.63901803278699998</v>
      </c>
      <c r="S800" t="str">
        <f>_xlfn.XLOOKUP(B800,FactorInputs!$A$2:$A$888,FactorInputs!$F$2:$F$888,"")</f>
        <v>job/MW</v>
      </c>
      <c r="T800" t="str">
        <f>_xlfn.XLOOKUP(B800,FactorInputs!$A$2:$A$888,FactorInputs!$B$2:$B$888,"")</f>
        <v>Rutovitz 2015</v>
      </c>
      <c r="U800" t="str">
        <f>_xlfn.XLOOKUP(B800,FactorInputs!$A$2:$A$888,FactorInputs!$T$2:$T$888,"")</f>
        <v>Rutovitz 2015</v>
      </c>
      <c r="V800">
        <f t="shared" si="77"/>
        <v>766.2319809066621</v>
      </c>
    </row>
    <row r="801" spans="1:23" x14ac:dyDescent="0.3">
      <c r="A801" t="str">
        <f t="shared" si="72"/>
        <v>PA|AccumulatedNewCapacity|RE1|PWRNUC|2047</v>
      </c>
      <c r="B801" t="str">
        <f t="shared" si="73"/>
        <v>Nuclear|2047|O&amp;M|Direct</v>
      </c>
      <c r="C801" t="str">
        <f t="shared" si="74"/>
        <v>PWRNUC|Nuclear</v>
      </c>
      <c r="D801" t="s">
        <v>44</v>
      </c>
      <c r="E801" t="s">
        <v>45</v>
      </c>
      <c r="F801" t="s">
        <v>19</v>
      </c>
      <c r="G801" t="s">
        <v>47</v>
      </c>
      <c r="H801">
        <v>2047</v>
      </c>
      <c r="I801" t="s">
        <v>18</v>
      </c>
      <c r="J801" t="s">
        <v>63</v>
      </c>
      <c r="K801" t="s">
        <v>64</v>
      </c>
      <c r="L801" t="s">
        <v>65</v>
      </c>
      <c r="M801">
        <f>SUMIFS(RawResultsLong!$P:$P,RawResultsLong!$A:$A,A801)</f>
        <v>9.5120000000000005</v>
      </c>
      <c r="N801">
        <f t="shared" si="75"/>
        <v>301.41709128704338</v>
      </c>
      <c r="O801" t="s">
        <v>81</v>
      </c>
      <c r="P801">
        <f>SUMIFS(TechnologyMapping!$D:$D,TechnologyMapping!$A:$A,C801)</f>
        <v>1</v>
      </c>
      <c r="Q801">
        <f t="shared" si="76"/>
        <v>301.41709128704338</v>
      </c>
      <c r="R801">
        <f>SUMIFS(FactorInputs!$I:$I,FactorInputs!$A:$A,B801)</f>
        <v>1.0929791666699999</v>
      </c>
      <c r="S801" t="str">
        <f>_xlfn.XLOOKUP(B801,FactorInputs!$A$2:$A$888,FactorInputs!$F$2:$F$888,"")</f>
        <v>job/MW</v>
      </c>
      <c r="T801" t="str">
        <f>_xlfn.XLOOKUP(B801,FactorInputs!$A$2:$A$888,FactorInputs!$B$2:$B$888,"")</f>
        <v>Rutovitz 2015</v>
      </c>
      <c r="U801" t="str">
        <f>_xlfn.XLOOKUP(B801,FactorInputs!$A$2:$A$888,FactorInputs!$T$2:$T$888,"")</f>
        <v>Rutovitz 2015</v>
      </c>
      <c r="V801">
        <f t="shared" si="77"/>
        <v>329.44260125500796</v>
      </c>
    </row>
    <row r="802" spans="1:23" x14ac:dyDescent="0.3">
      <c r="A802" t="str">
        <f t="shared" si="72"/>
        <v>PA|AccumulatedNewCapacity|RE1|PWRSOLRTP|2047</v>
      </c>
      <c r="B802" t="str">
        <f t="shared" si="73"/>
        <v>Rooftop solar PV|2047|O&amp;M|Direct</v>
      </c>
      <c r="C802" t="str">
        <f t="shared" si="74"/>
        <v>PWRSOLRTP|Rooftop solar PV</v>
      </c>
      <c r="D802" t="s">
        <v>44</v>
      </c>
      <c r="E802" t="s">
        <v>45</v>
      </c>
      <c r="F802" t="s">
        <v>19</v>
      </c>
      <c r="G802" t="s">
        <v>31</v>
      </c>
      <c r="H802">
        <v>2047</v>
      </c>
      <c r="I802" t="s">
        <v>18</v>
      </c>
      <c r="J802" t="s">
        <v>63</v>
      </c>
      <c r="K802" t="s">
        <v>64</v>
      </c>
      <c r="L802" t="s">
        <v>65</v>
      </c>
      <c r="M802">
        <f>SUMIFS(RawResultsLong!$P:$P,RawResultsLong!$A:$A,A802)</f>
        <v>150.99522511097021</v>
      </c>
      <c r="N802">
        <f t="shared" si="75"/>
        <v>4784.7499528154931</v>
      </c>
      <c r="O802" t="s">
        <v>71</v>
      </c>
      <c r="P802">
        <f>SUMIFS(TechnologyMapping!$D:$D,TechnologyMapping!$A:$A,C802)</f>
        <v>1</v>
      </c>
      <c r="Q802">
        <f t="shared" si="76"/>
        <v>4784.7499528154931</v>
      </c>
      <c r="R802">
        <f>SUMIFS(FactorInputs!$I:$I,FactorInputs!$A:$A,B802)</f>
        <v>0.22314705882399999</v>
      </c>
      <c r="S802" t="str">
        <f>_xlfn.XLOOKUP(B802,FactorInputs!$A$2:$A$888,FactorInputs!$F$2:$F$888,"")</f>
        <v>job/MW</v>
      </c>
      <c r="T802" t="str">
        <f>_xlfn.XLOOKUP(B802,FactorInputs!$A$2:$A$888,FactorInputs!$B$2:$B$888,"")</f>
        <v>JEDI-US</v>
      </c>
      <c r="U802" t="str">
        <f>_xlfn.XLOOKUP(B802,FactorInputs!$A$2:$A$888,FactorInputs!$T$2:$T$888,"")</f>
        <v>JEDI-US</v>
      </c>
      <c r="V802">
        <f t="shared" si="77"/>
        <v>1067.7028791790501</v>
      </c>
    </row>
    <row r="803" spans="1:23" x14ac:dyDescent="0.3">
      <c r="A803" t="str">
        <f t="shared" si="72"/>
        <v>PA|AccumulatedNewCapacity|RE1|PWRSOLUGE|2047</v>
      </c>
      <c r="B803" t="str">
        <f t="shared" si="73"/>
        <v>Utility-scale solar PV|2047|O&amp;M|Direct</v>
      </c>
      <c r="C803" t="str">
        <f t="shared" si="74"/>
        <v>PWRSOLUGE|Utility-scale solar PV</v>
      </c>
      <c r="D803" t="s">
        <v>44</v>
      </c>
      <c r="E803" t="s">
        <v>45</v>
      </c>
      <c r="F803" t="s">
        <v>19</v>
      </c>
      <c r="G803" t="s">
        <v>33</v>
      </c>
      <c r="H803">
        <v>2047</v>
      </c>
      <c r="I803" t="s">
        <v>18</v>
      </c>
      <c r="J803" t="s">
        <v>63</v>
      </c>
      <c r="K803" t="s">
        <v>64</v>
      </c>
      <c r="L803" t="s">
        <v>65</v>
      </c>
      <c r="M803">
        <f>SUMIFS(RawResultsLong!$P:$P,RawResultsLong!$A:$A,A803)</f>
        <v>143.394192</v>
      </c>
      <c r="N803">
        <f t="shared" si="75"/>
        <v>4543.8877481177278</v>
      </c>
      <c r="O803" t="s">
        <v>66</v>
      </c>
      <c r="P803">
        <f>SUMIFS(TechnologyMapping!$D:$D,TechnologyMapping!$A:$A,C803)</f>
        <v>1</v>
      </c>
      <c r="Q803">
        <f t="shared" si="76"/>
        <v>4543.8877481177278</v>
      </c>
      <c r="R803">
        <f>SUMIFS(FactorInputs!$I:$I,FactorInputs!$A:$A,B803)</f>
        <v>7.2179391891899994E-2</v>
      </c>
      <c r="S803" t="str">
        <f>_xlfn.XLOOKUP(B803,FactorInputs!$A$2:$A$888,FactorInputs!$F$2:$F$888,"")</f>
        <v>job/MW</v>
      </c>
      <c r="T803" t="str">
        <f>_xlfn.XLOOKUP(B803,FactorInputs!$A$2:$A$888,FactorInputs!$B$2:$B$888,"")</f>
        <v>I-JEDI</v>
      </c>
      <c r="U803" t="str">
        <f>_xlfn.XLOOKUP(B803,FactorInputs!$A$2:$A$888,FactorInputs!$T$2:$T$888,"")</f>
        <v>I-JEDI</v>
      </c>
      <c r="V803">
        <f t="shared" si="77"/>
        <v>327.97505448419247</v>
      </c>
    </row>
    <row r="804" spans="1:23" x14ac:dyDescent="0.3">
      <c r="A804" t="str">
        <f t="shared" si="72"/>
        <v>PA|AccumulatedNewCapacity|RE1|PWRSOLUPE|2047</v>
      </c>
      <c r="B804" t="str">
        <f t="shared" si="73"/>
        <v>Utility-scale solar PV|2047|O&amp;M|Direct</v>
      </c>
      <c r="C804" t="str">
        <f t="shared" si="74"/>
        <v>PWRSOLUPE|Utility-scale solar PV</v>
      </c>
      <c r="D804" t="s">
        <v>44</v>
      </c>
      <c r="E804" t="s">
        <v>45</v>
      </c>
      <c r="F804" t="s">
        <v>19</v>
      </c>
      <c r="G804" t="s">
        <v>34</v>
      </c>
      <c r="H804">
        <v>2047</v>
      </c>
      <c r="I804" t="s">
        <v>18</v>
      </c>
      <c r="J804" t="s">
        <v>63</v>
      </c>
      <c r="K804" t="s">
        <v>64</v>
      </c>
      <c r="L804" t="s">
        <v>65</v>
      </c>
      <c r="M804">
        <f>SUMIFS(RawResultsLong!$P:$P,RawResultsLong!$A:$A,A804)</f>
        <v>12.14419823999993</v>
      </c>
      <c r="N804">
        <f t="shared" si="75"/>
        <v>384.82642026009364</v>
      </c>
      <c r="O804" t="s">
        <v>66</v>
      </c>
      <c r="P804">
        <f>SUMIFS(TechnologyMapping!$D:$D,TechnologyMapping!$A:$A,C804)</f>
        <v>1</v>
      </c>
      <c r="Q804">
        <f t="shared" si="76"/>
        <v>384.82642026009364</v>
      </c>
      <c r="R804">
        <f>SUMIFS(FactorInputs!$I:$I,FactorInputs!$A:$A,B804)</f>
        <v>7.2179391891899994E-2</v>
      </c>
      <c r="S804" t="str">
        <f>_xlfn.XLOOKUP(B804,FactorInputs!$A$2:$A$888,FactorInputs!$F$2:$F$888,"")</f>
        <v>job/MW</v>
      </c>
      <c r="T804" t="str">
        <f>_xlfn.XLOOKUP(B804,FactorInputs!$A$2:$A$888,FactorInputs!$B$2:$B$888,"")</f>
        <v>I-JEDI</v>
      </c>
      <c r="U804" t="str">
        <f>_xlfn.XLOOKUP(B804,FactorInputs!$A$2:$A$888,FactorInputs!$T$2:$T$888,"")</f>
        <v>I-JEDI</v>
      </c>
      <c r="V804">
        <f t="shared" si="77"/>
        <v>27.776536998310302</v>
      </c>
      <c r="W804" t="s">
        <v>67</v>
      </c>
    </row>
    <row r="805" spans="1:23" x14ac:dyDescent="0.3">
      <c r="A805" t="str">
        <f t="shared" si="72"/>
        <v>PA|AccumulatedNewCapacity|RE1|PWRWNDOFS_FIX|2047</v>
      </c>
      <c r="B805" t="str">
        <f t="shared" si="73"/>
        <v>Offshore wind (fixed)|2047|O&amp;M|Direct</v>
      </c>
      <c r="C805" t="str">
        <f t="shared" si="74"/>
        <v>PWRWNDOFS_FIX|Offshore wind (fixed)</v>
      </c>
      <c r="D805" t="s">
        <v>44</v>
      </c>
      <c r="E805" t="s">
        <v>45</v>
      </c>
      <c r="F805" t="s">
        <v>19</v>
      </c>
      <c r="G805" t="s">
        <v>42</v>
      </c>
      <c r="H805">
        <v>2047</v>
      </c>
      <c r="I805" t="s">
        <v>18</v>
      </c>
      <c r="J805" t="s">
        <v>63</v>
      </c>
      <c r="K805" t="s">
        <v>64</v>
      </c>
      <c r="L805" t="s">
        <v>65</v>
      </c>
      <c r="M805">
        <f>SUMIFS(RawResultsLong!$P:$P,RawResultsLong!$A:$A,A805)</f>
        <v>37.843200000000003</v>
      </c>
      <c r="N805">
        <f t="shared" si="75"/>
        <v>1199.1786447638606</v>
      </c>
      <c r="O805" t="s">
        <v>74</v>
      </c>
      <c r="P805">
        <f>SUMIFS(TechnologyMapping!$D:$D,TechnologyMapping!$A:$A,C805)</f>
        <v>1</v>
      </c>
      <c r="Q805">
        <f t="shared" si="76"/>
        <v>1199.1786447638606</v>
      </c>
      <c r="R805">
        <f>SUMIFS(FactorInputs!$I:$I,FactorInputs!$A:$A,B805)</f>
        <v>5.8566635944699998E-2</v>
      </c>
      <c r="S805" t="str">
        <f>_xlfn.XLOOKUP(B805,FactorInputs!$A$2:$A$888,FactorInputs!$F$2:$F$888,"")</f>
        <v>job/MW</v>
      </c>
      <c r="T805" t="str">
        <f>_xlfn.XLOOKUP(B805,FactorInputs!$A$2:$A$888,FactorInputs!$B$2:$B$888,"")</f>
        <v>French QBIS 2023</v>
      </c>
      <c r="U805" t="str">
        <f>_xlfn.XLOOKUP(B805,FactorInputs!$A$2:$A$888,FactorInputs!$T$2:$T$888,"")</f>
        <v>French QBIS 2023</v>
      </c>
      <c r="V805">
        <f t="shared" si="77"/>
        <v>70.231859120543746</v>
      </c>
    </row>
    <row r="806" spans="1:23" x14ac:dyDescent="0.3">
      <c r="A806" t="str">
        <f t="shared" si="72"/>
        <v>PA|AccumulatedNewCapacity|RE1|PWRWNDONS|2047</v>
      </c>
      <c r="B806" t="str">
        <f t="shared" si="73"/>
        <v>Onshore wind|2047|O&amp;M|Direct</v>
      </c>
      <c r="C806" t="str">
        <f t="shared" si="74"/>
        <v>PWRWNDONS|Onshore wind</v>
      </c>
      <c r="D806" t="s">
        <v>44</v>
      </c>
      <c r="E806" t="s">
        <v>45</v>
      </c>
      <c r="F806" t="s">
        <v>19</v>
      </c>
      <c r="G806" t="s">
        <v>36</v>
      </c>
      <c r="H806">
        <v>2047</v>
      </c>
      <c r="I806" t="s">
        <v>18</v>
      </c>
      <c r="J806" t="s">
        <v>63</v>
      </c>
      <c r="K806" t="s">
        <v>64</v>
      </c>
      <c r="L806" t="s">
        <v>65</v>
      </c>
      <c r="M806">
        <f>SUMIFS(RawResultsLong!$P:$P,RawResultsLong!$A:$A,A806)</f>
        <v>448.99275468939481</v>
      </c>
      <c r="N806">
        <f t="shared" si="75"/>
        <v>14227.7218384603</v>
      </c>
      <c r="O806" t="s">
        <v>68</v>
      </c>
      <c r="P806">
        <f>SUMIFS(TechnologyMapping!$D:$D,TechnologyMapping!$A:$A,C806)</f>
        <v>1</v>
      </c>
      <c r="Q806">
        <f t="shared" si="76"/>
        <v>14227.7218384603</v>
      </c>
      <c r="R806">
        <f>SUMIFS(FactorInputs!$I:$I,FactorInputs!$A:$A,B806)</f>
        <v>2.71642335766E-2</v>
      </c>
      <c r="S806" t="str">
        <f>_xlfn.XLOOKUP(B806,FactorInputs!$A$2:$A$888,FactorInputs!$F$2:$F$888,"")</f>
        <v>job/MW</v>
      </c>
      <c r="T806" t="str">
        <f>_xlfn.XLOOKUP(B806,FactorInputs!$A$2:$A$888,FactorInputs!$B$2:$B$888,"")</f>
        <v>I-JEDI</v>
      </c>
      <c r="U806" t="str">
        <f>_xlfn.XLOOKUP(B806,FactorInputs!$A$2:$A$888,FactorInputs!$T$2:$T$888,"")</f>
        <v>I-JEDI</v>
      </c>
      <c r="V806">
        <f t="shared" si="77"/>
        <v>386.48515928282836</v>
      </c>
    </row>
    <row r="807" spans="1:23" x14ac:dyDescent="0.3">
      <c r="A807" t="str">
        <f t="shared" si="72"/>
        <v>PA|NewCapacity|RE1|PWRGEO|2047</v>
      </c>
      <c r="B807" t="str">
        <f t="shared" si="73"/>
        <v>Geothermal|2047|Construction&amp;Manufacturing|Direct</v>
      </c>
      <c r="C807" t="str">
        <f t="shared" si="74"/>
        <v>PWRGEO|Geothermal</v>
      </c>
      <c r="D807" t="s">
        <v>44</v>
      </c>
      <c r="E807" t="s">
        <v>45</v>
      </c>
      <c r="F807" t="s">
        <v>19</v>
      </c>
      <c r="G807" t="s">
        <v>46</v>
      </c>
      <c r="H807">
        <v>2047</v>
      </c>
      <c r="I807" t="s">
        <v>37</v>
      </c>
      <c r="J807" t="s">
        <v>69</v>
      </c>
      <c r="K807" t="s">
        <v>70</v>
      </c>
      <c r="L807" t="s">
        <v>65</v>
      </c>
      <c r="M807">
        <f>SUMIFS(RawResultsLong!$P:$P,RawResultsLong!$A:$A,A807)</f>
        <v>3.1539999999999999</v>
      </c>
      <c r="N807">
        <f t="shared" si="75"/>
        <v>99.944228965447309</v>
      </c>
      <c r="O807" t="s">
        <v>82</v>
      </c>
      <c r="P807">
        <f>SUMIFS(TechnologyMapping!$D:$D,TechnologyMapping!$A:$A,C807)</f>
        <v>1</v>
      </c>
      <c r="Q807">
        <f t="shared" si="76"/>
        <v>99.944228965447309</v>
      </c>
      <c r="R807">
        <f>SUMIFS(FactorInputs!$I:$I,FactorInputs!$A:$A,B807)</f>
        <v>4.4779316736099997</v>
      </c>
      <c r="S807" t="str">
        <f>_xlfn.XLOOKUP(B807,FactorInputs!$A$2:$A$888,FactorInputs!$F$2:$F$888,"")</f>
        <v>job-yr/MW</v>
      </c>
      <c r="T807" t="str">
        <f>_xlfn.XLOOKUP(B807,FactorInputs!$A$2:$A$888,FactorInputs!$B$2:$B$888,"")</f>
        <v>I-JEDI</v>
      </c>
      <c r="U807" t="str">
        <f>_xlfn.XLOOKUP(B807,FactorInputs!$A$2:$A$888,FactorInputs!$T$2:$T$888,"")</f>
        <v>I-JEDI</v>
      </c>
      <c r="V807">
        <f t="shared" si="77"/>
        <v>447.54342847890649</v>
      </c>
    </row>
    <row r="808" spans="1:23" x14ac:dyDescent="0.3">
      <c r="A808" t="str">
        <f t="shared" si="72"/>
        <v>PA|NewCapacity|RE1|PWRSOLRTP|2047</v>
      </c>
      <c r="B808" t="str">
        <f t="shared" si="73"/>
        <v>Rooftop solar PV|2047|Construction&amp;Manufacturing|Direct</v>
      </c>
      <c r="C808" t="str">
        <f t="shared" si="74"/>
        <v>PWRSOLRTP|Rooftop solar PV</v>
      </c>
      <c r="D808" t="s">
        <v>44</v>
      </c>
      <c r="E808" t="s">
        <v>45</v>
      </c>
      <c r="F808" t="s">
        <v>19</v>
      </c>
      <c r="G808" t="s">
        <v>31</v>
      </c>
      <c r="H808">
        <v>2047</v>
      </c>
      <c r="I808" t="s">
        <v>37</v>
      </c>
      <c r="J808" t="s">
        <v>69</v>
      </c>
      <c r="K808" t="s">
        <v>70</v>
      </c>
      <c r="L808" t="s">
        <v>65</v>
      </c>
      <c r="M808">
        <f>SUMIFS(RawResultsLong!$P:$P,RawResultsLong!$A:$A,A808)</f>
        <v>1.902346227013316</v>
      </c>
      <c r="N808">
        <f t="shared" si="75"/>
        <v>60.281714294284605</v>
      </c>
      <c r="O808" t="s">
        <v>71</v>
      </c>
      <c r="P808">
        <f>SUMIFS(TechnologyMapping!$D:$D,TechnologyMapping!$A:$A,C808)</f>
        <v>1</v>
      </c>
      <c r="Q808">
        <f t="shared" si="76"/>
        <v>60.281714294284605</v>
      </c>
      <c r="R808">
        <f>SUMIFS(FactorInputs!$I:$I,FactorInputs!$A:$A,B808)</f>
        <v>4.6376099129100004</v>
      </c>
      <c r="S808" t="str">
        <f>_xlfn.XLOOKUP(B808,FactorInputs!$A$2:$A$888,FactorInputs!$F$2:$F$888,"")</f>
        <v>job-yr/MW</v>
      </c>
      <c r="T808" t="str">
        <f>_xlfn.XLOOKUP(B808,FactorInputs!$A$2:$A$888,FactorInputs!$B$2:$B$888,"")</f>
        <v>JEDI-US</v>
      </c>
      <c r="U808" t="str">
        <f>_xlfn.XLOOKUP(B808,FactorInputs!$A$2:$A$888,FactorInputs!$T$2:$T$888,"")</f>
        <v>JEDI-US</v>
      </c>
      <c r="V808">
        <f t="shared" si="77"/>
        <v>279.56307577838277</v>
      </c>
    </row>
    <row r="809" spans="1:23" x14ac:dyDescent="0.3">
      <c r="A809" t="str">
        <f t="shared" si="72"/>
        <v>PA|NewCapacity|RE1|PWRWNDOFS_FIX|2047</v>
      </c>
      <c r="B809" t="str">
        <f t="shared" si="73"/>
        <v>Offshore wind (fixed)|2047|Construction&amp;Manufacturing|Direct</v>
      </c>
      <c r="C809" t="str">
        <f t="shared" si="74"/>
        <v>PWRWNDOFS_FIX|Offshore wind (fixed)</v>
      </c>
      <c r="D809" t="s">
        <v>44</v>
      </c>
      <c r="E809" t="s">
        <v>45</v>
      </c>
      <c r="F809" t="s">
        <v>19</v>
      </c>
      <c r="G809" t="s">
        <v>42</v>
      </c>
      <c r="H809">
        <v>2047</v>
      </c>
      <c r="I809" t="s">
        <v>37</v>
      </c>
      <c r="J809" t="s">
        <v>69</v>
      </c>
      <c r="K809" t="s">
        <v>70</v>
      </c>
      <c r="L809" t="s">
        <v>65</v>
      </c>
      <c r="M809">
        <f>SUMIFS(RawResultsLong!$P:$P,RawResultsLong!$A:$A,A809)</f>
        <v>3.1536</v>
      </c>
      <c r="N809">
        <f t="shared" si="75"/>
        <v>99.931553730321696</v>
      </c>
      <c r="O809" t="s">
        <v>74</v>
      </c>
      <c r="P809">
        <f>SUMIFS(TechnologyMapping!$D:$D,TechnologyMapping!$A:$A,C809)</f>
        <v>1</v>
      </c>
      <c r="Q809">
        <f t="shared" si="76"/>
        <v>99.931553730321696</v>
      </c>
      <c r="R809">
        <f>SUMIFS(FactorInputs!$I:$I,FactorInputs!$A:$A,B809)</f>
        <v>3.5621799856599998</v>
      </c>
      <c r="S809" t="str">
        <f>_xlfn.XLOOKUP(B809,FactorInputs!$A$2:$A$888,FactorInputs!$F$2:$F$888,"")</f>
        <v>job-yr/MW</v>
      </c>
      <c r="T809" t="str">
        <f>_xlfn.XLOOKUP(B809,FactorInputs!$A$2:$A$888,FactorInputs!$B$2:$B$888,"")</f>
        <v>French QBIS 2023</v>
      </c>
      <c r="U809" t="str">
        <f>_xlfn.XLOOKUP(B809,FactorInputs!$A$2:$A$888,FactorInputs!$T$2:$T$888,"")</f>
        <v>French QBIS 2023</v>
      </c>
      <c r="V809">
        <f t="shared" si="77"/>
        <v>355.97418063405883</v>
      </c>
    </row>
    <row r="810" spans="1:23" x14ac:dyDescent="0.3">
      <c r="A810" t="str">
        <f t="shared" si="72"/>
        <v>PA|NewCapacity|RE1|PWRWNDONS|2047</v>
      </c>
      <c r="B810" t="str">
        <f t="shared" si="73"/>
        <v>Onshore wind|2047|Construction&amp;Manufacturing|Direct</v>
      </c>
      <c r="C810" t="str">
        <f t="shared" si="74"/>
        <v>PWRWNDONS|Onshore wind</v>
      </c>
      <c r="D810" t="s">
        <v>44</v>
      </c>
      <c r="E810" t="s">
        <v>45</v>
      </c>
      <c r="F810" t="s">
        <v>19</v>
      </c>
      <c r="G810" t="s">
        <v>36</v>
      </c>
      <c r="H810">
        <v>2047</v>
      </c>
      <c r="I810" t="s">
        <v>37</v>
      </c>
      <c r="J810" t="s">
        <v>69</v>
      </c>
      <c r="K810" t="s">
        <v>70</v>
      </c>
      <c r="L810" t="s">
        <v>65</v>
      </c>
      <c r="M810">
        <f>SUMIFS(RawResultsLong!$P:$P,RawResultsLong!$A:$A,A810)</f>
        <v>47.31</v>
      </c>
      <c r="N810">
        <f t="shared" si="75"/>
        <v>1499.1634344817096</v>
      </c>
      <c r="O810" t="s">
        <v>68</v>
      </c>
      <c r="P810">
        <f>SUMIFS(TechnologyMapping!$D:$D,TechnologyMapping!$A:$A,C810)</f>
        <v>1</v>
      </c>
      <c r="Q810">
        <f t="shared" si="76"/>
        <v>1499.1634344817096</v>
      </c>
      <c r="R810">
        <f>SUMIFS(FactorInputs!$I:$I,FactorInputs!$A:$A,B810)</f>
        <v>6.5674852611799999</v>
      </c>
      <c r="S810" t="str">
        <f>_xlfn.XLOOKUP(B810,FactorInputs!$A$2:$A$888,FactorInputs!$F$2:$F$888,"")</f>
        <v>job-yr/MW</v>
      </c>
      <c r="T810" t="str">
        <f>_xlfn.XLOOKUP(B810,FactorInputs!$A$2:$A$888,FactorInputs!$B$2:$B$888,"")</f>
        <v>I-JEDI</v>
      </c>
      <c r="U810" t="str">
        <f>_xlfn.XLOOKUP(B810,FactorInputs!$A$2:$A$888,FactorInputs!$T$2:$T$888,"")</f>
        <v>I-JEDI</v>
      </c>
      <c r="V810">
        <f t="shared" si="77"/>
        <v>9845.7337600586161</v>
      </c>
    </row>
    <row r="811" spans="1:23" x14ac:dyDescent="0.3">
      <c r="A811" t="str">
        <f t="shared" si="72"/>
        <v>PA|AccumulatedNewCapacity|RE1|PWRGEO|2048</v>
      </c>
      <c r="B811" t="str">
        <f t="shared" si="73"/>
        <v>Geothermal|2048|O&amp;M|Direct</v>
      </c>
      <c r="C811" t="str">
        <f t="shared" si="74"/>
        <v>PWRGEO|Geothermal</v>
      </c>
      <c r="D811" t="s">
        <v>44</v>
      </c>
      <c r="E811" t="s">
        <v>45</v>
      </c>
      <c r="F811" t="s">
        <v>19</v>
      </c>
      <c r="G811" t="s">
        <v>46</v>
      </c>
      <c r="H811">
        <v>2048</v>
      </c>
      <c r="I811" t="s">
        <v>18</v>
      </c>
      <c r="J811" t="s">
        <v>63</v>
      </c>
      <c r="K811" t="s">
        <v>64</v>
      </c>
      <c r="L811" t="s">
        <v>65</v>
      </c>
      <c r="M811">
        <f>SUMIFS(RawResultsLong!$P:$P,RawResultsLong!$A:$A,A811)</f>
        <v>28.385999999999999</v>
      </c>
      <c r="N811">
        <f t="shared" si="75"/>
        <v>899.49806068902581</v>
      </c>
      <c r="O811" t="s">
        <v>82</v>
      </c>
      <c r="P811">
        <f>SUMIFS(TechnologyMapping!$D:$D,TechnologyMapping!$A:$A,C811)</f>
        <v>1</v>
      </c>
      <c r="Q811">
        <f t="shared" si="76"/>
        <v>899.49806068902581</v>
      </c>
      <c r="R811">
        <f>SUMIFS(FactorInputs!$I:$I,FactorInputs!$A:$A,B811)</f>
        <v>7.0155902004499998E-3</v>
      </c>
      <c r="S811" t="str">
        <f>_xlfn.XLOOKUP(B811,FactorInputs!$A$2:$A$888,FactorInputs!$F$2:$F$888,"")</f>
        <v>job/MW</v>
      </c>
      <c r="T811" t="str">
        <f>_xlfn.XLOOKUP(B811,FactorInputs!$A$2:$A$888,FactorInputs!$B$2:$B$888,"")</f>
        <v>I-JEDI</v>
      </c>
      <c r="U811" t="str">
        <f>_xlfn.XLOOKUP(B811,FactorInputs!$A$2:$A$888,FactorInputs!$T$2:$T$888,"")</f>
        <v>I-JEDI</v>
      </c>
      <c r="V811">
        <f t="shared" si="77"/>
        <v>6.3105097798937084</v>
      </c>
    </row>
    <row r="812" spans="1:23" x14ac:dyDescent="0.3">
      <c r="A812" t="str">
        <f t="shared" si="72"/>
        <v>PA|AccumulatedNewCapacity|RE1|PWRHYDDAM|2048</v>
      </c>
      <c r="B812" t="str">
        <f t="shared" si="73"/>
        <v>Hydro (large)|2048|O&amp;M|Direct</v>
      </c>
      <c r="C812" t="str">
        <f t="shared" si="74"/>
        <v>PWRHYDDAM|Hydro (large)</v>
      </c>
      <c r="D812" t="s">
        <v>44</v>
      </c>
      <c r="E812" t="s">
        <v>45</v>
      </c>
      <c r="F812" t="s">
        <v>19</v>
      </c>
      <c r="G812" t="s">
        <v>24</v>
      </c>
      <c r="H812">
        <v>2048</v>
      </c>
      <c r="I812" t="s">
        <v>18</v>
      </c>
      <c r="J812" t="s">
        <v>63</v>
      </c>
      <c r="K812" t="s">
        <v>64</v>
      </c>
      <c r="L812" t="s">
        <v>65</v>
      </c>
      <c r="M812">
        <f>SUMIFS(RawResultsLong!$P:$P,RawResultsLong!$A:$A,A812)</f>
        <v>37.840000000000003</v>
      </c>
      <c r="N812">
        <f t="shared" si="75"/>
        <v>1199.0772428828554</v>
      </c>
      <c r="O812" t="s">
        <v>72</v>
      </c>
      <c r="P812">
        <f>SUMIFS(TechnologyMapping!$D:$D,TechnologyMapping!$A:$A,C812)</f>
        <v>1</v>
      </c>
      <c r="Q812">
        <f t="shared" si="76"/>
        <v>1199.0772428828554</v>
      </c>
      <c r="R812">
        <f>SUMIFS(FactorInputs!$I:$I,FactorInputs!$A:$A,B812)</f>
        <v>0.63884262295100003</v>
      </c>
      <c r="S812" t="str">
        <f>_xlfn.XLOOKUP(B812,FactorInputs!$A$2:$A$888,FactorInputs!$F$2:$F$888,"")</f>
        <v>job/MW</v>
      </c>
      <c r="T812" t="str">
        <f>_xlfn.XLOOKUP(B812,FactorInputs!$A$2:$A$888,FactorInputs!$B$2:$B$888,"")</f>
        <v>Rutovitz 2015</v>
      </c>
      <c r="U812" t="str">
        <f>_xlfn.XLOOKUP(B812,FactorInputs!$A$2:$A$888,FactorInputs!$T$2:$T$888,"")</f>
        <v>Rutovitz 2015</v>
      </c>
      <c r="V812">
        <f t="shared" si="77"/>
        <v>766.02165096413671</v>
      </c>
    </row>
    <row r="813" spans="1:23" x14ac:dyDescent="0.3">
      <c r="A813" t="str">
        <f t="shared" si="72"/>
        <v>PA|AccumulatedNewCapacity|RE1|PWRNUC|2048</v>
      </c>
      <c r="B813" t="str">
        <f t="shared" si="73"/>
        <v>Nuclear|2048|O&amp;M|Direct</v>
      </c>
      <c r="C813" t="str">
        <f t="shared" si="74"/>
        <v>PWRNUC|Nuclear</v>
      </c>
      <c r="D813" t="s">
        <v>44</v>
      </c>
      <c r="E813" t="s">
        <v>45</v>
      </c>
      <c r="F813" t="s">
        <v>19</v>
      </c>
      <c r="G813" t="s">
        <v>47</v>
      </c>
      <c r="H813">
        <v>2048</v>
      </c>
      <c r="I813" t="s">
        <v>18</v>
      </c>
      <c r="J813" t="s">
        <v>63</v>
      </c>
      <c r="K813" t="s">
        <v>64</v>
      </c>
      <c r="L813" t="s">
        <v>65</v>
      </c>
      <c r="M813">
        <f>SUMIFS(RawResultsLong!$P:$P,RawResultsLong!$A:$A,A813)</f>
        <v>9.5120000000000005</v>
      </c>
      <c r="N813">
        <f t="shared" si="75"/>
        <v>301.41709128704338</v>
      </c>
      <c r="O813" t="s">
        <v>81</v>
      </c>
      <c r="P813">
        <f>SUMIFS(TechnologyMapping!$D:$D,TechnologyMapping!$A:$A,C813)</f>
        <v>1</v>
      </c>
      <c r="Q813">
        <f t="shared" si="76"/>
        <v>301.41709128704338</v>
      </c>
      <c r="R813">
        <f>SUMIFS(FactorInputs!$I:$I,FactorInputs!$A:$A,B813)</f>
        <v>1.0896250000000001</v>
      </c>
      <c r="S813" t="str">
        <f>_xlfn.XLOOKUP(B813,FactorInputs!$A$2:$A$888,FactorInputs!$F$2:$F$888,"")</f>
        <v>job/MW</v>
      </c>
      <c r="T813" t="str">
        <f>_xlfn.XLOOKUP(B813,FactorInputs!$A$2:$A$888,FactorInputs!$B$2:$B$888,"")</f>
        <v>Rutovitz 2015</v>
      </c>
      <c r="U813" t="str">
        <f>_xlfn.XLOOKUP(B813,FactorInputs!$A$2:$A$888,FactorInputs!$T$2:$T$888,"")</f>
        <v>Rutovitz 2015</v>
      </c>
      <c r="V813">
        <f t="shared" si="77"/>
        <v>328.43159809364465</v>
      </c>
    </row>
    <row r="814" spans="1:23" x14ac:dyDescent="0.3">
      <c r="A814" t="str">
        <f t="shared" si="72"/>
        <v>PA|AccumulatedNewCapacity|RE1|PWRSOLRTP|2048</v>
      </c>
      <c r="B814" t="str">
        <f t="shared" si="73"/>
        <v>Rooftop solar PV|2048|O&amp;M|Direct</v>
      </c>
      <c r="C814" t="str">
        <f t="shared" si="74"/>
        <v>PWRSOLRTP|Rooftop solar PV</v>
      </c>
      <c r="D814" t="s">
        <v>44</v>
      </c>
      <c r="E814" t="s">
        <v>45</v>
      </c>
      <c r="F814" t="s">
        <v>19</v>
      </c>
      <c r="G814" t="s">
        <v>31</v>
      </c>
      <c r="H814">
        <v>2048</v>
      </c>
      <c r="I814" t="s">
        <v>18</v>
      </c>
      <c r="J814" t="s">
        <v>63</v>
      </c>
      <c r="K814" t="s">
        <v>64</v>
      </c>
      <c r="L814" t="s">
        <v>65</v>
      </c>
      <c r="M814">
        <f>SUMIFS(RawResultsLong!$P:$P,RawResultsLong!$A:$A,A814)</f>
        <v>152.89757133798349</v>
      </c>
      <c r="N814">
        <f t="shared" si="75"/>
        <v>4845.0316671097771</v>
      </c>
      <c r="O814" t="s">
        <v>71</v>
      </c>
      <c r="P814">
        <f>SUMIFS(TechnologyMapping!$D:$D,TechnologyMapping!$A:$A,C814)</f>
        <v>1</v>
      </c>
      <c r="Q814">
        <f t="shared" si="76"/>
        <v>4845.0316671097771</v>
      </c>
      <c r="R814">
        <f>SUMIFS(FactorInputs!$I:$I,FactorInputs!$A:$A,B814)</f>
        <v>0.221117647059</v>
      </c>
      <c r="S814" t="str">
        <f>_xlfn.XLOOKUP(B814,FactorInputs!$A$2:$A$888,FactorInputs!$F$2:$F$888,"")</f>
        <v>job/MW</v>
      </c>
      <c r="T814" t="str">
        <f>_xlfn.XLOOKUP(B814,FactorInputs!$A$2:$A$888,FactorInputs!$B$2:$B$888,"")</f>
        <v>JEDI-US</v>
      </c>
      <c r="U814" t="str">
        <f>_xlfn.XLOOKUP(B814,FactorInputs!$A$2:$A$888,FactorInputs!$T$2:$T$888,"")</f>
        <v>JEDI-US</v>
      </c>
      <c r="V814">
        <f t="shared" si="77"/>
        <v>1071.3220021576581</v>
      </c>
    </row>
    <row r="815" spans="1:23" x14ac:dyDescent="0.3">
      <c r="A815" t="str">
        <f t="shared" si="72"/>
        <v>PA|AccumulatedNewCapacity|RE1|PWRSOLUGE|2048</v>
      </c>
      <c r="B815" t="str">
        <f t="shared" si="73"/>
        <v>Utility-scale solar PV|2048|O&amp;M|Direct</v>
      </c>
      <c r="C815" t="str">
        <f t="shared" si="74"/>
        <v>PWRSOLUGE|Utility-scale solar PV</v>
      </c>
      <c r="D815" t="s">
        <v>44</v>
      </c>
      <c r="E815" t="s">
        <v>45</v>
      </c>
      <c r="F815" t="s">
        <v>19</v>
      </c>
      <c r="G815" t="s">
        <v>33</v>
      </c>
      <c r="H815">
        <v>2048</v>
      </c>
      <c r="I815" t="s">
        <v>18</v>
      </c>
      <c r="J815" t="s">
        <v>63</v>
      </c>
      <c r="K815" t="s">
        <v>64</v>
      </c>
      <c r="L815" t="s">
        <v>65</v>
      </c>
      <c r="M815">
        <f>SUMIFS(RawResultsLong!$P:$P,RawResultsLong!$A:$A,A815)</f>
        <v>143.394192</v>
      </c>
      <c r="N815">
        <f t="shared" si="75"/>
        <v>4543.8877481177278</v>
      </c>
      <c r="O815" t="s">
        <v>66</v>
      </c>
      <c r="P815">
        <f>SUMIFS(TechnologyMapping!$D:$D,TechnologyMapping!$A:$A,C815)</f>
        <v>1</v>
      </c>
      <c r="Q815">
        <f t="shared" si="76"/>
        <v>4543.8877481177278</v>
      </c>
      <c r="R815">
        <f>SUMIFS(FactorInputs!$I:$I,FactorInputs!$A:$A,B815)</f>
        <v>7.1592567567600005E-2</v>
      </c>
      <c r="S815" t="str">
        <f>_xlfn.XLOOKUP(B815,FactorInputs!$A$2:$A$888,FactorInputs!$F$2:$F$888,"")</f>
        <v>job/MW</v>
      </c>
      <c r="T815" t="str">
        <f>_xlfn.XLOOKUP(B815,FactorInputs!$A$2:$A$888,FactorInputs!$B$2:$B$888,"")</f>
        <v>I-JEDI</v>
      </c>
      <c r="U815" t="str">
        <f>_xlfn.XLOOKUP(B815,FactorInputs!$A$2:$A$888,FactorInputs!$T$2:$T$888,"")</f>
        <v>I-JEDI</v>
      </c>
      <c r="V815">
        <f t="shared" si="77"/>
        <v>325.30859062670828</v>
      </c>
    </row>
    <row r="816" spans="1:23" x14ac:dyDescent="0.3">
      <c r="A816" t="str">
        <f t="shared" si="72"/>
        <v>PA|AccumulatedNewCapacity|RE1|PWRSOLUPE|2048</v>
      </c>
      <c r="B816" t="str">
        <f t="shared" si="73"/>
        <v>Utility-scale solar PV|2048|O&amp;M|Direct</v>
      </c>
      <c r="C816" t="str">
        <f t="shared" si="74"/>
        <v>PWRSOLUPE|Utility-scale solar PV</v>
      </c>
      <c r="D816" t="s">
        <v>44</v>
      </c>
      <c r="E816" t="s">
        <v>45</v>
      </c>
      <c r="F816" t="s">
        <v>19</v>
      </c>
      <c r="G816" t="s">
        <v>34</v>
      </c>
      <c r="H816">
        <v>2048</v>
      </c>
      <c r="I816" t="s">
        <v>18</v>
      </c>
      <c r="J816" t="s">
        <v>63</v>
      </c>
      <c r="K816" t="s">
        <v>64</v>
      </c>
      <c r="L816" t="s">
        <v>65</v>
      </c>
      <c r="M816">
        <f>SUMIFS(RawResultsLong!$P:$P,RawResultsLong!$A:$A,A816)</f>
        <v>12.14419823999993</v>
      </c>
      <c r="N816">
        <f t="shared" si="75"/>
        <v>384.82642026009364</v>
      </c>
      <c r="O816" t="s">
        <v>66</v>
      </c>
      <c r="P816">
        <f>SUMIFS(TechnologyMapping!$D:$D,TechnologyMapping!$A:$A,C816)</f>
        <v>1</v>
      </c>
      <c r="Q816">
        <f t="shared" si="76"/>
        <v>384.82642026009364</v>
      </c>
      <c r="R816">
        <f>SUMIFS(FactorInputs!$I:$I,FactorInputs!$A:$A,B816)</f>
        <v>7.1592567567600005E-2</v>
      </c>
      <c r="S816" t="str">
        <f>_xlfn.XLOOKUP(B816,FactorInputs!$A$2:$A$888,FactorInputs!$F$2:$F$888,"")</f>
        <v>job/MW</v>
      </c>
      <c r="T816" t="str">
        <f>_xlfn.XLOOKUP(B816,FactorInputs!$A$2:$A$888,FactorInputs!$B$2:$B$888,"")</f>
        <v>I-JEDI</v>
      </c>
      <c r="U816" t="str">
        <f>_xlfn.XLOOKUP(B816,FactorInputs!$A$2:$A$888,FactorInputs!$T$2:$T$888,"")</f>
        <v>I-JEDI</v>
      </c>
      <c r="V816">
        <f t="shared" si="77"/>
        <v>27.550711494268388</v>
      </c>
      <c r="W816" t="s">
        <v>67</v>
      </c>
    </row>
    <row r="817" spans="1:23" x14ac:dyDescent="0.3">
      <c r="A817" t="str">
        <f t="shared" si="72"/>
        <v>PA|AccumulatedNewCapacity|RE1|PWRWNDOFS_FIX|2048</v>
      </c>
      <c r="B817" t="str">
        <f t="shared" si="73"/>
        <v>Offshore wind (fixed)|2048|O&amp;M|Direct</v>
      </c>
      <c r="C817" t="str">
        <f t="shared" si="74"/>
        <v>PWRWNDOFS_FIX|Offshore wind (fixed)</v>
      </c>
      <c r="D817" t="s">
        <v>44</v>
      </c>
      <c r="E817" t="s">
        <v>45</v>
      </c>
      <c r="F817" t="s">
        <v>19</v>
      </c>
      <c r="G817" t="s">
        <v>42</v>
      </c>
      <c r="H817">
        <v>2048</v>
      </c>
      <c r="I817" t="s">
        <v>18</v>
      </c>
      <c r="J817" t="s">
        <v>63</v>
      </c>
      <c r="K817" t="s">
        <v>64</v>
      </c>
      <c r="L817" t="s">
        <v>65</v>
      </c>
      <c r="M817">
        <f>SUMIFS(RawResultsLong!$P:$P,RawResultsLong!$A:$A,A817)</f>
        <v>40.9968</v>
      </c>
      <c r="N817">
        <f t="shared" si="75"/>
        <v>1299.1101984941822</v>
      </c>
      <c r="O817" t="s">
        <v>74</v>
      </c>
      <c r="P817">
        <f>SUMIFS(TechnologyMapping!$D:$D,TechnologyMapping!$A:$A,C817)</f>
        <v>1</v>
      </c>
      <c r="Q817">
        <f t="shared" si="76"/>
        <v>1299.1101984941822</v>
      </c>
      <c r="R817">
        <f>SUMIFS(FactorInputs!$I:$I,FactorInputs!$A:$A,B817)</f>
        <v>5.73743778802E-2</v>
      </c>
      <c r="S817" t="str">
        <f>_xlfn.XLOOKUP(B817,FactorInputs!$A$2:$A$888,FactorInputs!$F$2:$F$888,"")</f>
        <v>job/MW</v>
      </c>
      <c r="T817" t="str">
        <f>_xlfn.XLOOKUP(B817,FactorInputs!$A$2:$A$888,FactorInputs!$B$2:$B$888,"")</f>
        <v>French QBIS 2023</v>
      </c>
      <c r="U817" t="str">
        <f>_xlfn.XLOOKUP(B817,FactorInputs!$A$2:$A$888,FactorInputs!$T$2:$T$888,"")</f>
        <v>French QBIS 2023</v>
      </c>
      <c r="V817">
        <f t="shared" si="77"/>
        <v>74.535639436426834</v>
      </c>
    </row>
    <row r="818" spans="1:23" x14ac:dyDescent="0.3">
      <c r="A818" t="str">
        <f t="shared" si="72"/>
        <v>PA|AccumulatedNewCapacity|RE1|PWRWNDONS|2048</v>
      </c>
      <c r="B818" t="str">
        <f t="shared" si="73"/>
        <v>Onshore wind|2048|O&amp;M|Direct</v>
      </c>
      <c r="C818" t="str">
        <f t="shared" si="74"/>
        <v>PWRWNDONS|Onshore wind</v>
      </c>
      <c r="D818" t="s">
        <v>44</v>
      </c>
      <c r="E818" t="s">
        <v>45</v>
      </c>
      <c r="F818" t="s">
        <v>19</v>
      </c>
      <c r="G818" t="s">
        <v>36</v>
      </c>
      <c r="H818">
        <v>2048</v>
      </c>
      <c r="I818" t="s">
        <v>18</v>
      </c>
      <c r="J818" t="s">
        <v>63</v>
      </c>
      <c r="K818" t="s">
        <v>64</v>
      </c>
      <c r="L818" t="s">
        <v>65</v>
      </c>
      <c r="M818">
        <f>SUMIFS(RawResultsLong!$P:$P,RawResultsLong!$A:$A,A818)</f>
        <v>490.48662025717852</v>
      </c>
      <c r="N818">
        <f t="shared" si="75"/>
        <v>15542.583094315743</v>
      </c>
      <c r="O818" t="s">
        <v>68</v>
      </c>
      <c r="P818">
        <f>SUMIFS(TechnologyMapping!$D:$D,TechnologyMapping!$A:$A,C818)</f>
        <v>1</v>
      </c>
      <c r="Q818">
        <f t="shared" si="76"/>
        <v>15542.583094315743</v>
      </c>
      <c r="R818">
        <f>SUMIFS(FactorInputs!$I:$I,FactorInputs!$A:$A,B818)</f>
        <v>2.7087591240899999E-2</v>
      </c>
      <c r="S818" t="str">
        <f>_xlfn.XLOOKUP(B818,FactorInputs!$A$2:$A$888,FactorInputs!$F$2:$F$888,"")</f>
        <v>job/MW</v>
      </c>
      <c r="T818" t="str">
        <f>_xlfn.XLOOKUP(B818,FactorInputs!$A$2:$A$888,FactorInputs!$B$2:$B$888,"")</f>
        <v>I-JEDI</v>
      </c>
      <c r="U818" t="str">
        <f>_xlfn.XLOOKUP(B818,FactorInputs!$A$2:$A$888,FactorInputs!$T$2:$T$888,"")</f>
        <v>I-JEDI</v>
      </c>
      <c r="V818">
        <f t="shared" si="77"/>
        <v>421.01113768654756</v>
      </c>
    </row>
    <row r="819" spans="1:23" x14ac:dyDescent="0.3">
      <c r="A819" t="str">
        <f t="shared" si="72"/>
        <v>PA|NewCapacity|RE1|PWRGEO|2048</v>
      </c>
      <c r="B819" t="str">
        <f t="shared" si="73"/>
        <v>Geothermal|2048|Construction&amp;Manufacturing|Direct</v>
      </c>
      <c r="C819" t="str">
        <f t="shared" si="74"/>
        <v>PWRGEO|Geothermal</v>
      </c>
      <c r="D819" t="s">
        <v>44</v>
      </c>
      <c r="E819" t="s">
        <v>45</v>
      </c>
      <c r="F819" t="s">
        <v>19</v>
      </c>
      <c r="G819" t="s">
        <v>46</v>
      </c>
      <c r="H819">
        <v>2048</v>
      </c>
      <c r="I819" t="s">
        <v>37</v>
      </c>
      <c r="J819" t="s">
        <v>69</v>
      </c>
      <c r="K819" t="s">
        <v>70</v>
      </c>
      <c r="L819" t="s">
        <v>65</v>
      </c>
      <c r="M819">
        <f>SUMIFS(RawResultsLong!$P:$P,RawResultsLong!$A:$A,A819)</f>
        <v>3.1539999999999999</v>
      </c>
      <c r="N819">
        <f t="shared" si="75"/>
        <v>99.944228965447309</v>
      </c>
      <c r="O819" t="s">
        <v>82</v>
      </c>
      <c r="P819">
        <f>SUMIFS(TechnologyMapping!$D:$D,TechnologyMapping!$A:$A,C819)</f>
        <v>1</v>
      </c>
      <c r="Q819">
        <f t="shared" si="76"/>
        <v>99.944228965447309</v>
      </c>
      <c r="R819">
        <f>SUMIFS(FactorInputs!$I:$I,FactorInputs!$A:$A,B819)</f>
        <v>4.45946494892</v>
      </c>
      <c r="S819" t="str">
        <f>_xlfn.XLOOKUP(B819,FactorInputs!$A$2:$A$888,FactorInputs!$F$2:$F$888,"")</f>
        <v>job-yr/MW</v>
      </c>
      <c r="T819" t="str">
        <f>_xlfn.XLOOKUP(B819,FactorInputs!$A$2:$A$888,FactorInputs!$B$2:$B$888,"")</f>
        <v>I-JEDI</v>
      </c>
      <c r="U819" t="str">
        <f>_xlfn.XLOOKUP(B819,FactorInputs!$A$2:$A$888,FactorInputs!$T$2:$T$888,"")</f>
        <v>I-JEDI</v>
      </c>
      <c r="V819">
        <f t="shared" si="77"/>
        <v>445.69778591824729</v>
      </c>
    </row>
    <row r="820" spans="1:23" x14ac:dyDescent="0.3">
      <c r="A820" t="str">
        <f t="shared" si="72"/>
        <v>PA|NewCapacity|RE1|PWRSOLRTP|2048</v>
      </c>
      <c r="B820" t="str">
        <f t="shared" si="73"/>
        <v>Rooftop solar PV|2048|Construction&amp;Manufacturing|Direct</v>
      </c>
      <c r="C820" t="str">
        <f t="shared" si="74"/>
        <v>PWRSOLRTP|Rooftop solar PV</v>
      </c>
      <c r="D820" t="s">
        <v>44</v>
      </c>
      <c r="E820" t="s">
        <v>45</v>
      </c>
      <c r="F820" t="s">
        <v>19</v>
      </c>
      <c r="G820" t="s">
        <v>31</v>
      </c>
      <c r="H820">
        <v>2048</v>
      </c>
      <c r="I820" t="s">
        <v>37</v>
      </c>
      <c r="J820" t="s">
        <v>69</v>
      </c>
      <c r="K820" t="s">
        <v>70</v>
      </c>
      <c r="L820" t="s">
        <v>65</v>
      </c>
      <c r="M820">
        <f>SUMIFS(RawResultsLong!$P:$P,RawResultsLong!$A:$A,A820)</f>
        <v>1.902346227013316</v>
      </c>
      <c r="N820">
        <f t="shared" si="75"/>
        <v>60.281714294284605</v>
      </c>
      <c r="O820" t="s">
        <v>71</v>
      </c>
      <c r="P820">
        <f>SUMIFS(TechnologyMapping!$D:$D,TechnologyMapping!$A:$A,C820)</f>
        <v>1</v>
      </c>
      <c r="Q820">
        <f t="shared" si="76"/>
        <v>60.281714294284605</v>
      </c>
      <c r="R820">
        <f>SUMIFS(FactorInputs!$I:$I,FactorInputs!$A:$A,B820)</f>
        <v>4.53192696212</v>
      </c>
      <c r="S820" t="str">
        <f>_xlfn.XLOOKUP(B820,FactorInputs!$A$2:$A$888,FactorInputs!$F$2:$F$888,"")</f>
        <v>job-yr/MW</v>
      </c>
      <c r="T820" t="str">
        <f>_xlfn.XLOOKUP(B820,FactorInputs!$A$2:$A$888,FactorInputs!$B$2:$B$888,"")</f>
        <v>JEDI-US</v>
      </c>
      <c r="U820" t="str">
        <f>_xlfn.XLOOKUP(B820,FactorInputs!$A$2:$A$888,FactorInputs!$T$2:$T$888,"")</f>
        <v>JEDI-US</v>
      </c>
      <c r="V820">
        <f t="shared" si="77"/>
        <v>273.19232633308303</v>
      </c>
    </row>
    <row r="821" spans="1:23" x14ac:dyDescent="0.3">
      <c r="A821" t="str">
        <f t="shared" si="72"/>
        <v>PA|NewCapacity|RE1|PWRWNDOFS_FIX|2048</v>
      </c>
      <c r="B821" t="str">
        <f t="shared" si="73"/>
        <v>Offshore wind (fixed)|2048|Construction&amp;Manufacturing|Direct</v>
      </c>
      <c r="C821" t="str">
        <f t="shared" si="74"/>
        <v>PWRWNDOFS_FIX|Offshore wind (fixed)</v>
      </c>
      <c r="D821" t="s">
        <v>44</v>
      </c>
      <c r="E821" t="s">
        <v>45</v>
      </c>
      <c r="F821" t="s">
        <v>19</v>
      </c>
      <c r="G821" t="s">
        <v>42</v>
      </c>
      <c r="H821">
        <v>2048</v>
      </c>
      <c r="I821" t="s">
        <v>37</v>
      </c>
      <c r="J821" t="s">
        <v>69</v>
      </c>
      <c r="K821" t="s">
        <v>70</v>
      </c>
      <c r="L821" t="s">
        <v>65</v>
      </c>
      <c r="M821">
        <f>SUMIFS(RawResultsLong!$P:$P,RawResultsLong!$A:$A,A821)</f>
        <v>3.1536</v>
      </c>
      <c r="N821">
        <f t="shared" si="75"/>
        <v>99.931553730321696</v>
      </c>
      <c r="O821" t="s">
        <v>74</v>
      </c>
      <c r="P821">
        <f>SUMIFS(TechnologyMapping!$D:$D,TechnologyMapping!$A:$A,C821)</f>
        <v>1</v>
      </c>
      <c r="Q821">
        <f t="shared" si="76"/>
        <v>99.931553730321696</v>
      </c>
      <c r="R821">
        <f>SUMIFS(FactorInputs!$I:$I,FactorInputs!$A:$A,B821)</f>
        <v>3.4906330241700001</v>
      </c>
      <c r="S821" t="str">
        <f>_xlfn.XLOOKUP(B821,FactorInputs!$A$2:$A$888,FactorInputs!$F$2:$F$888,"")</f>
        <v>job-yr/MW</v>
      </c>
      <c r="T821" t="str">
        <f>_xlfn.XLOOKUP(B821,FactorInputs!$A$2:$A$888,FactorInputs!$B$2:$B$888,"")</f>
        <v>French QBIS 2023</v>
      </c>
      <c r="U821" t="str">
        <f>_xlfn.XLOOKUP(B821,FactorInputs!$A$2:$A$888,FactorInputs!$T$2:$T$888,"")</f>
        <v>French QBIS 2023</v>
      </c>
      <c r="V821">
        <f t="shared" si="77"/>
        <v>348.8243816076797</v>
      </c>
    </row>
    <row r="822" spans="1:23" x14ac:dyDescent="0.3">
      <c r="A822" t="str">
        <f t="shared" si="72"/>
        <v>PA|NewCapacity|RE1|PWRWNDONS|2048</v>
      </c>
      <c r="B822" t="str">
        <f t="shared" si="73"/>
        <v>Onshore wind|2048|Construction&amp;Manufacturing|Direct</v>
      </c>
      <c r="C822" t="str">
        <f t="shared" si="74"/>
        <v>PWRWNDONS|Onshore wind</v>
      </c>
      <c r="D822" t="s">
        <v>44</v>
      </c>
      <c r="E822" t="s">
        <v>45</v>
      </c>
      <c r="F822" t="s">
        <v>19</v>
      </c>
      <c r="G822" t="s">
        <v>36</v>
      </c>
      <c r="H822">
        <v>2048</v>
      </c>
      <c r="I822" t="s">
        <v>37</v>
      </c>
      <c r="J822" t="s">
        <v>69</v>
      </c>
      <c r="K822" t="s">
        <v>70</v>
      </c>
      <c r="L822" t="s">
        <v>65</v>
      </c>
      <c r="M822">
        <f>SUMIFS(RawResultsLong!$P:$P,RawResultsLong!$A:$A,A822)</f>
        <v>41.493865567783779</v>
      </c>
      <c r="N822">
        <f t="shared" si="75"/>
        <v>1314.8612558554446</v>
      </c>
      <c r="O822" t="s">
        <v>68</v>
      </c>
      <c r="P822">
        <f>SUMIFS(TechnologyMapping!$D:$D,TechnologyMapping!$A:$A,C822)</f>
        <v>1</v>
      </c>
      <c r="Q822">
        <f t="shared" si="76"/>
        <v>1314.8612558554446</v>
      </c>
      <c r="R822">
        <f>SUMIFS(FactorInputs!$I:$I,FactorInputs!$A:$A,B822)</f>
        <v>6.5492435129800004</v>
      </c>
      <c r="S822" t="str">
        <f>_xlfn.XLOOKUP(B822,FactorInputs!$A$2:$A$888,FactorInputs!$F$2:$F$888,"")</f>
        <v>job-yr/MW</v>
      </c>
      <c r="T822" t="str">
        <f>_xlfn.XLOOKUP(B822,FactorInputs!$A$2:$A$888,FactorInputs!$B$2:$B$888,"")</f>
        <v>I-JEDI</v>
      </c>
      <c r="U822" t="str">
        <f>_xlfn.XLOOKUP(B822,FactorInputs!$A$2:$A$888,FactorInputs!$T$2:$T$888,"")</f>
        <v>I-JEDI</v>
      </c>
      <c r="V822">
        <f t="shared" si="77"/>
        <v>8611.3465503800071</v>
      </c>
    </row>
    <row r="823" spans="1:23" x14ac:dyDescent="0.3">
      <c r="A823" t="str">
        <f t="shared" si="72"/>
        <v>PA|AccumulatedNewCapacity|RE1|PWRGEO|2049</v>
      </c>
      <c r="B823" t="str">
        <f t="shared" si="73"/>
        <v>Geothermal|2049|O&amp;M|Direct</v>
      </c>
      <c r="C823" t="str">
        <f t="shared" si="74"/>
        <v>PWRGEO|Geothermal</v>
      </c>
      <c r="D823" t="s">
        <v>44</v>
      </c>
      <c r="E823" t="s">
        <v>45</v>
      </c>
      <c r="F823" t="s">
        <v>19</v>
      </c>
      <c r="G823" t="s">
        <v>46</v>
      </c>
      <c r="H823">
        <v>2049</v>
      </c>
      <c r="I823" t="s">
        <v>18</v>
      </c>
      <c r="J823" t="s">
        <v>63</v>
      </c>
      <c r="K823" t="s">
        <v>64</v>
      </c>
      <c r="L823" t="s">
        <v>65</v>
      </c>
      <c r="M823">
        <f>SUMIFS(RawResultsLong!$P:$P,RawResultsLong!$A:$A,A823)</f>
        <v>31.54</v>
      </c>
      <c r="N823">
        <f t="shared" si="75"/>
        <v>999.44228965447303</v>
      </c>
      <c r="O823" t="s">
        <v>82</v>
      </c>
      <c r="P823">
        <f>SUMIFS(TechnologyMapping!$D:$D,TechnologyMapping!$A:$A,C823)</f>
        <v>1</v>
      </c>
      <c r="Q823">
        <f t="shared" si="76"/>
        <v>999.44228965447303</v>
      </c>
      <c r="R823">
        <f>SUMIFS(FactorInputs!$I:$I,FactorInputs!$A:$A,B823)</f>
        <v>6.98663697105E-3</v>
      </c>
      <c r="S823" t="str">
        <f>_xlfn.XLOOKUP(B823,FactorInputs!$A$2:$A$888,FactorInputs!$F$2:$F$888,"")</f>
        <v>job/MW</v>
      </c>
      <c r="T823" t="str">
        <f>_xlfn.XLOOKUP(B823,FactorInputs!$A$2:$A$888,FactorInputs!$B$2:$B$888,"")</f>
        <v>I-JEDI</v>
      </c>
      <c r="U823" t="str">
        <f>_xlfn.XLOOKUP(B823,FactorInputs!$A$2:$A$888,FactorInputs!$T$2:$T$888,"")</f>
        <v>I-JEDI</v>
      </c>
      <c r="V823">
        <f t="shared" si="77"/>
        <v>6.9827404513308045</v>
      </c>
    </row>
    <row r="824" spans="1:23" x14ac:dyDescent="0.3">
      <c r="A824" t="str">
        <f t="shared" si="72"/>
        <v>PA|AccumulatedNewCapacity|RE1|PWRHYDDAM|2049</v>
      </c>
      <c r="B824" t="str">
        <f t="shared" si="73"/>
        <v>Hydro (large)|2049|O&amp;M|Direct</v>
      </c>
      <c r="C824" t="str">
        <f t="shared" si="74"/>
        <v>PWRHYDDAM|Hydro (large)</v>
      </c>
      <c r="D824" t="s">
        <v>44</v>
      </c>
      <c r="E824" t="s">
        <v>45</v>
      </c>
      <c r="F824" t="s">
        <v>19</v>
      </c>
      <c r="G824" t="s">
        <v>24</v>
      </c>
      <c r="H824">
        <v>2049</v>
      </c>
      <c r="I824" t="s">
        <v>18</v>
      </c>
      <c r="J824" t="s">
        <v>63</v>
      </c>
      <c r="K824" t="s">
        <v>64</v>
      </c>
      <c r="L824" t="s">
        <v>65</v>
      </c>
      <c r="M824">
        <f>SUMIFS(RawResultsLong!$P:$P,RawResultsLong!$A:$A,A824)</f>
        <v>37.840000000000003</v>
      </c>
      <c r="N824">
        <f t="shared" si="75"/>
        <v>1199.0772428828554</v>
      </c>
      <c r="O824" t="s">
        <v>72</v>
      </c>
      <c r="P824">
        <f>SUMIFS(TechnologyMapping!$D:$D,TechnologyMapping!$A:$A,C824)</f>
        <v>1</v>
      </c>
      <c r="Q824">
        <f t="shared" si="76"/>
        <v>1199.0772428828554</v>
      </c>
      <c r="R824">
        <f>SUMIFS(FactorInputs!$I:$I,FactorInputs!$A:$A,B824)</f>
        <v>0.63866721311499997</v>
      </c>
      <c r="S824" t="str">
        <f>_xlfn.XLOOKUP(B824,FactorInputs!$A$2:$A$888,FactorInputs!$F$2:$F$888,"")</f>
        <v>job/MW</v>
      </c>
      <c r="T824" t="str">
        <f>_xlfn.XLOOKUP(B824,FactorInputs!$A$2:$A$888,FactorInputs!$B$2:$B$888,"")</f>
        <v>Rutovitz 2015</v>
      </c>
      <c r="U824" t="str">
        <f>_xlfn.XLOOKUP(B824,FactorInputs!$A$2:$A$888,FactorInputs!$T$2:$T$888,"")</f>
        <v>Rutovitz 2015</v>
      </c>
      <c r="V824">
        <f t="shared" si="77"/>
        <v>765.81132102161121</v>
      </c>
    </row>
    <row r="825" spans="1:23" x14ac:dyDescent="0.3">
      <c r="A825" t="str">
        <f t="shared" si="72"/>
        <v>PA|AccumulatedNewCapacity|RE1|PWRNUC|2049</v>
      </c>
      <c r="B825" t="str">
        <f t="shared" si="73"/>
        <v>Nuclear|2049|O&amp;M|Direct</v>
      </c>
      <c r="C825" t="str">
        <f t="shared" si="74"/>
        <v>PWRNUC|Nuclear</v>
      </c>
      <c r="D825" t="s">
        <v>44</v>
      </c>
      <c r="E825" t="s">
        <v>45</v>
      </c>
      <c r="F825" t="s">
        <v>19</v>
      </c>
      <c r="G825" t="s">
        <v>47</v>
      </c>
      <c r="H825">
        <v>2049</v>
      </c>
      <c r="I825" t="s">
        <v>18</v>
      </c>
      <c r="J825" t="s">
        <v>63</v>
      </c>
      <c r="K825" t="s">
        <v>64</v>
      </c>
      <c r="L825" t="s">
        <v>65</v>
      </c>
      <c r="M825">
        <f>SUMIFS(RawResultsLong!$P:$P,RawResultsLong!$A:$A,A825)</f>
        <v>9.5120000000000005</v>
      </c>
      <c r="N825">
        <f t="shared" si="75"/>
        <v>301.41709128704338</v>
      </c>
      <c r="O825" t="s">
        <v>81</v>
      </c>
      <c r="P825">
        <f>SUMIFS(TechnologyMapping!$D:$D,TechnologyMapping!$A:$A,C825)</f>
        <v>1</v>
      </c>
      <c r="Q825">
        <f t="shared" si="76"/>
        <v>301.41709128704338</v>
      </c>
      <c r="R825">
        <f>SUMIFS(FactorInputs!$I:$I,FactorInputs!$A:$A,B825)</f>
        <v>1.08627083333</v>
      </c>
      <c r="S825" t="str">
        <f>_xlfn.XLOOKUP(B825,FactorInputs!$A$2:$A$888,FactorInputs!$F$2:$F$888,"")</f>
        <v>job/MW</v>
      </c>
      <c r="T825" t="str">
        <f>_xlfn.XLOOKUP(B825,FactorInputs!$A$2:$A$888,FactorInputs!$B$2:$B$888,"")</f>
        <v>Rutovitz 2015</v>
      </c>
      <c r="U825" t="str">
        <f>_xlfn.XLOOKUP(B825,FactorInputs!$A$2:$A$888,FactorInputs!$T$2:$T$888,"")</f>
        <v>Rutovitz 2015</v>
      </c>
      <c r="V825">
        <f t="shared" si="77"/>
        <v>327.42059493228129</v>
      </c>
    </row>
    <row r="826" spans="1:23" x14ac:dyDescent="0.3">
      <c r="A826" t="str">
        <f t="shared" si="72"/>
        <v>PA|AccumulatedNewCapacity|RE1|PWRSOLRTP|2049</v>
      </c>
      <c r="B826" t="str">
        <f t="shared" si="73"/>
        <v>Rooftop solar PV|2049|O&amp;M|Direct</v>
      </c>
      <c r="C826" t="str">
        <f t="shared" si="74"/>
        <v>PWRSOLRTP|Rooftop solar PV</v>
      </c>
      <c r="D826" t="s">
        <v>44</v>
      </c>
      <c r="E826" t="s">
        <v>45</v>
      </c>
      <c r="F826" t="s">
        <v>19</v>
      </c>
      <c r="G826" t="s">
        <v>31</v>
      </c>
      <c r="H826">
        <v>2049</v>
      </c>
      <c r="I826" t="s">
        <v>18</v>
      </c>
      <c r="J826" t="s">
        <v>63</v>
      </c>
      <c r="K826" t="s">
        <v>64</v>
      </c>
      <c r="L826" t="s">
        <v>65</v>
      </c>
      <c r="M826">
        <f>SUMIFS(RawResultsLong!$P:$P,RawResultsLong!$A:$A,A826)</f>
        <v>154.7999175649968</v>
      </c>
      <c r="N826">
        <f t="shared" si="75"/>
        <v>4905.3133814040611</v>
      </c>
      <c r="O826" t="s">
        <v>71</v>
      </c>
      <c r="P826">
        <f>SUMIFS(TechnologyMapping!$D:$D,TechnologyMapping!$A:$A,C826)</f>
        <v>1</v>
      </c>
      <c r="Q826">
        <f t="shared" si="76"/>
        <v>4905.3133814040611</v>
      </c>
      <c r="R826">
        <f>SUMIFS(FactorInputs!$I:$I,FactorInputs!$A:$A,B826)</f>
        <v>0.21908823529400001</v>
      </c>
      <c r="S826" t="str">
        <f>_xlfn.XLOOKUP(B826,FactorInputs!$A$2:$A$888,FactorInputs!$F$2:$F$888,"")</f>
        <v>job/MW</v>
      </c>
      <c r="T826" t="str">
        <f>_xlfn.XLOOKUP(B826,FactorInputs!$A$2:$A$888,FactorInputs!$B$2:$B$888,"")</f>
        <v>JEDI-US</v>
      </c>
      <c r="U826" t="str">
        <f>_xlfn.XLOOKUP(B826,FactorInputs!$A$2:$A$888,FactorInputs!$T$2:$T$888,"")</f>
        <v>JEDI-US</v>
      </c>
      <c r="V826">
        <f t="shared" si="77"/>
        <v>1074.6964522958597</v>
      </c>
    </row>
    <row r="827" spans="1:23" x14ac:dyDescent="0.3">
      <c r="A827" t="str">
        <f t="shared" si="72"/>
        <v>PA|AccumulatedNewCapacity|RE1|PWRSOLUGE|2049</v>
      </c>
      <c r="B827" t="str">
        <f t="shared" si="73"/>
        <v>Utility-scale solar PV|2049|O&amp;M|Direct</v>
      </c>
      <c r="C827" t="str">
        <f t="shared" si="74"/>
        <v>PWRSOLUGE|Utility-scale solar PV</v>
      </c>
      <c r="D827" t="s">
        <v>44</v>
      </c>
      <c r="E827" t="s">
        <v>45</v>
      </c>
      <c r="F827" t="s">
        <v>19</v>
      </c>
      <c r="G827" t="s">
        <v>33</v>
      </c>
      <c r="H827">
        <v>2049</v>
      </c>
      <c r="I827" t="s">
        <v>18</v>
      </c>
      <c r="J827" t="s">
        <v>63</v>
      </c>
      <c r="K827" t="s">
        <v>64</v>
      </c>
      <c r="L827" t="s">
        <v>65</v>
      </c>
      <c r="M827">
        <f>SUMIFS(RawResultsLong!$P:$P,RawResultsLong!$A:$A,A827)</f>
        <v>143.394192</v>
      </c>
      <c r="N827">
        <f t="shared" si="75"/>
        <v>4543.8877481177278</v>
      </c>
      <c r="O827" t="s">
        <v>66</v>
      </c>
      <c r="P827">
        <f>SUMIFS(TechnologyMapping!$D:$D,TechnologyMapping!$A:$A,C827)</f>
        <v>1</v>
      </c>
      <c r="Q827">
        <f t="shared" si="76"/>
        <v>4543.8877481177278</v>
      </c>
      <c r="R827">
        <f>SUMIFS(FactorInputs!$I:$I,FactorInputs!$A:$A,B827)</f>
        <v>7.1005743243199998E-2</v>
      </c>
      <c r="S827" t="str">
        <f>_xlfn.XLOOKUP(B827,FactorInputs!$A$2:$A$888,FactorInputs!$F$2:$F$888,"")</f>
        <v>job/MW</v>
      </c>
      <c r="T827" t="str">
        <f>_xlfn.XLOOKUP(B827,FactorInputs!$A$2:$A$888,FactorInputs!$B$2:$B$888,"")</f>
        <v>I-JEDI</v>
      </c>
      <c r="U827" t="str">
        <f>_xlfn.XLOOKUP(B827,FactorInputs!$A$2:$A$888,FactorInputs!$T$2:$T$888,"")</f>
        <v>I-JEDI</v>
      </c>
      <c r="V827">
        <f t="shared" si="77"/>
        <v>322.64212676876963</v>
      </c>
    </row>
    <row r="828" spans="1:23" x14ac:dyDescent="0.3">
      <c r="A828" t="str">
        <f t="shared" si="72"/>
        <v>PA|AccumulatedNewCapacity|RE1|PWRSOLUPE|2049</v>
      </c>
      <c r="B828" t="str">
        <f t="shared" si="73"/>
        <v>Utility-scale solar PV|2049|O&amp;M|Direct</v>
      </c>
      <c r="C828" t="str">
        <f t="shared" si="74"/>
        <v>PWRSOLUPE|Utility-scale solar PV</v>
      </c>
      <c r="D828" t="s">
        <v>44</v>
      </c>
      <c r="E828" t="s">
        <v>45</v>
      </c>
      <c r="F828" t="s">
        <v>19</v>
      </c>
      <c r="G828" t="s">
        <v>34</v>
      </c>
      <c r="H828">
        <v>2049</v>
      </c>
      <c r="I828" t="s">
        <v>18</v>
      </c>
      <c r="J828" t="s">
        <v>63</v>
      </c>
      <c r="K828" t="s">
        <v>64</v>
      </c>
      <c r="L828" t="s">
        <v>65</v>
      </c>
      <c r="M828">
        <f>SUMIFS(RawResultsLong!$P:$P,RawResultsLong!$A:$A,A828)</f>
        <v>12.14419823999993</v>
      </c>
      <c r="N828">
        <f t="shared" si="75"/>
        <v>384.82642026009364</v>
      </c>
      <c r="O828" t="s">
        <v>66</v>
      </c>
      <c r="P828">
        <f>SUMIFS(TechnologyMapping!$D:$D,TechnologyMapping!$A:$A,C828)</f>
        <v>1</v>
      </c>
      <c r="Q828">
        <f t="shared" si="76"/>
        <v>384.82642026009364</v>
      </c>
      <c r="R828">
        <f>SUMIFS(FactorInputs!$I:$I,FactorInputs!$A:$A,B828)</f>
        <v>7.1005743243199998E-2</v>
      </c>
      <c r="S828" t="str">
        <f>_xlfn.XLOOKUP(B828,FactorInputs!$A$2:$A$888,FactorInputs!$F$2:$F$888,"")</f>
        <v>job/MW</v>
      </c>
      <c r="T828" t="str">
        <f>_xlfn.XLOOKUP(B828,FactorInputs!$A$2:$A$888,FactorInputs!$B$2:$B$888,"")</f>
        <v>I-JEDI</v>
      </c>
      <c r="U828" t="str">
        <f>_xlfn.XLOOKUP(B828,FactorInputs!$A$2:$A$888,FactorInputs!$T$2:$T$888,"")</f>
        <v>I-JEDI</v>
      </c>
      <c r="V828">
        <f t="shared" si="77"/>
        <v>27.324885990187987</v>
      </c>
      <c r="W828" t="s">
        <v>67</v>
      </c>
    </row>
    <row r="829" spans="1:23" x14ac:dyDescent="0.3">
      <c r="A829" t="str">
        <f t="shared" si="72"/>
        <v>PA|AccumulatedNewCapacity|RE1|PWRWNDOFS_FIX|2049</v>
      </c>
      <c r="B829" t="str">
        <f t="shared" si="73"/>
        <v>Offshore wind (fixed)|2049|O&amp;M|Direct</v>
      </c>
      <c r="C829" t="str">
        <f t="shared" si="74"/>
        <v>PWRWNDOFS_FIX|Offshore wind (fixed)</v>
      </c>
      <c r="D829" t="s">
        <v>44</v>
      </c>
      <c r="E829" t="s">
        <v>45</v>
      </c>
      <c r="F829" t="s">
        <v>19</v>
      </c>
      <c r="G829" t="s">
        <v>42</v>
      </c>
      <c r="H829">
        <v>2049</v>
      </c>
      <c r="I829" t="s">
        <v>18</v>
      </c>
      <c r="J829" t="s">
        <v>63</v>
      </c>
      <c r="K829" t="s">
        <v>64</v>
      </c>
      <c r="L829" t="s">
        <v>65</v>
      </c>
      <c r="M829">
        <f>SUMIFS(RawResultsLong!$P:$P,RawResultsLong!$A:$A,A829)</f>
        <v>44.150399999999998</v>
      </c>
      <c r="N829">
        <f t="shared" si="75"/>
        <v>1399.0417522245036</v>
      </c>
      <c r="O829" t="s">
        <v>74</v>
      </c>
      <c r="P829">
        <f>SUMIFS(TechnologyMapping!$D:$D,TechnologyMapping!$A:$A,C829)</f>
        <v>1</v>
      </c>
      <c r="Q829">
        <f t="shared" si="76"/>
        <v>1399.0417522245036</v>
      </c>
      <c r="R829">
        <f>SUMIFS(FactorInputs!$I:$I,FactorInputs!$A:$A,B829)</f>
        <v>5.6182119815700003E-2</v>
      </c>
      <c r="S829" t="str">
        <f>_xlfn.XLOOKUP(B829,FactorInputs!$A$2:$A$888,FactorInputs!$F$2:$F$888,"")</f>
        <v>job/MW</v>
      </c>
      <c r="T829" t="str">
        <f>_xlfn.XLOOKUP(B829,FactorInputs!$A$2:$A$888,FactorInputs!$B$2:$B$888,"")</f>
        <v>French QBIS 2023</v>
      </c>
      <c r="U829" t="str">
        <f>_xlfn.XLOOKUP(B829,FactorInputs!$A$2:$A$888,FactorInputs!$T$2:$T$888,"")</f>
        <v>French QBIS 2023</v>
      </c>
      <c r="V829">
        <f t="shared" si="77"/>
        <v>78.601131350643939</v>
      </c>
    </row>
    <row r="830" spans="1:23" x14ac:dyDescent="0.3">
      <c r="A830" t="str">
        <f t="shared" si="72"/>
        <v>PA|AccumulatedNewCapacity|RE1|PWRWNDONS|2049</v>
      </c>
      <c r="B830" t="str">
        <f t="shared" si="73"/>
        <v>Onshore wind|2049|O&amp;M|Direct</v>
      </c>
      <c r="C830" t="str">
        <f t="shared" si="74"/>
        <v>PWRWNDONS|Onshore wind</v>
      </c>
      <c r="D830" t="s">
        <v>44</v>
      </c>
      <c r="E830" t="s">
        <v>45</v>
      </c>
      <c r="F830" t="s">
        <v>19</v>
      </c>
      <c r="G830" t="s">
        <v>36</v>
      </c>
      <c r="H830">
        <v>2049</v>
      </c>
      <c r="I830" t="s">
        <v>18</v>
      </c>
      <c r="J830" t="s">
        <v>63</v>
      </c>
      <c r="K830" t="s">
        <v>64</v>
      </c>
      <c r="L830" t="s">
        <v>65</v>
      </c>
      <c r="M830">
        <f>SUMIFS(RawResultsLong!$P:$P,RawResultsLong!$A:$A,A830)</f>
        <v>490.48662025717852</v>
      </c>
      <c r="N830">
        <f t="shared" si="75"/>
        <v>15542.583094315743</v>
      </c>
      <c r="O830" t="s">
        <v>68</v>
      </c>
      <c r="P830">
        <f>SUMIFS(TechnologyMapping!$D:$D,TechnologyMapping!$A:$A,C830)</f>
        <v>1</v>
      </c>
      <c r="Q830">
        <f t="shared" si="76"/>
        <v>15542.583094315743</v>
      </c>
      <c r="R830">
        <f>SUMIFS(FactorInputs!$I:$I,FactorInputs!$A:$A,B830)</f>
        <v>2.7010948905099998E-2</v>
      </c>
      <c r="S830" t="str">
        <f>_xlfn.XLOOKUP(B830,FactorInputs!$A$2:$A$888,FactorInputs!$F$2:$F$888,"")</f>
        <v>job/MW</v>
      </c>
      <c r="T830" t="str">
        <f>_xlfn.XLOOKUP(B830,FactorInputs!$A$2:$A$888,FactorInputs!$B$2:$B$888,"")</f>
        <v>I-JEDI</v>
      </c>
      <c r="U830" t="str">
        <f>_xlfn.XLOOKUP(B830,FactorInputs!$A$2:$A$888,FactorInputs!$T$2:$T$888,"")</f>
        <v>I-JEDI</v>
      </c>
      <c r="V830">
        <f t="shared" si="77"/>
        <v>419.81991781383357</v>
      </c>
    </row>
    <row r="831" spans="1:23" x14ac:dyDescent="0.3">
      <c r="A831" t="str">
        <f t="shared" si="72"/>
        <v>PA|NewCapacity|RE1|PWRGEO|2049</v>
      </c>
      <c r="B831" t="str">
        <f t="shared" si="73"/>
        <v>Geothermal|2049|Construction&amp;Manufacturing|Direct</v>
      </c>
      <c r="C831" t="str">
        <f t="shared" si="74"/>
        <v>PWRGEO|Geothermal</v>
      </c>
      <c r="D831" t="s">
        <v>44</v>
      </c>
      <c r="E831" t="s">
        <v>45</v>
      </c>
      <c r="F831" t="s">
        <v>19</v>
      </c>
      <c r="G831" t="s">
        <v>46</v>
      </c>
      <c r="H831">
        <v>2049</v>
      </c>
      <c r="I831" t="s">
        <v>37</v>
      </c>
      <c r="J831" t="s">
        <v>69</v>
      </c>
      <c r="K831" t="s">
        <v>70</v>
      </c>
      <c r="L831" t="s">
        <v>65</v>
      </c>
      <c r="M831">
        <f>SUMIFS(RawResultsLong!$P:$P,RawResultsLong!$A:$A,A831)</f>
        <v>3.1539999999999999</v>
      </c>
      <c r="N831">
        <f t="shared" si="75"/>
        <v>99.944228965447309</v>
      </c>
      <c r="O831" t="s">
        <v>82</v>
      </c>
      <c r="P831">
        <f>SUMIFS(TechnologyMapping!$D:$D,TechnologyMapping!$A:$A,C831)</f>
        <v>1</v>
      </c>
      <c r="Q831">
        <f t="shared" si="76"/>
        <v>99.944228965447309</v>
      </c>
      <c r="R831">
        <f>SUMIFS(FactorInputs!$I:$I,FactorInputs!$A:$A,B831)</f>
        <v>4.4409982242300003</v>
      </c>
      <c r="S831" t="str">
        <f>_xlfn.XLOOKUP(B831,FactorInputs!$A$2:$A$888,FactorInputs!$F$2:$F$888,"")</f>
        <v>job-yr/MW</v>
      </c>
      <c r="T831" t="str">
        <f>_xlfn.XLOOKUP(B831,FactorInputs!$A$2:$A$888,FactorInputs!$B$2:$B$888,"")</f>
        <v>I-JEDI</v>
      </c>
      <c r="U831" t="str">
        <f>_xlfn.XLOOKUP(B831,FactorInputs!$A$2:$A$888,FactorInputs!$T$2:$T$888,"")</f>
        <v>I-JEDI</v>
      </c>
      <c r="V831">
        <f t="shared" si="77"/>
        <v>443.85214335758809</v>
      </c>
    </row>
    <row r="832" spans="1:23" x14ac:dyDescent="0.3">
      <c r="A832" t="str">
        <f t="shared" si="72"/>
        <v>PA|NewCapacity|RE1|PWRSOLRTP|2049</v>
      </c>
      <c r="B832" t="str">
        <f t="shared" si="73"/>
        <v>Rooftop solar PV|2049|Construction&amp;Manufacturing|Direct</v>
      </c>
      <c r="C832" t="str">
        <f t="shared" si="74"/>
        <v>PWRSOLRTP|Rooftop solar PV</v>
      </c>
      <c r="D832" t="s">
        <v>44</v>
      </c>
      <c r="E832" t="s">
        <v>45</v>
      </c>
      <c r="F832" t="s">
        <v>19</v>
      </c>
      <c r="G832" t="s">
        <v>31</v>
      </c>
      <c r="H832">
        <v>2049</v>
      </c>
      <c r="I832" t="s">
        <v>37</v>
      </c>
      <c r="J832" t="s">
        <v>69</v>
      </c>
      <c r="K832" t="s">
        <v>70</v>
      </c>
      <c r="L832" t="s">
        <v>65</v>
      </c>
      <c r="M832">
        <f>SUMIFS(RawResultsLong!$P:$P,RawResultsLong!$A:$A,A832)</f>
        <v>1.902346227013316</v>
      </c>
      <c r="N832">
        <f t="shared" si="75"/>
        <v>60.281714294284605</v>
      </c>
      <c r="O832" t="s">
        <v>71</v>
      </c>
      <c r="P832">
        <f>SUMIFS(TechnologyMapping!$D:$D,TechnologyMapping!$A:$A,C832)</f>
        <v>1</v>
      </c>
      <c r="Q832">
        <f t="shared" si="76"/>
        <v>60.281714294284605</v>
      </c>
      <c r="R832">
        <f>SUMIFS(FactorInputs!$I:$I,FactorInputs!$A:$A,B832)</f>
        <v>4.4262440113299997</v>
      </c>
      <c r="S832" t="str">
        <f>_xlfn.XLOOKUP(B832,FactorInputs!$A$2:$A$888,FactorInputs!$F$2:$F$888,"")</f>
        <v>job-yr/MW</v>
      </c>
      <c r="T832" t="str">
        <f>_xlfn.XLOOKUP(B832,FactorInputs!$A$2:$A$888,FactorInputs!$B$2:$B$888,"")</f>
        <v>JEDI-US</v>
      </c>
      <c r="U832" t="str">
        <f>_xlfn.XLOOKUP(B832,FactorInputs!$A$2:$A$888,FactorInputs!$T$2:$T$888,"")</f>
        <v>JEDI-US</v>
      </c>
      <c r="V832">
        <f t="shared" si="77"/>
        <v>266.82157688778329</v>
      </c>
    </row>
    <row r="833" spans="1:23" x14ac:dyDescent="0.3">
      <c r="A833" t="str">
        <f t="shared" si="72"/>
        <v>PA|NewCapacity|RE1|PWRWNDOFS_FIX|2049</v>
      </c>
      <c r="B833" t="str">
        <f t="shared" si="73"/>
        <v>Offshore wind (fixed)|2049|Construction&amp;Manufacturing|Direct</v>
      </c>
      <c r="C833" t="str">
        <f t="shared" si="74"/>
        <v>PWRWNDOFS_FIX|Offshore wind (fixed)</v>
      </c>
      <c r="D833" t="s">
        <v>44</v>
      </c>
      <c r="E833" t="s">
        <v>45</v>
      </c>
      <c r="F833" t="s">
        <v>19</v>
      </c>
      <c r="G833" t="s">
        <v>42</v>
      </c>
      <c r="H833">
        <v>2049</v>
      </c>
      <c r="I833" t="s">
        <v>37</v>
      </c>
      <c r="J833" t="s">
        <v>69</v>
      </c>
      <c r="K833" t="s">
        <v>70</v>
      </c>
      <c r="L833" t="s">
        <v>65</v>
      </c>
      <c r="M833">
        <f>SUMIFS(RawResultsLong!$P:$P,RawResultsLong!$A:$A,A833)</f>
        <v>3.1536</v>
      </c>
      <c r="N833">
        <f t="shared" si="75"/>
        <v>99.931553730321696</v>
      </c>
      <c r="O833" t="s">
        <v>74</v>
      </c>
      <c r="P833">
        <f>SUMIFS(TechnologyMapping!$D:$D,TechnologyMapping!$A:$A,C833)</f>
        <v>1</v>
      </c>
      <c r="Q833">
        <f t="shared" si="76"/>
        <v>99.931553730321696</v>
      </c>
      <c r="R833">
        <f>SUMIFS(FactorInputs!$I:$I,FactorInputs!$A:$A,B833)</f>
        <v>3.4190860626699999</v>
      </c>
      <c r="S833" t="str">
        <f>_xlfn.XLOOKUP(B833,FactorInputs!$A$2:$A$888,FactorInputs!$F$2:$F$888,"")</f>
        <v>job-yr/MW</v>
      </c>
      <c r="T833" t="str">
        <f>_xlfn.XLOOKUP(B833,FactorInputs!$A$2:$A$888,FactorInputs!$B$2:$B$888,"")</f>
        <v>French QBIS 2023</v>
      </c>
      <c r="U833" t="str">
        <f>_xlfn.XLOOKUP(B833,FactorInputs!$A$2:$A$888,FactorInputs!$T$2:$T$888,"")</f>
        <v>French QBIS 2023</v>
      </c>
      <c r="V833">
        <f t="shared" si="77"/>
        <v>341.67458258030115</v>
      </c>
    </row>
    <row r="834" spans="1:23" x14ac:dyDescent="0.3">
      <c r="A834" t="str">
        <f t="shared" ref="A834:A888" si="78">D834&amp;"|"&amp;I834&amp;"|"&amp;F834&amp;"|"&amp;G834&amp;"|"&amp;H834</f>
        <v>PA|AccumulatedNewCapacity|RE1|PWRGEO|2050</v>
      </c>
      <c r="B834" t="str">
        <f t="shared" ref="B834:B888" si="79">O834&amp;"|"&amp;H834&amp;"|"&amp;K834&amp;"|"&amp;L834</f>
        <v>Geothermal|2050|O&amp;M|Direct</v>
      </c>
      <c r="C834" t="str">
        <f t="shared" ref="C834:C888" si="80">G834&amp;"|"&amp;O834</f>
        <v>PWRGEO|Geothermal</v>
      </c>
      <c r="D834" t="s">
        <v>44</v>
      </c>
      <c r="E834" t="s">
        <v>45</v>
      </c>
      <c r="F834" t="s">
        <v>19</v>
      </c>
      <c r="G834" t="s">
        <v>46</v>
      </c>
      <c r="H834">
        <v>2050</v>
      </c>
      <c r="I834" t="s">
        <v>18</v>
      </c>
      <c r="J834" t="s">
        <v>63</v>
      </c>
      <c r="K834" t="s">
        <v>64</v>
      </c>
      <c r="L834" t="s">
        <v>65</v>
      </c>
      <c r="M834">
        <f>SUMIFS(RawResultsLong!$P:$P,RawResultsLong!$A:$A,A834)</f>
        <v>31.54</v>
      </c>
      <c r="N834">
        <f t="shared" ref="N834:N888" si="81">M834*1000/31.5576</f>
        <v>999.44228965447303</v>
      </c>
      <c r="O834" t="s">
        <v>82</v>
      </c>
      <c r="P834">
        <f>SUMIFS(TechnologyMapping!$D:$D,TechnologyMapping!$A:$A,C834)</f>
        <v>1</v>
      </c>
      <c r="Q834">
        <f t="shared" ref="Q834:Q888" si="82">N834*P834</f>
        <v>999.44228965447303</v>
      </c>
      <c r="R834">
        <f>SUMIFS(FactorInputs!$I:$I,FactorInputs!$A:$A,B834)</f>
        <v>6.9576837416500002E-3</v>
      </c>
      <c r="S834" t="str">
        <f>_xlfn.XLOOKUP(B834,FactorInputs!$A$2:$A$888,FactorInputs!$F$2:$F$888,"")</f>
        <v>job/MW</v>
      </c>
      <c r="T834" t="str">
        <f>_xlfn.XLOOKUP(B834,FactorInputs!$A$2:$A$888,FactorInputs!$B$2:$B$888,"")</f>
        <v>I-JEDI</v>
      </c>
      <c r="U834" t="str">
        <f>_xlfn.XLOOKUP(B834,FactorInputs!$A$2:$A$888,FactorInputs!$T$2:$T$888,"")</f>
        <v>I-JEDI</v>
      </c>
      <c r="V834">
        <f t="shared" ref="V834:V888" si="83">Q834*R834</f>
        <v>6.9538033694463772</v>
      </c>
    </row>
    <row r="835" spans="1:23" x14ac:dyDescent="0.3">
      <c r="A835" t="str">
        <f t="shared" si="78"/>
        <v>PA|AccumulatedNewCapacity|RE1|PWRHYDDAM|2050</v>
      </c>
      <c r="B835" t="str">
        <f t="shared" si="79"/>
        <v>Hydro (large)|2050|O&amp;M|Direct</v>
      </c>
      <c r="C835" t="str">
        <f t="shared" si="80"/>
        <v>PWRHYDDAM|Hydro (large)</v>
      </c>
      <c r="D835" t="s">
        <v>44</v>
      </c>
      <c r="E835" t="s">
        <v>45</v>
      </c>
      <c r="F835" t="s">
        <v>19</v>
      </c>
      <c r="G835" t="s">
        <v>24</v>
      </c>
      <c r="H835">
        <v>2050</v>
      </c>
      <c r="I835" t="s">
        <v>18</v>
      </c>
      <c r="J835" t="s">
        <v>63</v>
      </c>
      <c r="K835" t="s">
        <v>64</v>
      </c>
      <c r="L835" t="s">
        <v>65</v>
      </c>
      <c r="M835">
        <f>SUMIFS(RawResultsLong!$P:$P,RawResultsLong!$A:$A,A835)</f>
        <v>37.840000000000003</v>
      </c>
      <c r="N835">
        <f t="shared" si="81"/>
        <v>1199.0772428828554</v>
      </c>
      <c r="O835" t="s">
        <v>72</v>
      </c>
      <c r="P835">
        <f>SUMIFS(TechnologyMapping!$D:$D,TechnologyMapping!$A:$A,C835)</f>
        <v>1</v>
      </c>
      <c r="Q835">
        <f t="shared" si="82"/>
        <v>1199.0772428828554</v>
      </c>
      <c r="R835">
        <f>SUMIFS(FactorInputs!$I:$I,FactorInputs!$A:$A,B835)</f>
        <v>0.63849180327900001</v>
      </c>
      <c r="S835" t="str">
        <f>_xlfn.XLOOKUP(B835,FactorInputs!$A$2:$A$888,FactorInputs!$F$2:$F$888,"")</f>
        <v>job/MW</v>
      </c>
      <c r="T835" t="str">
        <f>_xlfn.XLOOKUP(B835,FactorInputs!$A$2:$A$888,FactorInputs!$B$2:$B$888,"")</f>
        <v>Rutovitz 2015</v>
      </c>
      <c r="U835" t="str">
        <f>_xlfn.XLOOKUP(B835,FactorInputs!$A$2:$A$888,FactorInputs!$T$2:$T$888,"")</f>
        <v>Rutovitz 2015</v>
      </c>
      <c r="V835">
        <f t="shared" si="83"/>
        <v>765.60099107908582</v>
      </c>
    </row>
    <row r="836" spans="1:23" x14ac:dyDescent="0.3">
      <c r="A836" t="str">
        <f t="shared" si="78"/>
        <v>PA|AccumulatedNewCapacity|RE1|PWRNUC|2050</v>
      </c>
      <c r="B836" t="str">
        <f t="shared" si="79"/>
        <v>Nuclear|2050|O&amp;M|Direct</v>
      </c>
      <c r="C836" t="str">
        <f t="shared" si="80"/>
        <v>PWRNUC|Nuclear</v>
      </c>
      <c r="D836" t="s">
        <v>44</v>
      </c>
      <c r="E836" t="s">
        <v>45</v>
      </c>
      <c r="F836" t="s">
        <v>19</v>
      </c>
      <c r="G836" t="s">
        <v>47</v>
      </c>
      <c r="H836">
        <v>2050</v>
      </c>
      <c r="I836" t="s">
        <v>18</v>
      </c>
      <c r="J836" t="s">
        <v>63</v>
      </c>
      <c r="K836" t="s">
        <v>64</v>
      </c>
      <c r="L836" t="s">
        <v>65</v>
      </c>
      <c r="M836">
        <f>SUMIFS(RawResultsLong!$P:$P,RawResultsLong!$A:$A,A836)</f>
        <v>9.5120000000000005</v>
      </c>
      <c r="N836">
        <f t="shared" si="81"/>
        <v>301.41709128704338</v>
      </c>
      <c r="O836" t="s">
        <v>81</v>
      </c>
      <c r="P836">
        <f>SUMIFS(TechnologyMapping!$D:$D,TechnologyMapping!$A:$A,C836)</f>
        <v>1</v>
      </c>
      <c r="Q836">
        <f t="shared" si="82"/>
        <v>301.41709128704338</v>
      </c>
      <c r="R836">
        <f>SUMIFS(FactorInputs!$I:$I,FactorInputs!$A:$A,B836)</f>
        <v>1.0829166666700001</v>
      </c>
      <c r="S836" t="str">
        <f>_xlfn.XLOOKUP(B836,FactorInputs!$A$2:$A$888,FactorInputs!$F$2:$F$888,"")</f>
        <v>job/MW</v>
      </c>
      <c r="T836" t="str">
        <f>_xlfn.XLOOKUP(B836,FactorInputs!$A$2:$A$888,FactorInputs!$B$2:$B$888,"")</f>
        <v>Rutovitz 2015</v>
      </c>
      <c r="U836" t="str">
        <f>_xlfn.XLOOKUP(B836,FactorInputs!$A$2:$A$888,FactorInputs!$T$2:$T$888,"")</f>
        <v>Rutovitz 2015</v>
      </c>
      <c r="V836">
        <f t="shared" si="83"/>
        <v>326.40959177393216</v>
      </c>
    </row>
    <row r="837" spans="1:23" x14ac:dyDescent="0.3">
      <c r="A837" t="str">
        <f t="shared" si="78"/>
        <v>PA|AccumulatedNewCapacity|RE1|PWRSOLRTP|2050</v>
      </c>
      <c r="B837" t="str">
        <f t="shared" si="79"/>
        <v>Rooftop solar PV|2050|O&amp;M|Direct</v>
      </c>
      <c r="C837" t="str">
        <f t="shared" si="80"/>
        <v>PWRSOLRTP|Rooftop solar PV</v>
      </c>
      <c r="D837" t="s">
        <v>44</v>
      </c>
      <c r="E837" t="s">
        <v>45</v>
      </c>
      <c r="F837" t="s">
        <v>19</v>
      </c>
      <c r="G837" t="s">
        <v>31</v>
      </c>
      <c r="H837">
        <v>2050</v>
      </c>
      <c r="I837" t="s">
        <v>18</v>
      </c>
      <c r="J837" t="s">
        <v>63</v>
      </c>
      <c r="K837" t="s">
        <v>64</v>
      </c>
      <c r="L837" t="s">
        <v>65</v>
      </c>
      <c r="M837">
        <f>SUMIFS(RawResultsLong!$P:$P,RawResultsLong!$A:$A,A837)</f>
        <v>156.70226379201009</v>
      </c>
      <c r="N837">
        <f t="shared" si="81"/>
        <v>4965.5950956983443</v>
      </c>
      <c r="O837" t="s">
        <v>71</v>
      </c>
      <c r="P837">
        <f>SUMIFS(TechnologyMapping!$D:$D,TechnologyMapping!$A:$A,C837)</f>
        <v>1</v>
      </c>
      <c r="Q837">
        <f t="shared" si="82"/>
        <v>4965.5950956983443</v>
      </c>
      <c r="R837">
        <f>SUMIFS(FactorInputs!$I:$I,FactorInputs!$A:$A,B837)</f>
        <v>0.21705882352899999</v>
      </c>
      <c r="S837" t="str">
        <f>_xlfn.XLOOKUP(B837,FactorInputs!$A$2:$A$888,FactorInputs!$F$2:$F$888,"")</f>
        <v>job/MW</v>
      </c>
      <c r="T837" t="str">
        <f>_xlfn.XLOOKUP(B837,FactorInputs!$A$2:$A$888,FactorInputs!$B$2:$B$888,"")</f>
        <v>JEDI-US</v>
      </c>
      <c r="U837" t="str">
        <f>_xlfn.XLOOKUP(B837,FactorInputs!$A$2:$A$888,FactorInputs!$T$2:$T$888,"")</f>
        <v>JEDI-US</v>
      </c>
      <c r="V837">
        <f t="shared" si="83"/>
        <v>1077.8262295936547</v>
      </c>
    </row>
    <row r="838" spans="1:23" x14ac:dyDescent="0.3">
      <c r="A838" t="str">
        <f t="shared" si="78"/>
        <v>PA|AccumulatedNewCapacity|RE1|PWRSOLUGE|2050</v>
      </c>
      <c r="B838" t="str">
        <f t="shared" si="79"/>
        <v>Utility-scale solar PV|2050|O&amp;M|Direct</v>
      </c>
      <c r="C838" t="str">
        <f t="shared" si="80"/>
        <v>PWRSOLUGE|Utility-scale solar PV</v>
      </c>
      <c r="D838" t="s">
        <v>44</v>
      </c>
      <c r="E838" t="s">
        <v>45</v>
      </c>
      <c r="F838" t="s">
        <v>19</v>
      </c>
      <c r="G838" t="s">
        <v>33</v>
      </c>
      <c r="H838">
        <v>2050</v>
      </c>
      <c r="I838" t="s">
        <v>18</v>
      </c>
      <c r="J838" t="s">
        <v>63</v>
      </c>
      <c r="K838" t="s">
        <v>64</v>
      </c>
      <c r="L838" t="s">
        <v>65</v>
      </c>
      <c r="M838">
        <f>SUMIFS(RawResultsLong!$P:$P,RawResultsLong!$A:$A,A838)</f>
        <v>143.394192</v>
      </c>
      <c r="N838">
        <f t="shared" si="81"/>
        <v>4543.8877481177278</v>
      </c>
      <c r="O838" t="s">
        <v>66</v>
      </c>
      <c r="P838">
        <f>SUMIFS(TechnologyMapping!$D:$D,TechnologyMapping!$A:$A,C838)</f>
        <v>1</v>
      </c>
      <c r="Q838">
        <f t="shared" si="82"/>
        <v>4543.8877481177278</v>
      </c>
      <c r="R838">
        <f>SUMIFS(FactorInputs!$I:$I,FactorInputs!$A:$A,B838)</f>
        <v>7.0418918918899995E-2</v>
      </c>
      <c r="S838" t="str">
        <f>_xlfn.XLOOKUP(B838,FactorInputs!$A$2:$A$888,FactorInputs!$F$2:$F$888,"")</f>
        <v>job/MW</v>
      </c>
      <c r="T838" t="str">
        <f>_xlfn.XLOOKUP(B838,FactorInputs!$A$2:$A$888,FactorInputs!$B$2:$B$888,"")</f>
        <v>I-JEDI</v>
      </c>
      <c r="U838" t="str">
        <f>_xlfn.XLOOKUP(B838,FactorInputs!$A$2:$A$888,FactorInputs!$T$2:$T$888,"")</f>
        <v>I-JEDI</v>
      </c>
      <c r="V838">
        <f t="shared" si="83"/>
        <v>319.97566291128538</v>
      </c>
    </row>
    <row r="839" spans="1:23" x14ac:dyDescent="0.3">
      <c r="A839" t="str">
        <f t="shared" si="78"/>
        <v>PA|AccumulatedNewCapacity|RE1|PWRSOLUPE|2050</v>
      </c>
      <c r="B839" t="str">
        <f t="shared" si="79"/>
        <v>Utility-scale solar PV|2050|O&amp;M|Direct</v>
      </c>
      <c r="C839" t="str">
        <f t="shared" si="80"/>
        <v>PWRSOLUPE|Utility-scale solar PV</v>
      </c>
      <c r="D839" t="s">
        <v>44</v>
      </c>
      <c r="E839" t="s">
        <v>45</v>
      </c>
      <c r="F839" t="s">
        <v>19</v>
      </c>
      <c r="G839" t="s">
        <v>34</v>
      </c>
      <c r="H839">
        <v>2050</v>
      </c>
      <c r="I839" t="s">
        <v>18</v>
      </c>
      <c r="J839" t="s">
        <v>63</v>
      </c>
      <c r="K839" t="s">
        <v>64</v>
      </c>
      <c r="L839" t="s">
        <v>65</v>
      </c>
      <c r="M839">
        <f>SUMIFS(RawResultsLong!$P:$P,RawResultsLong!$A:$A,A839)</f>
        <v>6.833535839999973</v>
      </c>
      <c r="N839">
        <f t="shared" si="81"/>
        <v>216.54168377823322</v>
      </c>
      <c r="O839" t="s">
        <v>66</v>
      </c>
      <c r="P839">
        <f>SUMIFS(TechnologyMapping!$D:$D,TechnologyMapping!$A:$A,C839)</f>
        <v>1</v>
      </c>
      <c r="Q839">
        <f t="shared" si="82"/>
        <v>216.54168377823322</v>
      </c>
      <c r="R839">
        <f>SUMIFS(FactorInputs!$I:$I,FactorInputs!$A:$A,B839)</f>
        <v>7.0418918918899995E-2</v>
      </c>
      <c r="S839" t="str">
        <f>_xlfn.XLOOKUP(B839,FactorInputs!$A$2:$A$888,FactorInputs!$F$2:$F$888,"")</f>
        <v>job/MW</v>
      </c>
      <c r="T839" t="str">
        <f>_xlfn.XLOOKUP(B839,FactorInputs!$A$2:$A$888,FactorInputs!$B$2:$B$888,"")</f>
        <v>I-JEDI</v>
      </c>
      <c r="U839" t="str">
        <f>_xlfn.XLOOKUP(B839,FactorInputs!$A$2:$A$888,FactorInputs!$T$2:$T$888,"")</f>
        <v>I-JEDI</v>
      </c>
      <c r="V839">
        <f t="shared" si="83"/>
        <v>15.248631272541488</v>
      </c>
      <c r="W839" t="s">
        <v>67</v>
      </c>
    </row>
    <row r="840" spans="1:23" x14ac:dyDescent="0.3">
      <c r="A840" t="str">
        <f t="shared" si="78"/>
        <v>PA|AccumulatedNewCapacity|RE1|PWRWNDOFS_FIX|2050</v>
      </c>
      <c r="B840" t="str">
        <f t="shared" si="79"/>
        <v>Offshore wind (fixed)|2050|O&amp;M|Direct</v>
      </c>
      <c r="C840" t="str">
        <f t="shared" si="80"/>
        <v>PWRWNDOFS_FIX|Offshore wind (fixed)</v>
      </c>
      <c r="D840" t="s">
        <v>44</v>
      </c>
      <c r="E840" t="s">
        <v>45</v>
      </c>
      <c r="F840" t="s">
        <v>19</v>
      </c>
      <c r="G840" t="s">
        <v>42</v>
      </c>
      <c r="H840">
        <v>2050</v>
      </c>
      <c r="I840" t="s">
        <v>18</v>
      </c>
      <c r="J840" t="s">
        <v>63</v>
      </c>
      <c r="K840" t="s">
        <v>64</v>
      </c>
      <c r="L840" t="s">
        <v>65</v>
      </c>
      <c r="M840">
        <f>SUMIFS(RawResultsLong!$P:$P,RawResultsLong!$A:$A,A840)</f>
        <v>47.303999999999988</v>
      </c>
      <c r="N840">
        <f t="shared" si="81"/>
        <v>1498.973305954825</v>
      </c>
      <c r="O840" t="s">
        <v>74</v>
      </c>
      <c r="P840">
        <f>SUMIFS(TechnologyMapping!$D:$D,TechnologyMapping!$A:$A,C840)</f>
        <v>1</v>
      </c>
      <c r="Q840">
        <f t="shared" si="82"/>
        <v>1498.973305954825</v>
      </c>
      <c r="R840">
        <f>SUMIFS(FactorInputs!$I:$I,FactorInputs!$A:$A,B840)</f>
        <v>5.4989861751199999E-2</v>
      </c>
      <c r="S840" t="str">
        <f>_xlfn.XLOOKUP(B840,FactorInputs!$A$2:$A$888,FactorInputs!$F$2:$F$888,"")</f>
        <v>job/MW</v>
      </c>
      <c r="T840" t="str">
        <f>_xlfn.XLOOKUP(B840,FactorInputs!$A$2:$A$888,FactorInputs!$B$2:$B$888,"")</f>
        <v>French QBIS 2023</v>
      </c>
      <c r="U840" t="str">
        <f>_xlfn.XLOOKUP(B840,FactorInputs!$A$2:$A$888,FactorInputs!$T$2:$T$888,"")</f>
        <v>French QBIS 2023</v>
      </c>
      <c r="V840">
        <f t="shared" si="83"/>
        <v>82.428334863195047</v>
      </c>
    </row>
    <row r="841" spans="1:23" x14ac:dyDescent="0.3">
      <c r="A841" t="str">
        <f t="shared" si="78"/>
        <v>PA|AccumulatedNewCapacity|RE1|PWRWNDONS|2050</v>
      </c>
      <c r="B841" t="str">
        <f t="shared" si="79"/>
        <v>Onshore wind|2050|O&amp;M|Direct</v>
      </c>
      <c r="C841" t="str">
        <f t="shared" si="80"/>
        <v>PWRWNDONS|Onshore wind</v>
      </c>
      <c r="D841" t="s">
        <v>44</v>
      </c>
      <c r="E841" t="s">
        <v>45</v>
      </c>
      <c r="F841" t="s">
        <v>19</v>
      </c>
      <c r="G841" t="s">
        <v>36</v>
      </c>
      <c r="H841">
        <v>2050</v>
      </c>
      <c r="I841" t="s">
        <v>18</v>
      </c>
      <c r="J841" t="s">
        <v>63</v>
      </c>
      <c r="K841" t="s">
        <v>64</v>
      </c>
      <c r="L841" t="s">
        <v>65</v>
      </c>
      <c r="M841">
        <f>SUMIFS(RawResultsLong!$P:$P,RawResultsLong!$A:$A,A841)</f>
        <v>490.48662025717852</v>
      </c>
      <c r="N841">
        <f t="shared" si="81"/>
        <v>15542.583094315743</v>
      </c>
      <c r="O841" t="s">
        <v>68</v>
      </c>
      <c r="P841">
        <f>SUMIFS(TechnologyMapping!$D:$D,TechnologyMapping!$A:$A,C841)</f>
        <v>1</v>
      </c>
      <c r="Q841">
        <f t="shared" si="82"/>
        <v>15542.583094315743</v>
      </c>
      <c r="R841">
        <f>SUMIFS(FactorInputs!$I:$I,FactorInputs!$A:$A,B841)</f>
        <v>2.6934306569300001E-2</v>
      </c>
      <c r="S841" t="str">
        <f>_xlfn.XLOOKUP(B841,FactorInputs!$A$2:$A$888,FactorInputs!$F$2:$F$888,"")</f>
        <v>job/MW</v>
      </c>
      <c r="T841" t="str">
        <f>_xlfn.XLOOKUP(B841,FactorInputs!$A$2:$A$888,FactorInputs!$B$2:$B$888,"")</f>
        <v>I-JEDI</v>
      </c>
      <c r="U841" t="str">
        <f>_xlfn.XLOOKUP(B841,FactorInputs!$A$2:$A$888,FactorInputs!$T$2:$T$888,"")</f>
        <v>I-JEDI</v>
      </c>
      <c r="V841">
        <f t="shared" si="83"/>
        <v>418.62869794111964</v>
      </c>
    </row>
    <row r="842" spans="1:23" x14ac:dyDescent="0.3">
      <c r="A842" t="str">
        <f t="shared" si="78"/>
        <v>PA|NewCapacity|RE1|PWRSOLRTP|2050</v>
      </c>
      <c r="B842" t="str">
        <f t="shared" si="79"/>
        <v>Rooftop solar PV|2050|Construction&amp;Manufacturing|Direct</v>
      </c>
      <c r="C842" t="str">
        <f t="shared" si="80"/>
        <v>PWRSOLRTP|Rooftop solar PV</v>
      </c>
      <c r="D842" t="s">
        <v>44</v>
      </c>
      <c r="E842" t="s">
        <v>45</v>
      </c>
      <c r="F842" t="s">
        <v>19</v>
      </c>
      <c r="G842" t="s">
        <v>31</v>
      </c>
      <c r="H842">
        <v>2050</v>
      </c>
      <c r="I842" t="s">
        <v>37</v>
      </c>
      <c r="J842" t="s">
        <v>69</v>
      </c>
      <c r="K842" t="s">
        <v>70</v>
      </c>
      <c r="L842" t="s">
        <v>65</v>
      </c>
      <c r="M842">
        <f>SUMIFS(RawResultsLong!$P:$P,RawResultsLong!$A:$A,A842)</f>
        <v>1.902346227013316</v>
      </c>
      <c r="N842">
        <f t="shared" si="81"/>
        <v>60.281714294284605</v>
      </c>
      <c r="O842" t="s">
        <v>71</v>
      </c>
      <c r="P842">
        <f>SUMIFS(TechnologyMapping!$D:$D,TechnologyMapping!$A:$A,C842)</f>
        <v>1</v>
      </c>
      <c r="Q842">
        <f t="shared" si="82"/>
        <v>60.281714294284605</v>
      </c>
      <c r="R842">
        <f>SUMIFS(FactorInputs!$I:$I,FactorInputs!$A:$A,B842)</f>
        <v>4.3205610605400002</v>
      </c>
      <c r="S842" t="str">
        <f>_xlfn.XLOOKUP(B842,FactorInputs!$A$2:$A$888,FactorInputs!$F$2:$F$888,"")</f>
        <v>job-yr/MW</v>
      </c>
      <c r="T842" t="str">
        <f>_xlfn.XLOOKUP(B842,FactorInputs!$A$2:$A$888,FactorInputs!$B$2:$B$888,"")</f>
        <v>JEDI-US</v>
      </c>
      <c r="U842" t="str">
        <f>_xlfn.XLOOKUP(B842,FactorInputs!$A$2:$A$888,FactorInputs!$T$2:$T$888,"")</f>
        <v>JEDI-US</v>
      </c>
      <c r="V842">
        <f t="shared" si="83"/>
        <v>260.45082744248356</v>
      </c>
    </row>
    <row r="843" spans="1:23" x14ac:dyDescent="0.3">
      <c r="A843" t="str">
        <f t="shared" si="78"/>
        <v>PA|NewCapacity|RE1|PWRWNDOFS_FIX|2050</v>
      </c>
      <c r="B843" t="str">
        <f t="shared" si="79"/>
        <v>Offshore wind (fixed)|2050|Construction&amp;Manufacturing|Direct</v>
      </c>
      <c r="C843" t="str">
        <f t="shared" si="80"/>
        <v>PWRWNDOFS_FIX|Offshore wind (fixed)</v>
      </c>
      <c r="D843" t="s">
        <v>44</v>
      </c>
      <c r="E843" t="s">
        <v>45</v>
      </c>
      <c r="F843" t="s">
        <v>19</v>
      </c>
      <c r="G843" t="s">
        <v>42</v>
      </c>
      <c r="H843">
        <v>2050</v>
      </c>
      <c r="I843" t="s">
        <v>37</v>
      </c>
      <c r="J843" t="s">
        <v>69</v>
      </c>
      <c r="K843" t="s">
        <v>70</v>
      </c>
      <c r="L843" t="s">
        <v>65</v>
      </c>
      <c r="M843">
        <f>SUMIFS(RawResultsLong!$P:$P,RawResultsLong!$A:$A,A843)</f>
        <v>3.1536</v>
      </c>
      <c r="N843">
        <f t="shared" si="81"/>
        <v>99.931553730321696</v>
      </c>
      <c r="O843" t="s">
        <v>74</v>
      </c>
      <c r="P843">
        <f>SUMIFS(TechnologyMapping!$D:$D,TechnologyMapping!$A:$A,C843)</f>
        <v>1</v>
      </c>
      <c r="Q843">
        <f t="shared" si="82"/>
        <v>99.931553730321696</v>
      </c>
      <c r="R843">
        <f>SUMIFS(FactorInputs!$I:$I,FactorInputs!$A:$A,B843)</f>
        <v>3.3475391011800002</v>
      </c>
      <c r="S843" t="str">
        <f>_xlfn.XLOOKUP(B843,FactorInputs!$A$2:$A$888,FactorInputs!$F$2:$F$888,"")</f>
        <v>job-yr/MW</v>
      </c>
      <c r="T843" t="str">
        <f>_xlfn.XLOOKUP(B843,FactorInputs!$A$2:$A$888,FactorInputs!$B$2:$B$888,"")</f>
        <v>French QBIS 2023</v>
      </c>
      <c r="U843" t="str">
        <f>_xlfn.XLOOKUP(B843,FactorInputs!$A$2:$A$888,FactorInputs!$T$2:$T$888,"")</f>
        <v>French QBIS 2023</v>
      </c>
      <c r="V843">
        <f t="shared" si="83"/>
        <v>334.52478355392196</v>
      </c>
    </row>
    <row r="844" spans="1:23" x14ac:dyDescent="0.3">
      <c r="A844" t="str">
        <f t="shared" si="78"/>
        <v>PA|AccumulatedNewCapacity|RE1|PWRGEO|2051</v>
      </c>
      <c r="B844" t="str">
        <f t="shared" si="79"/>
        <v>Geothermal|2051|O&amp;M|Direct</v>
      </c>
      <c r="C844" t="str">
        <f t="shared" si="80"/>
        <v>PWRGEO|Geothermal</v>
      </c>
      <c r="D844" t="s">
        <v>44</v>
      </c>
      <c r="E844" t="s">
        <v>45</v>
      </c>
      <c r="F844" t="s">
        <v>19</v>
      </c>
      <c r="G844" t="s">
        <v>46</v>
      </c>
      <c r="H844">
        <v>2051</v>
      </c>
      <c r="I844" t="s">
        <v>18</v>
      </c>
      <c r="J844" t="s">
        <v>63</v>
      </c>
      <c r="K844" t="s">
        <v>64</v>
      </c>
      <c r="L844" t="s">
        <v>65</v>
      </c>
      <c r="M844">
        <f>SUMIFS(RawResultsLong!$P:$P,RawResultsLong!$A:$A,A844)</f>
        <v>31.54</v>
      </c>
      <c r="N844">
        <f t="shared" si="81"/>
        <v>999.44228965447303</v>
      </c>
      <c r="O844" t="s">
        <v>82</v>
      </c>
      <c r="P844">
        <f>SUMIFS(TechnologyMapping!$D:$D,TechnologyMapping!$A:$A,C844)</f>
        <v>1</v>
      </c>
      <c r="Q844">
        <f t="shared" si="82"/>
        <v>999.44228965447303</v>
      </c>
      <c r="R844">
        <f>SUMIFS(FactorInputs!$I:$I,FactorInputs!$A:$A,B844)</f>
        <v>6.9576837416500002E-3</v>
      </c>
      <c r="S844" t="str">
        <f>_xlfn.XLOOKUP(B844,FactorInputs!$A$2:$A$888,FactorInputs!$F$2:$F$888,"")</f>
        <v>job/MW</v>
      </c>
      <c r="T844" t="str">
        <f>_xlfn.XLOOKUP(B844,FactorInputs!$A$2:$A$888,FactorInputs!$B$2:$B$888,"")</f>
        <v>I-JEDI</v>
      </c>
      <c r="U844" t="str">
        <f>_xlfn.XLOOKUP(B844,FactorInputs!$A$2:$A$888,FactorInputs!$T$2:$T$888,"")</f>
        <v>I-JEDI</v>
      </c>
      <c r="V844">
        <f t="shared" si="83"/>
        <v>6.9538033694463772</v>
      </c>
    </row>
    <row r="845" spans="1:23" x14ac:dyDescent="0.3">
      <c r="A845" t="str">
        <f t="shared" si="78"/>
        <v>PA|AccumulatedNewCapacity|RE1|PWRHYDDAM|2051</v>
      </c>
      <c r="B845" t="str">
        <f t="shared" si="79"/>
        <v>Hydro (large)|2051|O&amp;M|Direct</v>
      </c>
      <c r="C845" t="str">
        <f t="shared" si="80"/>
        <v>PWRHYDDAM|Hydro (large)</v>
      </c>
      <c r="D845" t="s">
        <v>44</v>
      </c>
      <c r="E845" t="s">
        <v>45</v>
      </c>
      <c r="F845" t="s">
        <v>19</v>
      </c>
      <c r="G845" t="s">
        <v>24</v>
      </c>
      <c r="H845">
        <v>2051</v>
      </c>
      <c r="I845" t="s">
        <v>18</v>
      </c>
      <c r="J845" t="s">
        <v>63</v>
      </c>
      <c r="K845" t="s">
        <v>64</v>
      </c>
      <c r="L845" t="s">
        <v>65</v>
      </c>
      <c r="M845">
        <f>SUMIFS(RawResultsLong!$P:$P,RawResultsLong!$A:$A,A845)</f>
        <v>37.840000000000003</v>
      </c>
      <c r="N845">
        <f t="shared" si="81"/>
        <v>1199.0772428828554</v>
      </c>
      <c r="O845" t="s">
        <v>72</v>
      </c>
      <c r="P845">
        <f>SUMIFS(TechnologyMapping!$D:$D,TechnologyMapping!$A:$A,C845)</f>
        <v>1</v>
      </c>
      <c r="Q845">
        <f t="shared" si="82"/>
        <v>1199.0772428828554</v>
      </c>
      <c r="R845">
        <f>SUMIFS(FactorInputs!$I:$I,FactorInputs!$A:$A,B845)</f>
        <v>0.63849180327900001</v>
      </c>
      <c r="S845" t="str">
        <f>_xlfn.XLOOKUP(B845,FactorInputs!$A$2:$A$888,FactorInputs!$F$2:$F$888,"")</f>
        <v>job/MW</v>
      </c>
      <c r="T845" t="str">
        <f>_xlfn.XLOOKUP(B845,FactorInputs!$A$2:$A$888,FactorInputs!$B$2:$B$888,"")</f>
        <v>Rutovitz 2015</v>
      </c>
      <c r="U845" t="str">
        <f>_xlfn.XLOOKUP(B845,FactorInputs!$A$2:$A$888,FactorInputs!$T$2:$T$888,"")</f>
        <v>Rutovitz 2015</v>
      </c>
      <c r="V845">
        <f t="shared" si="83"/>
        <v>765.60099107908582</v>
      </c>
    </row>
    <row r="846" spans="1:23" x14ac:dyDescent="0.3">
      <c r="A846" t="str">
        <f t="shared" si="78"/>
        <v>PA|AccumulatedNewCapacity|RE1|PWRNUC|2051</v>
      </c>
      <c r="B846" t="str">
        <f t="shared" si="79"/>
        <v>Nuclear|2051|O&amp;M|Direct</v>
      </c>
      <c r="C846" t="str">
        <f t="shared" si="80"/>
        <v>PWRNUC|Nuclear</v>
      </c>
      <c r="D846" t="s">
        <v>44</v>
      </c>
      <c r="E846" t="s">
        <v>45</v>
      </c>
      <c r="F846" t="s">
        <v>19</v>
      </c>
      <c r="G846" t="s">
        <v>47</v>
      </c>
      <c r="H846">
        <v>2051</v>
      </c>
      <c r="I846" t="s">
        <v>18</v>
      </c>
      <c r="J846" t="s">
        <v>63</v>
      </c>
      <c r="K846" t="s">
        <v>64</v>
      </c>
      <c r="L846" t="s">
        <v>65</v>
      </c>
      <c r="M846">
        <f>SUMIFS(RawResultsLong!$P:$P,RawResultsLong!$A:$A,A846)</f>
        <v>9.5120000000000005</v>
      </c>
      <c r="N846">
        <f t="shared" si="81"/>
        <v>301.41709128704338</v>
      </c>
      <c r="O846" t="s">
        <v>81</v>
      </c>
      <c r="P846">
        <f>SUMIFS(TechnologyMapping!$D:$D,TechnologyMapping!$A:$A,C846)</f>
        <v>1</v>
      </c>
      <c r="Q846">
        <f t="shared" si="82"/>
        <v>301.41709128704338</v>
      </c>
      <c r="R846">
        <f>SUMIFS(FactorInputs!$I:$I,FactorInputs!$A:$A,B846)</f>
        <v>1.0829166666700001</v>
      </c>
      <c r="S846" t="str">
        <f>_xlfn.XLOOKUP(B846,FactorInputs!$A$2:$A$888,FactorInputs!$F$2:$F$888,"")</f>
        <v>job/MW</v>
      </c>
      <c r="T846" t="str">
        <f>_xlfn.XLOOKUP(B846,FactorInputs!$A$2:$A$888,FactorInputs!$B$2:$B$888,"")</f>
        <v>Rutovitz 2015</v>
      </c>
      <c r="U846" t="str">
        <f>_xlfn.XLOOKUP(B846,FactorInputs!$A$2:$A$888,FactorInputs!$T$2:$T$888,"")</f>
        <v>Rutovitz 2015</v>
      </c>
      <c r="V846">
        <f t="shared" si="83"/>
        <v>326.40959177393216</v>
      </c>
    </row>
    <row r="847" spans="1:23" x14ac:dyDescent="0.3">
      <c r="A847" t="str">
        <f t="shared" si="78"/>
        <v>PA|AccumulatedNewCapacity|RE1|PWRSOLRTP|2051</v>
      </c>
      <c r="B847" t="str">
        <f t="shared" si="79"/>
        <v>Rooftop solar PV|2051|O&amp;M|Direct</v>
      </c>
      <c r="C847" t="str">
        <f t="shared" si="80"/>
        <v>PWRSOLRTP|Rooftop solar PV</v>
      </c>
      <c r="D847" t="s">
        <v>44</v>
      </c>
      <c r="E847" t="s">
        <v>45</v>
      </c>
      <c r="F847" t="s">
        <v>19</v>
      </c>
      <c r="G847" t="s">
        <v>31</v>
      </c>
      <c r="H847">
        <v>2051</v>
      </c>
      <c r="I847" t="s">
        <v>18</v>
      </c>
      <c r="J847" t="s">
        <v>63</v>
      </c>
      <c r="K847" t="s">
        <v>64</v>
      </c>
      <c r="L847" t="s">
        <v>65</v>
      </c>
      <c r="M847">
        <f>SUMIFS(RawResultsLong!$P:$P,RawResultsLong!$A:$A,A847)</f>
        <v>149.71464806594801</v>
      </c>
      <c r="N847">
        <f t="shared" si="81"/>
        <v>4744.1709149602002</v>
      </c>
      <c r="O847" t="s">
        <v>71</v>
      </c>
      <c r="P847">
        <f>SUMIFS(TechnologyMapping!$D:$D,TechnologyMapping!$A:$A,C847)</f>
        <v>1</v>
      </c>
      <c r="Q847">
        <f t="shared" si="82"/>
        <v>4744.1709149602002</v>
      </c>
      <c r="R847">
        <f>SUMIFS(FactorInputs!$I:$I,FactorInputs!$A:$A,B847)</f>
        <v>0.21705882352899999</v>
      </c>
      <c r="S847" t="str">
        <f>_xlfn.XLOOKUP(B847,FactorInputs!$A$2:$A$888,FactorInputs!$F$2:$F$888,"")</f>
        <v>job/MW</v>
      </c>
      <c r="T847" t="str">
        <f>_xlfn.XLOOKUP(B847,FactorInputs!$A$2:$A$888,FactorInputs!$B$2:$B$888,"")</f>
        <v>JEDI-US</v>
      </c>
      <c r="U847" t="str">
        <f>_xlfn.XLOOKUP(B847,FactorInputs!$A$2:$A$888,FactorInputs!$T$2:$T$888,"")</f>
        <v>JEDI-US</v>
      </c>
      <c r="V847">
        <f t="shared" si="83"/>
        <v>1029.7641574217605</v>
      </c>
    </row>
    <row r="848" spans="1:23" x14ac:dyDescent="0.3">
      <c r="A848" t="str">
        <f t="shared" si="78"/>
        <v>PA|AccumulatedNewCapacity|RE1|PWRSOLUGE|2051</v>
      </c>
      <c r="B848" t="str">
        <f t="shared" si="79"/>
        <v>Utility-scale solar PV|2051|O&amp;M|Direct</v>
      </c>
      <c r="C848" t="str">
        <f t="shared" si="80"/>
        <v>PWRSOLUGE|Utility-scale solar PV</v>
      </c>
      <c r="D848" t="s">
        <v>44</v>
      </c>
      <c r="E848" t="s">
        <v>45</v>
      </c>
      <c r="F848" t="s">
        <v>19</v>
      </c>
      <c r="G848" t="s">
        <v>33</v>
      </c>
      <c r="H848">
        <v>2051</v>
      </c>
      <c r="I848" t="s">
        <v>18</v>
      </c>
      <c r="J848" t="s">
        <v>63</v>
      </c>
      <c r="K848" t="s">
        <v>64</v>
      </c>
      <c r="L848" t="s">
        <v>65</v>
      </c>
      <c r="M848">
        <f>SUMIFS(RawResultsLong!$P:$P,RawResultsLong!$A:$A,A848)</f>
        <v>143.394192</v>
      </c>
      <c r="N848">
        <f t="shared" si="81"/>
        <v>4543.8877481177278</v>
      </c>
      <c r="O848" t="s">
        <v>66</v>
      </c>
      <c r="P848">
        <f>SUMIFS(TechnologyMapping!$D:$D,TechnologyMapping!$A:$A,C848)</f>
        <v>1</v>
      </c>
      <c r="Q848">
        <f t="shared" si="82"/>
        <v>4543.8877481177278</v>
      </c>
      <c r="R848">
        <f>SUMIFS(FactorInputs!$I:$I,FactorInputs!$A:$A,B848)</f>
        <v>7.0418918918899995E-2</v>
      </c>
      <c r="S848" t="str">
        <f>_xlfn.XLOOKUP(B848,FactorInputs!$A$2:$A$888,FactorInputs!$F$2:$F$888,"")</f>
        <v>job/MW</v>
      </c>
      <c r="T848" t="str">
        <f>_xlfn.XLOOKUP(B848,FactorInputs!$A$2:$A$888,FactorInputs!$B$2:$B$888,"")</f>
        <v>I-JEDI</v>
      </c>
      <c r="U848" t="str">
        <f>_xlfn.XLOOKUP(B848,FactorInputs!$A$2:$A$888,FactorInputs!$T$2:$T$888,"")</f>
        <v>I-JEDI</v>
      </c>
      <c r="V848">
        <f t="shared" si="83"/>
        <v>319.97566291128538</v>
      </c>
    </row>
    <row r="849" spans="1:23" x14ac:dyDescent="0.3">
      <c r="A849" t="str">
        <f t="shared" si="78"/>
        <v>PA|AccumulatedNewCapacity|RE1|PWRSOLUPE|2051</v>
      </c>
      <c r="B849" t="str">
        <f t="shared" si="79"/>
        <v>Utility-scale solar PV|2051|O&amp;M|Direct</v>
      </c>
      <c r="C849" t="str">
        <f t="shared" si="80"/>
        <v>PWRSOLUPE|Utility-scale solar PV</v>
      </c>
      <c r="D849" t="s">
        <v>44</v>
      </c>
      <c r="E849" t="s">
        <v>45</v>
      </c>
      <c r="F849" t="s">
        <v>19</v>
      </c>
      <c r="G849" t="s">
        <v>34</v>
      </c>
      <c r="H849">
        <v>2051</v>
      </c>
      <c r="I849" t="s">
        <v>18</v>
      </c>
      <c r="J849" t="s">
        <v>63</v>
      </c>
      <c r="K849" t="s">
        <v>64</v>
      </c>
      <c r="L849" t="s">
        <v>65</v>
      </c>
      <c r="M849">
        <f>SUMIFS(RawResultsLong!$P:$P,RawResultsLong!$A:$A,A849)</f>
        <v>3.4689599999999992</v>
      </c>
      <c r="N849">
        <f t="shared" si="81"/>
        <v>109.92470910335383</v>
      </c>
      <c r="O849" t="s">
        <v>66</v>
      </c>
      <c r="P849">
        <f>SUMIFS(TechnologyMapping!$D:$D,TechnologyMapping!$A:$A,C849)</f>
        <v>1</v>
      </c>
      <c r="Q849">
        <f t="shared" si="82"/>
        <v>109.92470910335383</v>
      </c>
      <c r="R849">
        <f>SUMIFS(FactorInputs!$I:$I,FactorInputs!$A:$A,B849)</f>
        <v>7.0418918918899995E-2</v>
      </c>
      <c r="S849" t="str">
        <f>_xlfn.XLOOKUP(B849,FactorInputs!$A$2:$A$888,FactorInputs!$F$2:$F$888,"")</f>
        <v>job/MW</v>
      </c>
      <c r="T849" t="str">
        <f>_xlfn.XLOOKUP(B849,FactorInputs!$A$2:$A$888,FactorInputs!$B$2:$B$888,"")</f>
        <v>I-JEDI</v>
      </c>
      <c r="U849" t="str">
        <f>_xlfn.XLOOKUP(B849,FactorInputs!$A$2:$A$888,FactorInputs!$T$2:$T$888,"")</f>
        <v>I-JEDI</v>
      </c>
      <c r="V849">
        <f t="shared" si="83"/>
        <v>7.7407791775327421</v>
      </c>
      <c r="W849" t="s">
        <v>67</v>
      </c>
    </row>
    <row r="850" spans="1:23" x14ac:dyDescent="0.3">
      <c r="A850" t="str">
        <f t="shared" si="78"/>
        <v>PA|AccumulatedNewCapacity|RE1|PWRWNDOFS_FIX|2051</v>
      </c>
      <c r="B850" t="str">
        <f t="shared" si="79"/>
        <v>Offshore wind (fixed)|2051|O&amp;M|Direct</v>
      </c>
      <c r="C850" t="str">
        <f t="shared" si="80"/>
        <v>PWRWNDOFS_FIX|Offshore wind (fixed)</v>
      </c>
      <c r="D850" t="s">
        <v>44</v>
      </c>
      <c r="E850" t="s">
        <v>45</v>
      </c>
      <c r="F850" t="s">
        <v>19</v>
      </c>
      <c r="G850" t="s">
        <v>42</v>
      </c>
      <c r="H850">
        <v>2051</v>
      </c>
      <c r="I850" t="s">
        <v>18</v>
      </c>
      <c r="J850" t="s">
        <v>63</v>
      </c>
      <c r="K850" t="s">
        <v>64</v>
      </c>
      <c r="L850" t="s">
        <v>65</v>
      </c>
      <c r="M850">
        <f>SUMIFS(RawResultsLong!$P:$P,RawResultsLong!$A:$A,A850)</f>
        <v>47.303999999999988</v>
      </c>
      <c r="N850">
        <f t="shared" si="81"/>
        <v>1498.973305954825</v>
      </c>
      <c r="O850" t="s">
        <v>74</v>
      </c>
      <c r="P850">
        <f>SUMIFS(TechnologyMapping!$D:$D,TechnologyMapping!$A:$A,C850)</f>
        <v>1</v>
      </c>
      <c r="Q850">
        <f t="shared" si="82"/>
        <v>1498.973305954825</v>
      </c>
      <c r="R850">
        <f>SUMIFS(FactorInputs!$I:$I,FactorInputs!$A:$A,B850)</f>
        <v>5.4989861751199999E-2</v>
      </c>
      <c r="S850" t="str">
        <f>_xlfn.XLOOKUP(B850,FactorInputs!$A$2:$A$888,FactorInputs!$F$2:$F$888,"")</f>
        <v>job/MW</v>
      </c>
      <c r="T850" t="str">
        <f>_xlfn.XLOOKUP(B850,FactorInputs!$A$2:$A$888,FactorInputs!$B$2:$B$888,"")</f>
        <v>French QBIS 2023</v>
      </c>
      <c r="U850" t="str">
        <f>_xlfn.XLOOKUP(B850,FactorInputs!$A$2:$A$888,FactorInputs!$T$2:$T$888,"")</f>
        <v>French QBIS 2023</v>
      </c>
      <c r="V850">
        <f t="shared" si="83"/>
        <v>82.428334863195047</v>
      </c>
    </row>
    <row r="851" spans="1:23" x14ac:dyDescent="0.3">
      <c r="A851" t="str">
        <f t="shared" si="78"/>
        <v>PA|AccumulatedNewCapacity|RE1|PWRWNDONS|2051</v>
      </c>
      <c r="B851" t="str">
        <f t="shared" si="79"/>
        <v>Onshore wind|2051|O&amp;M|Direct</v>
      </c>
      <c r="C851" t="str">
        <f t="shared" si="80"/>
        <v>PWRWNDONS|Onshore wind</v>
      </c>
      <c r="D851" t="s">
        <v>44</v>
      </c>
      <c r="E851" t="s">
        <v>45</v>
      </c>
      <c r="F851" t="s">
        <v>19</v>
      </c>
      <c r="G851" t="s">
        <v>36</v>
      </c>
      <c r="H851">
        <v>2051</v>
      </c>
      <c r="I851" t="s">
        <v>18</v>
      </c>
      <c r="J851" t="s">
        <v>63</v>
      </c>
      <c r="K851" t="s">
        <v>64</v>
      </c>
      <c r="L851" t="s">
        <v>65</v>
      </c>
      <c r="M851">
        <f>SUMIFS(RawResultsLong!$P:$P,RawResultsLong!$A:$A,A851)</f>
        <v>490.48662025717852</v>
      </c>
      <c r="N851">
        <f t="shared" si="81"/>
        <v>15542.583094315743</v>
      </c>
      <c r="O851" t="s">
        <v>68</v>
      </c>
      <c r="P851">
        <f>SUMIFS(TechnologyMapping!$D:$D,TechnologyMapping!$A:$A,C851)</f>
        <v>1</v>
      </c>
      <c r="Q851">
        <f t="shared" si="82"/>
        <v>15542.583094315743</v>
      </c>
      <c r="R851">
        <f>SUMIFS(FactorInputs!$I:$I,FactorInputs!$A:$A,B851)</f>
        <v>2.6934306569300001E-2</v>
      </c>
      <c r="S851" t="str">
        <f>_xlfn.XLOOKUP(B851,FactorInputs!$A$2:$A$888,FactorInputs!$F$2:$F$888,"")</f>
        <v>job/MW</v>
      </c>
      <c r="T851" t="str">
        <f>_xlfn.XLOOKUP(B851,FactorInputs!$A$2:$A$888,FactorInputs!$B$2:$B$888,"")</f>
        <v>I-JEDI</v>
      </c>
      <c r="U851" t="str">
        <f>_xlfn.XLOOKUP(B851,FactorInputs!$A$2:$A$888,FactorInputs!$T$2:$T$888,"")</f>
        <v>I-JEDI</v>
      </c>
      <c r="V851">
        <f t="shared" si="83"/>
        <v>418.62869794111964</v>
      </c>
    </row>
    <row r="852" spans="1:23" x14ac:dyDescent="0.3">
      <c r="A852" t="str">
        <f t="shared" si="78"/>
        <v>PA|NewCapacity|RE1|PWRSOLRTP|2051</v>
      </c>
      <c r="B852" t="str">
        <f t="shared" si="79"/>
        <v>Rooftop solar PV|2051|Construction&amp;Manufacturing|Direct</v>
      </c>
      <c r="C852" t="str">
        <f t="shared" si="80"/>
        <v>PWRSOLRTP|Rooftop solar PV</v>
      </c>
      <c r="D852" t="s">
        <v>44</v>
      </c>
      <c r="E852" t="s">
        <v>45</v>
      </c>
      <c r="F852" t="s">
        <v>19</v>
      </c>
      <c r="G852" t="s">
        <v>31</v>
      </c>
      <c r="H852">
        <v>2051</v>
      </c>
      <c r="I852" t="s">
        <v>37</v>
      </c>
      <c r="J852" t="s">
        <v>69</v>
      </c>
      <c r="K852" t="s">
        <v>70</v>
      </c>
      <c r="L852" t="s">
        <v>65</v>
      </c>
      <c r="M852">
        <f>SUMIFS(RawResultsLong!$P:$P,RawResultsLong!$A:$A,A852)</f>
        <v>1.902346227013316</v>
      </c>
      <c r="N852">
        <f t="shared" si="81"/>
        <v>60.281714294284605</v>
      </c>
      <c r="O852" t="s">
        <v>71</v>
      </c>
      <c r="P852">
        <f>SUMIFS(TechnologyMapping!$D:$D,TechnologyMapping!$A:$A,C852)</f>
        <v>1</v>
      </c>
      <c r="Q852">
        <f t="shared" si="82"/>
        <v>60.281714294284605</v>
      </c>
      <c r="R852">
        <f>SUMIFS(FactorInputs!$I:$I,FactorInputs!$A:$A,B852)</f>
        <v>4.3205610605400002</v>
      </c>
      <c r="S852" t="str">
        <f>_xlfn.XLOOKUP(B852,FactorInputs!$A$2:$A$888,FactorInputs!$F$2:$F$888,"")</f>
        <v>job-yr/MW</v>
      </c>
      <c r="T852" t="str">
        <f>_xlfn.XLOOKUP(B852,FactorInputs!$A$2:$A$888,FactorInputs!$B$2:$B$888,"")</f>
        <v>JEDI-US</v>
      </c>
      <c r="U852" t="str">
        <f>_xlfn.XLOOKUP(B852,FactorInputs!$A$2:$A$888,FactorInputs!$T$2:$T$888,"")</f>
        <v>JEDI-US</v>
      </c>
      <c r="V852">
        <f t="shared" si="83"/>
        <v>260.45082744248356</v>
      </c>
    </row>
    <row r="853" spans="1:23" x14ac:dyDescent="0.3">
      <c r="A853" t="str">
        <f t="shared" si="78"/>
        <v>PA|AccumulatedNewCapacity|RE1|PWRGEO|2052</v>
      </c>
      <c r="B853" t="str">
        <f t="shared" si="79"/>
        <v>Geothermal|2052|O&amp;M|Direct</v>
      </c>
      <c r="C853" t="str">
        <f t="shared" si="80"/>
        <v>PWRGEO|Geothermal</v>
      </c>
      <c r="D853" t="s">
        <v>44</v>
      </c>
      <c r="E853" t="s">
        <v>45</v>
      </c>
      <c r="F853" t="s">
        <v>19</v>
      </c>
      <c r="G853" t="s">
        <v>46</v>
      </c>
      <c r="H853">
        <v>2052</v>
      </c>
      <c r="I853" t="s">
        <v>18</v>
      </c>
      <c r="J853" t="s">
        <v>63</v>
      </c>
      <c r="K853" t="s">
        <v>64</v>
      </c>
      <c r="L853" t="s">
        <v>65</v>
      </c>
      <c r="M853">
        <f>SUMIFS(RawResultsLong!$P:$P,RawResultsLong!$A:$A,A853)</f>
        <v>31.54</v>
      </c>
      <c r="N853">
        <f t="shared" si="81"/>
        <v>999.44228965447303</v>
      </c>
      <c r="O853" t="s">
        <v>82</v>
      </c>
      <c r="P853">
        <f>SUMIFS(TechnologyMapping!$D:$D,TechnologyMapping!$A:$A,C853)</f>
        <v>1</v>
      </c>
      <c r="Q853">
        <f t="shared" si="82"/>
        <v>999.44228965447303</v>
      </c>
      <c r="R853">
        <f>SUMIFS(FactorInputs!$I:$I,FactorInputs!$A:$A,B853)</f>
        <v>6.9576837416500002E-3</v>
      </c>
      <c r="S853" t="str">
        <f>_xlfn.XLOOKUP(B853,FactorInputs!$A$2:$A$888,FactorInputs!$F$2:$F$888,"")</f>
        <v>job/MW</v>
      </c>
      <c r="T853" t="str">
        <f>_xlfn.XLOOKUP(B853,FactorInputs!$A$2:$A$888,FactorInputs!$B$2:$B$888,"")</f>
        <v>I-JEDI</v>
      </c>
      <c r="U853" t="str">
        <f>_xlfn.XLOOKUP(B853,FactorInputs!$A$2:$A$888,FactorInputs!$T$2:$T$888,"")</f>
        <v>I-JEDI</v>
      </c>
      <c r="V853">
        <f t="shared" si="83"/>
        <v>6.9538033694463772</v>
      </c>
    </row>
    <row r="854" spans="1:23" x14ac:dyDescent="0.3">
      <c r="A854" t="str">
        <f t="shared" si="78"/>
        <v>PA|AccumulatedNewCapacity|RE1|PWRHYDDAM|2052</v>
      </c>
      <c r="B854" t="str">
        <f t="shared" si="79"/>
        <v>Hydro (large)|2052|O&amp;M|Direct</v>
      </c>
      <c r="C854" t="str">
        <f t="shared" si="80"/>
        <v>PWRHYDDAM|Hydro (large)</v>
      </c>
      <c r="D854" t="s">
        <v>44</v>
      </c>
      <c r="E854" t="s">
        <v>45</v>
      </c>
      <c r="F854" t="s">
        <v>19</v>
      </c>
      <c r="G854" t="s">
        <v>24</v>
      </c>
      <c r="H854">
        <v>2052</v>
      </c>
      <c r="I854" t="s">
        <v>18</v>
      </c>
      <c r="J854" t="s">
        <v>63</v>
      </c>
      <c r="K854" t="s">
        <v>64</v>
      </c>
      <c r="L854" t="s">
        <v>65</v>
      </c>
      <c r="M854">
        <f>SUMIFS(RawResultsLong!$P:$P,RawResultsLong!$A:$A,A854)</f>
        <v>37.840000000000003</v>
      </c>
      <c r="N854">
        <f t="shared" si="81"/>
        <v>1199.0772428828554</v>
      </c>
      <c r="O854" t="s">
        <v>72</v>
      </c>
      <c r="P854">
        <f>SUMIFS(TechnologyMapping!$D:$D,TechnologyMapping!$A:$A,C854)</f>
        <v>1</v>
      </c>
      <c r="Q854">
        <f t="shared" si="82"/>
        <v>1199.0772428828554</v>
      </c>
      <c r="R854">
        <f>SUMIFS(FactorInputs!$I:$I,FactorInputs!$A:$A,B854)</f>
        <v>0.63849180327900001</v>
      </c>
      <c r="S854" t="str">
        <f>_xlfn.XLOOKUP(B854,FactorInputs!$A$2:$A$888,FactorInputs!$F$2:$F$888,"")</f>
        <v>job/MW</v>
      </c>
      <c r="T854" t="str">
        <f>_xlfn.XLOOKUP(B854,FactorInputs!$A$2:$A$888,FactorInputs!$B$2:$B$888,"")</f>
        <v>Rutovitz 2015</v>
      </c>
      <c r="U854" t="str">
        <f>_xlfn.XLOOKUP(B854,FactorInputs!$A$2:$A$888,FactorInputs!$T$2:$T$888,"")</f>
        <v>Rutovitz 2015</v>
      </c>
      <c r="V854">
        <f t="shared" si="83"/>
        <v>765.60099107908582</v>
      </c>
    </row>
    <row r="855" spans="1:23" x14ac:dyDescent="0.3">
      <c r="A855" t="str">
        <f t="shared" si="78"/>
        <v>PA|AccumulatedNewCapacity|RE1|PWRNUC|2052</v>
      </c>
      <c r="B855" t="str">
        <f t="shared" si="79"/>
        <v>Nuclear|2052|O&amp;M|Direct</v>
      </c>
      <c r="C855" t="str">
        <f t="shared" si="80"/>
        <v>PWRNUC|Nuclear</v>
      </c>
      <c r="D855" t="s">
        <v>44</v>
      </c>
      <c r="E855" t="s">
        <v>45</v>
      </c>
      <c r="F855" t="s">
        <v>19</v>
      </c>
      <c r="G855" t="s">
        <v>47</v>
      </c>
      <c r="H855">
        <v>2052</v>
      </c>
      <c r="I855" t="s">
        <v>18</v>
      </c>
      <c r="J855" t="s">
        <v>63</v>
      </c>
      <c r="K855" t="s">
        <v>64</v>
      </c>
      <c r="L855" t="s">
        <v>65</v>
      </c>
      <c r="M855">
        <f>SUMIFS(RawResultsLong!$P:$P,RawResultsLong!$A:$A,A855)</f>
        <v>9.5120000000000005</v>
      </c>
      <c r="N855">
        <f t="shared" si="81"/>
        <v>301.41709128704338</v>
      </c>
      <c r="O855" t="s">
        <v>81</v>
      </c>
      <c r="P855">
        <f>SUMIFS(TechnologyMapping!$D:$D,TechnologyMapping!$A:$A,C855)</f>
        <v>1</v>
      </c>
      <c r="Q855">
        <f t="shared" si="82"/>
        <v>301.41709128704338</v>
      </c>
      <c r="R855">
        <f>SUMIFS(FactorInputs!$I:$I,FactorInputs!$A:$A,B855)</f>
        <v>1.0829166666700001</v>
      </c>
      <c r="S855" t="str">
        <f>_xlfn.XLOOKUP(B855,FactorInputs!$A$2:$A$888,FactorInputs!$F$2:$F$888,"")</f>
        <v>job/MW</v>
      </c>
      <c r="T855" t="str">
        <f>_xlfn.XLOOKUP(B855,FactorInputs!$A$2:$A$888,FactorInputs!$B$2:$B$888,"")</f>
        <v>Rutovitz 2015</v>
      </c>
      <c r="U855" t="str">
        <f>_xlfn.XLOOKUP(B855,FactorInputs!$A$2:$A$888,FactorInputs!$T$2:$T$888,"")</f>
        <v>Rutovitz 2015</v>
      </c>
      <c r="V855">
        <f t="shared" si="83"/>
        <v>326.40959177393216</v>
      </c>
    </row>
    <row r="856" spans="1:23" x14ac:dyDescent="0.3">
      <c r="A856" t="str">
        <f t="shared" si="78"/>
        <v>PA|AccumulatedNewCapacity|RE1|PWRSOLRTP|2052</v>
      </c>
      <c r="B856" t="str">
        <f t="shared" si="79"/>
        <v>Rooftop solar PV|2052|O&amp;M|Direct</v>
      </c>
      <c r="C856" t="str">
        <f t="shared" si="80"/>
        <v>PWRSOLRTP|Rooftop solar PV</v>
      </c>
      <c r="D856" t="s">
        <v>44</v>
      </c>
      <c r="E856" t="s">
        <v>45</v>
      </c>
      <c r="F856" t="s">
        <v>19</v>
      </c>
      <c r="G856" t="s">
        <v>31</v>
      </c>
      <c r="H856">
        <v>2052</v>
      </c>
      <c r="I856" t="s">
        <v>18</v>
      </c>
      <c r="J856" t="s">
        <v>63</v>
      </c>
      <c r="K856" t="s">
        <v>64</v>
      </c>
      <c r="L856" t="s">
        <v>65</v>
      </c>
      <c r="M856">
        <f>SUMIFS(RawResultsLong!$P:$P,RawResultsLong!$A:$A,A856)</f>
        <v>139.09321496512359</v>
      </c>
      <c r="N856">
        <f t="shared" si="81"/>
        <v>4407.598010150442</v>
      </c>
      <c r="O856" t="s">
        <v>71</v>
      </c>
      <c r="P856">
        <f>SUMIFS(TechnologyMapping!$D:$D,TechnologyMapping!$A:$A,C856)</f>
        <v>1</v>
      </c>
      <c r="Q856">
        <f t="shared" si="82"/>
        <v>4407.598010150442</v>
      </c>
      <c r="R856">
        <f>SUMIFS(FactorInputs!$I:$I,FactorInputs!$A:$A,B856)</f>
        <v>0.21705882352899999</v>
      </c>
      <c r="S856" t="str">
        <f>_xlfn.XLOOKUP(B856,FactorInputs!$A$2:$A$888,FactorInputs!$F$2:$F$888,"")</f>
        <v>job/MW</v>
      </c>
      <c r="T856" t="str">
        <f>_xlfn.XLOOKUP(B856,FactorInputs!$A$2:$A$888,FactorInputs!$B$2:$B$888,"")</f>
        <v>JEDI-US</v>
      </c>
      <c r="U856" t="str">
        <f>_xlfn.XLOOKUP(B856,FactorInputs!$A$2:$A$888,FactorInputs!$T$2:$T$888,"")</f>
        <v>JEDI-US</v>
      </c>
      <c r="V856">
        <f t="shared" si="83"/>
        <v>956.7080386720163</v>
      </c>
    </row>
    <row r="857" spans="1:23" x14ac:dyDescent="0.3">
      <c r="A857" t="str">
        <f t="shared" si="78"/>
        <v>PA|AccumulatedNewCapacity|RE1|PWRSOLUGE|2052</v>
      </c>
      <c r="B857" t="str">
        <f t="shared" si="79"/>
        <v>Utility-scale solar PV|2052|O&amp;M|Direct</v>
      </c>
      <c r="C857" t="str">
        <f t="shared" si="80"/>
        <v>PWRSOLUGE|Utility-scale solar PV</v>
      </c>
      <c r="D857" t="s">
        <v>44</v>
      </c>
      <c r="E857" t="s">
        <v>45</v>
      </c>
      <c r="F857" t="s">
        <v>19</v>
      </c>
      <c r="G857" t="s">
        <v>33</v>
      </c>
      <c r="H857">
        <v>2052</v>
      </c>
      <c r="I857" t="s">
        <v>18</v>
      </c>
      <c r="J857" t="s">
        <v>63</v>
      </c>
      <c r="K857" t="s">
        <v>64</v>
      </c>
      <c r="L857" t="s">
        <v>65</v>
      </c>
      <c r="M857">
        <f>SUMIFS(RawResultsLong!$P:$P,RawResultsLong!$A:$A,A857)</f>
        <v>143.394192</v>
      </c>
      <c r="N857">
        <f t="shared" si="81"/>
        <v>4543.8877481177278</v>
      </c>
      <c r="O857" t="s">
        <v>66</v>
      </c>
      <c r="P857">
        <f>SUMIFS(TechnologyMapping!$D:$D,TechnologyMapping!$A:$A,C857)</f>
        <v>1</v>
      </c>
      <c r="Q857">
        <f t="shared" si="82"/>
        <v>4543.8877481177278</v>
      </c>
      <c r="R857">
        <f>SUMIFS(FactorInputs!$I:$I,FactorInputs!$A:$A,B857)</f>
        <v>7.0418918918899995E-2</v>
      </c>
      <c r="S857" t="str">
        <f>_xlfn.XLOOKUP(B857,FactorInputs!$A$2:$A$888,FactorInputs!$F$2:$F$888,"")</f>
        <v>job/MW</v>
      </c>
      <c r="T857" t="str">
        <f>_xlfn.XLOOKUP(B857,FactorInputs!$A$2:$A$888,FactorInputs!$B$2:$B$888,"")</f>
        <v>I-JEDI</v>
      </c>
      <c r="U857" t="str">
        <f>_xlfn.XLOOKUP(B857,FactorInputs!$A$2:$A$888,FactorInputs!$T$2:$T$888,"")</f>
        <v>I-JEDI</v>
      </c>
      <c r="V857">
        <f t="shared" si="83"/>
        <v>319.97566291128538</v>
      </c>
    </row>
    <row r="858" spans="1:23" x14ac:dyDescent="0.3">
      <c r="A858" t="str">
        <f t="shared" si="78"/>
        <v>PA|AccumulatedNewCapacity|RE1|PWRWNDOFS_FIX|2052</v>
      </c>
      <c r="B858" t="str">
        <f t="shared" si="79"/>
        <v>Offshore wind (fixed)|2052|O&amp;M|Direct</v>
      </c>
      <c r="C858" t="str">
        <f t="shared" si="80"/>
        <v>PWRWNDOFS_FIX|Offshore wind (fixed)</v>
      </c>
      <c r="D858" t="s">
        <v>44</v>
      </c>
      <c r="E858" t="s">
        <v>45</v>
      </c>
      <c r="F858" t="s">
        <v>19</v>
      </c>
      <c r="G858" t="s">
        <v>42</v>
      </c>
      <c r="H858">
        <v>2052</v>
      </c>
      <c r="I858" t="s">
        <v>18</v>
      </c>
      <c r="J858" t="s">
        <v>63</v>
      </c>
      <c r="K858" t="s">
        <v>64</v>
      </c>
      <c r="L858" t="s">
        <v>65</v>
      </c>
      <c r="M858">
        <f>SUMIFS(RawResultsLong!$P:$P,RawResultsLong!$A:$A,A858)</f>
        <v>47.303999999999988</v>
      </c>
      <c r="N858">
        <f t="shared" si="81"/>
        <v>1498.973305954825</v>
      </c>
      <c r="O858" t="s">
        <v>74</v>
      </c>
      <c r="P858">
        <f>SUMIFS(TechnologyMapping!$D:$D,TechnologyMapping!$A:$A,C858)</f>
        <v>1</v>
      </c>
      <c r="Q858">
        <f t="shared" si="82"/>
        <v>1498.973305954825</v>
      </c>
      <c r="R858">
        <f>SUMIFS(FactorInputs!$I:$I,FactorInputs!$A:$A,B858)</f>
        <v>5.4989861751199999E-2</v>
      </c>
      <c r="S858" t="str">
        <f>_xlfn.XLOOKUP(B858,FactorInputs!$A$2:$A$888,FactorInputs!$F$2:$F$888,"")</f>
        <v>job/MW</v>
      </c>
      <c r="T858" t="str">
        <f>_xlfn.XLOOKUP(B858,FactorInputs!$A$2:$A$888,FactorInputs!$B$2:$B$888,"")</f>
        <v>French QBIS 2023</v>
      </c>
      <c r="U858" t="str">
        <f>_xlfn.XLOOKUP(B858,FactorInputs!$A$2:$A$888,FactorInputs!$T$2:$T$888,"")</f>
        <v>French QBIS 2023</v>
      </c>
      <c r="V858">
        <f t="shared" si="83"/>
        <v>82.428334863195047</v>
      </c>
    </row>
    <row r="859" spans="1:23" x14ac:dyDescent="0.3">
      <c r="A859" t="str">
        <f t="shared" si="78"/>
        <v>PA|AccumulatedNewCapacity|RE1|PWRWNDONS|2052</v>
      </c>
      <c r="B859" t="str">
        <f t="shared" si="79"/>
        <v>Onshore wind|2052|O&amp;M|Direct</v>
      </c>
      <c r="C859" t="str">
        <f t="shared" si="80"/>
        <v>PWRWNDONS|Onshore wind</v>
      </c>
      <c r="D859" t="s">
        <v>44</v>
      </c>
      <c r="E859" t="s">
        <v>45</v>
      </c>
      <c r="F859" t="s">
        <v>19</v>
      </c>
      <c r="G859" t="s">
        <v>36</v>
      </c>
      <c r="H859">
        <v>2052</v>
      </c>
      <c r="I859" t="s">
        <v>18</v>
      </c>
      <c r="J859" t="s">
        <v>63</v>
      </c>
      <c r="K859" t="s">
        <v>64</v>
      </c>
      <c r="L859" t="s">
        <v>65</v>
      </c>
      <c r="M859">
        <f>SUMIFS(RawResultsLong!$P:$P,RawResultsLong!$A:$A,A859)</f>
        <v>537.79662025717857</v>
      </c>
      <c r="N859">
        <f t="shared" si="81"/>
        <v>17041.746528797456</v>
      </c>
      <c r="O859" t="s">
        <v>68</v>
      </c>
      <c r="P859">
        <f>SUMIFS(TechnologyMapping!$D:$D,TechnologyMapping!$A:$A,C859)</f>
        <v>1</v>
      </c>
      <c r="Q859">
        <f t="shared" si="82"/>
        <v>17041.746528797456</v>
      </c>
      <c r="R859">
        <f>SUMIFS(FactorInputs!$I:$I,FactorInputs!$A:$A,B859)</f>
        <v>2.6934306569300001E-2</v>
      </c>
      <c r="S859" t="str">
        <f>_xlfn.XLOOKUP(B859,FactorInputs!$A$2:$A$888,FactorInputs!$F$2:$F$888,"")</f>
        <v>job/MW</v>
      </c>
      <c r="T859" t="str">
        <f>_xlfn.XLOOKUP(B859,FactorInputs!$A$2:$A$888,FactorInputs!$B$2:$B$888,"")</f>
        <v>I-JEDI</v>
      </c>
      <c r="U859" t="str">
        <f>_xlfn.XLOOKUP(B859,FactorInputs!$A$2:$A$888,FactorInputs!$T$2:$T$888,"")</f>
        <v>I-JEDI</v>
      </c>
      <c r="V859">
        <f t="shared" si="83"/>
        <v>459.00762548293477</v>
      </c>
    </row>
    <row r="860" spans="1:23" x14ac:dyDescent="0.3">
      <c r="A860" t="str">
        <f t="shared" si="78"/>
        <v>PA|NewCapacity|RE1|PWRSOLRTP|2052</v>
      </c>
      <c r="B860" t="str">
        <f t="shared" si="79"/>
        <v>Rooftop solar PV|2052|Construction&amp;Manufacturing|Direct</v>
      </c>
      <c r="C860" t="str">
        <f t="shared" si="80"/>
        <v>PWRSOLRTP|Rooftop solar PV</v>
      </c>
      <c r="D860" t="s">
        <v>44</v>
      </c>
      <c r="E860" t="s">
        <v>45</v>
      </c>
      <c r="F860" t="s">
        <v>19</v>
      </c>
      <c r="G860" t="s">
        <v>31</v>
      </c>
      <c r="H860">
        <v>2052</v>
      </c>
      <c r="I860" t="s">
        <v>37</v>
      </c>
      <c r="J860" t="s">
        <v>69</v>
      </c>
      <c r="K860" t="s">
        <v>70</v>
      </c>
      <c r="L860" t="s">
        <v>65</v>
      </c>
      <c r="M860">
        <f>SUMIFS(RawResultsLong!$P:$P,RawResultsLong!$A:$A,A860)</f>
        <v>1.902346227013316</v>
      </c>
      <c r="N860">
        <f t="shared" si="81"/>
        <v>60.281714294284605</v>
      </c>
      <c r="O860" t="s">
        <v>71</v>
      </c>
      <c r="P860">
        <f>SUMIFS(TechnologyMapping!$D:$D,TechnologyMapping!$A:$A,C860)</f>
        <v>1</v>
      </c>
      <c r="Q860">
        <f t="shared" si="82"/>
        <v>60.281714294284605</v>
      </c>
      <c r="R860">
        <f>SUMIFS(FactorInputs!$I:$I,FactorInputs!$A:$A,B860)</f>
        <v>4.3205610605400002</v>
      </c>
      <c r="S860" t="str">
        <f>_xlfn.XLOOKUP(B860,FactorInputs!$A$2:$A$888,FactorInputs!$F$2:$F$888,"")</f>
        <v>job-yr/MW</v>
      </c>
      <c r="T860" t="str">
        <f>_xlfn.XLOOKUP(B860,FactorInputs!$A$2:$A$888,FactorInputs!$B$2:$B$888,"")</f>
        <v>JEDI-US</v>
      </c>
      <c r="U860" t="str">
        <f>_xlfn.XLOOKUP(B860,FactorInputs!$A$2:$A$888,FactorInputs!$T$2:$T$888,"")</f>
        <v>JEDI-US</v>
      </c>
      <c r="V860">
        <f t="shared" si="83"/>
        <v>260.45082744248356</v>
      </c>
    </row>
    <row r="861" spans="1:23" x14ac:dyDescent="0.3">
      <c r="A861" t="str">
        <f t="shared" si="78"/>
        <v>PA|NewCapacity|RE1|PWRWNDONS|2052</v>
      </c>
      <c r="B861" t="str">
        <f t="shared" si="79"/>
        <v>Onshore wind|2052|Construction&amp;Manufacturing|Direct</v>
      </c>
      <c r="C861" t="str">
        <f t="shared" si="80"/>
        <v>PWRWNDONS|Onshore wind</v>
      </c>
      <c r="D861" t="s">
        <v>44</v>
      </c>
      <c r="E861" t="s">
        <v>45</v>
      </c>
      <c r="F861" t="s">
        <v>19</v>
      </c>
      <c r="G861" t="s">
        <v>36</v>
      </c>
      <c r="H861">
        <v>2052</v>
      </c>
      <c r="I861" t="s">
        <v>37</v>
      </c>
      <c r="J861" t="s">
        <v>69</v>
      </c>
      <c r="K861" t="s">
        <v>70</v>
      </c>
      <c r="L861" t="s">
        <v>65</v>
      </c>
      <c r="M861">
        <f>SUMIFS(RawResultsLong!$P:$P,RawResultsLong!$A:$A,A861)</f>
        <v>47.31</v>
      </c>
      <c r="N861">
        <f t="shared" si="81"/>
        <v>1499.1634344817096</v>
      </c>
      <c r="O861" t="s">
        <v>68</v>
      </c>
      <c r="P861">
        <f>SUMIFS(TechnologyMapping!$D:$D,TechnologyMapping!$A:$A,C861)</f>
        <v>1</v>
      </c>
      <c r="Q861">
        <f t="shared" si="82"/>
        <v>1499.1634344817096</v>
      </c>
      <c r="R861">
        <f>SUMIFS(FactorInputs!$I:$I,FactorInputs!$A:$A,B861)</f>
        <v>6.5127600165799997</v>
      </c>
      <c r="S861" t="str">
        <f>_xlfn.XLOOKUP(B861,FactorInputs!$A$2:$A$888,FactorInputs!$F$2:$F$888,"")</f>
        <v>job-yr/MW</v>
      </c>
      <c r="T861" t="str">
        <f>_xlfn.XLOOKUP(B861,FactorInputs!$A$2:$A$888,FactorInputs!$B$2:$B$888,"")</f>
        <v>I-JEDI</v>
      </c>
      <c r="U861" t="str">
        <f>_xlfn.XLOOKUP(B861,FactorInputs!$A$2:$A$888,FactorInputs!$T$2:$T$888,"")</f>
        <v>I-JEDI</v>
      </c>
      <c r="V861">
        <f t="shared" si="83"/>
        <v>9763.6916744112277</v>
      </c>
    </row>
    <row r="862" spans="1:23" x14ac:dyDescent="0.3">
      <c r="A862" t="str">
        <f t="shared" si="78"/>
        <v>PA|AccumulatedNewCapacity|RE1|PWRGEO|2053</v>
      </c>
      <c r="B862" t="str">
        <f t="shared" si="79"/>
        <v>Geothermal|2053|O&amp;M|Direct</v>
      </c>
      <c r="C862" t="str">
        <f t="shared" si="80"/>
        <v>PWRGEO|Geothermal</v>
      </c>
      <c r="D862" t="s">
        <v>44</v>
      </c>
      <c r="E862" t="s">
        <v>45</v>
      </c>
      <c r="F862" t="s">
        <v>19</v>
      </c>
      <c r="G862" t="s">
        <v>46</v>
      </c>
      <c r="H862">
        <v>2053</v>
      </c>
      <c r="I862" t="s">
        <v>18</v>
      </c>
      <c r="J862" t="s">
        <v>63</v>
      </c>
      <c r="K862" t="s">
        <v>64</v>
      </c>
      <c r="L862" t="s">
        <v>65</v>
      </c>
      <c r="M862">
        <f>SUMIFS(RawResultsLong!$P:$P,RawResultsLong!$A:$A,A862)</f>
        <v>31.54</v>
      </c>
      <c r="N862">
        <f t="shared" si="81"/>
        <v>999.44228965447303</v>
      </c>
      <c r="O862" t="s">
        <v>82</v>
      </c>
      <c r="P862">
        <f>SUMIFS(TechnologyMapping!$D:$D,TechnologyMapping!$A:$A,C862)</f>
        <v>1</v>
      </c>
      <c r="Q862">
        <f t="shared" si="82"/>
        <v>999.44228965447303</v>
      </c>
      <c r="R862">
        <f>SUMIFS(FactorInputs!$I:$I,FactorInputs!$A:$A,B862)</f>
        <v>6.9576837416500002E-3</v>
      </c>
      <c r="S862" t="str">
        <f>_xlfn.XLOOKUP(B862,FactorInputs!$A$2:$A$888,FactorInputs!$F$2:$F$888,"")</f>
        <v>job/MW</v>
      </c>
      <c r="T862" t="str">
        <f>_xlfn.XLOOKUP(B862,FactorInputs!$A$2:$A$888,FactorInputs!$B$2:$B$888,"")</f>
        <v>I-JEDI</v>
      </c>
      <c r="U862" t="str">
        <f>_xlfn.XLOOKUP(B862,FactorInputs!$A$2:$A$888,FactorInputs!$T$2:$T$888,"")</f>
        <v>I-JEDI</v>
      </c>
      <c r="V862">
        <f t="shared" si="83"/>
        <v>6.9538033694463772</v>
      </c>
    </row>
    <row r="863" spans="1:23" x14ac:dyDescent="0.3">
      <c r="A863" t="str">
        <f t="shared" si="78"/>
        <v>PA|AccumulatedNewCapacity|RE1|PWRHYDDAM|2053</v>
      </c>
      <c r="B863" t="str">
        <f t="shared" si="79"/>
        <v>Hydro (large)|2053|O&amp;M|Direct</v>
      </c>
      <c r="C863" t="str">
        <f t="shared" si="80"/>
        <v>PWRHYDDAM|Hydro (large)</v>
      </c>
      <c r="D863" t="s">
        <v>44</v>
      </c>
      <c r="E863" t="s">
        <v>45</v>
      </c>
      <c r="F863" t="s">
        <v>19</v>
      </c>
      <c r="G863" t="s">
        <v>24</v>
      </c>
      <c r="H863">
        <v>2053</v>
      </c>
      <c r="I863" t="s">
        <v>18</v>
      </c>
      <c r="J863" t="s">
        <v>63</v>
      </c>
      <c r="K863" t="s">
        <v>64</v>
      </c>
      <c r="L863" t="s">
        <v>65</v>
      </c>
      <c r="M863">
        <f>SUMIFS(RawResultsLong!$P:$P,RawResultsLong!$A:$A,A863)</f>
        <v>37.840000000000003</v>
      </c>
      <c r="N863">
        <f t="shared" si="81"/>
        <v>1199.0772428828554</v>
      </c>
      <c r="O863" t="s">
        <v>72</v>
      </c>
      <c r="P863">
        <f>SUMIFS(TechnologyMapping!$D:$D,TechnologyMapping!$A:$A,C863)</f>
        <v>1</v>
      </c>
      <c r="Q863">
        <f t="shared" si="82"/>
        <v>1199.0772428828554</v>
      </c>
      <c r="R863">
        <f>SUMIFS(FactorInputs!$I:$I,FactorInputs!$A:$A,B863)</f>
        <v>0.63849180327900001</v>
      </c>
      <c r="S863" t="str">
        <f>_xlfn.XLOOKUP(B863,FactorInputs!$A$2:$A$888,FactorInputs!$F$2:$F$888,"")</f>
        <v>job/MW</v>
      </c>
      <c r="T863" t="str">
        <f>_xlfn.XLOOKUP(B863,FactorInputs!$A$2:$A$888,FactorInputs!$B$2:$B$888,"")</f>
        <v>Rutovitz 2015</v>
      </c>
      <c r="U863" t="str">
        <f>_xlfn.XLOOKUP(B863,FactorInputs!$A$2:$A$888,FactorInputs!$T$2:$T$888,"")</f>
        <v>Rutovitz 2015</v>
      </c>
      <c r="V863">
        <f t="shared" si="83"/>
        <v>765.60099107908582</v>
      </c>
    </row>
    <row r="864" spans="1:23" x14ac:dyDescent="0.3">
      <c r="A864" t="str">
        <f t="shared" si="78"/>
        <v>PA|AccumulatedNewCapacity|RE1|PWRNUC|2053</v>
      </c>
      <c r="B864" t="str">
        <f t="shared" si="79"/>
        <v>Nuclear|2053|O&amp;M|Direct</v>
      </c>
      <c r="C864" t="str">
        <f t="shared" si="80"/>
        <v>PWRNUC|Nuclear</v>
      </c>
      <c r="D864" t="s">
        <v>44</v>
      </c>
      <c r="E864" t="s">
        <v>45</v>
      </c>
      <c r="F864" t="s">
        <v>19</v>
      </c>
      <c r="G864" t="s">
        <v>47</v>
      </c>
      <c r="H864">
        <v>2053</v>
      </c>
      <c r="I864" t="s">
        <v>18</v>
      </c>
      <c r="J864" t="s">
        <v>63</v>
      </c>
      <c r="K864" t="s">
        <v>64</v>
      </c>
      <c r="L864" t="s">
        <v>65</v>
      </c>
      <c r="M864">
        <f>SUMIFS(RawResultsLong!$P:$P,RawResultsLong!$A:$A,A864)</f>
        <v>9.5120000000000005</v>
      </c>
      <c r="N864">
        <f t="shared" si="81"/>
        <v>301.41709128704338</v>
      </c>
      <c r="O864" t="s">
        <v>81</v>
      </c>
      <c r="P864">
        <f>SUMIFS(TechnologyMapping!$D:$D,TechnologyMapping!$A:$A,C864)</f>
        <v>1</v>
      </c>
      <c r="Q864">
        <f t="shared" si="82"/>
        <v>301.41709128704338</v>
      </c>
      <c r="R864">
        <f>SUMIFS(FactorInputs!$I:$I,FactorInputs!$A:$A,B864)</f>
        <v>1.0829166666700001</v>
      </c>
      <c r="S864" t="str">
        <f>_xlfn.XLOOKUP(B864,FactorInputs!$A$2:$A$888,FactorInputs!$F$2:$F$888,"")</f>
        <v>job/MW</v>
      </c>
      <c r="T864" t="str">
        <f>_xlfn.XLOOKUP(B864,FactorInputs!$A$2:$A$888,FactorInputs!$B$2:$B$888,"")</f>
        <v>Rutovitz 2015</v>
      </c>
      <c r="U864" t="str">
        <f>_xlfn.XLOOKUP(B864,FactorInputs!$A$2:$A$888,FactorInputs!$T$2:$T$888,"")</f>
        <v>Rutovitz 2015</v>
      </c>
      <c r="V864">
        <f t="shared" si="83"/>
        <v>326.40959177393216</v>
      </c>
    </row>
    <row r="865" spans="1:22" x14ac:dyDescent="0.3">
      <c r="A865" t="str">
        <f t="shared" si="78"/>
        <v>PA|AccumulatedNewCapacity|RE1|PWRSOLRTP|2053</v>
      </c>
      <c r="B865" t="str">
        <f t="shared" si="79"/>
        <v>Rooftop solar PV|2053|O&amp;M|Direct</v>
      </c>
      <c r="C865" t="str">
        <f t="shared" si="80"/>
        <v>PWRSOLRTP|Rooftop solar PV</v>
      </c>
      <c r="D865" t="s">
        <v>44</v>
      </c>
      <c r="E865" t="s">
        <v>45</v>
      </c>
      <c r="F865" t="s">
        <v>19</v>
      </c>
      <c r="G865" t="s">
        <v>31</v>
      </c>
      <c r="H865">
        <v>2053</v>
      </c>
      <c r="I865" t="s">
        <v>18</v>
      </c>
      <c r="J865" t="s">
        <v>63</v>
      </c>
      <c r="K865" t="s">
        <v>64</v>
      </c>
      <c r="L865" t="s">
        <v>65</v>
      </c>
      <c r="M865">
        <f>SUMIFS(RawResultsLong!$P:$P,RawResultsLong!$A:$A,A865)</f>
        <v>127.2035510462904</v>
      </c>
      <c r="N865">
        <f t="shared" si="81"/>
        <v>4030.8372958111645</v>
      </c>
      <c r="O865" t="s">
        <v>71</v>
      </c>
      <c r="P865">
        <f>SUMIFS(TechnologyMapping!$D:$D,TechnologyMapping!$A:$A,C865)</f>
        <v>1</v>
      </c>
      <c r="Q865">
        <f t="shared" si="82"/>
        <v>4030.8372958111645</v>
      </c>
      <c r="R865">
        <f>SUMIFS(FactorInputs!$I:$I,FactorInputs!$A:$A,B865)</f>
        <v>0.21705882352899999</v>
      </c>
      <c r="S865" t="str">
        <f>_xlfn.XLOOKUP(B865,FactorInputs!$A$2:$A$888,FactorInputs!$F$2:$F$888,"")</f>
        <v>job/MW</v>
      </c>
      <c r="T865" t="str">
        <f>_xlfn.XLOOKUP(B865,FactorInputs!$A$2:$A$888,FactorInputs!$B$2:$B$888,"")</f>
        <v>JEDI-US</v>
      </c>
      <c r="U865" t="str">
        <f>_xlfn.XLOOKUP(B865,FactorInputs!$A$2:$A$888,FactorInputs!$T$2:$T$888,"")</f>
        <v>JEDI-US</v>
      </c>
      <c r="V865">
        <f t="shared" si="83"/>
        <v>874.92880126558714</v>
      </c>
    </row>
    <row r="866" spans="1:22" x14ac:dyDescent="0.3">
      <c r="A866" t="str">
        <f t="shared" si="78"/>
        <v>PA|AccumulatedNewCapacity|RE1|PWRSOLUGE|2053</v>
      </c>
      <c r="B866" t="str">
        <f t="shared" si="79"/>
        <v>Utility-scale solar PV|2053|O&amp;M|Direct</v>
      </c>
      <c r="C866" t="str">
        <f t="shared" si="80"/>
        <v>PWRSOLUGE|Utility-scale solar PV</v>
      </c>
      <c r="D866" t="s">
        <v>44</v>
      </c>
      <c r="E866" t="s">
        <v>45</v>
      </c>
      <c r="F866" t="s">
        <v>19</v>
      </c>
      <c r="G866" t="s">
        <v>33</v>
      </c>
      <c r="H866">
        <v>2053</v>
      </c>
      <c r="I866" t="s">
        <v>18</v>
      </c>
      <c r="J866" t="s">
        <v>63</v>
      </c>
      <c r="K866" t="s">
        <v>64</v>
      </c>
      <c r="L866" t="s">
        <v>65</v>
      </c>
      <c r="M866">
        <f>SUMIFS(RawResultsLong!$P:$P,RawResultsLong!$A:$A,A866)</f>
        <v>143.394192</v>
      </c>
      <c r="N866">
        <f t="shared" si="81"/>
        <v>4543.8877481177278</v>
      </c>
      <c r="O866" t="s">
        <v>66</v>
      </c>
      <c r="P866">
        <f>SUMIFS(TechnologyMapping!$D:$D,TechnologyMapping!$A:$A,C866)</f>
        <v>1</v>
      </c>
      <c r="Q866">
        <f t="shared" si="82"/>
        <v>4543.8877481177278</v>
      </c>
      <c r="R866">
        <f>SUMIFS(FactorInputs!$I:$I,FactorInputs!$A:$A,B866)</f>
        <v>7.0418918918899995E-2</v>
      </c>
      <c r="S866" t="str">
        <f>_xlfn.XLOOKUP(B866,FactorInputs!$A$2:$A$888,FactorInputs!$F$2:$F$888,"")</f>
        <v>job/MW</v>
      </c>
      <c r="T866" t="str">
        <f>_xlfn.XLOOKUP(B866,FactorInputs!$A$2:$A$888,FactorInputs!$B$2:$B$888,"")</f>
        <v>I-JEDI</v>
      </c>
      <c r="U866" t="str">
        <f>_xlfn.XLOOKUP(B866,FactorInputs!$A$2:$A$888,FactorInputs!$T$2:$T$888,"")</f>
        <v>I-JEDI</v>
      </c>
      <c r="V866">
        <f t="shared" si="83"/>
        <v>319.97566291128538</v>
      </c>
    </row>
    <row r="867" spans="1:22" x14ac:dyDescent="0.3">
      <c r="A867" t="str">
        <f t="shared" si="78"/>
        <v>PA|AccumulatedNewCapacity|RE1|PWRWNDOFS_FIX|2053</v>
      </c>
      <c r="B867" t="str">
        <f t="shared" si="79"/>
        <v>Offshore wind (fixed)|2053|O&amp;M|Direct</v>
      </c>
      <c r="C867" t="str">
        <f t="shared" si="80"/>
        <v>PWRWNDOFS_FIX|Offshore wind (fixed)</v>
      </c>
      <c r="D867" t="s">
        <v>44</v>
      </c>
      <c r="E867" t="s">
        <v>45</v>
      </c>
      <c r="F867" t="s">
        <v>19</v>
      </c>
      <c r="G867" t="s">
        <v>42</v>
      </c>
      <c r="H867">
        <v>2053</v>
      </c>
      <c r="I867" t="s">
        <v>18</v>
      </c>
      <c r="J867" t="s">
        <v>63</v>
      </c>
      <c r="K867" t="s">
        <v>64</v>
      </c>
      <c r="L867" t="s">
        <v>65</v>
      </c>
      <c r="M867">
        <f>SUMIFS(RawResultsLong!$P:$P,RawResultsLong!$A:$A,A867)</f>
        <v>47.303999999999988</v>
      </c>
      <c r="N867">
        <f t="shared" si="81"/>
        <v>1498.973305954825</v>
      </c>
      <c r="O867" t="s">
        <v>74</v>
      </c>
      <c r="P867">
        <f>SUMIFS(TechnologyMapping!$D:$D,TechnologyMapping!$A:$A,C867)</f>
        <v>1</v>
      </c>
      <c r="Q867">
        <f t="shared" si="82"/>
        <v>1498.973305954825</v>
      </c>
      <c r="R867">
        <f>SUMIFS(FactorInputs!$I:$I,FactorInputs!$A:$A,B867)</f>
        <v>5.4989861751199999E-2</v>
      </c>
      <c r="S867" t="str">
        <f>_xlfn.XLOOKUP(B867,FactorInputs!$A$2:$A$888,FactorInputs!$F$2:$F$888,"")</f>
        <v>job/MW</v>
      </c>
      <c r="T867" t="str">
        <f>_xlfn.XLOOKUP(B867,FactorInputs!$A$2:$A$888,FactorInputs!$B$2:$B$888,"")</f>
        <v>French QBIS 2023</v>
      </c>
      <c r="U867" t="str">
        <f>_xlfn.XLOOKUP(B867,FactorInputs!$A$2:$A$888,FactorInputs!$T$2:$T$888,"")</f>
        <v>French QBIS 2023</v>
      </c>
      <c r="V867">
        <f t="shared" si="83"/>
        <v>82.428334863195047</v>
      </c>
    </row>
    <row r="868" spans="1:22" x14ac:dyDescent="0.3">
      <c r="A868" t="str">
        <f t="shared" si="78"/>
        <v>PA|AccumulatedNewCapacity|RE1|PWRWNDONS|2053</v>
      </c>
      <c r="B868" t="str">
        <f t="shared" si="79"/>
        <v>Onshore wind|2053|O&amp;M|Direct</v>
      </c>
      <c r="C868" t="str">
        <f t="shared" si="80"/>
        <v>PWRWNDONS|Onshore wind</v>
      </c>
      <c r="D868" t="s">
        <v>44</v>
      </c>
      <c r="E868" t="s">
        <v>45</v>
      </c>
      <c r="F868" t="s">
        <v>19</v>
      </c>
      <c r="G868" t="s">
        <v>36</v>
      </c>
      <c r="H868">
        <v>2053</v>
      </c>
      <c r="I868" t="s">
        <v>18</v>
      </c>
      <c r="J868" t="s">
        <v>63</v>
      </c>
      <c r="K868" t="s">
        <v>64</v>
      </c>
      <c r="L868" t="s">
        <v>65</v>
      </c>
      <c r="M868">
        <f>SUMIFS(RawResultsLong!$P:$P,RawResultsLong!$A:$A,A868)</f>
        <v>585.10662025717852</v>
      </c>
      <c r="N868">
        <f t="shared" si="81"/>
        <v>18540.909963279162</v>
      </c>
      <c r="O868" t="s">
        <v>68</v>
      </c>
      <c r="P868">
        <f>SUMIFS(TechnologyMapping!$D:$D,TechnologyMapping!$A:$A,C868)</f>
        <v>1</v>
      </c>
      <c r="Q868">
        <f t="shared" si="82"/>
        <v>18540.909963279162</v>
      </c>
      <c r="R868">
        <f>SUMIFS(FactorInputs!$I:$I,FactorInputs!$A:$A,B868)</f>
        <v>2.6934306569300001E-2</v>
      </c>
      <c r="S868" t="str">
        <f>_xlfn.XLOOKUP(B868,FactorInputs!$A$2:$A$888,FactorInputs!$F$2:$F$888,"")</f>
        <v>job/MW</v>
      </c>
      <c r="T868" t="str">
        <f>_xlfn.XLOOKUP(B868,FactorInputs!$A$2:$A$888,FactorInputs!$B$2:$B$888,"")</f>
        <v>I-JEDI</v>
      </c>
      <c r="U868" t="str">
        <f>_xlfn.XLOOKUP(B868,FactorInputs!$A$2:$A$888,FactorInputs!$T$2:$T$888,"")</f>
        <v>I-JEDI</v>
      </c>
      <c r="V868">
        <f t="shared" si="83"/>
        <v>499.38655302474979</v>
      </c>
    </row>
    <row r="869" spans="1:22" x14ac:dyDescent="0.3">
      <c r="A869" t="str">
        <f t="shared" si="78"/>
        <v>PA|NewCapacity|RE1|PWRSOLRTP|2053</v>
      </c>
      <c r="B869" t="str">
        <f t="shared" si="79"/>
        <v>Rooftop solar PV|2053|Construction&amp;Manufacturing|Direct</v>
      </c>
      <c r="C869" t="str">
        <f t="shared" si="80"/>
        <v>PWRSOLRTP|Rooftop solar PV</v>
      </c>
      <c r="D869" t="s">
        <v>44</v>
      </c>
      <c r="E869" t="s">
        <v>45</v>
      </c>
      <c r="F869" t="s">
        <v>19</v>
      </c>
      <c r="G869" t="s">
        <v>31</v>
      </c>
      <c r="H869">
        <v>2053</v>
      </c>
      <c r="I869" t="s">
        <v>37</v>
      </c>
      <c r="J869" t="s">
        <v>69</v>
      </c>
      <c r="K869" t="s">
        <v>70</v>
      </c>
      <c r="L869" t="s">
        <v>65</v>
      </c>
      <c r="M869">
        <f>SUMIFS(RawResultsLong!$P:$P,RawResultsLong!$A:$A,A869)</f>
        <v>1.902346227013316</v>
      </c>
      <c r="N869">
        <f t="shared" si="81"/>
        <v>60.281714294284605</v>
      </c>
      <c r="O869" t="s">
        <v>71</v>
      </c>
      <c r="P869">
        <f>SUMIFS(TechnologyMapping!$D:$D,TechnologyMapping!$A:$A,C869)</f>
        <v>1</v>
      </c>
      <c r="Q869">
        <f t="shared" si="82"/>
        <v>60.281714294284605</v>
      </c>
      <c r="R869">
        <f>SUMIFS(FactorInputs!$I:$I,FactorInputs!$A:$A,B869)</f>
        <v>4.3205610605400002</v>
      </c>
      <c r="S869" t="str">
        <f>_xlfn.XLOOKUP(B869,FactorInputs!$A$2:$A$888,FactorInputs!$F$2:$F$888,"")</f>
        <v>job-yr/MW</v>
      </c>
      <c r="T869" t="str">
        <f>_xlfn.XLOOKUP(B869,FactorInputs!$A$2:$A$888,FactorInputs!$B$2:$B$888,"")</f>
        <v>JEDI-US</v>
      </c>
      <c r="U869" t="str">
        <f>_xlfn.XLOOKUP(B869,FactorInputs!$A$2:$A$888,FactorInputs!$T$2:$T$888,"")</f>
        <v>JEDI-US</v>
      </c>
      <c r="V869">
        <f t="shared" si="83"/>
        <v>260.45082744248356</v>
      </c>
    </row>
    <row r="870" spans="1:22" x14ac:dyDescent="0.3">
      <c r="A870" t="str">
        <f t="shared" si="78"/>
        <v>PA|NewCapacity|RE1|PWRWNDONS|2053</v>
      </c>
      <c r="B870" t="str">
        <f t="shared" si="79"/>
        <v>Onshore wind|2053|Construction&amp;Manufacturing|Direct</v>
      </c>
      <c r="C870" t="str">
        <f t="shared" si="80"/>
        <v>PWRWNDONS|Onshore wind</v>
      </c>
      <c r="D870" t="s">
        <v>44</v>
      </c>
      <c r="E870" t="s">
        <v>45</v>
      </c>
      <c r="F870" t="s">
        <v>19</v>
      </c>
      <c r="G870" t="s">
        <v>36</v>
      </c>
      <c r="H870">
        <v>2053</v>
      </c>
      <c r="I870" t="s">
        <v>37</v>
      </c>
      <c r="J870" t="s">
        <v>69</v>
      </c>
      <c r="K870" t="s">
        <v>70</v>
      </c>
      <c r="L870" t="s">
        <v>65</v>
      </c>
      <c r="M870">
        <f>SUMIFS(RawResultsLong!$P:$P,RawResultsLong!$A:$A,A870)</f>
        <v>47.31</v>
      </c>
      <c r="N870">
        <f t="shared" si="81"/>
        <v>1499.1634344817096</v>
      </c>
      <c r="O870" t="s">
        <v>68</v>
      </c>
      <c r="P870">
        <f>SUMIFS(TechnologyMapping!$D:$D,TechnologyMapping!$A:$A,C870)</f>
        <v>1</v>
      </c>
      <c r="Q870">
        <f t="shared" si="82"/>
        <v>1499.1634344817096</v>
      </c>
      <c r="R870">
        <f>SUMIFS(FactorInputs!$I:$I,FactorInputs!$A:$A,B870)</f>
        <v>6.5127600165799997</v>
      </c>
      <c r="S870" t="str">
        <f>_xlfn.XLOOKUP(B870,FactorInputs!$A$2:$A$888,FactorInputs!$F$2:$F$888,"")</f>
        <v>job-yr/MW</v>
      </c>
      <c r="T870" t="str">
        <f>_xlfn.XLOOKUP(B870,FactorInputs!$A$2:$A$888,FactorInputs!$B$2:$B$888,"")</f>
        <v>I-JEDI</v>
      </c>
      <c r="U870" t="str">
        <f>_xlfn.XLOOKUP(B870,FactorInputs!$A$2:$A$888,FactorInputs!$T$2:$T$888,"")</f>
        <v>I-JEDI</v>
      </c>
      <c r="V870">
        <f t="shared" si="83"/>
        <v>9763.6916744112277</v>
      </c>
    </row>
    <row r="871" spans="1:22" x14ac:dyDescent="0.3">
      <c r="A871" t="str">
        <f t="shared" si="78"/>
        <v>PA|AccumulatedNewCapacity|RE1|PWRGEO|2054</v>
      </c>
      <c r="B871" t="str">
        <f t="shared" si="79"/>
        <v>Geothermal|2054|O&amp;M|Direct</v>
      </c>
      <c r="C871" t="str">
        <f t="shared" si="80"/>
        <v>PWRGEO|Geothermal</v>
      </c>
      <c r="D871" t="s">
        <v>44</v>
      </c>
      <c r="E871" t="s">
        <v>45</v>
      </c>
      <c r="F871" t="s">
        <v>19</v>
      </c>
      <c r="G871" t="s">
        <v>46</v>
      </c>
      <c r="H871">
        <v>2054</v>
      </c>
      <c r="I871" t="s">
        <v>18</v>
      </c>
      <c r="J871" t="s">
        <v>63</v>
      </c>
      <c r="K871" t="s">
        <v>64</v>
      </c>
      <c r="L871" t="s">
        <v>65</v>
      </c>
      <c r="M871">
        <f>SUMIFS(RawResultsLong!$P:$P,RawResultsLong!$A:$A,A871)</f>
        <v>31.54</v>
      </c>
      <c r="N871">
        <f t="shared" si="81"/>
        <v>999.44228965447303</v>
      </c>
      <c r="O871" t="s">
        <v>82</v>
      </c>
      <c r="P871">
        <f>SUMIFS(TechnologyMapping!$D:$D,TechnologyMapping!$A:$A,C871)</f>
        <v>1</v>
      </c>
      <c r="Q871">
        <f t="shared" si="82"/>
        <v>999.44228965447303</v>
      </c>
      <c r="R871">
        <f>SUMIFS(FactorInputs!$I:$I,FactorInputs!$A:$A,B871)</f>
        <v>6.9576837416500002E-3</v>
      </c>
      <c r="S871" t="str">
        <f>_xlfn.XLOOKUP(B871,FactorInputs!$A$2:$A$888,FactorInputs!$F$2:$F$888,"")</f>
        <v>job/MW</v>
      </c>
      <c r="T871" t="str">
        <f>_xlfn.XLOOKUP(B871,FactorInputs!$A$2:$A$888,FactorInputs!$B$2:$B$888,"")</f>
        <v>I-JEDI</v>
      </c>
      <c r="U871" t="str">
        <f>_xlfn.XLOOKUP(B871,FactorInputs!$A$2:$A$888,FactorInputs!$T$2:$T$888,"")</f>
        <v>I-JEDI</v>
      </c>
      <c r="V871">
        <f t="shared" si="83"/>
        <v>6.9538033694463772</v>
      </c>
    </row>
    <row r="872" spans="1:22" x14ac:dyDescent="0.3">
      <c r="A872" t="str">
        <f t="shared" si="78"/>
        <v>PA|AccumulatedNewCapacity|RE1|PWRHYDDAM|2054</v>
      </c>
      <c r="B872" t="str">
        <f t="shared" si="79"/>
        <v>Hydro (large)|2054|O&amp;M|Direct</v>
      </c>
      <c r="C872" t="str">
        <f t="shared" si="80"/>
        <v>PWRHYDDAM|Hydro (large)</v>
      </c>
      <c r="D872" t="s">
        <v>44</v>
      </c>
      <c r="E872" t="s">
        <v>45</v>
      </c>
      <c r="F872" t="s">
        <v>19</v>
      </c>
      <c r="G872" t="s">
        <v>24</v>
      </c>
      <c r="H872">
        <v>2054</v>
      </c>
      <c r="I872" t="s">
        <v>18</v>
      </c>
      <c r="J872" t="s">
        <v>63</v>
      </c>
      <c r="K872" t="s">
        <v>64</v>
      </c>
      <c r="L872" t="s">
        <v>65</v>
      </c>
      <c r="M872">
        <f>SUMIFS(RawResultsLong!$P:$P,RawResultsLong!$A:$A,A872)</f>
        <v>37.840000000000003</v>
      </c>
      <c r="N872">
        <f t="shared" si="81"/>
        <v>1199.0772428828554</v>
      </c>
      <c r="O872" t="s">
        <v>72</v>
      </c>
      <c r="P872">
        <f>SUMIFS(TechnologyMapping!$D:$D,TechnologyMapping!$A:$A,C872)</f>
        <v>1</v>
      </c>
      <c r="Q872">
        <f t="shared" si="82"/>
        <v>1199.0772428828554</v>
      </c>
      <c r="R872">
        <f>SUMIFS(FactorInputs!$I:$I,FactorInputs!$A:$A,B872)</f>
        <v>0.63849180327900001</v>
      </c>
      <c r="S872" t="str">
        <f>_xlfn.XLOOKUP(B872,FactorInputs!$A$2:$A$888,FactorInputs!$F$2:$F$888,"")</f>
        <v>job/MW</v>
      </c>
      <c r="T872" t="str">
        <f>_xlfn.XLOOKUP(B872,FactorInputs!$A$2:$A$888,FactorInputs!$B$2:$B$888,"")</f>
        <v>Rutovitz 2015</v>
      </c>
      <c r="U872" t="str">
        <f>_xlfn.XLOOKUP(B872,FactorInputs!$A$2:$A$888,FactorInputs!$T$2:$T$888,"")</f>
        <v>Rutovitz 2015</v>
      </c>
      <c r="V872">
        <f t="shared" si="83"/>
        <v>765.60099107908582</v>
      </c>
    </row>
    <row r="873" spans="1:22" x14ac:dyDescent="0.3">
      <c r="A873" t="str">
        <f t="shared" si="78"/>
        <v>PA|AccumulatedNewCapacity|RE1|PWRNUC|2054</v>
      </c>
      <c r="B873" t="str">
        <f t="shared" si="79"/>
        <v>Nuclear|2054|O&amp;M|Direct</v>
      </c>
      <c r="C873" t="str">
        <f t="shared" si="80"/>
        <v>PWRNUC|Nuclear</v>
      </c>
      <c r="D873" t="s">
        <v>44</v>
      </c>
      <c r="E873" t="s">
        <v>45</v>
      </c>
      <c r="F873" t="s">
        <v>19</v>
      </c>
      <c r="G873" t="s">
        <v>47</v>
      </c>
      <c r="H873">
        <v>2054</v>
      </c>
      <c r="I873" t="s">
        <v>18</v>
      </c>
      <c r="J873" t="s">
        <v>63</v>
      </c>
      <c r="K873" t="s">
        <v>64</v>
      </c>
      <c r="L873" t="s">
        <v>65</v>
      </c>
      <c r="M873">
        <f>SUMIFS(RawResultsLong!$P:$P,RawResultsLong!$A:$A,A873)</f>
        <v>9.5120000000000005</v>
      </c>
      <c r="N873">
        <f t="shared" si="81"/>
        <v>301.41709128704338</v>
      </c>
      <c r="O873" t="s">
        <v>81</v>
      </c>
      <c r="P873">
        <f>SUMIFS(TechnologyMapping!$D:$D,TechnologyMapping!$A:$A,C873)</f>
        <v>1</v>
      </c>
      <c r="Q873">
        <f t="shared" si="82"/>
        <v>301.41709128704338</v>
      </c>
      <c r="R873">
        <f>SUMIFS(FactorInputs!$I:$I,FactorInputs!$A:$A,B873)</f>
        <v>1.0829166666700001</v>
      </c>
      <c r="S873" t="str">
        <f>_xlfn.XLOOKUP(B873,FactorInputs!$A$2:$A$888,FactorInputs!$F$2:$F$888,"")</f>
        <v>job/MW</v>
      </c>
      <c r="T873" t="str">
        <f>_xlfn.XLOOKUP(B873,FactorInputs!$A$2:$A$888,FactorInputs!$B$2:$B$888,"")</f>
        <v>Rutovitz 2015</v>
      </c>
      <c r="U873" t="str">
        <f>_xlfn.XLOOKUP(B873,FactorInputs!$A$2:$A$888,FactorInputs!$T$2:$T$888,"")</f>
        <v>Rutovitz 2015</v>
      </c>
      <c r="V873">
        <f t="shared" si="83"/>
        <v>326.40959177393216</v>
      </c>
    </row>
    <row r="874" spans="1:22" x14ac:dyDescent="0.3">
      <c r="A874" t="str">
        <f t="shared" si="78"/>
        <v>PA|AccumulatedNewCapacity|RE1|PWRSOLRTP|2054</v>
      </c>
      <c r="B874" t="str">
        <f t="shared" si="79"/>
        <v>Rooftop solar PV|2054|O&amp;M|Direct</v>
      </c>
      <c r="C874" t="str">
        <f t="shared" si="80"/>
        <v>PWRSOLRTP|Rooftop solar PV</v>
      </c>
      <c r="D874" t="s">
        <v>44</v>
      </c>
      <c r="E874" t="s">
        <v>45</v>
      </c>
      <c r="F874" t="s">
        <v>19</v>
      </c>
      <c r="G874" t="s">
        <v>31</v>
      </c>
      <c r="H874">
        <v>2054</v>
      </c>
      <c r="I874" t="s">
        <v>18</v>
      </c>
      <c r="J874" t="s">
        <v>63</v>
      </c>
      <c r="K874" t="s">
        <v>64</v>
      </c>
      <c r="L874" t="s">
        <v>65</v>
      </c>
      <c r="M874">
        <f>SUMIFS(RawResultsLong!$P:$P,RawResultsLong!$A:$A,A874)</f>
        <v>114.83830057070379</v>
      </c>
      <c r="N874">
        <f t="shared" si="81"/>
        <v>3639.0061528983128</v>
      </c>
      <c r="O874" t="s">
        <v>71</v>
      </c>
      <c r="P874">
        <f>SUMIFS(TechnologyMapping!$D:$D,TechnologyMapping!$A:$A,C874)</f>
        <v>1</v>
      </c>
      <c r="Q874">
        <f t="shared" si="82"/>
        <v>3639.0061528983128</v>
      </c>
      <c r="R874">
        <f>SUMIFS(FactorInputs!$I:$I,FactorInputs!$A:$A,B874)</f>
        <v>0.21705882352899999</v>
      </c>
      <c r="S874" t="str">
        <f>_xlfn.XLOOKUP(B874,FactorInputs!$A$2:$A$888,FactorInputs!$F$2:$F$888,"")</f>
        <v>job/MW</v>
      </c>
      <c r="T874" t="str">
        <f>_xlfn.XLOOKUP(B874,FactorInputs!$A$2:$A$888,FactorInputs!$B$2:$B$888,"")</f>
        <v>JEDI-US</v>
      </c>
      <c r="U874" t="str">
        <f>_xlfn.XLOOKUP(B874,FactorInputs!$A$2:$A$888,FactorInputs!$T$2:$T$888,"")</f>
        <v>JEDI-US</v>
      </c>
      <c r="V874">
        <f t="shared" si="83"/>
        <v>789.87839436290005</v>
      </c>
    </row>
    <row r="875" spans="1:22" x14ac:dyDescent="0.3">
      <c r="A875" t="str">
        <f t="shared" si="78"/>
        <v>PA|AccumulatedNewCapacity|RE1|PWRSOLUGE|2054</v>
      </c>
      <c r="B875" t="str">
        <f t="shared" si="79"/>
        <v>Utility-scale solar PV|2054|O&amp;M|Direct</v>
      </c>
      <c r="C875" t="str">
        <f t="shared" si="80"/>
        <v>PWRSOLUGE|Utility-scale solar PV</v>
      </c>
      <c r="D875" t="s">
        <v>44</v>
      </c>
      <c r="E875" t="s">
        <v>45</v>
      </c>
      <c r="F875" t="s">
        <v>19</v>
      </c>
      <c r="G875" t="s">
        <v>33</v>
      </c>
      <c r="H875">
        <v>2054</v>
      </c>
      <c r="I875" t="s">
        <v>18</v>
      </c>
      <c r="J875" t="s">
        <v>63</v>
      </c>
      <c r="K875" t="s">
        <v>64</v>
      </c>
      <c r="L875" t="s">
        <v>65</v>
      </c>
      <c r="M875">
        <f>SUMIFS(RawResultsLong!$P:$P,RawResultsLong!$A:$A,A875)</f>
        <v>143.394192</v>
      </c>
      <c r="N875">
        <f t="shared" si="81"/>
        <v>4543.8877481177278</v>
      </c>
      <c r="O875" t="s">
        <v>66</v>
      </c>
      <c r="P875">
        <f>SUMIFS(TechnologyMapping!$D:$D,TechnologyMapping!$A:$A,C875)</f>
        <v>1</v>
      </c>
      <c r="Q875">
        <f t="shared" si="82"/>
        <v>4543.8877481177278</v>
      </c>
      <c r="R875">
        <f>SUMIFS(FactorInputs!$I:$I,FactorInputs!$A:$A,B875)</f>
        <v>7.0418918918899995E-2</v>
      </c>
      <c r="S875" t="str">
        <f>_xlfn.XLOOKUP(B875,FactorInputs!$A$2:$A$888,FactorInputs!$F$2:$F$888,"")</f>
        <v>job/MW</v>
      </c>
      <c r="T875" t="str">
        <f>_xlfn.XLOOKUP(B875,FactorInputs!$A$2:$A$888,FactorInputs!$B$2:$B$888,"")</f>
        <v>I-JEDI</v>
      </c>
      <c r="U875" t="str">
        <f>_xlfn.XLOOKUP(B875,FactorInputs!$A$2:$A$888,FactorInputs!$T$2:$T$888,"")</f>
        <v>I-JEDI</v>
      </c>
      <c r="V875">
        <f t="shared" si="83"/>
        <v>319.97566291128538</v>
      </c>
    </row>
    <row r="876" spans="1:22" x14ac:dyDescent="0.3">
      <c r="A876" t="str">
        <f t="shared" si="78"/>
        <v>PA|AccumulatedNewCapacity|RE1|PWRWNDOFS_FIX|2054</v>
      </c>
      <c r="B876" t="str">
        <f t="shared" si="79"/>
        <v>Offshore wind (fixed)|2054|O&amp;M|Direct</v>
      </c>
      <c r="C876" t="str">
        <f t="shared" si="80"/>
        <v>PWRWNDOFS_FIX|Offshore wind (fixed)</v>
      </c>
      <c r="D876" t="s">
        <v>44</v>
      </c>
      <c r="E876" t="s">
        <v>45</v>
      </c>
      <c r="F876" t="s">
        <v>19</v>
      </c>
      <c r="G876" t="s">
        <v>42</v>
      </c>
      <c r="H876">
        <v>2054</v>
      </c>
      <c r="I876" t="s">
        <v>18</v>
      </c>
      <c r="J876" t="s">
        <v>63</v>
      </c>
      <c r="K876" t="s">
        <v>64</v>
      </c>
      <c r="L876" t="s">
        <v>65</v>
      </c>
      <c r="M876">
        <f>SUMIFS(RawResultsLong!$P:$P,RawResultsLong!$A:$A,A876)</f>
        <v>47.303999999999988</v>
      </c>
      <c r="N876">
        <f t="shared" si="81"/>
        <v>1498.973305954825</v>
      </c>
      <c r="O876" t="s">
        <v>74</v>
      </c>
      <c r="P876">
        <f>SUMIFS(TechnologyMapping!$D:$D,TechnologyMapping!$A:$A,C876)</f>
        <v>1</v>
      </c>
      <c r="Q876">
        <f t="shared" si="82"/>
        <v>1498.973305954825</v>
      </c>
      <c r="R876">
        <f>SUMIFS(FactorInputs!$I:$I,FactorInputs!$A:$A,B876)</f>
        <v>5.4989861751199999E-2</v>
      </c>
      <c r="S876" t="str">
        <f>_xlfn.XLOOKUP(B876,FactorInputs!$A$2:$A$888,FactorInputs!$F$2:$F$888,"")</f>
        <v>job/MW</v>
      </c>
      <c r="T876" t="str">
        <f>_xlfn.XLOOKUP(B876,FactorInputs!$A$2:$A$888,FactorInputs!$B$2:$B$888,"")</f>
        <v>French QBIS 2023</v>
      </c>
      <c r="U876" t="str">
        <f>_xlfn.XLOOKUP(B876,FactorInputs!$A$2:$A$888,FactorInputs!$T$2:$T$888,"")</f>
        <v>French QBIS 2023</v>
      </c>
      <c r="V876">
        <f t="shared" si="83"/>
        <v>82.428334863195047</v>
      </c>
    </row>
    <row r="877" spans="1:22" x14ac:dyDescent="0.3">
      <c r="A877" t="str">
        <f t="shared" si="78"/>
        <v>PA|AccumulatedNewCapacity|RE1|PWRWNDONS|2054</v>
      </c>
      <c r="B877" t="str">
        <f t="shared" si="79"/>
        <v>Onshore wind|2054|O&amp;M|Direct</v>
      </c>
      <c r="C877" t="str">
        <f t="shared" si="80"/>
        <v>PWRWNDONS|Onshore wind</v>
      </c>
      <c r="D877" t="s">
        <v>44</v>
      </c>
      <c r="E877" t="s">
        <v>45</v>
      </c>
      <c r="F877" t="s">
        <v>19</v>
      </c>
      <c r="G877" t="s">
        <v>36</v>
      </c>
      <c r="H877">
        <v>2054</v>
      </c>
      <c r="I877" t="s">
        <v>18</v>
      </c>
      <c r="J877" t="s">
        <v>63</v>
      </c>
      <c r="K877" t="s">
        <v>64</v>
      </c>
      <c r="L877" t="s">
        <v>65</v>
      </c>
      <c r="M877">
        <f>SUMIFS(RawResultsLong!$P:$P,RawResultsLong!$A:$A,A877)</f>
        <v>632.41662025717847</v>
      </c>
      <c r="N877">
        <f t="shared" si="81"/>
        <v>20040.073397760869</v>
      </c>
      <c r="O877" t="s">
        <v>68</v>
      </c>
      <c r="P877">
        <f>SUMIFS(TechnologyMapping!$D:$D,TechnologyMapping!$A:$A,C877)</f>
        <v>1</v>
      </c>
      <c r="Q877">
        <f t="shared" si="82"/>
        <v>20040.073397760869</v>
      </c>
      <c r="R877">
        <f>SUMIFS(FactorInputs!$I:$I,FactorInputs!$A:$A,B877)</f>
        <v>2.6934306569300001E-2</v>
      </c>
      <c r="S877" t="str">
        <f>_xlfn.XLOOKUP(B877,FactorInputs!$A$2:$A$888,FactorInputs!$F$2:$F$888,"")</f>
        <v>job/MW</v>
      </c>
      <c r="T877" t="str">
        <f>_xlfn.XLOOKUP(B877,FactorInputs!$A$2:$A$888,FactorInputs!$B$2:$B$888,"")</f>
        <v>I-JEDI</v>
      </c>
      <c r="U877" t="str">
        <f>_xlfn.XLOOKUP(B877,FactorInputs!$A$2:$A$888,FactorInputs!$T$2:$T$888,"")</f>
        <v>I-JEDI</v>
      </c>
      <c r="V877">
        <f t="shared" si="83"/>
        <v>539.76548056656475</v>
      </c>
    </row>
    <row r="878" spans="1:22" x14ac:dyDescent="0.3">
      <c r="A878" t="str">
        <f t="shared" si="78"/>
        <v>PA|NewCapacity|RE1|PWRSOLRTP|2054</v>
      </c>
      <c r="B878" t="str">
        <f t="shared" si="79"/>
        <v>Rooftop solar PV|2054|Construction&amp;Manufacturing|Direct</v>
      </c>
      <c r="C878" t="str">
        <f t="shared" si="80"/>
        <v>PWRSOLRTP|Rooftop solar PV</v>
      </c>
      <c r="D878" t="s">
        <v>44</v>
      </c>
      <c r="E878" t="s">
        <v>45</v>
      </c>
      <c r="F878" t="s">
        <v>19</v>
      </c>
      <c r="G878" t="s">
        <v>31</v>
      </c>
      <c r="H878">
        <v>2054</v>
      </c>
      <c r="I878" t="s">
        <v>37</v>
      </c>
      <c r="J878" t="s">
        <v>69</v>
      </c>
      <c r="K878" t="s">
        <v>70</v>
      </c>
      <c r="L878" t="s">
        <v>65</v>
      </c>
      <c r="M878">
        <f>SUMIFS(RawResultsLong!$P:$P,RawResultsLong!$A:$A,A878)</f>
        <v>1.902346227013316</v>
      </c>
      <c r="N878">
        <f t="shared" si="81"/>
        <v>60.281714294284605</v>
      </c>
      <c r="O878" t="s">
        <v>71</v>
      </c>
      <c r="P878">
        <f>SUMIFS(TechnologyMapping!$D:$D,TechnologyMapping!$A:$A,C878)</f>
        <v>1</v>
      </c>
      <c r="Q878">
        <f t="shared" si="82"/>
        <v>60.281714294284605</v>
      </c>
      <c r="R878">
        <f>SUMIFS(FactorInputs!$I:$I,FactorInputs!$A:$A,B878)</f>
        <v>4.3205610605400002</v>
      </c>
      <c r="S878" t="str">
        <f>_xlfn.XLOOKUP(B878,FactorInputs!$A$2:$A$888,FactorInputs!$F$2:$F$888,"")</f>
        <v>job-yr/MW</v>
      </c>
      <c r="T878" t="str">
        <f>_xlfn.XLOOKUP(B878,FactorInputs!$A$2:$A$888,FactorInputs!$B$2:$B$888,"")</f>
        <v>JEDI-US</v>
      </c>
      <c r="U878" t="str">
        <f>_xlfn.XLOOKUP(B878,FactorInputs!$A$2:$A$888,FactorInputs!$T$2:$T$888,"")</f>
        <v>JEDI-US</v>
      </c>
      <c r="V878">
        <f t="shared" si="83"/>
        <v>260.45082744248356</v>
      </c>
    </row>
    <row r="879" spans="1:22" x14ac:dyDescent="0.3">
      <c r="A879" t="str">
        <f t="shared" si="78"/>
        <v>PA|NewCapacity|RE1|PWRWNDONS|2054</v>
      </c>
      <c r="B879" t="str">
        <f t="shared" si="79"/>
        <v>Onshore wind|2054|Construction&amp;Manufacturing|Direct</v>
      </c>
      <c r="C879" t="str">
        <f t="shared" si="80"/>
        <v>PWRWNDONS|Onshore wind</v>
      </c>
      <c r="D879" t="s">
        <v>44</v>
      </c>
      <c r="E879" t="s">
        <v>45</v>
      </c>
      <c r="F879" t="s">
        <v>19</v>
      </c>
      <c r="G879" t="s">
        <v>36</v>
      </c>
      <c r="H879">
        <v>2054</v>
      </c>
      <c r="I879" t="s">
        <v>37</v>
      </c>
      <c r="J879" t="s">
        <v>69</v>
      </c>
      <c r="K879" t="s">
        <v>70</v>
      </c>
      <c r="L879" t="s">
        <v>65</v>
      </c>
      <c r="M879">
        <f>SUMIFS(RawResultsLong!$P:$P,RawResultsLong!$A:$A,A879)</f>
        <v>47.31</v>
      </c>
      <c r="N879">
        <f t="shared" si="81"/>
        <v>1499.1634344817096</v>
      </c>
      <c r="O879" t="s">
        <v>68</v>
      </c>
      <c r="P879">
        <f>SUMIFS(TechnologyMapping!$D:$D,TechnologyMapping!$A:$A,C879)</f>
        <v>1</v>
      </c>
      <c r="Q879">
        <f t="shared" si="82"/>
        <v>1499.1634344817096</v>
      </c>
      <c r="R879">
        <f>SUMIFS(FactorInputs!$I:$I,FactorInputs!$A:$A,B879)</f>
        <v>6.5127600165799997</v>
      </c>
      <c r="S879" t="str">
        <f>_xlfn.XLOOKUP(B879,FactorInputs!$A$2:$A$888,FactorInputs!$F$2:$F$888,"")</f>
        <v>job-yr/MW</v>
      </c>
      <c r="T879" t="str">
        <f>_xlfn.XLOOKUP(B879,FactorInputs!$A$2:$A$888,FactorInputs!$B$2:$B$888,"")</f>
        <v>I-JEDI</v>
      </c>
      <c r="U879" t="str">
        <f>_xlfn.XLOOKUP(B879,FactorInputs!$A$2:$A$888,FactorInputs!$T$2:$T$888,"")</f>
        <v>I-JEDI</v>
      </c>
      <c r="V879">
        <f t="shared" si="83"/>
        <v>9763.6916744112277</v>
      </c>
    </row>
    <row r="880" spans="1:22" x14ac:dyDescent="0.3">
      <c r="A880" t="str">
        <f t="shared" si="78"/>
        <v>PA|AccumulatedNewCapacity|RE1|PWRGEO|2055</v>
      </c>
      <c r="B880" t="str">
        <f t="shared" si="79"/>
        <v>Geothermal|2055|O&amp;M|Direct</v>
      </c>
      <c r="C880" t="str">
        <f t="shared" si="80"/>
        <v>PWRGEO|Geothermal</v>
      </c>
      <c r="D880" t="s">
        <v>44</v>
      </c>
      <c r="E880" t="s">
        <v>45</v>
      </c>
      <c r="F880" t="s">
        <v>19</v>
      </c>
      <c r="G880" t="s">
        <v>46</v>
      </c>
      <c r="H880">
        <v>2055</v>
      </c>
      <c r="I880" t="s">
        <v>18</v>
      </c>
      <c r="J880" t="s">
        <v>63</v>
      </c>
      <c r="K880" t="s">
        <v>64</v>
      </c>
      <c r="L880" t="s">
        <v>65</v>
      </c>
      <c r="M880">
        <f>SUMIFS(RawResultsLong!$P:$P,RawResultsLong!$A:$A,A880)</f>
        <v>31.54</v>
      </c>
      <c r="N880">
        <f t="shared" si="81"/>
        <v>999.44228965447303</v>
      </c>
      <c r="O880" t="s">
        <v>82</v>
      </c>
      <c r="P880">
        <f>SUMIFS(TechnologyMapping!$D:$D,TechnologyMapping!$A:$A,C880)</f>
        <v>1</v>
      </c>
      <c r="Q880">
        <f t="shared" si="82"/>
        <v>999.44228965447303</v>
      </c>
      <c r="R880">
        <f>SUMIFS(FactorInputs!$I:$I,FactorInputs!$A:$A,B880)</f>
        <v>6.9576837416500002E-3</v>
      </c>
      <c r="S880" t="str">
        <f>_xlfn.XLOOKUP(B880,FactorInputs!$A$2:$A$888,FactorInputs!$F$2:$F$888,"")</f>
        <v>job/MW</v>
      </c>
      <c r="T880" t="str">
        <f>_xlfn.XLOOKUP(B880,FactorInputs!$A$2:$A$888,FactorInputs!$B$2:$B$888,"")</f>
        <v>I-JEDI</v>
      </c>
      <c r="U880" t="str">
        <f>_xlfn.XLOOKUP(B880,FactorInputs!$A$2:$A$888,FactorInputs!$T$2:$T$888,"")</f>
        <v>I-JEDI</v>
      </c>
      <c r="V880">
        <f t="shared" si="83"/>
        <v>6.9538033694463772</v>
      </c>
    </row>
    <row r="881" spans="1:22" x14ac:dyDescent="0.3">
      <c r="A881" t="str">
        <f t="shared" si="78"/>
        <v>PA|AccumulatedNewCapacity|RE1|PWRHYDDAM|2055</v>
      </c>
      <c r="B881" t="str">
        <f t="shared" si="79"/>
        <v>Hydro (large)|2055|O&amp;M|Direct</v>
      </c>
      <c r="C881" t="str">
        <f t="shared" si="80"/>
        <v>PWRHYDDAM|Hydro (large)</v>
      </c>
      <c r="D881" t="s">
        <v>44</v>
      </c>
      <c r="E881" t="s">
        <v>45</v>
      </c>
      <c r="F881" t="s">
        <v>19</v>
      </c>
      <c r="G881" t="s">
        <v>24</v>
      </c>
      <c r="H881">
        <v>2055</v>
      </c>
      <c r="I881" t="s">
        <v>18</v>
      </c>
      <c r="J881" t="s">
        <v>63</v>
      </c>
      <c r="K881" t="s">
        <v>64</v>
      </c>
      <c r="L881" t="s">
        <v>65</v>
      </c>
      <c r="M881">
        <f>SUMIFS(RawResultsLong!$P:$P,RawResultsLong!$A:$A,A881)</f>
        <v>37.840000000000003</v>
      </c>
      <c r="N881">
        <f t="shared" si="81"/>
        <v>1199.0772428828554</v>
      </c>
      <c r="O881" t="s">
        <v>72</v>
      </c>
      <c r="P881">
        <f>SUMIFS(TechnologyMapping!$D:$D,TechnologyMapping!$A:$A,C881)</f>
        <v>1</v>
      </c>
      <c r="Q881">
        <f t="shared" si="82"/>
        <v>1199.0772428828554</v>
      </c>
      <c r="R881">
        <f>SUMIFS(FactorInputs!$I:$I,FactorInputs!$A:$A,B881)</f>
        <v>0.63849180327900001</v>
      </c>
      <c r="S881" t="str">
        <f>_xlfn.XLOOKUP(B881,FactorInputs!$A$2:$A$888,FactorInputs!$F$2:$F$888,"")</f>
        <v>job/MW</v>
      </c>
      <c r="T881" t="str">
        <f>_xlfn.XLOOKUP(B881,FactorInputs!$A$2:$A$888,FactorInputs!$B$2:$B$888,"")</f>
        <v>Rutovitz 2015</v>
      </c>
      <c r="U881" t="str">
        <f>_xlfn.XLOOKUP(B881,FactorInputs!$A$2:$A$888,FactorInputs!$T$2:$T$888,"")</f>
        <v>Rutovitz 2015</v>
      </c>
      <c r="V881">
        <f t="shared" si="83"/>
        <v>765.60099107908582</v>
      </c>
    </row>
    <row r="882" spans="1:22" x14ac:dyDescent="0.3">
      <c r="A882" t="str">
        <f t="shared" si="78"/>
        <v>PA|AccumulatedNewCapacity|RE1|PWRNUC|2055</v>
      </c>
      <c r="B882" t="str">
        <f t="shared" si="79"/>
        <v>Nuclear|2055|O&amp;M|Direct</v>
      </c>
      <c r="C882" t="str">
        <f t="shared" si="80"/>
        <v>PWRNUC|Nuclear</v>
      </c>
      <c r="D882" t="s">
        <v>44</v>
      </c>
      <c r="E882" t="s">
        <v>45</v>
      </c>
      <c r="F882" t="s">
        <v>19</v>
      </c>
      <c r="G882" t="s">
        <v>47</v>
      </c>
      <c r="H882">
        <v>2055</v>
      </c>
      <c r="I882" t="s">
        <v>18</v>
      </c>
      <c r="J882" t="s">
        <v>63</v>
      </c>
      <c r="K882" t="s">
        <v>64</v>
      </c>
      <c r="L882" t="s">
        <v>65</v>
      </c>
      <c r="M882">
        <f>SUMIFS(RawResultsLong!$P:$P,RawResultsLong!$A:$A,A882)</f>
        <v>9.5120000000000005</v>
      </c>
      <c r="N882">
        <f t="shared" si="81"/>
        <v>301.41709128704338</v>
      </c>
      <c r="O882" t="s">
        <v>81</v>
      </c>
      <c r="P882">
        <f>SUMIFS(TechnologyMapping!$D:$D,TechnologyMapping!$A:$A,C882)</f>
        <v>1</v>
      </c>
      <c r="Q882">
        <f t="shared" si="82"/>
        <v>301.41709128704338</v>
      </c>
      <c r="R882">
        <f>SUMIFS(FactorInputs!$I:$I,FactorInputs!$A:$A,B882)</f>
        <v>1.0829166666700001</v>
      </c>
      <c r="S882" t="str">
        <f>_xlfn.XLOOKUP(B882,FactorInputs!$A$2:$A$888,FactorInputs!$F$2:$F$888,"")</f>
        <v>job/MW</v>
      </c>
      <c r="T882" t="str">
        <f>_xlfn.XLOOKUP(B882,FactorInputs!$A$2:$A$888,FactorInputs!$B$2:$B$888,"")</f>
        <v>Rutovitz 2015</v>
      </c>
      <c r="U882" t="str">
        <f>_xlfn.XLOOKUP(B882,FactorInputs!$A$2:$A$888,FactorInputs!$T$2:$T$888,"")</f>
        <v>Rutovitz 2015</v>
      </c>
      <c r="V882">
        <f t="shared" si="83"/>
        <v>326.40959177393216</v>
      </c>
    </row>
    <row r="883" spans="1:22" x14ac:dyDescent="0.3">
      <c r="A883" t="str">
        <f t="shared" si="78"/>
        <v>PA|AccumulatedNewCapacity|RE1|PWRSOLRTP|2055</v>
      </c>
      <c r="B883" t="str">
        <f t="shared" si="79"/>
        <v>Rooftop solar PV|2055|O&amp;M|Direct</v>
      </c>
      <c r="C883" t="str">
        <f t="shared" si="80"/>
        <v>PWRSOLRTP|Rooftop solar PV</v>
      </c>
      <c r="D883" t="s">
        <v>44</v>
      </c>
      <c r="E883" t="s">
        <v>45</v>
      </c>
      <c r="F883" t="s">
        <v>19</v>
      </c>
      <c r="G883" t="s">
        <v>31</v>
      </c>
      <c r="H883">
        <v>2055</v>
      </c>
      <c r="I883" t="s">
        <v>18</v>
      </c>
      <c r="J883" t="s">
        <v>63</v>
      </c>
      <c r="K883" t="s">
        <v>64</v>
      </c>
      <c r="L883" t="s">
        <v>65</v>
      </c>
      <c r="M883">
        <f>SUMIFS(RawResultsLong!$P:$P,RawResultsLong!$A:$A,A883)</f>
        <v>102.79010779961951</v>
      </c>
      <c r="N883">
        <f t="shared" si="81"/>
        <v>3257.2219623678452</v>
      </c>
      <c r="O883" t="s">
        <v>71</v>
      </c>
      <c r="P883">
        <f>SUMIFS(TechnologyMapping!$D:$D,TechnologyMapping!$A:$A,C883)</f>
        <v>1</v>
      </c>
      <c r="Q883">
        <f t="shared" si="82"/>
        <v>3257.2219623678452</v>
      </c>
      <c r="R883">
        <f>SUMIFS(FactorInputs!$I:$I,FactorInputs!$A:$A,B883)</f>
        <v>0.21705882352899999</v>
      </c>
      <c r="S883" t="str">
        <f>_xlfn.XLOOKUP(B883,FactorInputs!$A$2:$A$888,FactorInputs!$F$2:$F$888,"")</f>
        <v>job/MW</v>
      </c>
      <c r="T883" t="str">
        <f>_xlfn.XLOOKUP(B883,FactorInputs!$A$2:$A$888,FactorInputs!$B$2:$B$888,"")</f>
        <v>JEDI-US</v>
      </c>
      <c r="U883" t="str">
        <f>_xlfn.XLOOKUP(B883,FactorInputs!$A$2:$A$888,FactorInputs!$T$2:$T$888,"")</f>
        <v>JEDI-US</v>
      </c>
      <c r="V883">
        <f t="shared" si="83"/>
        <v>707.00876712438514</v>
      </c>
    </row>
    <row r="884" spans="1:22" x14ac:dyDescent="0.3">
      <c r="A884" t="str">
        <f t="shared" si="78"/>
        <v>PA|AccumulatedNewCapacity|RE1|PWRSOLUGE|2055</v>
      </c>
      <c r="B884" t="str">
        <f t="shared" si="79"/>
        <v>Utility-scale solar PV|2055|O&amp;M|Direct</v>
      </c>
      <c r="C884" t="str">
        <f t="shared" si="80"/>
        <v>PWRSOLUGE|Utility-scale solar PV</v>
      </c>
      <c r="D884" t="s">
        <v>44</v>
      </c>
      <c r="E884" t="s">
        <v>45</v>
      </c>
      <c r="F884" t="s">
        <v>19</v>
      </c>
      <c r="G884" t="s">
        <v>33</v>
      </c>
      <c r="H884">
        <v>2055</v>
      </c>
      <c r="I884" t="s">
        <v>18</v>
      </c>
      <c r="J884" t="s">
        <v>63</v>
      </c>
      <c r="K884" t="s">
        <v>64</v>
      </c>
      <c r="L884" t="s">
        <v>65</v>
      </c>
      <c r="M884">
        <f>SUMIFS(RawResultsLong!$P:$P,RawResultsLong!$A:$A,A884)</f>
        <v>136.67702399999999</v>
      </c>
      <c r="N884">
        <f t="shared" si="81"/>
        <v>4331.0335386721417</v>
      </c>
      <c r="O884" t="s">
        <v>66</v>
      </c>
      <c r="P884">
        <f>SUMIFS(TechnologyMapping!$D:$D,TechnologyMapping!$A:$A,C884)</f>
        <v>1</v>
      </c>
      <c r="Q884">
        <f t="shared" si="82"/>
        <v>4331.0335386721417</v>
      </c>
      <c r="R884">
        <f>SUMIFS(FactorInputs!$I:$I,FactorInputs!$A:$A,B884)</f>
        <v>7.0418918918899995E-2</v>
      </c>
      <c r="S884" t="str">
        <f>_xlfn.XLOOKUP(B884,FactorInputs!$A$2:$A$888,FactorInputs!$F$2:$F$888,"")</f>
        <v>job/MW</v>
      </c>
      <c r="T884" t="str">
        <f>_xlfn.XLOOKUP(B884,FactorInputs!$A$2:$A$888,FactorInputs!$B$2:$B$888,"")</f>
        <v>I-JEDI</v>
      </c>
      <c r="U884" t="str">
        <f>_xlfn.XLOOKUP(B884,FactorInputs!$A$2:$A$888,FactorInputs!$T$2:$T$888,"")</f>
        <v>I-JEDI</v>
      </c>
      <c r="V884">
        <f t="shared" si="83"/>
        <v>304.98669959479008</v>
      </c>
    </row>
    <row r="885" spans="1:22" x14ac:dyDescent="0.3">
      <c r="A885" t="str">
        <f t="shared" si="78"/>
        <v>PA|AccumulatedNewCapacity|RE1|PWRWNDOFS_FIX|2055</v>
      </c>
      <c r="B885" t="str">
        <f t="shared" si="79"/>
        <v>Offshore wind (fixed)|2055|O&amp;M|Direct</v>
      </c>
      <c r="C885" t="str">
        <f t="shared" si="80"/>
        <v>PWRWNDOFS_FIX|Offshore wind (fixed)</v>
      </c>
      <c r="D885" t="s">
        <v>44</v>
      </c>
      <c r="E885" t="s">
        <v>45</v>
      </c>
      <c r="F885" t="s">
        <v>19</v>
      </c>
      <c r="G885" t="s">
        <v>42</v>
      </c>
      <c r="H885">
        <v>2055</v>
      </c>
      <c r="I885" t="s">
        <v>18</v>
      </c>
      <c r="J885" t="s">
        <v>63</v>
      </c>
      <c r="K885" t="s">
        <v>64</v>
      </c>
      <c r="L885" t="s">
        <v>65</v>
      </c>
      <c r="M885">
        <f>SUMIFS(RawResultsLong!$P:$P,RawResultsLong!$A:$A,A885)</f>
        <v>47.303999999999988</v>
      </c>
      <c r="N885">
        <f t="shared" si="81"/>
        <v>1498.973305954825</v>
      </c>
      <c r="O885" t="s">
        <v>74</v>
      </c>
      <c r="P885">
        <f>SUMIFS(TechnologyMapping!$D:$D,TechnologyMapping!$A:$A,C885)</f>
        <v>1</v>
      </c>
      <c r="Q885">
        <f t="shared" si="82"/>
        <v>1498.973305954825</v>
      </c>
      <c r="R885">
        <f>SUMIFS(FactorInputs!$I:$I,FactorInputs!$A:$A,B885)</f>
        <v>5.4989861751199999E-2</v>
      </c>
      <c r="S885" t="str">
        <f>_xlfn.XLOOKUP(B885,FactorInputs!$A$2:$A$888,FactorInputs!$F$2:$F$888,"")</f>
        <v>job/MW</v>
      </c>
      <c r="T885" t="str">
        <f>_xlfn.XLOOKUP(B885,FactorInputs!$A$2:$A$888,FactorInputs!$B$2:$B$888,"")</f>
        <v>French QBIS 2023</v>
      </c>
      <c r="U885" t="str">
        <f>_xlfn.XLOOKUP(B885,FactorInputs!$A$2:$A$888,FactorInputs!$T$2:$T$888,"")</f>
        <v>French QBIS 2023</v>
      </c>
      <c r="V885">
        <f t="shared" si="83"/>
        <v>82.428334863195047</v>
      </c>
    </row>
    <row r="886" spans="1:22" x14ac:dyDescent="0.3">
      <c r="A886" t="str">
        <f t="shared" si="78"/>
        <v>PA|AccumulatedNewCapacity|RE1|PWRWNDONS|2055</v>
      </c>
      <c r="B886" t="str">
        <f t="shared" si="79"/>
        <v>Onshore wind|2055|O&amp;M|Direct</v>
      </c>
      <c r="C886" t="str">
        <f t="shared" si="80"/>
        <v>PWRWNDONS|Onshore wind</v>
      </c>
      <c r="D886" t="s">
        <v>44</v>
      </c>
      <c r="E886" t="s">
        <v>45</v>
      </c>
      <c r="F886" t="s">
        <v>19</v>
      </c>
      <c r="G886" t="s">
        <v>36</v>
      </c>
      <c r="H886">
        <v>2055</v>
      </c>
      <c r="I886" t="s">
        <v>18</v>
      </c>
      <c r="J886" t="s">
        <v>63</v>
      </c>
      <c r="K886" t="s">
        <v>64</v>
      </c>
      <c r="L886" t="s">
        <v>65</v>
      </c>
      <c r="M886">
        <f>SUMIFS(RawResultsLong!$P:$P,RawResultsLong!$A:$A,A886)</f>
        <v>656.56282969529104</v>
      </c>
      <c r="N886">
        <f t="shared" si="81"/>
        <v>20805.220602811714</v>
      </c>
      <c r="O886" t="s">
        <v>68</v>
      </c>
      <c r="P886">
        <f>SUMIFS(TechnologyMapping!$D:$D,TechnologyMapping!$A:$A,C886)</f>
        <v>1</v>
      </c>
      <c r="Q886">
        <f t="shared" si="82"/>
        <v>20805.220602811714</v>
      </c>
      <c r="R886">
        <f>SUMIFS(FactorInputs!$I:$I,FactorInputs!$A:$A,B886)</f>
        <v>2.6934306569300001E-2</v>
      </c>
      <c r="S886" t="str">
        <f>_xlfn.XLOOKUP(B886,FactorInputs!$A$2:$A$888,FactorInputs!$F$2:$F$888,"")</f>
        <v>job/MW</v>
      </c>
      <c r="T886" t="str">
        <f>_xlfn.XLOOKUP(B886,FactorInputs!$A$2:$A$888,FactorInputs!$B$2:$B$888,"")</f>
        <v>I-JEDI</v>
      </c>
      <c r="U886" t="str">
        <f>_xlfn.XLOOKUP(B886,FactorInputs!$A$2:$A$888,FactorInputs!$T$2:$T$888,"")</f>
        <v>I-JEDI</v>
      </c>
      <c r="V886">
        <f t="shared" si="83"/>
        <v>560.37418995804728</v>
      </c>
    </row>
    <row r="887" spans="1:22" x14ac:dyDescent="0.3">
      <c r="A887" t="str">
        <f t="shared" si="78"/>
        <v>PA|NewCapacity|RE1|PWRSOLRTP|2055</v>
      </c>
      <c r="B887" t="str">
        <f t="shared" si="79"/>
        <v>Rooftop solar PV|2055|Construction&amp;Manufacturing|Direct</v>
      </c>
      <c r="C887" t="str">
        <f t="shared" si="80"/>
        <v>PWRSOLRTP|Rooftop solar PV</v>
      </c>
      <c r="D887" t="s">
        <v>44</v>
      </c>
      <c r="E887" t="s">
        <v>45</v>
      </c>
      <c r="F887" t="s">
        <v>19</v>
      </c>
      <c r="G887" t="s">
        <v>31</v>
      </c>
      <c r="H887">
        <v>2055</v>
      </c>
      <c r="I887" t="s">
        <v>37</v>
      </c>
      <c r="J887" t="s">
        <v>69</v>
      </c>
      <c r="K887" t="s">
        <v>70</v>
      </c>
      <c r="L887" t="s">
        <v>65</v>
      </c>
      <c r="M887">
        <f>SUMIFS(RawResultsLong!$P:$P,RawResultsLong!$A:$A,A887)</f>
        <v>1.902346227013316</v>
      </c>
      <c r="N887">
        <f t="shared" si="81"/>
        <v>60.281714294284605</v>
      </c>
      <c r="O887" t="s">
        <v>71</v>
      </c>
      <c r="P887">
        <f>SUMIFS(TechnologyMapping!$D:$D,TechnologyMapping!$A:$A,C887)</f>
        <v>1</v>
      </c>
      <c r="Q887">
        <f t="shared" si="82"/>
        <v>60.281714294284605</v>
      </c>
      <c r="R887">
        <f>SUMIFS(FactorInputs!$I:$I,FactorInputs!$A:$A,B887)</f>
        <v>4.3205610605400002</v>
      </c>
      <c r="S887" t="str">
        <f>_xlfn.XLOOKUP(B887,FactorInputs!$A$2:$A$888,FactorInputs!$F$2:$F$888,"")</f>
        <v>job-yr/MW</v>
      </c>
      <c r="T887" t="str">
        <f>_xlfn.XLOOKUP(B887,FactorInputs!$A$2:$A$888,FactorInputs!$B$2:$B$888,"")</f>
        <v>JEDI-US</v>
      </c>
      <c r="U887" t="str">
        <f>_xlfn.XLOOKUP(B887,FactorInputs!$A$2:$A$888,FactorInputs!$T$2:$T$888,"")</f>
        <v>JEDI-US</v>
      </c>
      <c r="V887">
        <f t="shared" si="83"/>
        <v>260.45082744248356</v>
      </c>
    </row>
    <row r="888" spans="1:22" x14ac:dyDescent="0.3">
      <c r="A888" t="str">
        <f t="shared" si="78"/>
        <v>PA|NewCapacity|RE1|PWRWNDONS|2055</v>
      </c>
      <c r="B888" t="str">
        <f t="shared" si="79"/>
        <v>Onshore wind|2055|Construction&amp;Manufacturing|Direct</v>
      </c>
      <c r="C888" t="str">
        <f t="shared" si="80"/>
        <v>PWRWNDONS|Onshore wind</v>
      </c>
      <c r="D888" t="s">
        <v>44</v>
      </c>
      <c r="E888" t="s">
        <v>45</v>
      </c>
      <c r="F888" t="s">
        <v>19</v>
      </c>
      <c r="G888" t="s">
        <v>36</v>
      </c>
      <c r="H888">
        <v>2055</v>
      </c>
      <c r="I888" t="s">
        <v>37</v>
      </c>
      <c r="J888" t="s">
        <v>69</v>
      </c>
      <c r="K888" t="s">
        <v>70</v>
      </c>
      <c r="L888" t="s">
        <v>65</v>
      </c>
      <c r="M888">
        <f>SUMIFS(RawResultsLong!$P:$P,RawResultsLong!$A:$A,A888)</f>
        <v>24.299832752398249</v>
      </c>
      <c r="N888">
        <f t="shared" si="81"/>
        <v>770.0152341242125</v>
      </c>
      <c r="O888" t="s">
        <v>68</v>
      </c>
      <c r="P888">
        <f>SUMIFS(TechnologyMapping!$D:$D,TechnologyMapping!$A:$A,C888)</f>
        <v>1</v>
      </c>
      <c r="Q888">
        <f t="shared" si="82"/>
        <v>770.0152341242125</v>
      </c>
      <c r="R888">
        <f>SUMIFS(FactorInputs!$I:$I,FactorInputs!$A:$A,B888)</f>
        <v>6.5127600165799997</v>
      </c>
      <c r="S888" t="str">
        <f>_xlfn.XLOOKUP(B888,FactorInputs!$A$2:$A$888,FactorInputs!$F$2:$F$888,"")</f>
        <v>job-yr/MW</v>
      </c>
      <c r="T888" t="str">
        <f>_xlfn.XLOOKUP(B888,FactorInputs!$A$2:$A$888,FactorInputs!$B$2:$B$888,"")</f>
        <v>I-JEDI</v>
      </c>
      <c r="U888" t="str">
        <f>_xlfn.XLOOKUP(B888,FactorInputs!$A$2:$A$888,FactorInputs!$T$2:$T$888,"")</f>
        <v>I-JEDI</v>
      </c>
      <c r="V888">
        <f t="shared" si="83"/>
        <v>5014.9244289616581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pane ySplit="1" topLeftCell="A2" activePane="bottomLeft" state="frozen"/>
      <selection pane="bottomLeft" activeCell="L43" sqref="L43"/>
    </sheetView>
  </sheetViews>
  <sheetFormatPr defaultRowHeight="14.4" x14ac:dyDescent="0.3"/>
  <sheetData>
    <row r="1" spans="1:5" x14ac:dyDescent="0.3">
      <c r="A1" t="s">
        <v>49</v>
      </c>
      <c r="B1" t="s">
        <v>5</v>
      </c>
      <c r="C1" t="s">
        <v>54</v>
      </c>
      <c r="D1" t="s">
        <v>55</v>
      </c>
      <c r="E1" t="s">
        <v>62</v>
      </c>
    </row>
    <row r="2" spans="1:5" x14ac:dyDescent="0.3">
      <c r="A2" t="str">
        <f t="shared" ref="A2:A27" si="0">B2&amp;"|"&amp;C2</f>
        <v>PWRBGS|Biomass power</v>
      </c>
      <c r="B2" t="s">
        <v>20</v>
      </c>
      <c r="C2" t="s">
        <v>84</v>
      </c>
      <c r="D2">
        <v>1</v>
      </c>
      <c r="E2" t="s">
        <v>85</v>
      </c>
    </row>
    <row r="3" spans="1:5" x14ac:dyDescent="0.3">
      <c r="A3" t="str">
        <f t="shared" si="0"/>
        <v>PWRCOA|Coal power</v>
      </c>
      <c r="B3" t="s">
        <v>21</v>
      </c>
      <c r="C3" t="s">
        <v>86</v>
      </c>
      <c r="D3">
        <v>1</v>
      </c>
    </row>
    <row r="4" spans="1:5" x14ac:dyDescent="0.3">
      <c r="A4" t="str">
        <f t="shared" si="0"/>
        <v>PWRCSP|Solar thermal (CSP)</v>
      </c>
      <c r="B4" t="s">
        <v>87</v>
      </c>
      <c r="C4" t="s">
        <v>88</v>
      </c>
      <c r="D4">
        <v>1</v>
      </c>
    </row>
    <row r="5" spans="1:5" x14ac:dyDescent="0.3">
      <c r="A5" t="str">
        <f t="shared" si="0"/>
        <v>PWRDSL|Oil and diesel</v>
      </c>
      <c r="B5" t="s">
        <v>22</v>
      </c>
      <c r="C5" t="s">
        <v>89</v>
      </c>
      <c r="D5">
        <v>1</v>
      </c>
    </row>
    <row r="6" spans="1:5" x14ac:dyDescent="0.3">
      <c r="A6" t="str">
        <f t="shared" si="0"/>
        <v>PWRFOL|Oil and diesel</v>
      </c>
      <c r="B6" t="s">
        <v>23</v>
      </c>
      <c r="C6" t="s">
        <v>89</v>
      </c>
      <c r="D6">
        <v>1</v>
      </c>
    </row>
    <row r="7" spans="1:5" x14ac:dyDescent="0.3">
      <c r="A7" t="str">
        <f t="shared" si="0"/>
        <v>PWRFOIL|Oil and diesel</v>
      </c>
      <c r="B7" t="s">
        <v>90</v>
      </c>
      <c r="C7" t="s">
        <v>89</v>
      </c>
      <c r="D7">
        <v>1</v>
      </c>
      <c r="E7" t="s">
        <v>91</v>
      </c>
    </row>
    <row r="8" spans="1:5" x14ac:dyDescent="0.3">
      <c r="A8" t="str">
        <f t="shared" si="0"/>
        <v>PWROIL|Oil and diesel</v>
      </c>
      <c r="B8" t="s">
        <v>92</v>
      </c>
      <c r="C8" t="s">
        <v>89</v>
      </c>
      <c r="D8">
        <v>1</v>
      </c>
      <c r="E8" t="s">
        <v>93</v>
      </c>
    </row>
    <row r="9" spans="1:5" x14ac:dyDescent="0.3">
      <c r="A9" t="str">
        <f t="shared" si="0"/>
        <v>PWRHYDDAM|Hydro (large)</v>
      </c>
      <c r="B9" t="s">
        <v>24</v>
      </c>
      <c r="C9" t="s">
        <v>72</v>
      </c>
      <c r="D9">
        <v>1</v>
      </c>
    </row>
    <row r="10" spans="1:5" x14ac:dyDescent="0.3">
      <c r="A10" t="str">
        <f t="shared" si="0"/>
        <v>PWRHYDROR|Hydro (small)</v>
      </c>
      <c r="B10" t="s">
        <v>25</v>
      </c>
      <c r="C10" t="s">
        <v>75</v>
      </c>
      <c r="D10">
        <v>1</v>
      </c>
    </row>
    <row r="11" spans="1:5" x14ac:dyDescent="0.3">
      <c r="A11" t="str">
        <f t="shared" si="0"/>
        <v>PWRHYDROR_NDC|Hydro (small)</v>
      </c>
      <c r="B11" t="s">
        <v>26</v>
      </c>
      <c r="C11" t="s">
        <v>75</v>
      </c>
      <c r="D11">
        <v>1</v>
      </c>
      <c r="E11" t="s">
        <v>76</v>
      </c>
    </row>
    <row r="12" spans="1:5" x14ac:dyDescent="0.3">
      <c r="A12" t="str">
        <f t="shared" si="0"/>
        <v>PWRJET|Gas CCGT/OCGT</v>
      </c>
      <c r="B12" t="s">
        <v>27</v>
      </c>
      <c r="C12" t="s">
        <v>94</v>
      </c>
      <c r="D12">
        <v>1</v>
      </c>
    </row>
    <row r="13" spans="1:5" x14ac:dyDescent="0.3">
      <c r="A13" t="str">
        <f t="shared" si="0"/>
        <v>PWRLPG|Gas CCGT/OCGT</v>
      </c>
      <c r="B13" t="s">
        <v>28</v>
      </c>
      <c r="C13" t="s">
        <v>94</v>
      </c>
      <c r="D13">
        <v>1</v>
      </c>
    </row>
    <row r="14" spans="1:5" x14ac:dyDescent="0.3">
      <c r="A14" t="str">
        <f t="shared" si="0"/>
        <v>PWRNGS_CC|Gas CCGT/OCGT</v>
      </c>
      <c r="B14" t="s">
        <v>29</v>
      </c>
      <c r="C14" t="s">
        <v>94</v>
      </c>
      <c r="D14">
        <v>1</v>
      </c>
    </row>
    <row r="15" spans="1:5" x14ac:dyDescent="0.3">
      <c r="A15" t="str">
        <f t="shared" si="0"/>
        <v>PWRNGS_CS|Gas CCGT/OCGT</v>
      </c>
      <c r="B15" t="s">
        <v>30</v>
      </c>
      <c r="C15" t="s">
        <v>94</v>
      </c>
      <c r="D15">
        <v>1</v>
      </c>
    </row>
    <row r="16" spans="1:5" x14ac:dyDescent="0.3">
      <c r="A16" t="str">
        <f t="shared" si="0"/>
        <v>PWRSOLRTP|Rooftop solar PV</v>
      </c>
      <c r="B16" t="s">
        <v>31</v>
      </c>
      <c r="C16" t="s">
        <v>71</v>
      </c>
      <c r="D16">
        <v>1</v>
      </c>
    </row>
    <row r="17" spans="1:5" x14ac:dyDescent="0.3">
      <c r="A17" t="str">
        <f t="shared" si="0"/>
        <v>PWRSOLRTP_ZNI|Rooftop solar PV</v>
      </c>
      <c r="B17" t="s">
        <v>32</v>
      </c>
      <c r="C17" t="s">
        <v>71</v>
      </c>
      <c r="D17">
        <v>1</v>
      </c>
      <c r="E17" t="s">
        <v>73</v>
      </c>
    </row>
    <row r="18" spans="1:5" x14ac:dyDescent="0.3">
      <c r="A18" t="str">
        <f t="shared" si="0"/>
        <v>PWRSOLUGE|Utility-scale solar PV</v>
      </c>
      <c r="B18" t="s">
        <v>33</v>
      </c>
      <c r="C18" t="s">
        <v>66</v>
      </c>
      <c r="D18">
        <v>1</v>
      </c>
    </row>
    <row r="19" spans="1:5" x14ac:dyDescent="0.3">
      <c r="A19" t="str">
        <f t="shared" si="0"/>
        <v>PWRSOLUPE|Utility-scale solar PV</v>
      </c>
      <c r="B19" t="s">
        <v>34</v>
      </c>
      <c r="C19" t="s">
        <v>66</v>
      </c>
      <c r="D19">
        <v>1</v>
      </c>
      <c r="E19" t="s">
        <v>67</v>
      </c>
    </row>
    <row r="20" spans="1:5" x14ac:dyDescent="0.3">
      <c r="A20" t="str">
        <f t="shared" si="0"/>
        <v>PWRSTD|Oil and diesel</v>
      </c>
      <c r="B20" t="s">
        <v>35</v>
      </c>
      <c r="C20" t="s">
        <v>89</v>
      </c>
      <c r="D20">
        <v>1</v>
      </c>
      <c r="E20" t="s">
        <v>95</v>
      </c>
    </row>
    <row r="21" spans="1:5" x14ac:dyDescent="0.3">
      <c r="A21" t="str">
        <f t="shared" si="0"/>
        <v>PWRWNDONS|Onshore wind</v>
      </c>
      <c r="B21" t="s">
        <v>36</v>
      </c>
      <c r="C21" t="s">
        <v>68</v>
      </c>
      <c r="D21">
        <v>1</v>
      </c>
    </row>
    <row r="22" spans="1:5" x14ac:dyDescent="0.3">
      <c r="A22" t="str">
        <f t="shared" si="0"/>
        <v>PWRWNDOFS_FIX|Offshore wind (fixed)</v>
      </c>
      <c r="B22" t="s">
        <v>42</v>
      </c>
      <c r="C22" t="s">
        <v>74</v>
      </c>
      <c r="D22">
        <v>1</v>
      </c>
    </row>
    <row r="23" spans="1:5" x14ac:dyDescent="0.3">
      <c r="A23" t="str">
        <f t="shared" si="0"/>
        <v>PWRWNDOFS_FLO|Offshore wind (floating)</v>
      </c>
      <c r="B23" t="s">
        <v>43</v>
      </c>
      <c r="C23" t="s">
        <v>80</v>
      </c>
      <c r="D23">
        <v>1</v>
      </c>
    </row>
    <row r="24" spans="1:5" x14ac:dyDescent="0.3">
      <c r="A24" t="str">
        <f t="shared" si="0"/>
        <v>PWRSOLUGE_BAT|Utility-scale solar PV</v>
      </c>
      <c r="B24" t="s">
        <v>41</v>
      </c>
      <c r="C24" t="s">
        <v>66</v>
      </c>
      <c r="D24">
        <v>1</v>
      </c>
      <c r="E24" t="s">
        <v>77</v>
      </c>
    </row>
    <row r="25" spans="1:5" x14ac:dyDescent="0.3">
      <c r="A25" t="str">
        <f t="shared" si="0"/>
        <v>PWRSOLUGE_BAT|Battery storage (grid)</v>
      </c>
      <c r="B25" t="s">
        <v>41</v>
      </c>
      <c r="C25" t="s">
        <v>78</v>
      </c>
      <c r="D25">
        <v>0.6</v>
      </c>
      <c r="E25" t="s">
        <v>79</v>
      </c>
    </row>
    <row r="26" spans="1:5" x14ac:dyDescent="0.3">
      <c r="A26" t="str">
        <f t="shared" si="0"/>
        <v>PWRGEO|Geothermal</v>
      </c>
      <c r="B26" t="s">
        <v>46</v>
      </c>
      <c r="C26" t="s">
        <v>82</v>
      </c>
      <c r="D26">
        <v>1</v>
      </c>
    </row>
    <row r="27" spans="1:5" x14ac:dyDescent="0.3">
      <c r="A27" t="str">
        <f t="shared" si="0"/>
        <v>PWRNUC|Nuclear</v>
      </c>
      <c r="B27" t="s">
        <v>47</v>
      </c>
      <c r="C27" t="s">
        <v>81</v>
      </c>
      <c r="D27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EC3F-951B-4138-A925-2FDEA9E8CD9A}">
  <dimension ref="A1:B3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4.77734375" style="4" customWidth="1"/>
    <col min="2" max="2" width="120.77734375" style="5" customWidth="1"/>
  </cols>
  <sheetData>
    <row r="1" spans="1:2" x14ac:dyDescent="0.3">
      <c r="A1" s="6" t="s">
        <v>174</v>
      </c>
      <c r="B1" s="7"/>
    </row>
    <row r="3" spans="1:2" x14ac:dyDescent="0.3">
      <c r="A3" s="4" t="s">
        <v>175</v>
      </c>
      <c r="B3" s="5" t="s">
        <v>176</v>
      </c>
    </row>
    <row r="4" spans="1:2" ht="43.2" x14ac:dyDescent="0.3">
      <c r="A4" s="4" t="s">
        <v>177</v>
      </c>
      <c r="B4" s="5" t="s">
        <v>178</v>
      </c>
    </row>
    <row r="6" spans="1:2" x14ac:dyDescent="0.3">
      <c r="A6" s="4" t="s">
        <v>179</v>
      </c>
    </row>
    <row r="7" spans="1:2" x14ac:dyDescent="0.3">
      <c r="A7" s="4" t="s">
        <v>37</v>
      </c>
      <c r="B7" s="5" t="s">
        <v>180</v>
      </c>
    </row>
    <row r="8" spans="1:2" x14ac:dyDescent="0.3">
      <c r="A8" s="4" t="s">
        <v>18</v>
      </c>
      <c r="B8" s="5" t="s">
        <v>181</v>
      </c>
    </row>
    <row r="9" spans="1:2" x14ac:dyDescent="0.3">
      <c r="A9" s="4" t="s">
        <v>38</v>
      </c>
      <c r="B9" s="5" t="s">
        <v>182</v>
      </c>
    </row>
    <row r="11" spans="1:2" x14ac:dyDescent="0.3">
      <c r="A11" s="4" t="s">
        <v>183</v>
      </c>
    </row>
    <row r="12" spans="1:2" x14ac:dyDescent="0.3">
      <c r="A12" s="4" t="s">
        <v>184</v>
      </c>
      <c r="B12" s="5" t="s">
        <v>185</v>
      </c>
    </row>
    <row r="13" spans="1:2" x14ac:dyDescent="0.3">
      <c r="A13" s="4" t="s">
        <v>186</v>
      </c>
      <c r="B13" s="5" t="s">
        <v>187</v>
      </c>
    </row>
    <row r="14" spans="1:2" x14ac:dyDescent="0.3">
      <c r="A14" s="4" t="s">
        <v>188</v>
      </c>
      <c r="B14" s="5" t="s">
        <v>189</v>
      </c>
    </row>
    <row r="15" spans="1:2" ht="28.8" x14ac:dyDescent="0.3">
      <c r="A15" s="4" t="s">
        <v>190</v>
      </c>
      <c r="B15" s="5" t="s">
        <v>191</v>
      </c>
    </row>
    <row r="17" spans="1:2" x14ac:dyDescent="0.3">
      <c r="A17" s="4" t="s">
        <v>192</v>
      </c>
    </row>
    <row r="18" spans="1:2" x14ac:dyDescent="0.3">
      <c r="A18" s="4" t="s">
        <v>193</v>
      </c>
      <c r="B18" s="5" t="s">
        <v>194</v>
      </c>
    </row>
    <row r="19" spans="1:2" x14ac:dyDescent="0.3">
      <c r="A19" s="4" t="s">
        <v>195</v>
      </c>
      <c r="B19" s="5" t="s">
        <v>196</v>
      </c>
    </row>
    <row r="21" spans="1:2" x14ac:dyDescent="0.3">
      <c r="A21" s="4" t="s">
        <v>197</v>
      </c>
    </row>
    <row r="22" spans="1:2" x14ac:dyDescent="0.3">
      <c r="A22" s="4" t="s">
        <v>66</v>
      </c>
      <c r="B22" s="5" t="s">
        <v>198</v>
      </c>
    </row>
    <row r="23" spans="1:2" x14ac:dyDescent="0.3">
      <c r="A23" s="4" t="s">
        <v>78</v>
      </c>
      <c r="B23" s="5" t="s">
        <v>199</v>
      </c>
    </row>
    <row r="24" spans="1:2" ht="28.8" x14ac:dyDescent="0.3">
      <c r="A24" s="4" t="s">
        <v>200</v>
      </c>
      <c r="B24" s="5" t="s">
        <v>201</v>
      </c>
    </row>
    <row r="26" spans="1:2" x14ac:dyDescent="0.3">
      <c r="A26" s="4" t="s">
        <v>202</v>
      </c>
    </row>
    <row r="27" spans="1:2" x14ac:dyDescent="0.3">
      <c r="A27" s="4" t="s">
        <v>203</v>
      </c>
      <c r="B27" s="5" t="s">
        <v>204</v>
      </c>
    </row>
    <row r="28" spans="1:2" x14ac:dyDescent="0.3">
      <c r="A28" s="4" t="s">
        <v>205</v>
      </c>
      <c r="B28" s="5" t="s">
        <v>206</v>
      </c>
    </row>
    <row r="29" spans="1:2" x14ac:dyDescent="0.3">
      <c r="A29" s="4" t="s">
        <v>207</v>
      </c>
      <c r="B29" s="5" t="s">
        <v>208</v>
      </c>
    </row>
    <row r="30" spans="1:2" x14ac:dyDescent="0.3">
      <c r="A30" s="4" t="s">
        <v>209</v>
      </c>
      <c r="B30" s="5" t="s">
        <v>210</v>
      </c>
    </row>
    <row r="31" spans="1:2" x14ac:dyDescent="0.3">
      <c r="A31" s="4" t="s">
        <v>211</v>
      </c>
      <c r="B31" s="5" t="s">
        <v>212</v>
      </c>
    </row>
    <row r="32" spans="1:2" x14ac:dyDescent="0.3">
      <c r="A32" s="4" t="s">
        <v>213</v>
      </c>
      <c r="B32" s="5" t="s">
        <v>214</v>
      </c>
    </row>
    <row r="33" spans="1:2" x14ac:dyDescent="0.3">
      <c r="A33" s="4" t="s">
        <v>215</v>
      </c>
      <c r="B33" s="5" t="s">
        <v>216</v>
      </c>
    </row>
    <row r="35" spans="1:2" ht="28.8" x14ac:dyDescent="0.3">
      <c r="A35" s="4" t="s">
        <v>217</v>
      </c>
      <c r="B35" s="5" t="s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51</v>
      </c>
      <c r="R1" t="s">
        <v>50</v>
      </c>
      <c r="S1" t="s">
        <v>53</v>
      </c>
      <c r="T1" t="s">
        <v>49</v>
      </c>
      <c r="U1" t="s">
        <v>54</v>
      </c>
      <c r="V1" t="s">
        <v>55</v>
      </c>
      <c r="W1" t="s">
        <v>62</v>
      </c>
      <c r="X1" t="s">
        <v>167</v>
      </c>
      <c r="Y1" t="s">
        <v>168</v>
      </c>
      <c r="Z1" t="s">
        <v>56</v>
      </c>
      <c r="AA1" t="s">
        <v>48</v>
      </c>
      <c r="AB1" t="s">
        <v>52</v>
      </c>
      <c r="AC1" t="s">
        <v>58</v>
      </c>
      <c r="AD1" t="s">
        <v>59</v>
      </c>
      <c r="AE1" t="s">
        <v>57</v>
      </c>
      <c r="AF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RawResultsLong</vt:lpstr>
      <vt:lpstr>FactorInputs</vt:lpstr>
      <vt:lpstr>Pivot_EmploymentFTE</vt:lpstr>
      <vt:lpstr>Pivot_CapacityMW</vt:lpstr>
      <vt:lpstr>EmploymentAggregated</vt:lpstr>
      <vt:lpstr>EmploymentResults</vt:lpstr>
      <vt:lpstr>TechnologyMapping</vt:lpstr>
      <vt:lpstr>Methodology_Notes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Michele Lovat Arranz</cp:lastModifiedBy>
  <dcterms:created xsi:type="dcterms:W3CDTF">2026-07-13T13:51:21Z</dcterms:created>
  <dcterms:modified xsi:type="dcterms:W3CDTF">2026-07-13T14:29:45Z</dcterms:modified>
</cp:coreProperties>
</file>